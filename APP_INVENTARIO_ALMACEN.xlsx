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0bfab3ced740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OCK_SISTEMA" sheetId="1" r:id="R7993ba15f47e43d0"/>
    <x:sheet xmlns:r="http://schemas.openxmlformats.org/officeDocument/2006/relationships" name="UBICACIONES" sheetId="2" r:id="R945b12cbf47b45e1"/>
    <x:sheet xmlns:r="http://schemas.openxmlformats.org/officeDocument/2006/relationships" name="CONTEOS" sheetId="3" r:id="R2c1aaed198f240a3"/>
    <x:sheet xmlns:r="http://schemas.openxmlformats.org/officeDocument/2006/relationships" name="RESUMEN_AJUSTE" sheetId="4" r:id="R39ef5e3ff93f4163"/>
    <x:sheet xmlns:r="http://schemas.openxmlformats.org/officeDocument/2006/relationships" name="INCIDENCIAS" sheetId="5" r:id="Rf543f157886b4fc0"/>
    <x:sheet xmlns:r="http://schemas.openxmlformats.org/officeDocument/2006/relationships" name="GUIA_USO" sheetId="6" r:id="R8729449b45ae4012"/>
  </x:sheets>
</x:workbook>
</file>

<file path=xl/sharedStrings.xml><?xml version="1.0" encoding="utf-8"?>
<x:sst xmlns:x="http://schemas.openxmlformats.org/spreadsheetml/2006/main">
  <x:si>
    <x:t xml:space="preserve">Referencia Interna</x:t>
  </x:si>
  <x:si>
    <x:t xml:space="preserve">Producto</x:t>
  </x:si>
  <x:si>
    <x:t xml:space="preserve">Número de lote</x:t>
  </x:si>
  <x:si>
    <x:t xml:space="preserve">Fecha de caducidad</x:t>
  </x:si>
  <x:si>
    <x:t xml:space="preserve">Lugar</x:t>
  </x:si>
  <x:si>
    <x:t xml:space="preserve">Cantidad inventariada</x:t>
  </x:si>
  <x:si>
    <x:t xml:space="preserve">Unidad de Medida</x:t>
  </x:si>
  <x:si>
    <x:t xml:space="preserve">EE10005</x:t>
  </x:si>
  <x:si>
    <x:t xml:space="preserve">[EE10005] CAJA MASTER TIYAPUY CAFÉ  # 5 X UND</x:t>
  </x:si>
  <x:si>
    <x:t xml:space="preserve">16/25</x:t>
  </x:si>
  <x:si>
    <x:t xml:space="preserve">SF-03/Materiales</x:t>
  </x:si>
  <x:si>
    <x:t xml:space="preserve">Unidades</x:t>
  </x:si>
  <x:si>
    <x:t xml:space="preserve">EE10073</x:t>
  </x:si>
  <x:si>
    <x:t xml:space="preserve">[EE10073] CINTA DE EMBALAJE 2" X 110 YD X ROLLO</x:t>
  </x:si>
  <x:si>
    <x:t xml:space="preserve">EE10072</x:t>
  </x:si>
  <x:si>
    <x:t xml:space="preserve">[EE10072] ETIQUETA BLANCA CAJA TT-50MMx100MM 1C-T1x1000</x:t>
  </x:si>
  <x:si>
    <x:t xml:space="preserve">EE10071</x:t>
  </x:si>
  <x:si>
    <x:t xml:space="preserve">[EE10071] ETIQUETA DE FECHAS TT-17 MMx23MM X ROLLO</x:t>
  </x:si>
  <x:si>
    <x:t xml:space="preserve">EE10076</x:t>
  </x:si>
  <x:si>
    <x:t xml:space="preserve">[EE10076] RIBBON 110MMx300MTS NEGRO CERA OUT</x:t>
  </x:si>
  <x:si>
    <x:t xml:space="preserve">EE10078</x:t>
  </x:si>
  <x:si>
    <x:t xml:space="preserve">[EE10078] CINTA 1" X 110 YD TRANSPARENTE X ROLLO</x:t>
  </x:si>
  <x:si>
    <x:t xml:space="preserve">EE10115</x:t>
  </x:si>
  <x:si>
    <x:t xml:space="preserve">[EE10115] CINTA CODIFICADORA TERMOIMPRESIÓN X ROLLO  34MM X 600M</x:t>
  </x:si>
  <x:si>
    <x:t xml:space="preserve">EE10079</x:t>
  </x:si>
  <x:si>
    <x:t xml:space="preserve">[EE10079] CINTILLOS TIRA 1.7CM X 43.5CM X UND</x:t>
  </x:si>
  <x:si>
    <x:t xml:space="preserve">EE10120</x:t>
  </x:si>
  <x:si>
    <x:t xml:space="preserve">[EE10120] CINTILLOS TIRA 1.7CM X 50 CM X UND</x:t>
  </x:si>
  <x:si>
    <x:t xml:space="preserve">EE10010</x:t>
  </x:si>
  <x:si>
    <x:t xml:space="preserve">[EE10010] CAJITA CAFÉ 86 PTOS ORG X UND</x:t>
  </x:si>
  <x:si>
    <x:t xml:space="preserve">INFORME 20</x:t>
  </x:si>
  <x:si>
    <x:t xml:space="preserve">INFORME 31</x:t>
  </x:si>
  <x:si>
    <x:t xml:space="preserve">EE10008</x:t>
  </x:si>
  <x:si>
    <x:t xml:space="preserve">[EE10008] CAJA MASTER TIYAPUY QUINUA GRANO # 8 X UND</x:t>
  </x:si>
  <x:si>
    <x:t xml:space="preserve">INFORME 33</x:t>
  </x:si>
  <x:si>
    <x:t xml:space="preserve">EE10137</x:t>
  </x:si>
  <x:si>
    <x:t xml:space="preserve">[EE10137] CINTA CODIFICADORA TERMOIMPRESIÓN X ROLLO  33MM X 700M</x:t>
  </x:si>
  <x:si>
    <x:t xml:space="preserve">EE10140</x:t>
  </x:si>
  <x:si>
    <x:t xml:space="preserve">[EE10140] LAMINA TIYAPUY NATIVA MIX 160GR ESPAÑA X KG</x:t>
  </x:si>
  <x:si>
    <x:t xml:space="preserve">INFORME 39</x:t>
  </x:si>
  <x:si>
    <x:t xml:space="preserve">Kilogramo</x:t>
  </x:si>
  <x:si>
    <x:t xml:space="preserve">EE10141</x:t>
  </x:si>
  <x:si>
    <x:t xml:space="preserve">[EE10141] LAMINA TIYAPUY AMARILLA 160GR ESPAÑA X KG</x:t>
  </x:si>
  <x:si>
    <x:t xml:space="preserve">INFORME 21</x:t>
  </x:si>
  <x:si>
    <x:t xml:space="preserve">EE10074</x:t>
  </x:si>
  <x:si>
    <x:t xml:space="preserve">[EE10074] CINTAS SNACK 36MM X 200 M X ROLLO</x:t>
  </x:si>
  <x:si>
    <x:t xml:space="preserve">EE10154</x:t>
  </x:si>
  <x:si>
    <x:t xml:space="preserve">[EE10154] BOLSA DE POLIETILENO ANCHO 26"x ALTO 59"x1.5 MIC ALTA NATURAL C/FUELLE 2"</x:t>
  </x:si>
  <x:si>
    <x:t xml:space="preserve">LOTE 509</x:t>
  </x:si>
  <x:si>
    <x:t xml:space="preserve">EE10056</x:t>
  </x:si>
  <x:si>
    <x:t xml:space="preserve">[EE10056] BOLSA TIYAPUY SUPERPACK 142GR X UND</x:t>
  </x:si>
  <x:si>
    <x:t xml:space="preserve">02/25</x:t>
  </x:si>
  <x:si>
    <x:t xml:space="preserve">01/25</x:t>
  </x:si>
  <x:si>
    <x:t xml:space="preserve">EE10159</x:t>
  </x:si>
  <x:si>
    <x:t xml:space="preserve">[EE10159] LAMINA RIKY TOK 155 GR PAPAS HILO X KG</x:t>
  </x:si>
  <x:si>
    <x:t xml:space="preserve">INFORME 02/25</x:t>
  </x:si>
  <x:si>
    <x:t xml:space="preserve">EE10165</x:t>
  </x:si>
  <x:si>
    <x:t xml:space="preserve">[EE10165] PALLET LIVIANA 1.2MX1M EXPORTACION</x:t>
  </x:si>
  <x:si>
    <x:t xml:space="preserve">LOTE 692</x:t>
  </x:si>
  <x:si>
    <x:t xml:space="preserve">EE10177</x:t>
  </x:si>
  <x:si>
    <x:t xml:space="preserve">[EE10177] PALLET EURO LIVIANA 0.8MX1.2M EXPORTACION</x:t>
  </x:si>
  <x:si>
    <x:t xml:space="preserve">EE10149-2</x:t>
  </x:si>
  <x:si>
    <x:t xml:space="preserve">[EE10149-2] STICKERS RIKYTOK PARA LAMINA CONG SIN IMPRESION PEBD 1KG</x:t>
  </x:si>
  <x:si>
    <x:t xml:space="preserve">EE10146</x:t>
  </x:si>
  <x:si>
    <x:t xml:space="preserve">[EE10146] LAMINA TIYAPUY AMARILLA PICANTE 142GR CONV MEXICO X KG</x:t>
  </x:si>
  <x:si>
    <x:t xml:space="preserve">EE10088-1</x:t>
  </x:si>
  <x:si>
    <x:t xml:space="preserve">[EE10088-1] LAMINA TIYAPUY NATIVA MIX 40GR ORG MEXICO X KG</x:t>
  </x:si>
  <x:si>
    <x:t xml:space="preserve">INFORME 05/25</x:t>
  </x:si>
  <x:si>
    <x:t xml:space="preserve">EE10004</x:t>
  </x:si>
  <x:si>
    <x:t xml:space="preserve">[EE10004] CAJA MASTER TIYAPUY AMAZON # 4 X UND</x:t>
  </x:si>
  <x:si>
    <x:t xml:space="preserve">LT-SF-AGR</x:t>
  </x:si>
  <x:si>
    <x:t xml:space="preserve">EE10092</x:t>
  </x:si>
  <x:si>
    <x:t xml:space="preserve">[EE10092] BOLSA LAMINADA CAFÉ UNAKA  C/FUELLE C/SELLOS 200g</x:t>
  </x:si>
  <x:si>
    <x:t xml:space="preserve">INFORME 10</x:t>
  </x:si>
  <x:si>
    <x:t xml:space="preserve">INFORME 11</x:t>
  </x:si>
  <x:si>
    <x:t xml:space="preserve">INFORME 8</x:t>
  </x:si>
  <x:si>
    <x:t xml:space="preserve">EE10158</x:t>
  </x:si>
  <x:si>
    <x:t xml:space="preserve">[EE10158] LAMINA RIKY TOK 45 GR PAPAS HILO X KG</x:t>
  </x:si>
  <x:si>
    <x:t xml:space="preserve">INFORME 04/25</x:t>
  </x:si>
  <x:si>
    <x:t xml:space="preserve">EE10181</x:t>
  </x:si>
  <x:si>
    <x:t xml:space="preserve">[EE10181] STICKERS TIYAPUY PARA LAMINA CONG SIN IMPRESION PEBD 2.5KG</x:t>
  </x:si>
  <x:si>
    <x:t xml:space="preserve">INFORME 21/25</x:t>
  </x:si>
  <x:si>
    <x:t xml:space="preserve">INFORME 06/25</x:t>
  </x:si>
  <x:si>
    <x:t xml:space="preserve">EE10121</x:t>
  </x:si>
  <x:si>
    <x:t xml:space="preserve">[EE10121] LAMINA TIYAPUY AMARILLA 142 GR CONVENCIONAL X KG</x:t>
  </x:si>
  <x:si>
    <x:t xml:space="preserve">INFORME 10/25</x:t>
  </x:si>
  <x:si>
    <x:t xml:space="preserve">EE10097</x:t>
  </x:si>
  <x:si>
    <x:t xml:space="preserve">[EE10097] PALLET EAN 1.2MX1M EXPORTACION</x:t>
  </x:si>
  <x:si>
    <x:t xml:space="preserve">INFORME 07/25</x:t>
  </x:si>
  <x:si>
    <x:t xml:space="preserve">EE10060</x:t>
  </x:si>
  <x:si>
    <x:t xml:space="preserve">[EE10060] DOYPACK PET/PEBD - TIYAPUY QUINUA ORG BLANCA 340 GR X UND</x:t>
  </x:si>
  <x:si>
    <x:t xml:space="preserve">INFORME 01/25</x:t>
  </x:si>
  <x:si>
    <x:t xml:space="preserve">EE10062</x:t>
  </x:si>
  <x:si>
    <x:t xml:space="preserve">[EE10062] DOYPACK PET/PEBD - TIYAPUY QUINUA ORG TRICOLOR 340 GR X UND</x:t>
  </x:si>
  <x:si>
    <x:t xml:space="preserve">EE10081</x:t>
  </x:si>
  <x:si>
    <x:t xml:space="preserve">[EE10081] BOLSA LAMINADA SIN TEXTOS 16 cm CAFÉ 60g</x:t>
  </x:si>
  <x:si>
    <x:t xml:space="preserve">EE10015</x:t>
  </x:si>
  <x:si>
    <x:t xml:space="preserve">[EE10015] LAMINA TIYAPUY AMARILLA 30GR CONVENCIONAL X KG</x:t>
  </x:si>
  <x:si>
    <x:t xml:space="preserve">INFORME 13/25</x:t>
  </x:si>
  <x:si>
    <x:t xml:space="preserve">INFORME 14/25</x:t>
  </x:si>
  <x:si>
    <x:t xml:space="preserve">EE10122</x:t>
  </x:si>
  <x:si>
    <x:t xml:space="preserve">[EE10122] LAMINA TIYAPUY AMARILLA PICANTE 142 GR CONVENCIONAL X KG</x:t>
  </x:si>
  <x:si>
    <x:t xml:space="preserve">EE10007</x:t>
  </x:si>
  <x:si>
    <x:t xml:space="preserve">[EE10007] CAJA MASTER TIYAPUY P/LATA + 1 SEPARADOR + 4 DIVISORES # 7 X UND</x:t>
  </x:si>
  <x:si>
    <x:t xml:space="preserve">INFORME 17/25</x:t>
  </x:si>
  <x:si>
    <x:t xml:space="preserve">EE10128</x:t>
  </x:si>
  <x:si>
    <x:t xml:space="preserve">[EE10128] LAMINA TIYAPUY C/TRAMA 120 GR LA MAR X KG</x:t>
  </x:si>
  <x:si>
    <x:t xml:space="preserve">EE10022</x:t>
  </x:si>
  <x:si>
    <x:t xml:space="preserve">[EE10022] LAMINA TIYAPUY AMARILLA PICANTE 30GR X KG</x:t>
  </x:si>
  <x:si>
    <x:t xml:space="preserve">EE10029-1</x:t>
  </x:si>
  <x:si>
    <x:t xml:space="preserve">[EE10029-1] LAMINA TIYAPUY NATIVA MIX 160GR ORG MEXICO X KG</x:t>
  </x:si>
  <x:si>
    <x:t xml:space="preserve">INFORME 15/25</x:t>
  </x:si>
  <x:si>
    <x:t xml:space="preserve">EE10098</x:t>
  </x:si>
  <x:si>
    <x:t xml:space="preserve">[EE10098] PALLET EURO 0.8MX1.2M EXPORTACION</x:t>
  </x:si>
  <x:si>
    <x:t xml:space="preserve">EE10087-1</x:t>
  </x:si>
  <x:si>
    <x:t xml:space="preserve">[EE10087-1] LAMINA TIYAPUY AMARILLA 40GR ORG MEXICO X KG</x:t>
  </x:si>
  <x:si>
    <x:t xml:space="preserve">INFORME 16/25</x:t>
  </x:si>
  <x:si>
    <x:t xml:space="preserve">EE10188</x:t>
  </x:si>
  <x:si>
    <x:t xml:space="preserve">[EE10188] LAMINA TIYAPUY JALAPEÑO 40G CNV MEXICO X KG</x:t>
  </x:si>
  <x:si>
    <x:t xml:space="preserve">INFORME 08/25</x:t>
  </x:si>
  <x:si>
    <x:t xml:space="preserve">EE10131</x:t>
  </x:si>
  <x:si>
    <x:t xml:space="preserve">[EE10131] LAMINA TIYAPUY CHIFLE 142GR X KG</x:t>
  </x:si>
  <x:si>
    <x:t xml:space="preserve">INFORME 18/25</x:t>
  </x:si>
  <x:si>
    <x:t xml:space="preserve">EE10186</x:t>
  </x:si>
  <x:si>
    <x:t xml:space="preserve">[EE10186] LAMINA TIYAPUY AMARILLA PICANTE 40G CNV X KG</x:t>
  </x:si>
  <x:si>
    <x:t xml:space="preserve">EE10187</x:t>
  </x:si>
  <x:si>
    <x:t xml:space="preserve">[EE10187] LAMINA TIYAPUY JALAPEÑO 40 GR CNV X KG</x:t>
  </x:si>
  <x:si>
    <x:t xml:space="preserve">INFORME 09/25</x:t>
  </x:si>
  <x:si>
    <x:t xml:space="preserve">EE10198</x:t>
  </x:si>
  <x:si>
    <x:t xml:space="preserve">[EE10198] LAMINA TIYAPUY NATIVA MIX 142G REPUBLICA CHECA X KG</x:t>
  </x:si>
  <x:si>
    <x:t xml:space="preserve">EE10075</x:t>
  </x:si>
  <x:si>
    <x:t xml:space="preserve">[EE10075] CINTA CODIFICADORA TERMOIMPRESIÓN X ROLLO 30MM X 1100 M</x:t>
  </x:si>
  <x:si>
    <x:t xml:space="preserve">EE10204</x:t>
  </x:si>
  <x:si>
    <x:t xml:space="preserve">[EE10204] STICKERS NUTRICIONAL PARA ARGENTINA 40G AMARILLA PICANTE</x:t>
  </x:si>
  <x:si>
    <x:t xml:space="preserve">EE10205</x:t>
  </x:si>
  <x:si>
    <x:t xml:space="preserve">[EE10205] STICKERS NUTRICIONAL PARA ARGENTINA 40G JALAPEÑO</x:t>
  </x:si>
  <x:si>
    <x:t xml:space="preserve">EE10203</x:t>
  </x:si>
  <x:si>
    <x:t xml:space="preserve">[EE10203] STICKERS NUTRICIONAL PARA ARGENTINA 40G MIX NATIVA</x:t>
  </x:si>
  <x:si>
    <x:t xml:space="preserve">EE10202</x:t>
  </x:si>
  <x:si>
    <x:t xml:space="preserve">[EE10202] STICKERS NUTRICIONAL PARA ARGENTINA 142G JALAPEÑO</x:t>
  </x:si>
  <x:si>
    <x:t xml:space="preserve">EE10196</x:t>
  </x:si>
  <x:si>
    <x:t xml:space="preserve">[EE10196] STICKERS NUTRICIONAL PARA ARGENTINA 142G MIX NATIVA</x:t>
  </x:si>
  <x:si>
    <x:t xml:space="preserve">EE10044</x:t>
  </x:si>
  <x:si>
    <x:t xml:space="preserve">[EE10044] LAMINA TIYAPUY CHIPS QUINUA BBQ 100 GR X KG</x:t>
  </x:si>
  <x:si>
    <x:t xml:space="preserve">INFORME 19/25</x:t>
  </x:si>
  <x:si>
    <x:t xml:space="preserve">EE10045</x:t>
  </x:si>
  <x:si>
    <x:t xml:space="preserve">[EE10045] LAMINA TIYAPUY CHIPS QUINUA PICANTE 100 GR X KG</x:t>
  </x:si>
  <x:si>
    <x:t xml:space="preserve">EE10153</x:t>
  </x:si>
  <x:si>
    <x:t xml:space="preserve">[EE10153] LAMINA RIKY TOK 30 GR ONDA JALAPEÑO X KG</x:t>
  </x:si>
  <x:si>
    <x:t xml:space="preserve">EE10152</x:t>
  </x:si>
  <x:si>
    <x:t xml:space="preserve">[EE10152] LAMINA RIKY TOK 30 GR ONDA BBQ X KG</x:t>
  </x:si>
  <x:si>
    <x:t xml:space="preserve">EE10106</x:t>
  </x:si>
  <x:si>
    <x:t xml:space="preserve">[EE10106] LAMINA TIYAPUY PAPAS NATIVAS CONGELADAS PEBD 1KG</x:t>
  </x:si>
  <x:si>
    <x:t xml:space="preserve">EE10049</x:t>
  </x:si>
  <x:si>
    <x:t xml:space="preserve">[EE10049] LAMINA RIKY TOK 180 GR ONDA NATURAL X KG</x:t>
  </x:si>
  <x:si>
    <x:t xml:space="preserve">EE10225</x:t>
  </x:si>
  <x:si>
    <x:t xml:space="preserve">[EE10225] STICKERS NUTRICIONAL PREFRITAS CONGELADAS 2.5 KG ESPAÑA</x:t>
  </x:si>
  <x:si>
    <x:t xml:space="preserve">INFORME 100/25</x:t>
  </x:si>
  <x:si>
    <x:t xml:space="preserve">EE10217</x:t>
  </x:si>
  <x:si>
    <x:t xml:space="preserve">[EE10217] LAMINA RIKY TOK 30 G ONDA JALAPEÑO MEXICO X KG</x:t>
  </x:si>
  <x:si>
    <x:t xml:space="preserve">EE10215</x:t>
  </x:si>
  <x:si>
    <x:t xml:space="preserve">[EE10215] LAMINA RIKY TOK 30 G ONDA PICANTE MEXICO X KG</x:t>
  </x:si>
  <x:si>
    <x:t xml:space="preserve">EE10105</x:t>
  </x:si>
  <x:si>
    <x:t xml:space="preserve">[EE10105] LAMINA TIYAPUY PAPAS NATIVAS CONGELADAS PEBD 2.5KG</x:t>
  </x:si>
  <x:si>
    <x:t xml:space="preserve">EE10222</x:t>
  </x:si>
  <x:si>
    <x:t xml:space="preserve">[EE10222] LAMINA BITZ ONDA JALAPEÑO 200G X KG</x:t>
  </x:si>
  <x:si>
    <x:t xml:space="preserve">EE10183</x:t>
  </x:si>
  <x:si>
    <x:t xml:space="preserve">[EE10183] LAMINA BITZ ONDA PICANTE 200G X KG</x:t>
  </x:si>
  <x:si>
    <x:t xml:space="preserve">INFORME 03/25</x:t>
  </x:si>
  <x:si>
    <x:t xml:space="preserve">EE10139</x:t>
  </x:si>
  <x:si>
    <x:t xml:space="preserve">[EE10139] LAMINA TIYAPUY JALAPEÑO 142GR CONVENCIONAL X KG</x:t>
  </x:si>
  <x:si>
    <x:t xml:space="preserve">INFORME 11/25</x:t>
  </x:si>
  <x:si>
    <x:t xml:space="preserve">MP10055</x:t>
  </x:si>
  <x:si>
    <x:t xml:space="preserve">[MP10055] SABOR JAPPY PICANTE SP-P95283-28 CRAMER X KG</x:t>
  </x:si>
  <x:si>
    <x:t xml:space="preserve">INFORME 24/25</x:t>
  </x:si>
  <x:si>
    <x:t xml:space="preserve">EE10150</x:t>
  </x:si>
  <x:si>
    <x:t xml:space="preserve">[EE10150] DOYPACK NEGRO MATE CAFÉ 1 KG X UND</x:t>
  </x:si>
  <x:si>
    <x:t xml:space="preserve">EE10138</x:t>
  </x:si>
  <x:si>
    <x:t xml:space="preserve">[EE10138] LAMINA TIYAPUY LIMON PIMIENTA 142GR CONVENCIONAL X KG</x:t>
  </x:si>
  <x:si>
    <x:t xml:space="preserve">INFORME 05/25.</x:t>
  </x:si>
  <x:si>
    <x:t xml:space="preserve">EE10136</x:t>
  </x:si>
  <x:si>
    <x:t xml:space="preserve">[EE10136] LAMINA TIYAPUY TIYAMIX 200GR X KG</x:t>
  </x:si>
  <x:si>
    <x:t xml:space="preserve">EE10116</x:t>
  </x:si>
  <x:si>
    <x:t xml:space="preserve">[EE10116] LAMINA TIYAPUY LIMÓN Y PIMIENTA 30GR X KG</x:t>
  </x:si>
  <x:si>
    <x:t xml:space="preserve">EE10124</x:t>
  </x:si>
  <x:si>
    <x:t xml:space="preserve">[EE10124] LAMINA TIYAPUY CAMOTE 142GR X KG</x:t>
  </x:si>
  <x:si>
    <x:t xml:space="preserve">EE10214</x:t>
  </x:si>
  <x:si>
    <x:t xml:space="preserve">[EE10214] LAMINA RIKY TOK 30 G ONDA NATURAL MEXICO X KG</x:t>
  </x:si>
  <x:si>
    <x:t xml:space="preserve">EE10149</x:t>
  </x:si>
  <x:si>
    <x:t xml:space="preserve">[EE10149] LAMINA RIKYTOK SIN IMPRESION PAPAS CONG PEBD 2.5KG</x:t>
  </x:si>
  <x:si>
    <x:t xml:space="preserve">EE10099</x:t>
  </x:si>
  <x:si>
    <x:t xml:space="preserve">[EE10099] ESQUINERO KRAFT 2300MMX50MMX4.5MM</x:t>
  </x:si>
  <x:si>
    <x:t xml:space="preserve">EE10127</x:t>
  </x:si>
  <x:si>
    <x:t xml:space="preserve">[EE10127] LAMINA TIYAPUY P/LATA CON TRAMA X KG</x:t>
  </x:si>
  <x:si>
    <x:t xml:space="preserve">EE10184</x:t>
  </x:si>
  <x:si>
    <x:t xml:space="preserve">[EE10184] LAMINA JAPPY CLASICAS 200G X KG</x:t>
  </x:si>
  <x:si>
    <x:t xml:space="preserve">EE10043</x:t>
  </x:si>
  <x:si>
    <x:t xml:space="preserve">[EE10043] LAMINA TIYAPUY CHIPS QUINUA BBQ 40 GR X KG</x:t>
  </x:si>
  <x:si>
    <x:t xml:space="preserve">EE10040</x:t>
  </x:si>
  <x:si>
    <x:t xml:space="preserve">[EE10040] LAMINA TIYAPUY CHIPS QUINUA NATURAL 40 GR X KG</x:t>
  </x:si>
  <x:si>
    <x:t xml:space="preserve">EE10149-1</x:t>
  </x:si>
  <x:si>
    <x:t xml:space="preserve">[EE10149-1] STICKERS RIKYTOK PARA LAMINA CONG SIN IMPRESION PEBD 2.5KG</x:t>
  </x:si>
  <x:si>
    <x:t xml:space="preserve">INFORME 20/25</x:t>
  </x:si>
  <x:si>
    <x:t xml:space="preserve">EE10223</x:t>
  </x:si>
  <x:si>
    <x:t xml:space="preserve">[EE10223] LAMINA TIYAPUY NATIVA MIX AJÍ AMARILLO 142G X KG</x:t>
  </x:si>
  <x:si>
    <x:t xml:space="preserve">EE10117</x:t>
  </x:si>
  <x:si>
    <x:t xml:space="preserve">[EE10117] LAMINA TIYAPUY JALAPEÑO 30GR X KG</x:t>
  </x:si>
  <x:si>
    <x:t xml:space="preserve">EE10224</x:t>
  </x:si>
  <x:si>
    <x:t xml:space="preserve">[EE10224] STICKERS NUTRICIONAL PREFRITAS CONGELADAS 1 KG ESPAÑA</x:t>
  </x:si>
  <x:si>
    <x:t xml:space="preserve">INFORME 99/25</x:t>
  </x:si>
  <x:si>
    <x:t xml:space="preserve">EE10242</x:t>
  </x:si>
  <x:si>
    <x:t xml:space="preserve">[EE10242] STICKERS NUTRICIONAL PARA ARGENTINA 142G LIMÓN Y PIMIENTA</x:t>
  </x:si>
  <x:si>
    <x:t xml:space="preserve">INFORME 116/25</x:t>
  </x:si>
  <x:si>
    <x:t xml:space="preserve">EE10197</x:t>
  </x:si>
  <x:si>
    <x:t xml:space="preserve">[EE10197] STICKERS OCTOGONOS PARA ARGENTINA 142G</x:t>
  </x:si>
  <x:si>
    <x:t xml:space="preserve">INFORME 117/25</x:t>
  </x:si>
  <x:si>
    <x:t xml:space="preserve">EE10145</x:t>
  </x:si>
  <x:si>
    <x:t xml:space="preserve">[EE10145] LAMINA TIYAPUY LIMON PIMIENTA 142GR ORG. MEXICO X KG</x:t>
  </x:si>
  <x:si>
    <x:t xml:space="preserve">MP10018</x:t>
  </x:si>
  <x:si>
    <x:t xml:space="preserve">[MP10018] SAL YODADA X KG</x:t>
  </x:si>
  <x:si>
    <x:t xml:space="preserve">EE10245</x:t>
  </x:si>
  <x:si>
    <x:t xml:space="preserve">[EE10245] STICKER RIPLEY PROMOCIÓN PRECIO P/TUBOS NATIVA MIX 100G</x:t>
  </x:si>
  <x:si>
    <x:t xml:space="preserve">INFORME 119/25</x:t>
  </x:si>
  <x:si>
    <x:t xml:space="preserve">EE10006</x:t>
  </x:si>
  <x:si>
    <x:t xml:space="preserve">[EE10006] CAJA MASTER TIYAPUY P/TUBO # 6 X UND</x:t>
  </x:si>
  <x:si>
    <x:t xml:space="preserve">INFORME 42</x:t>
  </x:si>
  <x:si>
    <x:t xml:space="preserve">EE10161</x:t>
  </x:si>
  <x:si>
    <x:t xml:space="preserve">[EE10161] BOLSA TIYAPUY SUPERPACK 160GR X UND</x:t>
  </x:si>
  <x:si>
    <x:t xml:space="preserve">Millar</x:t>
  </x:si>
  <x:si>
    <x:t xml:space="preserve">EE10053</x:t>
  </x:si>
  <x:si>
    <x:t xml:space="preserve">[EE10053] LAMINA RIKY TOK 45GR BASTONCITOS QUESO CHEDDAR X KG</x:t>
  </x:si>
  <x:si>
    <x:t xml:space="preserve">MP10048</x:t>
  </x:si>
  <x:si>
    <x:t xml:space="preserve">[MP10048] SABOR RIKY TOK BBQ ML NATURAL P-1623 GLM X KG</x:t>
  </x:si>
  <x:si>
    <x:t xml:space="preserve">EE10077</x:t>
  </x:si>
  <x:si>
    <x:t xml:space="preserve">[EE10077] CINTA C/IMPRESIÓN DUO PACK 1" X 110 YD X ROLLO</x:t>
  </x:si>
  <x:si>
    <x:t xml:space="preserve">EE10239</x:t>
  </x:si>
  <x:si>
    <x:t xml:space="preserve">[EE10239] ETIQUETA LAMAR 120 GRAMOS (NATIVA MIX) USA</x:t>
  </x:si>
  <x:si>
    <x:t xml:space="preserve">INFORME 114/25</x:t>
  </x:si>
  <x:si>
    <x:t xml:space="preserve">EE10227</x:t>
  </x:si>
  <x:si>
    <x:t xml:space="preserve">[EE10227] ETIQUETA CELESTE CAJA (PREFRITA 10 mm) TT-50MMx100MM 1C-T1x1000</x:t>
  </x:si>
  <x:si>
    <x:t xml:space="preserve">INFORME 01</x:t>
  </x:si>
  <x:si>
    <x:t xml:space="preserve">EE10228</x:t>
  </x:si>
  <x:si>
    <x:t xml:space="preserve">[EE10228] LAMINA RIKY TOK 70 G ONDA NATURAL X KG</x:t>
  </x:si>
  <x:si>
    <x:t xml:space="preserve">EE10231</x:t>
  </x:si>
  <x:si>
    <x:t xml:space="preserve">[EE10231] LAMINA RIKY TOK 70 G ONDA JALAPEÑO X KG</x:t>
  </x:si>
  <x:si>
    <x:t xml:space="preserve">EE10248</x:t>
  </x:si>
  <x:si>
    <x:t xml:space="preserve">[EE10248] PAPEL ABSORBENTE PARA LATA 400g</x:t>
  </x:si>
  <x:si>
    <x:t xml:space="preserve">EE10232</x:t>
  </x:si>
  <x:si>
    <x:t xml:space="preserve">[EE10232] LAMINA TIYAPUY NATIVA MIX 20G X KG</x:t>
  </x:si>
  <x:si>
    <x:t xml:space="preserve">EE10185</x:t>
  </x:si>
  <x:si>
    <x:t xml:space="preserve">[EE10185] LAMINA JAPPY ONDA PICANTE 200G X KG</x:t>
  </x:si>
  <x:si>
    <x:t xml:space="preserve">EE10166</x:t>
  </x:si>
  <x:si>
    <x:t xml:space="preserve">[EE10166] LAMINA TIYAPUY NATIVA MIX 40G ESPAÑA X KG</x:t>
  </x:si>
  <x:si>
    <x:t xml:space="preserve">INFORME 25/25</x:t>
  </x:si>
  <x:si>
    <x:t xml:space="preserve">EE10096</x:t>
  </x:si>
  <x:si>
    <x:t xml:space="preserve">[EE10096] CAJA MASTER C/LOGO # 12 CONGELADOS 25X38.5X26</x:t>
  </x:si>
  <x:si>
    <x:t xml:space="preserve">EE10212</x:t>
  </x:si>
  <x:si>
    <x:t xml:space="preserve">[EE10212] LAMINA TOTTUS  BBQ 130G X KG</x:t>
  </x:si>
  <x:si>
    <x:t xml:space="preserve">INFORME 01/26</x:t>
  </x:si>
  <x:si>
    <x:t xml:space="preserve">EE10057</x:t>
  </x:si>
  <x:si>
    <x:t xml:space="preserve">[EE10057] BOLSA TIYAPUY PACK LONCHERA X UND</x:t>
  </x:si>
  <x:si>
    <x:t xml:space="preserve">INFORME  01/26</x:t>
  </x:si>
  <x:si>
    <x:t xml:space="preserve">EE10160</x:t>
  </x:si>
  <x:si>
    <x:t xml:space="preserve">[EE10160] CAJA MASTER RIKY TOK S/LOGO # 9 X UND</x:t>
  </x:si>
  <x:si>
    <x:t xml:space="preserve">EE10255</x:t>
  </x:si>
  <x:si>
    <x:t xml:space="preserve">[EE10255] ETIQUETA TEXTOS LEGALES LIMON PIMIENTA 142g USA</x:t>
  </x:si>
  <x:si>
    <x:t xml:space="preserve">EE10254</x:t>
  </x:si>
  <x:si>
    <x:t xml:space="preserve">[EE10254] ETIQUETA TEXTOS LEGALES JALAPEÑO 142g USA</x:t>
  </x:si>
  <x:si>
    <x:t xml:space="preserve">EE10156</x:t>
  </x:si>
  <x:si>
    <x:t xml:space="preserve">[EE10156] LAMINA JAPPY 200 GR ONDA JALAPEÑO X KG</x:t>
  </x:si>
  <x:si>
    <x:t xml:space="preserve">INFORME 02/26</x:t>
  </x:si>
  <x:si>
    <x:t xml:space="preserve">EE10093</x:t>
  </x:si>
  <x:si>
    <x:t xml:space="preserve">[EE10093] ETIQUETA TEXTOS LEGALES PAPAS NATIVAS 142g USA</x:t>
  </x:si>
  <x:si>
    <x:t xml:space="preserve">EE10256</x:t>
  </x:si>
  <x:si>
    <x:t xml:space="preserve">[EE10256] ETIQUETA TEXTOS LEGALES CAMOTE 142g USA</x:t>
  </x:si>
  <x:si>
    <x:t xml:space="preserve">INFORM 04/25</x:t>
  </x:si>
  <x:si>
    <x:t xml:space="preserve">EE10253</x:t>
  </x:si>
  <x:si>
    <x:t xml:space="preserve">[EE10253] ETIQUETA TEXTOS LEGALES PFT 2500g CH</x:t>
  </x:si>
  <x:si>
    <x:t xml:space="preserve">EE10229</x:t>
  </x:si>
  <x:si>
    <x:t xml:space="preserve">[EE10229] LAMINA RIKY TOK 70 G ONDA PICANTE X KG</x:t>
  </x:si>
  <x:si>
    <x:t xml:space="preserve">EE10142</x:t>
  </x:si>
  <x:si>
    <x:t xml:space="preserve">[EE10142] LAMINA TIYAPUY CHIPS QUINUA BBQ 100GR MEXICO X KG</x:t>
  </x:si>
  <x:si>
    <x:t xml:space="preserve">EE10050</x:t>
  </x:si>
  <x:si>
    <x:t xml:space="preserve">[EE10050] LAMINA RIKY TOK 180 GR ONDA PICANTE X KG</x:t>
  </x:si>
  <x:si>
    <x:t xml:space="preserve">EE10171</x:t>
  </x:si>
  <x:si>
    <x:t xml:space="preserve">[EE10171] LAMINA TIYAPUY CAMOTE 160G ESPAÑA X KG</x:t>
  </x:si>
  <x:si>
    <x:t xml:space="preserve">EE10249</x:t>
  </x:si>
  <x:si>
    <x:t xml:space="preserve">[EE10249] CINTA DE EMBALAJE TRANSPARENTE 48MMX548M X ROLLO</x:t>
  </x:si>
  <x:si>
    <x:t xml:space="preserve">INFORME 03/26</x:t>
  </x:si>
  <x:si>
    <x:t xml:space="preserve">EE10250</x:t>
  </x:si>
  <x:si>
    <x:t xml:space="preserve">[EE10250] CINTA DE EMBALAJE TRANSPARENTE 48MMX1000M X ROLLO</x:t>
  </x:si>
  <x:si>
    <x:t xml:space="preserve">INFORME 04/26</x:t>
  </x:si>
  <x:si>
    <x:t xml:space="preserve">EE10211</x:t>
  </x:si>
  <x:si>
    <x:t xml:space="preserve">[EE10211] LAMINA TOTTUS  JALAPEÑO 130G X KG</x:t>
  </x:si>
  <x:si>
    <x:t xml:space="preserve">EE10209</x:t>
  </x:si>
  <x:si>
    <x:t xml:space="preserve">[EE10209] LAMINA TOTTUS  NATURAL 130G X KG</x:t>
  </x:si>
  <x:si>
    <x:t xml:space="preserve">EE10199</x:t>
  </x:si>
  <x:si>
    <x:t xml:space="preserve">[EE10199] ETIQUETA TEXTOS LEGALES TIYATUBO ESPAÑA</x:t>
  </x:si>
  <x:si>
    <x:t xml:space="preserve">INFORME 05/26</x:t>
  </x:si>
  <x:si>
    <x:t xml:space="preserve">EE10201</x:t>
  </x:si>
  <x:si>
    <x:t xml:space="preserve">[EE10201] STICKERS NUTRICIONAL PARA ARGENTINA 142G AMARILLA PICANTE</x:t>
  </x:si>
  <x:si>
    <x:t xml:space="preserve">AS2603</x:t>
  </x:si>
  <x:si>
    <x:t xml:space="preserve">EE10260</x:t>
  </x:si>
  <x:si>
    <x:t xml:space="preserve">[EE10260] PAPEL ABSORVENTE TUBOS 100g</x:t>
  </x:si>
  <x:si>
    <x:t xml:space="preserve">EE10047</x:t>
  </x:si>
  <x:si>
    <x:t xml:space="preserve">[EE10047] LAMINA RIKY TOK 30 GR ONDA PICANTE X KG</x:t>
  </x:si>
  <x:si>
    <x:t xml:space="preserve">EE10265</x:t>
  </x:si>
  <x:si>
    <x:t xml:space="preserve">[EE10265] STRECH FILM PRE-ESTIRADO 18 PULGADAS</x:t>
  </x:si>
  <x:si>
    <x:t xml:space="preserve">EE10058</x:t>
  </x:si>
  <x:si>
    <x:t xml:space="preserve">[EE10058] DOYPACK NEGRO MATE 86 PUNTOS CAFÉ 250 GR ORG X UND</x:t>
  </x:si>
  <x:si>
    <x:t xml:space="preserve">EE10262</x:t>
  </x:si>
  <x:si>
    <x:t xml:space="preserve">[EE10262] STICKERS NUTRICIONAL COLOMBIA 142g MIX NATIVA</x:t>
  </x:si>
  <x:si>
    <x:t xml:space="preserve">INFORME 09/26</x:t>
  </x:si>
  <x:si>
    <x:t xml:space="preserve">EE10263</x:t>
  </x:si>
  <x:si>
    <x:t xml:space="preserve">[EE10263] STICKERS NUTRICIONAL COLOMBIA 142g JALAPEÑO</x:t>
  </x:si>
  <x:si>
    <x:t xml:space="preserve">EE10264</x:t>
  </x:si>
  <x:si>
    <x:t xml:space="preserve">[EE10264] STICKERS NUTRICIONAL COLOMBIA 142g LIMON PIMIENTA</x:t>
  </x:si>
  <x:si>
    <x:t xml:space="preserve">INFORME 08/26</x:t>
  </x:si>
  <x:si>
    <x:t xml:space="preserve">EE10021-1</x:t>
  </x:si>
  <x:si>
    <x:t xml:space="preserve">[EE10021-1] LAMINA TIYAPUY AMARILLA 160GR ORG MEXICO X KG</x:t>
  </x:si>
  <x:si>
    <x:t xml:space="preserve">EE10041</x:t>
  </x:si>
  <x:si>
    <x:t xml:space="preserve">[EE10041] LAMINA TIYAPUY CHIPS QUINUA NATURAL 100 GR X KG</x:t>
  </x:si>
  <x:si>
    <x:t xml:space="preserve">EE10235</x:t>
  </x:si>
  <x:si>
    <x:t xml:space="preserve">[EE10235] LAMINA RIKY TOK 135 G ONDA NATURAL X KG</x:t>
  </x:si>
  <x:si>
    <x:t xml:space="preserve">EE10238</x:t>
  </x:si>
  <x:si>
    <x:t xml:space="preserve">[EE10238] LAMINA RIKY TOK 135 G ONDA JALAPEÑO X KG</x:t>
  </x:si>
  <x:si>
    <x:t xml:space="preserve">EE10236</x:t>
  </x:si>
  <x:si>
    <x:t xml:space="preserve">[EE10236] LAMINA RIKY TOK 135 G ONDA PICANTE X KG</x:t>
  </x:si>
  <x:si>
    <x:t xml:space="preserve">INFORME 12</x:t>
  </x:si>
  <x:si>
    <x:t xml:space="preserve">EE10032</x:t>
  </x:si>
  <x:si>
    <x:t xml:space="preserve">[EE10032] LAMINA TIYAPUY CHIFLES 30 GR X KG</x:t>
  </x:si>
  <x:si>
    <x:t xml:space="preserve">EE10035</x:t>
  </x:si>
  <x:si>
    <x:t xml:space="preserve">[EE10035] LAMINA TIYAPUY CAMOTE 30 GR X KG</x:t>
  </x:si>
  <x:si>
    <x:t xml:space="preserve">MP10019-1</x:t>
  </x:si>
  <x:si>
    <x:t xml:space="preserve">[MP10019-1] SABOR TIYAPUY AJI AMARILLO MX SP A60948-28 CRAMER X KG</x:t>
  </x:si>
  <x:si>
    <x:t xml:space="preserve">EE10282</x:t>
  </x:si>
  <x:si>
    <x:t xml:space="preserve">[EE10282] STICKERS NUTRICIONAL BRASIL 142g LIMON PIMIENTA</x:t>
  </x:si>
  <x:si>
    <x:t xml:space="preserve">EE10284</x:t>
  </x:si>
  <x:si>
    <x:t xml:space="preserve">[EE10284] STICKERS NUTRICIONAL BRASIL 142g CAMOTE</x:t>
  </x:si>
  <x:si>
    <x:t xml:space="preserve">EE10283</x:t>
  </x:si>
  <x:si>
    <x:t xml:space="preserve">[EE10283] STICKERS NUTRICIONAL BRASIL 142g NATIVA PICANTE</x:t>
  </x:si>
  <x:si>
    <x:t xml:space="preserve">EE10280</x:t>
  </x:si>
  <x:si>
    <x:t xml:space="preserve">[EE10280] STICKERS NUTRICIONAL BRASIL 142g MIX NATIVA</x:t>
  </x:si>
  <x:si>
    <x:t xml:space="preserve">INFORME 07/26</x:t>
  </x:si>
  <x:si>
    <x:t xml:space="preserve">MP10044</x:t>
  </x:si>
  <x:si>
    <x:t xml:space="preserve">[MP10044] SABOR TIYAPUY PIMIENTA LIMÓN NAT SP P49514-28 CRAMER X KG</x:t>
  </x:si>
  <x:si>
    <x:t xml:space="preserve">MP10020</x:t>
  </x:si>
  <x:si>
    <x:t xml:space="preserve">[MP10020] SABOR TIYAPUY BBQ B48620-26 CRAMER X KG</x:t>
  </x:si>
  <x:si>
    <x:t xml:space="preserve">EE10300</x:t>
  </x:si>
  <x:si>
    <x:t xml:space="preserve">[EE10300] LAMINA RIKY TOK 25 G JALAPEÑO X KG</x:t>
  </x:si>
  <x:si>
    <x:t xml:space="preserve">EE10297</x:t>
  </x:si>
  <x:si>
    <x:t xml:space="preserve">[EE10297] LAMINA RIKY TOK 25 G NATURAL X KG</x:t>
  </x:si>
  <x:si>
    <x:t xml:space="preserve">EE10299</x:t>
  </x:si>
  <x:si>
    <x:t xml:space="preserve">[EE10299] LAMINA RIKY TOK 25 G BBQ X KG</x:t>
  </x:si>
  <x:si>
    <x:t xml:space="preserve">EE10058-1</x:t>
  </x:si>
  <x:si>
    <x:t xml:space="preserve">[EE10058-1] ENVASE FIBRA MIX NATIVA 73x220mm TUBO 100g + TAPAS (metal + plástico)</x:t>
  </x:si>
  <x:si>
    <x:t xml:space="preserve">EE10213</x:t>
  </x:si>
  <x:si>
    <x:t xml:space="preserve">[EE10213] CAJA MASTER TIYAPUY S/LOGO # 15 X UND</x:t>
  </x:si>
  <x:si>
    <x:t xml:space="preserve">EE10302</x:t>
  </x:si>
  <x:si>
    <x:t xml:space="preserve">[EE10302] ETIQUETA TEXTOS LEGALES MIX NATIVA 40g USA</x:t>
  </x:si>
  <x:si>
    <x:t xml:space="preserve">MP10002</x:t>
  </x:si>
  <x:si>
    <x:t xml:space="preserve">[MP10002] PAPA NATIVA MIX CONVENCIONAL X KG</x:t>
  </x:si>
  <x:si>
    <x:t xml:space="preserve">INFORME 107/26</x:t>
  </x:si>
  <x:si>
    <x:t xml:space="preserve">INFORME 111/26</x:t>
  </x:si>
  <x:si>
    <x:t xml:space="preserve">INFORME 112/26</x:t>
  </x:si>
  <x:si>
    <x:t xml:space="preserve">INFORME 116/26</x:t>
  </x:si>
  <x:si>
    <x:t xml:space="preserve">INFORME 118/26</x:t>
  </x:si>
  <x:si>
    <x:t xml:space="preserve">MP10062</x:t>
  </x:si>
  <x:si>
    <x:t xml:space="preserve">[MP10062] SABOR JALAPEÑO II SP J9441328 CRAMER  X KG</x:t>
  </x:si>
  <x:si>
    <x:t xml:space="preserve">EE10251</x:t>
  </x:si>
  <x:si>
    <x:t xml:space="preserve">[EE10251] ETIQUETA TEXTOS LEGALES PAPAS NATIVAS AJI AMARILLO 142g USA</x:t>
  </x:si>
  <x:si>
    <x:t xml:space="preserve">EE10304</x:t>
  </x:si>
  <x:si>
    <x:t xml:space="preserve">[EE10304] ETIQUETA TEXTOS LEGALES CHIFLE 142g USA</x:t>
  </x:si>
  <x:si>
    <x:t xml:space="preserve">INFORME 102/26</x:t>
  </x:si>
  <x:si>
    <x:t xml:space="preserve">EE10200</x:t>
  </x:si>
  <x:si>
    <x:t xml:space="preserve">[EE10200] ETIQUETA AMARILLA CAJA (ALTURA) TT-50MMx100MM 1C-T1x1000</x:t>
  </x:si>
  <x:si>
    <x:t xml:space="preserve">EE10012</x:t>
  </x:si>
  <x:si>
    <x:t xml:space="preserve">[EE10012] ENVASE TIYAPUY LATA + TAPA 400 GR X UND</x:t>
  </x:si>
  <x:si>
    <x:t xml:space="preserve">INFORME 56/26</x:t>
  </x:si>
  <x:si>
    <x:t xml:space="preserve">EE10287</x:t>
  </x:si>
  <x:si>
    <x:t xml:space="preserve">[EE10287] STICKERS NUTRICIONAL BRASIL 40g MIX NATIVA</x:t>
  </x:si>
  <x:si>
    <x:t xml:space="preserve">EE10281</x:t>
  </x:si>
  <x:si>
    <x:t xml:space="preserve">[EE10281] STICKERS NUTRICIONAL BRASIL 142g JALAPEÑO</x:t>
  </x:si>
  <x:si>
    <x:t xml:space="preserve">EE10285</x:t>
  </x:si>
  <x:si>
    <x:t xml:space="preserve">[EE10285] STICKERS NUTRICIONAL BRASIL 142g PLATANO</x:t>
  </x:si>
  <x:si>
    <x:t xml:space="preserve">EE10286</x:t>
  </x:si>
  <x:si>
    <x:t xml:space="preserve">[EE10286] STICKERS NUTRICIONAL BRASIL 100g QUINUA NATURAL</x:t>
  </x:si>
  <x:si>
    <x:t xml:space="preserve">EE10303</x:t>
  </x:si>
  <x:si>
    <x:t xml:space="preserve">[EE10303] ETIQUETA TEXTOS LEGALES QUINUA PICANTE 100g USA</x:t>
  </x:si>
  <x:si>
    <x:t xml:space="preserve">EE10290</x:t>
  </x:si>
  <x:si>
    <x:t xml:space="preserve">[EE10290] STICKERS NUTRICIONAL BRASIL 100g QUINUA BBQ</x:t>
  </x:si>
  <x:si>
    <x:t xml:space="preserve">EE10036</x:t>
  </x:si>
  <x:si>
    <x:t xml:space="preserve">[EE10036] LAMINA TIYAPUY CAMOTE 40 GR X KG</x:t>
  </x:si>
  <x:si>
    <x:t xml:space="preserve">MP10036</x:t>
  </x:si>
  <x:si>
    <x:t xml:space="preserve">[MP10036] SABOR TIYAPUY JALAPEÑO MX SP J06708-28 X KG</x:t>
  </x:si>
  <x:si>
    <x:t xml:space="preserve">INFORME 123/26</x:t>
  </x:si>
  <x:si>
    <x:t xml:space="preserve">INFORME 131/26</x:t>
  </x:si>
  <x:si>
    <x:t xml:space="preserve">INFORME 140/26</x:t>
  </x:si>
  <x:si>
    <x:t xml:space="preserve">INFORME 141/26</x:t>
  </x:si>
  <x:si>
    <x:t xml:space="preserve">INFORME 147/26</x:t>
  </x:si>
  <x:si>
    <x:t xml:space="preserve">MP10030</x:t>
  </x:si>
  <x:si>
    <x:t xml:space="preserve">[MP10030] ALMIDÓN DE MAIZ X KG</x:t>
  </x:si>
  <x:si>
    <x:t xml:space="preserve">INFORME 148/26</x:t>
  </x:si>
  <x:si>
    <x:t xml:space="preserve">INFORME 152/26</x:t>
  </x:si>
  <x:si>
    <x:t xml:space="preserve">INFORME 156/26</x:t>
  </x:si>
  <x:si>
    <x:t xml:space="preserve">INFORME 157/26</x:t>
  </x:si>
  <x:si>
    <x:t xml:space="preserve">EE10278</x:t>
  </x:si>
  <x:si>
    <x:t xml:space="preserve">[EE10278] DIVISORES DE CAJA LATAS 400g</x:t>
  </x:si>
  <x:si>
    <x:t xml:space="preserve">MP10027</x:t>
  </x:si>
  <x:si>
    <x:t xml:space="preserve">[MP10027] HARINA DE QUINUA CONVECIONAL X KG</x:t>
  </x:si>
  <x:si>
    <x:t xml:space="preserve">INFORME 162/26</x:t>
  </x:si>
  <x:si>
    <x:t xml:space="preserve">INFORME 161/26</x:t>
  </x:si>
  <x:si>
    <x:t xml:space="preserve">INFORME 160/26</x:t>
  </x:si>
  <x:si>
    <x:t xml:space="preserve">EE10103</x:t>
  </x:si>
  <x:si>
    <x:t xml:space="preserve">[EE10103] LAMINA TIYAPUY NATIVA MIX 40GR CONV X KG</x:t>
  </x:si>
  <x:si>
    <x:t xml:space="preserve">INFORME 165/26</x:t>
  </x:si>
  <x:si>
    <x:t xml:space="preserve">INFORME 164/26</x:t>
  </x:si>
  <x:si>
    <x:t xml:space="preserve">EE10033</x:t>
  </x:si>
  <x:si>
    <x:t xml:space="preserve">[EE10033] LAMINA TIYAPUY CHIFLES 40 GR X KG</x:t>
  </x:si>
  <x:si>
    <x:t xml:space="preserve">EE10030</x:t>
  </x:si>
  <x:si>
    <x:t xml:space="preserve">[EE10030] LAMINA TIYAPUY NATIVA MIX 142GR CONVENCIONAL BOLIVIA X KG</x:t>
  </x:si>
  <x:si>
    <x:t xml:space="preserve">INFORME 03/26.</x:t>
  </x:si>
  <x:si>
    <x:t xml:space="preserve">EE10277</x:t>
  </x:si>
  <x:si>
    <x:t xml:space="preserve">[EE10277] LAMINA MIX NATIVA 30g ALTA BARRERA X KG</x:t>
  </x:si>
  <x:si>
    <x:t xml:space="preserve">INFORME 52/26</x:t>
  </x:si>
  <x:si>
    <x:t xml:space="preserve">INFORME 105/26</x:t>
  </x:si>
  <x:si>
    <x:t xml:space="preserve">INFORME 11/25.</x:t>
  </x:si>
  <x:si>
    <x:t xml:space="preserve">JALAVISTAS</x:t>
  </x:si>
  <x:si>
    <x:t xml:space="preserve">LA-01/26</x:t>
  </x:si>
  <x:si>
    <x:t xml:space="preserve">LA-02/26</x:t>
  </x:si>
  <x:si>
    <x:t xml:space="preserve">LA-03/26</x:t>
  </x:si>
  <x:si>
    <x:t xml:space="preserve">LA-04/26</x:t>
  </x:si>
  <x:si>
    <x:t xml:space="preserve">LA 04/26</x:t>
  </x:si>
  <x:si>
    <x:t xml:space="preserve">LA-05/26</x:t>
  </x:si>
  <x:si>
    <x:t xml:space="preserve">LA-06/26</x:t>
  </x:si>
  <x:si>
    <x:t xml:space="preserve">HA-01/26</x:t>
  </x:si>
  <x:si>
    <x:t xml:space="preserve">MP10017</x:t>
  </x:si>
  <x:si>
    <x:t xml:space="preserve">[MP10017] SAL DE MARAS X KG</x:t>
  </x:si>
  <x:si>
    <x:t xml:space="preserve">SM-06/26</x:t>
  </x:si>
  <x:si>
    <x:t xml:space="preserve">AM-01/26</x:t>
  </x:si>
  <x:si>
    <x:t xml:space="preserve">MP10031</x:t>
  </x:si>
  <x:si>
    <x:t xml:space="preserve">[MP10031] ALMIDÓN DE PAPA X KG</x:t>
  </x:si>
  <x:si>
    <x:t xml:space="preserve">AM-02/26</x:t>
  </x:si>
  <x:si>
    <x:t xml:space="preserve">SB-04/26</x:t>
  </x:si>
  <x:si>
    <x:t xml:space="preserve">SB-03/26</x:t>
  </x:si>
  <x:si>
    <x:t xml:space="preserve">SB-02/26</x:t>
  </x:si>
  <x:si>
    <x:t xml:space="preserve">MP10021</x:t>
  </x:si>
  <x:si>
    <x:t xml:space="preserve">[MP10021] SABOR RIKY TOK PICANTE SP-P73900-26 CRAMER X KG</x:t>
  </x:si>
  <x:si>
    <x:t xml:space="preserve">SB-01/26</x:t>
  </x:si>
  <x:si>
    <x:t xml:space="preserve">MP10013</x:t>
  </x:si>
  <x:si>
    <x:t xml:space="preserve">[MP10013] ACEITE DE GIRASOL ALTO OLEICO X LT</x:t>
  </x:si>
  <x:si>
    <x:t xml:space="preserve">AO-13/26</x:t>
  </x:si>
  <x:si>
    <x:t xml:space="preserve">L</x:t>
  </x:si>
  <x:si>
    <x:t xml:space="preserve">EE10144</x:t>
  </x:si>
  <x:si>
    <x:t xml:space="preserve">[EE10144] LAMINA TIYAPUY JALAPEÑO 142GR ORG. MEXICO X KG</x:t>
  </x:si>
  <x:si>
    <x:t xml:space="preserve">LA-02/26.</x:t>
  </x:si>
  <x:si>
    <x:t xml:space="preserve">MP10015</x:t>
  </x:si>
  <x:si>
    <x:t xml:space="preserve">[MP10015] ACEITE OLEINA DE PALMA X LT (BIN)</x:t>
  </x:si>
  <x:si>
    <x:t xml:space="preserve">OP-43/26.</x:t>
  </x:si>
  <x:si>
    <x:t xml:space="preserve">EE10298</x:t>
  </x:si>
  <x:si>
    <x:t xml:space="preserve">[EE10298] LAMINA RIKY TOK 25 G PICANTE X KG</x:t>
  </x:si>
  <x:si>
    <x:t xml:space="preserve">INFORME 187/26</x:t>
  </x:si>
  <x:si>
    <x:t xml:space="preserve">INFORME 177/26</x:t>
  </x:si>
  <x:si>
    <x:t xml:space="preserve">INFORME 179/26</x:t>
  </x:si>
  <x:si>
    <x:t xml:space="preserve">INFORME 184/26</x:t>
  </x:si>
  <x:si>
    <x:t xml:space="preserve">INFORME 183/26</x:t>
  </x:si>
  <x:si>
    <x:t xml:space="preserve">INFORME 185/26</x:t>
  </x:si>
  <x:si>
    <x:t xml:space="preserve">EE10083</x:t>
  </x:si>
  <x:si>
    <x:t xml:space="preserve">[EE10083] BOLSA PEBD 16"x24"x3</x:t>
  </x:si>
  <x:si>
    <x:t xml:space="preserve">BP-01/26</x:t>
  </x:si>
  <x:si>
    <x:t xml:space="preserve">EE10001</x:t>
  </x:si>
  <x:si>
    <x:t xml:space="preserve">[EE10001] CAJA MASTER TIYAPUY C/LOGO #1 X UND</x:t>
  </x:si>
  <x:si>
    <x:t xml:space="preserve">CT-16/26</x:t>
  </x:si>
  <x:si>
    <x:t xml:space="preserve">CT-16/26-</x:t>
  </x:si>
  <x:si>
    <x:t xml:space="preserve">EE10312</x:t>
  </x:si>
  <x:si>
    <x:t xml:space="preserve">[EE10312] LAMINA TIYAPUY NATIVA AJI AMARILLO 142g MEXICO X KG</x:t>
  </x:si>
  <x:si>
    <x:t xml:space="preserve">LA-10/26</x:t>
  </x:si>
  <x:si>
    <x:t xml:space="preserve">EE10009</x:t>
  </x:si>
  <x:si>
    <x:t xml:space="preserve">[EE10009] CAJA MASTER RIKY TOK C/LOGO # 9 X UND</x:t>
  </x:si>
  <x:si>
    <x:t xml:space="preserve">CR-17/26</x:t>
  </x:si>
  <x:si>
    <x:t xml:space="preserve">INFORME 188/26</x:t>
  </x:si>
  <x:si>
    <x:t xml:space="preserve">INFORME 189/26</x:t>
  </x:si>
  <x:si>
    <x:t xml:space="preserve">EE10305</x:t>
  </x:si>
  <x:si>
    <x:t xml:space="preserve">[EE10305] ETIQUETA TEXTOS LEGALES CHIFLES 142g ESPAÑA</x:t>
  </x:si>
  <x:si>
    <x:t xml:space="preserve">informe 01/26</x:t>
  </x:si>
  <x:si>
    <x:t xml:space="preserve">EE10360</x:t>
  </x:si>
  <x:si>
    <x:t xml:space="preserve">[EE10360] ETIQUETA LAMAR 120 GRAMOS (PAPA Y CAMOTE) ESPAÑA</x:t>
  </x:si>
  <x:si>
    <x:t xml:space="preserve">EE10310</x:t>
  </x:si>
  <x:si>
    <x:t xml:space="preserve">[EE10310] ETIQUETA NUTRICIONAL ALEMANIA JALAPEÑO FLAVORED POTATO CHIPS 142g X 20 un</x:t>
  </x:si>
  <x:si>
    <x:t xml:space="preserve">ET-01/26</x:t>
  </x:si>
  <x:si>
    <x:t xml:space="preserve">EE10309</x:t>
  </x:si>
  <x:si>
    <x:t xml:space="preserve">[EE10309] ETIQUETA NUTRICIONAL ALEMANIA FRIED NATIVE POTATO CHIPS WITH SALT 40g X 48 un</x:t>
  </x:si>
  <x:si>
    <x:t xml:space="preserve">ET-02/26</x:t>
  </x:si>
  <x:si>
    <x:t xml:space="preserve">EE10311</x:t>
  </x:si>
  <x:si>
    <x:t xml:space="preserve">[EE10311] ETIQUETA NUTRICIONAL ALEMANIA NATIVE POTATO FLAKES WITH YELLOW CHILE PEPPER 142g X 20 un</x:t>
  </x:si>
  <x:si>
    <x:t xml:space="preserve">EE10308</x:t>
  </x:si>
  <x:si>
    <x:t xml:space="preserve">[EE10308] ETIQUETA NUTRICIONAL ALEMANIA FRIED NATIVE POTATO CHIPS WITH SALT 142g X 20 un</x:t>
  </x:si>
  <x:si>
    <x:t xml:space="preserve">EE10315</x:t>
  </x:si>
  <x:si>
    <x:t xml:space="preserve">[EE10315] STICKERS PANAMA JALAPEÑO 142g</x:t>
  </x:si>
  <x:si>
    <x:t xml:space="preserve">EE10316</x:t>
  </x:si>
  <x:si>
    <x:t xml:space="preserve">[EE10316] STICKERS PANAMA LIMON PIMIENTA 142g</x:t>
  </x:si>
  <x:si>
    <x:t xml:space="preserve">EE10317</x:t>
  </x:si>
  <x:si>
    <x:t xml:space="preserve">[EE10317] STICKERS PANAMA QUINUA BBQ 100g</x:t>
  </x:si>
  <x:si>
    <x:t xml:space="preserve">EE10318</x:t>
  </x:si>
  <x:si>
    <x:t xml:space="preserve">[EE10318] STICKERS PANAMA QUINUA PICANTE 100g</x:t>
  </x:si>
  <x:si>
    <x:t xml:space="preserve">EE10291</x:t>
  </x:si>
  <x:si>
    <x:t xml:space="preserve">[EE10291] STICKERS NUTRICIONAL BRASIL 40g CAMOTE</x:t>
  </x:si>
  <x:si>
    <x:t xml:space="preserve">EE10189</x:t>
  </x:si>
  <x:si>
    <x:t xml:space="preserve">[EE10189] STICKERS TEXTOS LEGALES MIX NATIVA 160g ESPAÑA</x:t>
  </x:si>
  <x:si>
    <x:t xml:space="preserve">EE10182</x:t>
  </x:si>
  <x:si>
    <x:t xml:space="preserve">[EE10182] LAMINA BITZ ONDA NATURAL 200G X KG</x:t>
  </x:si>
  <x:si>
    <x:t xml:space="preserve">LA-11/26</x:t>
  </x:si>
  <x:si>
    <x:t xml:space="preserve">CR-18/26</x:t>
  </x:si>
  <x:si>
    <x:t xml:space="preserve">HA-02/26</x:t>
  </x:si>
  <x:si>
    <x:t xml:space="preserve">TB-08/26</x:t>
  </x:si>
  <x:si>
    <x:t xml:space="preserve">MP10010</x:t>
  </x:si>
  <x:si>
    <x:t xml:space="preserve">[MP10010] PAPA UNICA X KG</x:t>
  </x:si>
  <x:si>
    <x:t xml:space="preserve">INFORME 205/26</x:t>
  </x:si>
  <x:si>
    <x:t xml:space="preserve">MP10054</x:t>
  </x:si>
  <x:si>
    <x:t xml:space="preserve">[MP10054] SABOR BITZ PICANTE SP-P40698-28 CRAMER X KG</x:t>
  </x:si>
  <x:si>
    <x:t xml:space="preserve">INFORME 06/26</x:t>
  </x:si>
  <x:si>
    <x:t xml:space="preserve">INFORME 206/26</x:t>
  </x:si>
  <x:si>
    <x:t xml:space="preserve">EE10046</x:t>
  </x:si>
  <x:si>
    <x:t xml:space="preserve">[EE10046] LAMINA RIKY TOK 30 GR ONDA NATURAL X KG</x:t>
  </x:si>
  <x:si>
    <x:t xml:space="preserve">INFORME 209/26</x:t>
  </x:si>
  <x:si>
    <x:t xml:space="preserve">AO-14/26</x:t>
  </x:si>
  <x:si>
    <x:t xml:space="preserve">INFORME 210/26</x:t>
  </x:si>
  <x:si>
    <x:t xml:space="preserve">INFORME 212/26</x:t>
  </x:si>
  <x:si>
    <x:t xml:space="preserve">MP10009</x:t>
  </x:si>
  <x:si>
    <x:t xml:space="preserve">[MP10009] PAPA CANCHAN X KG</x:t>
  </x:si>
  <x:si>
    <x:t xml:space="preserve">INFORME 213/26</x:t>
  </x:si>
  <x:si>
    <x:t xml:space="preserve">CT-13/26</x:t>
  </x:si>
  <x:si>
    <x:t xml:space="preserve">CT-14/26</x:t>
  </x:si>
  <x:si>
    <x:t xml:space="preserve">INFORME 214/26</x:t>
  </x:si>
  <x:si>
    <x:t xml:space="preserve">EE10293</x:t>
  </x:si>
  <x:si>
    <x:t xml:space="preserve">[EE10293] LAMINA TIYAPUY PAPAS NATIVAS CONGELADAS PEBD 400g</x:t>
  </x:si>
  <x:si>
    <x:t xml:space="preserve">INFORME 46/26</x:t>
  </x:si>
  <x:si>
    <x:t xml:space="preserve">SA-07/26</x:t>
  </x:si>
  <x:si>
    <x:t xml:space="preserve">INFORME 216/26</x:t>
  </x:si>
  <x:si>
    <x:t xml:space="preserve">INFORME 218/26</x:t>
  </x:si>
  <x:si>
    <x:t xml:space="preserve">INFORME 221/26</x:t>
  </x:si>
  <x:si>
    <x:t xml:space="preserve">MP10005</x:t>
  </x:si>
  <x:si>
    <x:t xml:space="preserve">[MP10005] CAMOTE X KG</x:t>
  </x:si>
  <x:si>
    <x:t xml:space="preserve">INFORME 222/26</x:t>
  </x:si>
  <x:si>
    <x:t xml:space="preserve">INFORME 226/26</x:t>
  </x:si>
  <x:si>
    <x:t xml:space="preserve">OP-47/26</x:t>
  </x:si>
</x:sst>
</file>

<file path=xl/styles.xml><?xml version="1.0" encoding="utf-8"?>
<x:styleSheet xmlns:x="http://schemas.openxmlformats.org/spreadsheetml/2006/main">
  <x:numFmts count="5">
    <x:numFmt numFmtId="164" formatCode="yyyy\-mm\-dd\ hh:mm:ss"/>
    <x:numFmt numFmtId="200" formatCode="@"/>
    <x:numFmt numFmtId="201" formatCode="dd/mm/yyyy"/>
    <x:numFmt numFmtId="202" formatCode="#,##0.000"/>
    <x:numFmt numFmtId="203" formatCode="dd/mm/yyyy hh:mm"/>
  </x:numFmts>
  <x:fonts count="4">
    <x:font>
      <x:sz val="11"/>
      <x:color theme="1"/>
      <x:name val="Calibri"/>
    </x:font>
    <x:font>
      <x:b/>
      <x:sz val="11"/>
      <x:color theme="1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6D7A"/>
      </x:patternFill>
    </x:fill>
    <x:fill>
      <x:patternFill patternType="solid">
        <x:fgColor rgb="FF9E480E"/>
      </x:patternFill>
    </x:fill>
  </x:fills>
  <x:borders count="9">
    <x:border/>
    <x:border>
      <x:left style="thin">
        <x:color rgb="FFB7C9CE"/>
      </x:left>
      <x:top style="thin">
        <x:color rgb="FFB7C9CE"/>
      </x:top>
    </x:border>
    <x:border>
      <x:top style="thin">
        <x:color rgb="FFB7C9CE"/>
      </x:top>
    </x:border>
    <x:border>
      <x:right style="thin">
        <x:color rgb="FFB7C9CE"/>
      </x:right>
      <x:top style="thin">
        <x:color rgb="FFB7C9CE"/>
      </x:top>
    </x:border>
    <x:border>
      <x:left style="thin">
        <x:color rgb="FFB7C9CE"/>
      </x:left>
    </x:border>
    <x:border>
      <x:right style="thin">
        <x:color rgb="FFB7C9CE"/>
      </x:right>
    </x:border>
    <x:border>
      <x:left style="thin">
        <x:color rgb="FFB7C9CE"/>
      </x:left>
      <x:bottom style="thin">
        <x:color rgb="FFB7C9CE"/>
      </x:bottom>
    </x:border>
    <x:border>
      <x:bottom style="thin">
        <x:color rgb="FFB7C9CE"/>
      </x:bottom>
    </x:border>
    <x:border>
      <x:right style="thin">
        <x:color rgb="FFB7C9CE"/>
      </x:right>
      <x:bottom style="thin">
        <x:color rgb="FFB7C9CE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Font="1"/>
    <x:xf numFmtId="4" fontId="0" fillId="0" borderId="0" xfId="0" applyNumberFormat="1" applyAlignment="1">
      <x:alignment wrapText="1"/>
    </x:xf>
    <x:xf numFmtId="164" fontId="0" fillId="0" borderId="0" xfId="0" applyNumberFormat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4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c996f561fc4d38" /><Relationship Type="http://schemas.openxmlformats.org/officeDocument/2006/relationships/theme" Target="/xl/theme/theme1.xml" Id="R683f411a0ba54c98" /><Relationship Type="http://schemas.openxmlformats.org/officeDocument/2006/relationships/sharedStrings" Target="/xl/sharedStrings.xml" Id="Re8d0a5615cf148ce" /><Relationship Type="http://schemas.openxmlformats.org/officeDocument/2006/relationships/worksheet" Target="/xl/worksheets/sheet1.xml" Id="R7993ba15f47e43d0" /><Relationship Type="http://schemas.openxmlformats.org/officeDocument/2006/relationships/worksheet" Target="/xl/worksheets/sheet2.xml" Id="R945b12cbf47b45e1" /><Relationship Type="http://schemas.openxmlformats.org/officeDocument/2006/relationships/worksheet" Target="/xl/worksheets/sheet3.xml" Id="R2c1aaed198f240a3" /><Relationship Type="http://schemas.openxmlformats.org/officeDocument/2006/relationships/worksheet" Target="/xl/worksheets/sheet4.xml" Id="R39ef5e3ff93f4163" /><Relationship Type="http://schemas.openxmlformats.org/officeDocument/2006/relationships/worksheet" Target="/xl/worksheets/sheet5.xml" Id="Rf543f157886b4fc0" /><Relationship Type="http://schemas.openxmlformats.org/officeDocument/2006/relationships/worksheet" Target="/xl/worksheets/sheet6.xml" Id="R8729449b45ae4012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8671875" defaultRowHeight="14.399999618530273"/>
  <x:cols>
    <x:col min="1" max="1" width="12.779999732971191" hidden="0" customWidth="1"/>
    <x:col min="2" max="2" width="36.66999816894531" hidden="0" customWidth="1"/>
    <x:col min="3" max="3" width="15" hidden="0" customWidth="1"/>
    <x:col min="4" max="4" width="13.329999923706055" hidden="0" customWidth="1"/>
    <x:col min="5" max="5" width="23.329999923706055" hidden="0" customWidth="1"/>
    <x:col min="6" max="6" width="15" hidden="0" customWidth="1"/>
    <x:col min="7" max="7" width="13.890000343322754" hidden="0" customWidth="1"/>
    <x:col min="8" max="8" width="18.889999389648438" hidden="0" customWidth="1"/>
    <x:col min="9" max="9" width="18.889999389648438" hidden="0" customWidth="1"/>
    <x:col min="10" max="10" width="8.329999923706055" hidden="0" customWidth="1"/>
  </x:cols>
  <x:sheetData>
    <x:row r="1" ht="34" customHeight="1">
      <x:c r="A1" s="11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tr">
        <x:v>Código de barras producto</x:v>
      </x:c>
      <x:c r="I1" s="11" t="str">
        <x:v>Clave de búsqueda</x:v>
      </x:c>
      <x:c r="J1" s="11" t="str">
        <x:v>Activo</x:v>
      </x:c>
    </x:row>
    <x:row r="2" ht="28.799999237060547">
      <x:c r="A2" s="2" t="s">
        <x:v>7</x:v>
      </x:c>
      <x:c r="B2" s="12" t="s">
        <x:v>8</x:v>
      </x:c>
      <x:c r="C2" s="2" t="s">
        <x:v>9</x:v>
      </x:c>
      <x:c r="D2" s="5">
        <x:v>46387</x:v>
      </x:c>
      <x:c r="E2" s="2" t="s">
        <x:v>10</x:v>
      </x:c>
      <x:c r="F2" s="6">
        <x:v>80</x:v>
      </x:c>
      <x:c r="G2" s="2" t="s">
        <x:v>11</x:v>
      </x:c>
      <x:c r="H2" s="4"/>
      <x:c r="I2" t="str">
        <x:f>IF(A2="","",A2&amp;"|"&amp;C2)</x:f>
        <x:v>EE10005|16/25</x:v>
      </x:c>
      <x:c r="J2" t="str">
        <x:f>IF(A2&lt;&gt;"","SÍ","NO")</x:f>
        <x:v>SÍ</x:v>
      </x:c>
    </x:row>
    <x:row r="3" ht="28.799999237060547">
      <x:c r="A3" s="2" t="s">
        <x:v>12</x:v>
      </x:c>
      <x:c r="B3" s="12" t="s">
        <x:v>13</x:v>
      </x:c>
      <x:c r="C3" s="2"/>
      <x:c r="D3" s="5"/>
      <x:c r="E3" s="2" t="s">
        <x:v>10</x:v>
      </x:c>
      <x:c r="F3" s="6">
        <x:v>979.80000000000007</x:v>
      </x:c>
      <x:c r="G3" s="2" t="s">
        <x:v>11</x:v>
      </x:c>
      <x:c r="H3" s="4"/>
      <x:c r="I3" t="str">
        <x:f>IF(A3="","",A3&amp;"|"&amp;C3)</x:f>
        <x:v>EE10073|</x:v>
      </x:c>
      <x:c r="J3" t="str">
        <x:f>IF(A3&lt;&gt;"","SÍ","NO")</x:f>
        <x:v>SÍ</x:v>
      </x:c>
    </x:row>
    <x:row r="4" ht="28.799999237060547">
      <x:c r="A4" s="2" t="s">
        <x:v>14</x:v>
      </x:c>
      <x:c r="B4" s="12" t="s">
        <x:v>15</x:v>
      </x:c>
      <x:c r="C4" s="2"/>
      <x:c r="D4" s="5"/>
      <x:c r="E4" s="2" t="s">
        <x:v>10</x:v>
      </x:c>
      <x:c r="F4" s="6">
        <x:v>226.99299999999999</x:v>
      </x:c>
      <x:c r="G4" s="2" t="s">
        <x:v>11</x:v>
      </x:c>
      <x:c r="H4" s="4"/>
      <x:c r="I4" t="str">
        <x:f>IF(A4="","",A4&amp;"|"&amp;C4)</x:f>
        <x:v>EE10072|</x:v>
      </x:c>
      <x:c r="J4" t="str">
        <x:f>IF(A4&lt;&gt;"","SÍ","NO")</x:f>
        <x:v>SÍ</x:v>
      </x:c>
    </x:row>
    <x:row r="5" ht="28.799999237060547">
      <x:c r="A5" s="2" t="s">
        <x:v>16</x:v>
      </x:c>
      <x:c r="B5" s="12" t="s">
        <x:v>17</x:v>
      </x:c>
      <x:c r="C5" s="2"/>
      <x:c r="D5" s="5"/>
      <x:c r="E5" s="2" t="s">
        <x:v>10</x:v>
      </x:c>
      <x:c r="F5" s="6">
        <x:v>15.728</x:v>
      </x:c>
      <x:c r="G5" s="2" t="s">
        <x:v>11</x:v>
      </x:c>
      <x:c r="H5" s="4"/>
      <x:c r="I5" t="str">
        <x:f>IF(A5="","",A5&amp;"|"&amp;C5)</x:f>
        <x:v>EE10071|</x:v>
      </x:c>
      <x:c r="J5" t="str">
        <x:f>IF(A5&lt;&gt;"","SÍ","NO")</x:f>
        <x:v>SÍ</x:v>
      </x:c>
    </x:row>
    <x:row r="6" ht="28.799999237060547">
      <x:c r="A6" s="2" t="s">
        <x:v>18</x:v>
      </x:c>
      <x:c r="B6" s="12" t="s">
        <x:v>19</x:v>
      </x:c>
      <x:c r="C6" s="2"/>
      <x:c r="D6" s="5"/>
      <x:c r="E6" s="2" t="s">
        <x:v>10</x:v>
      </x:c>
      <x:c r="F6" s="6">
        <x:v>85.659800000000004</x:v>
      </x:c>
      <x:c r="G6" s="2" t="s">
        <x:v>11</x:v>
      </x:c>
      <x:c r="H6" s="4"/>
      <x:c r="I6" t="str">
        <x:f>IF(A6="","",A6&amp;"|"&amp;C6)</x:f>
        <x:v>EE10076|</x:v>
      </x:c>
      <x:c r="J6" t="str">
        <x:f>IF(A6&lt;&gt;"","SÍ","NO")</x:f>
        <x:v>SÍ</x:v>
      </x:c>
    </x:row>
    <x:row r="7" ht="28.799999237060547">
      <x:c r="A7" s="2" t="s">
        <x:v>20</x:v>
      </x:c>
      <x:c r="B7" s="12" t="s">
        <x:v>21</x:v>
      </x:c>
      <x:c r="C7" s="2"/>
      <x:c r="D7" s="5"/>
      <x:c r="E7" s="2" t="s">
        <x:v>10</x:v>
      </x:c>
      <x:c r="F7" s="6">
        <x:v>156.65799999999999</x:v>
      </x:c>
      <x:c r="G7" s="2" t="s">
        <x:v>11</x:v>
      </x:c>
      <x:c r="H7" s="4"/>
      <x:c r="I7" t="str">
        <x:f>IF(A7="","",A7&amp;"|"&amp;C7)</x:f>
        <x:v>EE10078|</x:v>
      </x:c>
      <x:c r="J7" t="str">
        <x:f>IF(A7&lt;&gt;"","SÍ","NO")</x:f>
        <x:v>SÍ</x:v>
      </x:c>
    </x:row>
    <x:row r="8" ht="43.20000076293945">
      <x:c r="A8" s="2" t="s">
        <x:v>22</x:v>
      </x:c>
      <x:c r="B8" s="12" t="s">
        <x:v>23</x:v>
      </x:c>
      <x:c r="C8" s="2"/>
      <x:c r="D8" s="5"/>
      <x:c r="E8" s="2" t="s">
        <x:v>10</x:v>
      </x:c>
      <x:c r="F8" s="6">
        <x:v>2.8077999999999999</x:v>
      </x:c>
      <x:c r="G8" s="2" t="s">
        <x:v>11</x:v>
      </x:c>
      <x:c r="H8" s="4"/>
      <x:c r="I8" t="str">
        <x:f>IF(A8="","",A8&amp;"|"&amp;C8)</x:f>
        <x:v>EE10115|</x:v>
      </x:c>
      <x:c r="J8" t="str">
        <x:f>IF(A8&lt;&gt;"","SÍ","NO")</x:f>
        <x:v>SÍ</x:v>
      </x:c>
    </x:row>
    <x:row r="9" ht="28.799999237060547">
      <x:c r="A9" s="2" t="s">
        <x:v>24</x:v>
      </x:c>
      <x:c r="B9" s="12" t="s">
        <x:v>25</x:v>
      </x:c>
      <x:c r="C9" s="2"/>
      <x:c r="D9" s="5"/>
      <x:c r="E9" s="2" t="s">
        <x:v>10</x:v>
      </x:c>
      <x:c r="F9" s="6">
        <x:v>193883.9</x:v>
      </x:c>
      <x:c r="G9" s="2" t="s">
        <x:v>11</x:v>
      </x:c>
      <x:c r="H9" s="4"/>
      <x:c r="I9" t="str">
        <x:f>IF(A9="","",A9&amp;"|"&amp;C9)</x:f>
        <x:v>EE10079|</x:v>
      </x:c>
      <x:c r="J9" t="str">
        <x:f>IF(A9&lt;&gt;"","SÍ","NO")</x:f>
        <x:v>SÍ</x:v>
      </x:c>
    </x:row>
    <x:row r="10" ht="28.799999237060547">
      <x:c r="A10" s="2" t="s">
        <x:v>26</x:v>
      </x:c>
      <x:c r="B10" s="12" t="s">
        <x:v>27</x:v>
      </x:c>
      <x:c r="C10" s="2"/>
      <x:c r="D10" s="5"/>
      <x:c r="E10" s="2" t="s">
        <x:v>10</x:v>
      </x:c>
      <x:c r="F10" s="6">
        <x:v>20000</x:v>
      </x:c>
      <x:c r="G10" s="2" t="s">
        <x:v>11</x:v>
      </x:c>
      <x:c r="H10" s="4"/>
      <x:c r="I10" t="str">
        <x:f>IF(A10="","",A10&amp;"|"&amp;C10)</x:f>
        <x:v>EE10120|</x:v>
      </x:c>
      <x:c r="J10" t="str">
        <x:f>IF(A10&lt;&gt;"","SÍ","NO")</x:f>
        <x:v>SÍ</x:v>
      </x:c>
    </x:row>
    <x:row r="11" ht="28.799999237060547">
      <x:c r="A11" s="2" t="s">
        <x:v>28</x:v>
      </x:c>
      <x:c r="B11" s="12" t="s">
        <x:v>29</x:v>
      </x:c>
      <x:c r="C11" s="2" t="s">
        <x:v>30</x:v>
      </x:c>
      <x:c r="D11" s="5">
        <x:v>46387.734837962962</x:v>
      </x:c>
      <x:c r="E11" s="2" t="s">
        <x:v>10</x:v>
      </x:c>
      <x:c r="F11" s="6">
        <x:v>800</x:v>
      </x:c>
      <x:c r="G11" s="2" t="s">
        <x:v>11</x:v>
      </x:c>
      <x:c r="H11" s="4"/>
      <x:c r="I11" t="str">
        <x:f>IF(A11="","",A11&amp;"|"&amp;C11)</x:f>
        <x:v>EE10010|INFORME 20</x:v>
      </x:c>
      <x:c r="J11" t="str">
        <x:f>IF(A11&lt;&gt;"","SÍ","NO")</x:f>
        <x:v>SÍ</x:v>
      </x:c>
    </x:row>
    <x:row r="12" ht="28.799999237060547">
      <x:c r="A12" s="2" t="s">
        <x:v>28</x:v>
      </x:c>
      <x:c r="B12" s="12" t="s">
        <x:v>29</x:v>
      </x:c>
      <x:c r="C12" s="2" t="s">
        <x:v>31</x:v>
      </x:c>
      <x:c r="D12" s="5">
        <x:v>46387.675659722219</x:v>
      </x:c>
      <x:c r="E12" s="2" t="s">
        <x:v>10</x:v>
      </x:c>
      <x:c r="F12" s="6">
        <x:v>600</x:v>
      </x:c>
      <x:c r="G12" s="2" t="s">
        <x:v>11</x:v>
      </x:c>
      <x:c r="H12" s="4"/>
      <x:c r="I12" t="str">
        <x:f>IF(A12="","",A12&amp;"|"&amp;C12)</x:f>
        <x:v>EE10010|INFORME 31</x:v>
      </x:c>
      <x:c r="J12" t="str">
        <x:f>IF(A12&lt;&gt;"","SÍ","NO")</x:f>
        <x:v>SÍ</x:v>
      </x:c>
    </x:row>
    <x:row r="13" ht="28.799999237060547">
      <x:c r="A13" s="2" t="s">
        <x:v>32</x:v>
      </x:c>
      <x:c r="B13" s="12" t="s">
        <x:v>33</x:v>
      </x:c>
      <x:c r="C13" s="2" t="s">
        <x:v>34</x:v>
      </x:c>
      <x:c r="D13" s="5"/>
      <x:c r="E13" s="2" t="s">
        <x:v>10</x:v>
      </x:c>
      <x:c r="F13" s="6">
        <x:v>625</x:v>
      </x:c>
      <x:c r="G13" s="2" t="s">
        <x:v>11</x:v>
      </x:c>
      <x:c r="H13" s="4"/>
      <x:c r="I13" t="str">
        <x:f>IF(A13="","",A13&amp;"|"&amp;C13)</x:f>
        <x:v>EE10008|INFORME 33</x:v>
      </x:c>
      <x:c r="J13" t="str">
        <x:f>IF(A13&lt;&gt;"","SÍ","NO")</x:f>
        <x:v>SÍ</x:v>
      </x:c>
    </x:row>
    <x:row r="14" ht="43.20000076293945">
      <x:c r="A14" s="2" t="s">
        <x:v>35</x:v>
      </x:c>
      <x:c r="B14" s="12" t="s">
        <x:v>36</x:v>
      </x:c>
      <x:c r="C14" s="2"/>
      <x:c r="D14" s="5"/>
      <x:c r="E14" s="2" t="s">
        <x:v>10</x:v>
      </x:c>
      <x:c r="F14" s="6">
        <x:v>28.806999999999999</x:v>
      </x:c>
      <x:c r="G14" s="2" t="s">
        <x:v>11</x:v>
      </x:c>
      <x:c r="H14" s="4"/>
      <x:c r="I14" t="str">
        <x:f>IF(A14="","",A14&amp;"|"&amp;C14)</x:f>
        <x:v>EE10137|</x:v>
      </x:c>
      <x:c r="J14" t="str">
        <x:f>IF(A14&lt;&gt;"","SÍ","NO")</x:f>
        <x:v>SÍ</x:v>
      </x:c>
    </x:row>
    <x:row r="15" ht="28.799999237060547">
      <x:c r="A15" s="2" t="s">
        <x:v>37</x:v>
      </x:c>
      <x:c r="B15" s="12" t="s">
        <x:v>38</x:v>
      </x:c>
      <x:c r="C15" s="2" t="s">
        <x:v>39</x:v>
      </x:c>
      <x:c r="D15" s="5">
        <x:v>46203.69568287037</x:v>
      </x:c>
      <x:c r="E15" s="2" t="s">
        <x:v>10</x:v>
      </x:c>
      <x:c r="F15" s="6">
        <x:v>282.72000000000003</x:v>
      </x:c>
      <x:c r="G15" s="2" t="s">
        <x:v>40</x:v>
      </x:c>
      <x:c r="H15" s="4"/>
      <x:c r="I15" t="str">
        <x:f>IF(A15="","",A15&amp;"|"&amp;C15)</x:f>
        <x:v>EE10140|INFORME 39</x:v>
      </x:c>
      <x:c r="J15" t="str">
        <x:f>IF(A15&lt;&gt;"","SÍ","NO")</x:f>
        <x:v>SÍ</x:v>
      </x:c>
    </x:row>
    <x:row r="16" ht="28.799999237060547">
      <x:c r="A16" s="2" t="s">
        <x:v>41</x:v>
      </x:c>
      <x:c r="B16" s="12" t="s">
        <x:v>42</x:v>
      </x:c>
      <x:c r="C16" s="2" t="s">
        <x:v>43</x:v>
      </x:c>
      <x:c r="D16" s="5">
        <x:v>45771.69604166667</x:v>
      </x:c>
      <x:c r="E16" s="2" t="s">
        <x:v>10</x:v>
      </x:c>
      <x:c r="F16" s="6">
        <x:v>438.2</x:v>
      </x:c>
      <x:c r="G16" s="2" t="s">
        <x:v>40</x:v>
      </x:c>
      <x:c r="H16" s="4"/>
      <x:c r="I16" t="str">
        <x:f>IF(A16="","",A16&amp;"|"&amp;C16)</x:f>
        <x:v>EE10141|INFORME 21</x:v>
      </x:c>
      <x:c r="J16" t="str">
        <x:f>IF(A16&lt;&gt;"","SÍ","NO")</x:f>
        <x:v>SÍ</x:v>
      </x:c>
    </x:row>
    <x:row r="17" ht="28.799999237060547">
      <x:c r="A17" s="2" t="s">
        <x:v>44</x:v>
      </x:c>
      <x:c r="B17" s="12" t="s">
        <x:v>45</x:v>
      </x:c>
      <x:c r="C17" s="2"/>
      <x:c r="D17" s="5"/>
      <x:c r="E17" s="2" t="s">
        <x:v>10</x:v>
      </x:c>
      <x:c r="F17" s="6">
        <x:v>1142.336</x:v>
      </x:c>
      <x:c r="G17" s="2" t="s">
        <x:v>11</x:v>
      </x:c>
      <x:c r="H17" s="4"/>
      <x:c r="I17" t="str">
        <x:f>IF(A17="","",A17&amp;"|"&amp;C17)</x:f>
        <x:v>EE10074|</x:v>
      </x:c>
      <x:c r="J17" t="str">
        <x:f>IF(A17&lt;&gt;"","SÍ","NO")</x:f>
        <x:v>SÍ</x:v>
      </x:c>
    </x:row>
    <x:row r="18" ht="43.20000076293945">
      <x:c r="A18" s="2" t="s">
        <x:v>46</x:v>
      </x:c>
      <x:c r="B18" s="12" t="s">
        <x:v>47</x:v>
      </x:c>
      <x:c r="C18" s="2" t="s">
        <x:v>48</x:v>
      </x:c>
      <x:c r="D18" s="5">
        <x:v>46037.488425925927</x:v>
      </x:c>
      <x:c r="E18" s="2" t="s">
        <x:v>10</x:v>
      </x:c>
      <x:c r="F18" s="6">
        <x:v>1450</x:v>
      </x:c>
      <x:c r="G18" s="2" t="s">
        <x:v>11</x:v>
      </x:c>
      <x:c r="H18" s="4"/>
      <x:c r="I18" t="str">
        <x:f>IF(A18="","",A18&amp;"|"&amp;C18)</x:f>
        <x:v>EE10154|LOTE 509</x:v>
      </x:c>
      <x:c r="J18" t="str">
        <x:f>IF(A18&lt;&gt;"","SÍ","NO")</x:f>
        <x:v>SÍ</x:v>
      </x:c>
    </x:row>
    <x:row r="19" ht="28.799999237060547">
      <x:c r="A19" s="2" t="s">
        <x:v>49</x:v>
      </x:c>
      <x:c r="B19" s="12" t="s">
        <x:v>50</x:v>
      </x:c>
      <x:c r="C19" s="2" t="s">
        <x:v>51</x:v>
      </x:c>
      <x:c r="D19" s="5"/>
      <x:c r="E19" s="2" t="s">
        <x:v>10</x:v>
      </x:c>
      <x:c r="F19" s="6">
        <x:v>300</x:v>
      </x:c>
      <x:c r="G19" s="2" t="s">
        <x:v>11</x:v>
      </x:c>
      <x:c r="H19" s="4"/>
      <x:c r="I19" t="str">
        <x:f>IF(A19="","",A19&amp;"|"&amp;C19)</x:f>
        <x:v>EE10056|02/25</x:v>
      </x:c>
      <x:c r="J19" t="str">
        <x:f>IF(A19&lt;&gt;"","SÍ","NO")</x:f>
        <x:v>SÍ</x:v>
      </x:c>
    </x:row>
    <x:row r="20" ht="28.799999237060547">
      <x:c r="A20" s="2" t="s">
        <x:v>49</x:v>
      </x:c>
      <x:c r="B20" s="12" t="s">
        <x:v>50</x:v>
      </x:c>
      <x:c r="C20" s="2" t="s">
        <x:v>52</x:v>
      </x:c>
      <x:c r="D20" s="5"/>
      <x:c r="E20" s="2" t="s">
        <x:v>10</x:v>
      </x:c>
      <x:c r="F20" s="6">
        <x:v>5500</x:v>
      </x:c>
      <x:c r="G20" s="2" t="s">
        <x:v>11</x:v>
      </x:c>
      <x:c r="H20" s="4"/>
      <x:c r="I20" t="str">
        <x:f>IF(A20="","",A20&amp;"|"&amp;C20)</x:f>
        <x:v>EE10056|01/25</x:v>
      </x:c>
      <x:c r="J20" t="str">
        <x:f>IF(A20&lt;&gt;"","SÍ","NO")</x:f>
        <x:v>SÍ</x:v>
      </x:c>
    </x:row>
    <x:row r="21" ht="28.799999237060547">
      <x:c r="A21" s="2" t="s">
        <x:v>53</x:v>
      </x:c>
      <x:c r="B21" s="12" t="s">
        <x:v>54</x:v>
      </x:c>
      <x:c r="C21" s="2" t="s">
        <x:v>55</x:v>
      </x:c>
      <x:c r="D21" s="5"/>
      <x:c r="E21" s="2" t="s">
        <x:v>10</x:v>
      </x:c>
      <x:c r="F21" s="6">
        <x:v>1085</x:v>
      </x:c>
      <x:c r="G21" s="2" t="s">
        <x:v>40</x:v>
      </x:c>
      <x:c r="H21" s="4"/>
      <x:c r="I21" t="str">
        <x:f>IF(A21="","",A21&amp;"|"&amp;C21)</x:f>
        <x:v>EE10159|INFORME 02/25</x:v>
      </x:c>
      <x:c r="J21" t="str">
        <x:f>IF(A21&lt;&gt;"","SÍ","NO")</x:f>
        <x:v>SÍ</x:v>
      </x:c>
    </x:row>
    <x:row r="22" ht="28.799999237060547">
      <x:c r="A22" s="2" t="s">
        <x:v>56</x:v>
      </x:c>
      <x:c r="B22" s="12" t="s">
        <x:v>57</x:v>
      </x:c>
      <x:c r="C22" s="2"/>
      <x:c r="D22" s="5"/>
      <x:c r="E22" s="2" t="s">
        <x:v>10</x:v>
      </x:c>
      <x:c r="F22" s="6">
        <x:v>204.42500000000001</x:v>
      </x:c>
      <x:c r="G22" s="2" t="s">
        <x:v>11</x:v>
      </x:c>
      <x:c r="H22" s="4"/>
      <x:c r="I22" t="str">
        <x:f>IF(A22="","",A22&amp;"|"&amp;C22)</x:f>
        <x:v>EE10165|</x:v>
      </x:c>
      <x:c r="J22" t="str">
        <x:f>IF(A22&lt;&gt;"","SÍ","NO")</x:f>
        <x:v>SÍ</x:v>
      </x:c>
    </x:row>
    <x:row r="23" ht="43.20000076293945">
      <x:c r="A23" s="2" t="s">
        <x:v>46</x:v>
      </x:c>
      <x:c r="B23" s="12" t="s">
        <x:v>47</x:v>
      </x:c>
      <x:c r="C23" s="2" t="s">
        <x:v>58</x:v>
      </x:c>
      <x:c r="D23" s="5"/>
      <x:c r="E23" s="2" t="s">
        <x:v>10</x:v>
      </x:c>
      <x:c r="F23" s="6">
        <x:v>3200</x:v>
      </x:c>
      <x:c r="G23" s="2" t="s">
        <x:v>11</x:v>
      </x:c>
      <x:c r="H23" s="4"/>
      <x:c r="I23" t="str">
        <x:f>IF(A23="","",A23&amp;"|"&amp;C23)</x:f>
        <x:v>EE10154|LOTE 692</x:v>
      </x:c>
      <x:c r="J23" t="str">
        <x:f>IF(A23&lt;&gt;"","SÍ","NO")</x:f>
        <x:v>SÍ</x:v>
      </x:c>
    </x:row>
    <x:row r="24" ht="28.799999237060547">
      <x:c r="A24" s="2" t="s">
        <x:v>59</x:v>
      </x:c>
      <x:c r="B24" s="12" t="s">
        <x:v>60</x:v>
      </x:c>
      <x:c r="C24" s="2"/>
      <x:c r="D24" s="5"/>
      <x:c r="E24" s="2" t="s">
        <x:v>10</x:v>
      </x:c>
      <x:c r="F24" s="6">
        <x:v>45</x:v>
      </x:c>
      <x:c r="G24" s="2" t="s">
        <x:v>11</x:v>
      </x:c>
      <x:c r="H24" s="4"/>
      <x:c r="I24" t="str">
        <x:f>IF(A24="","",A24&amp;"|"&amp;C24)</x:f>
        <x:v>EE10177|</x:v>
      </x:c>
      <x:c r="J24" t="str">
        <x:f>IF(A24&lt;&gt;"","SÍ","NO")</x:f>
        <x:v>SÍ</x:v>
      </x:c>
    </x:row>
    <x:row r="25" ht="43.20000076293945">
      <x:c r="A25" s="2" t="s">
        <x:v>61</x:v>
      </x:c>
      <x:c r="B25" s="12" t="s">
        <x:v>62</x:v>
      </x:c>
      <x:c r="C25" s="2"/>
      <x:c r="D25" s="5"/>
      <x:c r="E25" s="2" t="s">
        <x:v>10</x:v>
      </x:c>
      <x:c r="F25" s="6">
        <x:v>20350</x:v>
      </x:c>
      <x:c r="G25" s="2" t="s">
        <x:v>11</x:v>
      </x:c>
      <x:c r="H25" s="4"/>
      <x:c r="I25" t="str">
        <x:f>IF(A25="","",A25&amp;"|"&amp;C25)</x:f>
        <x:v>EE10149-2|</x:v>
      </x:c>
      <x:c r="J25" t="str">
        <x:f>IF(A25&lt;&gt;"","SÍ","NO")</x:f>
        <x:v>SÍ</x:v>
      </x:c>
    </x:row>
    <x:row r="26" ht="43.20000076293945">
      <x:c r="A26" s="2" t="s">
        <x:v>63</x:v>
      </x:c>
      <x:c r="B26" s="12" t="s">
        <x:v>64</x:v>
      </x:c>
      <x:c r="C26" s="2" t="s">
        <x:v>55</x:v>
      </x:c>
      <x:c r="D26" s="5">
        <x:v>46137.619039351863</x:v>
      </x:c>
      <x:c r="E26" s="2" t="s">
        <x:v>10</x:v>
      </x:c>
      <x:c r="F26" s="6">
        <x:v>351.70240000000001</x:v>
      </x:c>
      <x:c r="G26" s="2" t="s">
        <x:v>40</x:v>
      </x:c>
      <x:c r="H26" s="4"/>
      <x:c r="I26" t="str">
        <x:f>IF(A26="","",A26&amp;"|"&amp;C26)</x:f>
        <x:v>EE10146|INFORME 02/25</x:v>
      </x:c>
      <x:c r="J26" t="str">
        <x:f>IF(A26&lt;&gt;"","SÍ","NO")</x:f>
        <x:v>SÍ</x:v>
      </x:c>
    </x:row>
    <x:row r="27" ht="43.20000076293945">
      <x:c r="A27" s="2" t="s">
        <x:v>65</x:v>
      </x:c>
      <x:c r="B27" s="12" t="s">
        <x:v>66</x:v>
      </x:c>
      <x:c r="C27" s="2" t="s">
        <x:v>67</x:v>
      </x:c>
      <x:c r="D27" s="5">
        <x:v>46203.624201388891</x:v>
      </x:c>
      <x:c r="E27" s="2" t="s">
        <x:v>10</x:v>
      </x:c>
      <x:c r="F27" s="6">
        <x:v>53.75</x:v>
      </x:c>
      <x:c r="G27" s="2" t="s">
        <x:v>40</x:v>
      </x:c>
      <x:c r="H27" s="4"/>
      <x:c r="I27" t="str">
        <x:f>IF(A27="","",A27&amp;"|"&amp;C27)</x:f>
        <x:v>EE10088-1|INFORME 05/25</x:v>
      </x:c>
      <x:c r="J27" t="str">
        <x:f>IF(A27&lt;&gt;"","SÍ","NO")</x:f>
        <x:v>SÍ</x:v>
      </x:c>
    </x:row>
    <x:row r="28" ht="28.799999237060547">
      <x:c r="A28" s="2" t="s">
        <x:v>68</x:v>
      </x:c>
      <x:c r="B28" s="12" t="s">
        <x:v>69</x:v>
      </x:c>
      <x:c r="C28" s="2" t="s">
        <x:v>70</x:v>
      </x:c>
      <x:c r="D28" s="5">
        <x:v>46387</x:v>
      </x:c>
      <x:c r="E28" s="2" t="s">
        <x:v>10</x:v>
      </x:c>
      <x:c r="F28" s="6">
        <x:v>2625</x:v>
      </x:c>
      <x:c r="G28" s="2" t="s">
        <x:v>11</x:v>
      </x:c>
      <x:c r="H28" s="4"/>
      <x:c r="I28" t="str">
        <x:f>IF(A28="","",A28&amp;"|"&amp;C28)</x:f>
        <x:v>EE10004|LT-SF-AGR</x:v>
      </x:c>
      <x:c r="J28" t="str">
        <x:f>IF(A28&lt;&gt;"","SÍ","NO")</x:f>
        <x:v>SÍ</x:v>
      </x:c>
    </x:row>
    <x:row r="29" ht="28.799999237060547">
      <x:c r="A29" s="2" t="s">
        <x:v>71</x:v>
      </x:c>
      <x:c r="B29" s="12" t="s">
        <x:v>72</x:v>
      </x:c>
      <x:c r="C29" s="2" t="s">
        <x:v>73</x:v>
      </x:c>
      <x:c r="D29" s="5">
        <x:v>46387.791666666657</x:v>
      </x:c>
      <x:c r="E29" s="2" t="s">
        <x:v>10</x:v>
      </x:c>
      <x:c r="F29" s="6">
        <x:v>333</x:v>
      </x:c>
      <x:c r="G29" s="2" t="s">
        <x:v>11</x:v>
      </x:c>
      <x:c r="H29" s="4"/>
      <x:c r="I29" t="str">
        <x:f>IF(A29="","",A29&amp;"|"&amp;C29)</x:f>
        <x:v>EE10092|INFORME 10</x:v>
      </x:c>
      <x:c r="J29" t="str">
        <x:f>IF(A29&lt;&gt;"","SÍ","NO")</x:f>
        <x:v>SÍ</x:v>
      </x:c>
    </x:row>
    <x:row r="30" ht="28.799999237060547">
      <x:c r="A30" s="2" t="s">
        <x:v>71</x:v>
      </x:c>
      <x:c r="B30" s="12" t="s">
        <x:v>72</x:v>
      </x:c>
      <x:c r="C30" s="2" t="s">
        <x:v>74</x:v>
      </x:c>
      <x:c r="D30" s="5">
        <x:v>46387.791666666657</x:v>
      </x:c>
      <x:c r="E30" s="2" t="s">
        <x:v>10</x:v>
      </x:c>
      <x:c r="F30" s="6">
        <x:v>2200</x:v>
      </x:c>
      <x:c r="G30" s="2" t="s">
        <x:v>11</x:v>
      </x:c>
      <x:c r="H30" s="4"/>
      <x:c r="I30" t="str">
        <x:f>IF(A30="","",A30&amp;"|"&amp;C30)</x:f>
        <x:v>EE10092|INFORME 11</x:v>
      </x:c>
      <x:c r="J30" t="str">
        <x:f>IF(A30&lt;&gt;"","SÍ","NO")</x:f>
        <x:v>SÍ</x:v>
      </x:c>
    </x:row>
    <x:row r="31" ht="28.799999237060547">
      <x:c r="A31" s="2" t="s">
        <x:v>71</x:v>
      </x:c>
      <x:c r="B31" s="12" t="s">
        <x:v>72</x:v>
      </x:c>
      <x:c r="C31" s="2" t="s">
        <x:v>75</x:v>
      </x:c>
      <x:c r="D31" s="5">
        <x:v>46387.791666666657</x:v>
      </x:c>
      <x:c r="E31" s="2" t="s">
        <x:v>10</x:v>
      </x:c>
      <x:c r="F31" s="6">
        <x:v>2800</x:v>
      </x:c>
      <x:c r="G31" s="2" t="s">
        <x:v>11</x:v>
      </x:c>
      <x:c r="H31" s="4"/>
      <x:c r="I31" t="str">
        <x:f>IF(A31="","",A31&amp;"|"&amp;C31)</x:f>
        <x:v>EE10092|INFORME 8</x:v>
      </x:c>
      <x:c r="J31" t="str">
        <x:f>IF(A31&lt;&gt;"","SÍ","NO")</x:f>
        <x:v>SÍ</x:v>
      </x:c>
    </x:row>
    <x:row r="32" ht="28.799999237060547">
      <x:c r="A32" s="2" t="s">
        <x:v>76</x:v>
      </x:c>
      <x:c r="B32" s="12" t="s">
        <x:v>77</x:v>
      </x:c>
      <x:c r="C32" s="2" t="s">
        <x:v>78</x:v>
      </x:c>
      <x:c r="D32" s="5">
        <x:v>46152.412476851852</x:v>
      </x:c>
      <x:c r="E32" s="2" t="s">
        <x:v>10</x:v>
      </x:c>
      <x:c r="F32" s="6">
        <x:v>188.87700000000001</x:v>
      </x:c>
      <x:c r="G32" s="2" t="s">
        <x:v>40</x:v>
      </x:c>
      <x:c r="H32" s="4"/>
      <x:c r="I32" t="str">
        <x:f>IF(A32="","",A32&amp;"|"&amp;C32)</x:f>
        <x:v>EE10158|INFORME 04/25</x:v>
      </x:c>
      <x:c r="J32" t="str">
        <x:f>IF(A32&lt;&gt;"","SÍ","NO")</x:f>
        <x:v>SÍ</x:v>
      </x:c>
    </x:row>
    <x:row r="33" ht="43.20000076293945">
      <x:c r="A33" s="2" t="s">
        <x:v>79</x:v>
      </x:c>
      <x:c r="B33" s="12" t="s">
        <x:v>80</x:v>
      </x:c>
      <x:c r="C33" s="2" t="s">
        <x:v>81</x:v>
      </x:c>
      <x:c r="D33" s="5">
        <x:v>46387.520405092589</x:v>
      </x:c>
      <x:c r="E33" s="2" t="s">
        <x:v>10</x:v>
      </x:c>
      <x:c r="F33" s="6">
        <x:v>15000</x:v>
      </x:c>
      <x:c r="G33" s="2" t="s">
        <x:v>11</x:v>
      </x:c>
      <x:c r="H33" s="4"/>
      <x:c r="I33" t="str">
        <x:f>IF(A33="","",A33&amp;"|"&amp;C33)</x:f>
        <x:v>EE10181|INFORME 21/25</x:v>
      </x:c>
      <x:c r="J33" t="str">
        <x:f>IF(A33&lt;&gt;"","SÍ","NO")</x:f>
        <x:v>SÍ</x:v>
      </x:c>
    </x:row>
    <x:row r="34" ht="28.799999237060547">
      <x:c r="A34" s="2" t="s">
        <x:v>76</x:v>
      </x:c>
      <x:c r="B34" s="12" t="s">
        <x:v>77</x:v>
      </x:c>
      <x:c r="C34" s="2" t="s">
        <x:v>82</x:v>
      </x:c>
      <x:c r="D34" s="5">
        <x:v>46162.962013888893</x:v>
      </x:c>
      <x:c r="E34" s="2" t="s">
        <x:v>10</x:v>
      </x:c>
      <x:c r="F34" s="6">
        <x:v>667.14</x:v>
      </x:c>
      <x:c r="G34" s="2" t="s">
        <x:v>40</x:v>
      </x:c>
      <x:c r="H34" s="4"/>
      <x:c r="I34" t="str">
        <x:f>IF(A34="","",A34&amp;"|"&amp;C34)</x:f>
        <x:v>EE10158|INFORME 06/25</x:v>
      </x:c>
      <x:c r="J34" t="str">
        <x:f>IF(A34&lt;&gt;"","SÍ","NO")</x:f>
        <x:v>SÍ</x:v>
      </x:c>
    </x:row>
    <x:row r="35" ht="43.20000076293945">
      <x:c r="A35" s="2" t="s">
        <x:v>83</x:v>
      </x:c>
      <x:c r="B35" s="12" t="s">
        <x:v>84</x:v>
      </x:c>
      <x:c r="C35" s="2" t="s">
        <x:v>85</x:v>
      </x:c>
      <x:c r="D35" s="5">
        <x:v>46169.473749999997</x:v>
      </x:c>
      <x:c r="E35" s="2" t="s">
        <x:v>10</x:v>
      </x:c>
      <x:c r="F35" s="6">
        <x:v>337.29</x:v>
      </x:c>
      <x:c r="G35" s="2" t="s">
        <x:v>40</x:v>
      </x:c>
      <x:c r="H35" s="4"/>
      <x:c r="I35" t="str">
        <x:f>IF(A35="","",A35&amp;"|"&amp;C35)</x:f>
        <x:v>EE10121|INFORME 10/25</x:v>
      </x:c>
      <x:c r="J35" t="str">
        <x:f>IF(A35&lt;&gt;"","SÍ","NO")</x:f>
        <x:v>SÍ</x:v>
      </x:c>
    </x:row>
    <x:row r="36" ht="28.799999237060547">
      <x:c r="A36" s="2" t="s">
        <x:v>86</x:v>
      </x:c>
      <x:c r="B36" s="12" t="s">
        <x:v>87</x:v>
      </x:c>
      <x:c r="C36" s="2"/>
      <x:c r="D36" s="5"/>
      <x:c r="E36" s="2" t="s">
        <x:v>10</x:v>
      </x:c>
      <x:c r="F36" s="6">
        <x:v>76</x:v>
      </x:c>
      <x:c r="G36" s="2" t="s">
        <x:v>11</x:v>
      </x:c>
      <x:c r="H36" s="4"/>
      <x:c r="I36" t="str">
        <x:f>IF(A36="","",A36&amp;"|"&amp;C36)</x:f>
        <x:v>EE10097|</x:v>
      </x:c>
      <x:c r="J36" t="str">
        <x:f>IF(A36&lt;&gt;"","SÍ","NO")</x:f>
        <x:v>SÍ</x:v>
      </x:c>
    </x:row>
    <x:row r="37" ht="28.799999237060547">
      <x:c r="A37" s="2" t="s">
        <x:v>76</x:v>
      </x:c>
      <x:c r="B37" s="12" t="s">
        <x:v>77</x:v>
      </x:c>
      <x:c r="C37" s="2" t="s">
        <x:v>88</x:v>
      </x:c>
      <x:c r="D37" s="5">
        <x:v>46001.464756944442</x:v>
      </x:c>
      <x:c r="E37" s="2" t="s">
        <x:v>10</x:v>
      </x:c>
      <x:c r="F37" s="6">
        <x:v>861.73</x:v>
      </x:c>
      <x:c r="G37" s="2" t="s">
        <x:v>40</x:v>
      </x:c>
      <x:c r="H37" s="4"/>
      <x:c r="I37" t="str">
        <x:f>IF(A37="","",A37&amp;"|"&amp;C37)</x:f>
        <x:v>EE10158|INFORME 07/25</x:v>
      </x:c>
      <x:c r="J37" t="str">
        <x:f>IF(A37&lt;&gt;"","SÍ","NO")</x:f>
        <x:v>SÍ</x:v>
      </x:c>
    </x:row>
    <x:row r="38" ht="43.20000076293945">
      <x:c r="A38" s="2" t="s">
        <x:v>89</x:v>
      </x:c>
      <x:c r="B38" s="12" t="s">
        <x:v>90</x:v>
      </x:c>
      <x:c r="C38" s="2" t="s">
        <x:v>91</x:v>
      </x:c>
      <x:c r="D38" s="5">
        <x:v>46752.472222222219</x:v>
      </x:c>
      <x:c r="E38" s="2" t="s">
        <x:v>10</x:v>
      </x:c>
      <x:c r="F38" s="6">
        <x:v>2500</x:v>
      </x:c>
      <x:c r="G38" s="2" t="s">
        <x:v>11</x:v>
      </x:c>
      <x:c r="H38" s="4"/>
      <x:c r="I38" t="str">
        <x:f>IF(A38="","",A38&amp;"|"&amp;C38)</x:f>
        <x:v>EE10060|INFORME 01/25</x:v>
      </x:c>
      <x:c r="J38" t="str">
        <x:f>IF(A38&lt;&gt;"","SÍ","NO")</x:f>
        <x:v>SÍ</x:v>
      </x:c>
    </x:row>
    <x:row r="39" ht="43.20000076293945">
      <x:c r="A39" s="2" t="s">
        <x:v>92</x:v>
      </x:c>
      <x:c r="B39" s="12" t="s">
        <x:v>93</x:v>
      </x:c>
      <x:c r="C39" s="2" t="s">
        <x:v>55</x:v>
      </x:c>
      <x:c r="D39" s="5">
        <x:v>46752.472777777781</x:v>
      </x:c>
      <x:c r="E39" s="2" t="s">
        <x:v>10</x:v>
      </x:c>
      <x:c r="F39" s="6">
        <x:v>3000</x:v>
      </x:c>
      <x:c r="G39" s="2" t="s">
        <x:v>11</x:v>
      </x:c>
      <x:c r="H39" s="4"/>
      <x:c r="I39" t="str">
        <x:f>IF(A39="","",A39&amp;"|"&amp;C39)</x:f>
        <x:v>EE10062|INFORME 02/25</x:v>
      </x:c>
      <x:c r="J39" t="str">
        <x:f>IF(A39&lt;&gt;"","SÍ","NO")</x:f>
        <x:v>SÍ</x:v>
      </x:c>
    </x:row>
    <x:row r="40" ht="28.799999237060547">
      <x:c r="A40" s="2" t="s">
        <x:v>94</x:v>
      </x:c>
      <x:c r="B40" s="12" t="s">
        <x:v>95</x:v>
      </x:c>
      <x:c r="C40" s="2" t="s">
        <x:v>91</x:v>
      </x:c>
      <x:c r="D40" s="5">
        <x:v>46387.512372685182</x:v>
      </x:c>
      <x:c r="E40" s="2" t="s">
        <x:v>10</x:v>
      </x:c>
      <x:c r="F40" s="6">
        <x:v>27100</x:v>
      </x:c>
      <x:c r="G40" s="2" t="s">
        <x:v>11</x:v>
      </x:c>
      <x:c r="H40" s="4"/>
      <x:c r="I40" t="str">
        <x:f>IF(A40="","",A40&amp;"|"&amp;C40)</x:f>
        <x:v>EE10081|INFORME 01/25</x:v>
      </x:c>
      <x:c r="J40" t="str">
        <x:f>IF(A40&lt;&gt;"","SÍ","NO")</x:f>
        <x:v>SÍ</x:v>
      </x:c>
    </x:row>
    <x:row r="41" ht="43.20000076293945">
      <x:c r="A41" s="2" t="s">
        <x:v>96</x:v>
      </x:c>
      <x:c r="B41" s="12" t="s">
        <x:v>97</x:v>
      </x:c>
      <x:c r="C41" s="2" t="s">
        <x:v>98</x:v>
      </x:c>
      <x:c r="D41" s="5">
        <x:v>46177.963414351849</x:v>
      </x:c>
      <x:c r="E41" s="2" t="s">
        <x:v>10</x:v>
      </x:c>
      <x:c r="F41" s="6">
        <x:v>1128.92</x:v>
      </x:c>
      <x:c r="G41" s="2" t="s">
        <x:v>40</x:v>
      </x:c>
      <x:c r="H41" s="4"/>
      <x:c r="I41" t="str">
        <x:f>IF(A41="","",A41&amp;"|"&amp;C41)</x:f>
        <x:v>EE10015|INFORME 13/25</x:v>
      </x:c>
      <x:c r="J41" t="str">
        <x:f>IF(A41&lt;&gt;"","SÍ","NO")</x:f>
        <x:v>SÍ</x:v>
      </x:c>
    </x:row>
    <x:row r="42" ht="43.20000076293945">
      <x:c r="A42" s="2" t="s">
        <x:v>83</x:v>
      </x:c>
      <x:c r="B42" s="12" t="s">
        <x:v>84</x:v>
      </x:c>
      <x:c r="C42" s="2" t="s">
        <x:v>99</x:v>
      </x:c>
      <x:c r="D42" s="5">
        <x:v>46186.963796296302</x:v>
      </x:c>
      <x:c r="E42" s="2" t="s">
        <x:v>10</x:v>
      </x:c>
      <x:c r="F42" s="6">
        <x:v>220.06</x:v>
      </x:c>
      <x:c r="G42" s="2" t="s">
        <x:v>40</x:v>
      </x:c>
      <x:c r="H42" s="4"/>
      <x:c r="I42" t="str">
        <x:f>IF(A42="","",A42&amp;"|"&amp;C42)</x:f>
        <x:v>EE10121|INFORME 14/25</x:v>
      </x:c>
      <x:c r="J42" t="str">
        <x:f>IF(A42&lt;&gt;"","SÍ","NO")</x:f>
        <x:v>SÍ</x:v>
      </x:c>
    </x:row>
    <x:row r="43" ht="43.20000076293945">
      <x:c r="A43" s="2" t="s">
        <x:v>100</x:v>
      </x:c>
      <x:c r="B43" s="12" t="s">
        <x:v>101</x:v>
      </x:c>
      <x:c r="C43" s="2" t="s">
        <x:v>78</x:v>
      </x:c>
      <x:c r="D43" s="5">
        <x:v>46186.964305555557</x:v>
      </x:c>
      <x:c r="E43" s="2" t="s">
        <x:v>10</x:v>
      </x:c>
      <x:c r="F43" s="6">
        <x:v>181.43</x:v>
      </x:c>
      <x:c r="G43" s="2" t="s">
        <x:v>40</x:v>
      </x:c>
      <x:c r="H43" s="4"/>
      <x:c r="I43" t="str">
        <x:f>IF(A43="","",A43&amp;"|"&amp;C43)</x:f>
        <x:v>EE10122|INFORME 04/25</x:v>
      </x:c>
      <x:c r="J43" t="str">
        <x:f>IF(A43&lt;&gt;"","SÍ","NO")</x:f>
        <x:v>SÍ</x:v>
      </x:c>
    </x:row>
    <x:row r="44" ht="43.20000076293945">
      <x:c r="A44" s="2" t="s">
        <x:v>102</x:v>
      </x:c>
      <x:c r="B44" s="12" t="s">
        <x:v>103</x:v>
      </x:c>
      <x:c r="C44" s="2" t="s">
        <x:v>104</x:v>
      </x:c>
      <x:c r="D44" s="5">
        <x:v>46752.970613425918</x:v>
      </x:c>
      <x:c r="E44" s="2" t="s">
        <x:v>10</x:v>
      </x:c>
      <x:c r="F44" s="6">
        <x:v>2381</x:v>
      </x:c>
      <x:c r="G44" s="2" t="s">
        <x:v>11</x:v>
      </x:c>
      <x:c r="H44" s="4"/>
      <x:c r="I44" t="str">
        <x:f>IF(A44="","",A44&amp;"|"&amp;C44)</x:f>
        <x:v>EE10007|INFORME 17/25</x:v>
      </x:c>
      <x:c r="J44" t="str">
        <x:f>IF(A44&lt;&gt;"","SÍ","NO")</x:f>
        <x:v>SÍ</x:v>
      </x:c>
    </x:row>
    <x:row r="45" ht="28.799999237060547">
      <x:c r="A45" s="2" t="s">
        <x:v>105</x:v>
      </x:c>
      <x:c r="B45" s="12" t="s">
        <x:v>106</x:v>
      </x:c>
      <x:c r="C45" s="2" t="s">
        <x:v>55</x:v>
      </x:c>
      <x:c r="D45" s="5">
        <x:v>46222.60800925926</x:v>
      </x:c>
      <x:c r="E45" s="2" t="s">
        <x:v>10</x:v>
      </x:c>
      <x:c r="F45" s="6">
        <x:v>69.00200000000001</x:v>
      </x:c>
      <x:c r="G45" s="2" t="s">
        <x:v>40</x:v>
      </x:c>
      <x:c r="H45" s="4"/>
      <x:c r="I45" t="str">
        <x:f>IF(A45="","",A45&amp;"|"&amp;C45)</x:f>
        <x:v>EE10128|INFORME 02/25</x:v>
      </x:c>
      <x:c r="J45" t="str">
        <x:f>IF(A45&lt;&gt;"","SÍ","NO")</x:f>
        <x:v>SÍ</x:v>
      </x:c>
    </x:row>
    <x:row r="46" ht="28.799999237060547">
      <x:c r="A46" s="2" t="s">
        <x:v>107</x:v>
      </x:c>
      <x:c r="B46" s="12" t="s">
        <x:v>108</x:v>
      </x:c>
      <x:c r="C46" s="2" t="s">
        <x:v>67</x:v>
      </x:c>
      <x:c r="D46" s="5">
        <x:v>46014.561979166669</x:v>
      </x:c>
      <x:c r="E46" s="2" t="s">
        <x:v>10</x:v>
      </x:c>
      <x:c r="F46" s="6">
        <x:v>703</x:v>
      </x:c>
      <x:c r="G46" s="2" t="s">
        <x:v>40</x:v>
      </x:c>
      <x:c r="H46" s="4"/>
      <x:c r="I46" t="str">
        <x:f>IF(A46="","",A46&amp;"|"&amp;C46)</x:f>
        <x:v>EE10022|INFORME 05/25</x:v>
      </x:c>
      <x:c r="J46" t="str">
        <x:f>IF(A46&lt;&gt;"","SÍ","NO")</x:f>
        <x:v>SÍ</x:v>
      </x:c>
    </x:row>
    <x:row r="47" ht="43.20000076293945">
      <x:c r="A47" s="2" t="s">
        <x:v>109</x:v>
      </x:c>
      <x:c r="B47" s="12" t="s">
        <x:v>110</x:v>
      </x:c>
      <x:c r="C47" s="2" t="s">
        <x:v>98</x:v>
      </x:c>
      <x:c r="D47" s="5"/>
      <x:c r="E47" s="2" t="s">
        <x:v>10</x:v>
      </x:c>
      <x:c r="F47" s="6">
        <x:v>285.39999999999998</x:v>
      </x:c>
      <x:c r="G47" s="2" t="s">
        <x:v>40</x:v>
      </x:c>
      <x:c r="H47" s="4"/>
      <x:c r="I47" t="str">
        <x:f>IF(A47="","",A47&amp;"|"&amp;C47)</x:f>
        <x:v>EE10029-1|INFORME 13/25</x:v>
      </x:c>
      <x:c r="J47" t="str">
        <x:f>IF(A47&lt;&gt;"","SÍ","NO")</x:f>
        <x:v>SÍ</x:v>
      </x:c>
    </x:row>
    <x:row r="48" ht="43.20000076293945">
      <x:c r="A48" s="2" t="s">
        <x:v>100</x:v>
      </x:c>
      <x:c r="B48" s="12" t="s">
        <x:v>101</x:v>
      </x:c>
      <x:c r="C48" s="2" t="s">
        <x:v>82</x:v>
      </x:c>
      <x:c r="D48" s="5">
        <x:v>46016.456180555557</x:v>
      </x:c>
      <x:c r="E48" s="2" t="s">
        <x:v>10</x:v>
      </x:c>
      <x:c r="F48" s="6">
        <x:v>712.73500000000001</x:v>
      </x:c>
      <x:c r="G48" s="2" t="s">
        <x:v>40</x:v>
      </x:c>
      <x:c r="H48" s="4"/>
      <x:c r="I48" t="str">
        <x:f>IF(A48="","",A48&amp;"|"&amp;C48)</x:f>
        <x:v>EE10122|INFORME 06/25</x:v>
      </x:c>
      <x:c r="J48" t="str">
        <x:f>IF(A48&lt;&gt;"","SÍ","NO")</x:f>
        <x:v>SÍ</x:v>
      </x:c>
    </x:row>
    <x:row r="49" ht="43.20000076293945">
      <x:c r="A49" s="2" t="s">
        <x:v>96</x:v>
      </x:c>
      <x:c r="B49" s="12" t="s">
        <x:v>97</x:v>
      </x:c>
      <x:c r="C49" s="2" t="s">
        <x:v>111</x:v>
      </x:c>
      <x:c r="D49" s="5">
        <x:v>46201.563090277778</x:v>
      </x:c>
      <x:c r="E49" s="2" t="s">
        <x:v>10</x:v>
      </x:c>
      <x:c r="F49" s="6">
        <x:v>1188.5999999999999</x:v>
      </x:c>
      <x:c r="G49" s="2" t="s">
        <x:v>40</x:v>
      </x:c>
      <x:c r="H49" s="4"/>
      <x:c r="I49" t="str">
        <x:f>IF(A49="","",A49&amp;"|"&amp;C49)</x:f>
        <x:v>EE10015|INFORME 15/25</x:v>
      </x:c>
      <x:c r="J49" t="str">
        <x:f>IF(A49&lt;&gt;"","SÍ","NO")</x:f>
        <x:v>SÍ</x:v>
      </x:c>
    </x:row>
    <x:row r="50" ht="28.799999237060547">
      <x:c r="A50" s="2" t="s">
        <x:v>112</x:v>
      </x:c>
      <x:c r="B50" s="12" t="s">
        <x:v>113</x:v>
      </x:c>
      <x:c r="C50" s="2"/>
      <x:c r="D50" s="5"/>
      <x:c r="E50" s="2" t="s">
        <x:v>10</x:v>
      </x:c>
      <x:c r="F50" s="6">
        <x:v>42</x:v>
      </x:c>
      <x:c r="G50" s="2" t="s">
        <x:v>11</x:v>
      </x:c>
      <x:c r="H50" s="4"/>
      <x:c r="I50" t="str">
        <x:f>IF(A50="","",A50&amp;"|"&amp;C50)</x:f>
        <x:v>EE10098|</x:v>
      </x:c>
      <x:c r="J50" t="str">
        <x:f>IF(A50&lt;&gt;"","SÍ","NO")</x:f>
        <x:v>SÍ</x:v>
      </x:c>
    </x:row>
    <x:row r="51" ht="43.20000076293945">
      <x:c r="A51" s="2" t="s">
        <x:v>65</x:v>
      </x:c>
      <x:c r="B51" s="12" t="s">
        <x:v>66</x:v>
      </x:c>
      <x:c r="C51" s="2" t="s">
        <x:v>99</x:v>
      </x:c>
      <x:c r="D51" s="5">
        <x:v>46295.682627314818</x:v>
      </x:c>
      <x:c r="E51" s="2" t="s">
        <x:v>10</x:v>
      </x:c>
      <x:c r="F51" s="6">
        <x:v>34.260000000000012</x:v>
      </x:c>
      <x:c r="G51" s="2" t="s">
        <x:v>40</x:v>
      </x:c>
      <x:c r="H51" s="4"/>
      <x:c r="I51" t="str">
        <x:f>IF(A51="","",A51&amp;"|"&amp;C51)</x:f>
        <x:v>EE10088-1|INFORME 14/25</x:v>
      </x:c>
      <x:c r="J51" t="str">
        <x:f>IF(A51&lt;&gt;"","SÍ","NO")</x:f>
        <x:v>SÍ</x:v>
      </x:c>
    </x:row>
    <x:row r="52" ht="28.799999237060547">
      <x:c r="A52" s="2" t="s">
        <x:v>114</x:v>
      </x:c>
      <x:c r="B52" s="12" t="s">
        <x:v>115</x:v>
      </x:c>
      <x:c r="C52" s="2" t="s">
        <x:v>116</x:v>
      </x:c>
      <x:c r="D52" s="5">
        <x:v>46199.682916666658</x:v>
      </x:c>
      <x:c r="E52" s="2" t="s">
        <x:v>10</x:v>
      </x:c>
      <x:c r="F52" s="6">
        <x:v>71.48</x:v>
      </x:c>
      <x:c r="G52" s="2" t="s">
        <x:v>40</x:v>
      </x:c>
      <x:c r="H52" s="4"/>
      <x:c r="I52" t="str">
        <x:f>IF(A52="","",A52&amp;"|"&amp;C52)</x:f>
        <x:v>EE10087-1|INFORME 16/25</x:v>
      </x:c>
      <x:c r="J52" t="str">
        <x:f>IF(A52&lt;&gt;"","SÍ","NO")</x:f>
        <x:v>SÍ</x:v>
      </x:c>
    </x:row>
    <x:row r="53" ht="43.20000076293945">
      <x:c r="A53" s="2" t="s">
        <x:v>65</x:v>
      </x:c>
      <x:c r="B53" s="12" t="s">
        <x:v>66</x:v>
      </x:c>
      <x:c r="C53" s="2" t="s">
        <x:v>111</x:v>
      </x:c>
      <x:c r="D53" s="5">
        <x:v>46199.684421296297</x:v>
      </x:c>
      <x:c r="E53" s="2" t="s">
        <x:v>10</x:v>
      </x:c>
      <x:c r="F53" s="6">
        <x:v>334.88</x:v>
      </x:c>
      <x:c r="G53" s="2" t="s">
        <x:v>40</x:v>
      </x:c>
      <x:c r="H53" s="4"/>
      <x:c r="I53" t="str">
        <x:f>IF(A53="","",A53&amp;"|"&amp;C53)</x:f>
        <x:v>EE10088-1|INFORME 15/25</x:v>
      </x:c>
      <x:c r="J53" t="str">
        <x:f>IF(A53&lt;&gt;"","SÍ","NO")</x:f>
        <x:v>SÍ</x:v>
      </x:c>
    </x:row>
    <x:row r="54" ht="28.799999237060547">
      <x:c r="A54" s="2" t="s">
        <x:v>114</x:v>
      </x:c>
      <x:c r="B54" s="12" t="s">
        <x:v>115</x:v>
      </x:c>
      <x:c r="C54" s="2" t="s">
        <x:v>104</x:v>
      </x:c>
      <x:c r="D54" s="5">
        <x:v>46199.684675925928</x:v>
      </x:c>
      <x:c r="E54" s="2" t="s">
        <x:v>10</x:v>
      </x:c>
      <x:c r="F54" s="6">
        <x:v>339.16</x:v>
      </x:c>
      <x:c r="G54" s="2" t="s">
        <x:v>40</x:v>
      </x:c>
      <x:c r="H54" s="4"/>
      <x:c r="I54" t="str">
        <x:f>IF(A54="","",A54&amp;"|"&amp;C54)</x:f>
        <x:v>EE10087-1|INFORME 17/25</x:v>
      </x:c>
      <x:c r="J54" t="str">
        <x:f>IF(A54&lt;&gt;"","SÍ","NO")</x:f>
        <x:v>SÍ</x:v>
      </x:c>
    </x:row>
    <x:row r="55" ht="28.799999237060547">
      <x:c r="A55" s="2" t="s">
        <x:v>117</x:v>
      </x:c>
      <x:c r="B55" s="12" t="s">
        <x:v>118</x:v>
      </x:c>
      <x:c r="C55" s="2" t="s">
        <x:v>119</x:v>
      </x:c>
      <x:c r="D55" s="5">
        <x:v>46199.685624999998</x:v>
      </x:c>
      <x:c r="E55" s="2" t="s">
        <x:v>10</x:v>
      </x:c>
      <x:c r="F55" s="6">
        <x:v>385.05200000000002</x:v>
      </x:c>
      <x:c r="G55" s="2" t="s">
        <x:v>40</x:v>
      </x:c>
      <x:c r="H55" s="4"/>
      <x:c r="I55" t="str">
        <x:f>IF(A55="","",A55&amp;"|"&amp;C55)</x:f>
        <x:v>EE10188|INFORME 08/25</x:v>
      </x:c>
      <x:c r="J55" t="str">
        <x:f>IF(A55&lt;&gt;"","SÍ","NO")</x:f>
        <x:v>SÍ</x:v>
      </x:c>
    </x:row>
    <x:row r="56" ht="28.799999237060547">
      <x:c r="A56" s="2" t="s">
        <x:v>120</x:v>
      </x:c>
      <x:c r="B56" s="12" t="s">
        <x:v>121</x:v>
      </x:c>
      <x:c r="C56" s="2" t="s">
        <x:v>55</x:v>
      </x:c>
      <x:c r="D56" s="5">
        <x:v>46247.692650462966</x:v>
      </x:c>
      <x:c r="E56" s="2" t="s">
        <x:v>10</x:v>
      </x:c>
      <x:c r="F56" s="6">
        <x:v>140.12</x:v>
      </x:c>
      <x:c r="G56" s="2" t="s">
        <x:v>40</x:v>
      </x:c>
      <x:c r="H56" s="4"/>
      <x:c r="I56" t="str">
        <x:f>IF(A56="","",A56&amp;"|"&amp;C56)</x:f>
        <x:v>EE10131|INFORME 02/25</x:v>
      </x:c>
      <x:c r="J56" t="str">
        <x:f>IF(A56&lt;&gt;"","SÍ","NO")</x:f>
        <x:v>SÍ</x:v>
      </x:c>
    </x:row>
    <x:row r="57" ht="43.20000076293945">
      <x:c r="A57" s="2" t="s">
        <x:v>96</x:v>
      </x:c>
      <x:c r="B57" s="12" t="s">
        <x:v>97</x:v>
      </x:c>
      <x:c r="C57" s="2" t="s">
        <x:v>122</x:v>
      </x:c>
      <x:c r="D57" s="5">
        <x:v>46203.582881944443</x:v>
      </x:c>
      <x:c r="E57" s="2" t="s">
        <x:v>10</x:v>
      </x:c>
      <x:c r="F57" s="6">
        <x:v>1096.9000000000001</x:v>
      </x:c>
      <x:c r="G57" s="2" t="s">
        <x:v>40</x:v>
      </x:c>
      <x:c r="H57" s="4"/>
      <x:c r="I57" t="str">
        <x:f>IF(A57="","",A57&amp;"|"&amp;C57)</x:f>
        <x:v>EE10015|INFORME 18/25</x:v>
      </x:c>
      <x:c r="J57" t="str">
        <x:f>IF(A57&lt;&gt;"","SÍ","NO")</x:f>
        <x:v>SÍ</x:v>
      </x:c>
    </x:row>
    <x:row r="58" ht="28.799999237060547">
      <x:c r="A58" s="2" t="s">
        <x:v>123</x:v>
      </x:c>
      <x:c r="B58" s="12" t="s">
        <x:v>124</x:v>
      </x:c>
      <x:c r="C58" s="2" t="s">
        <x:v>88</x:v>
      </x:c>
      <x:c r="D58" s="5">
        <x:v>46201.567418981482</x:v>
      </x:c>
      <x:c r="E58" s="2" t="s">
        <x:v>10</x:v>
      </x:c>
      <x:c r="F58" s="6">
        <x:v>44</x:v>
      </x:c>
      <x:c r="G58" s="2" t="s">
        <x:v>40</x:v>
      </x:c>
      <x:c r="H58" s="4"/>
      <x:c r="I58" t="str">
        <x:f>IF(A58="","",A58&amp;"|"&amp;C58)</x:f>
        <x:v>EE10186|INFORME 07/25</x:v>
      </x:c>
      <x:c r="J58" t="str">
        <x:f>IF(A58&lt;&gt;"","SÍ","NO")</x:f>
        <x:v>SÍ</x:v>
      </x:c>
    </x:row>
    <x:row r="59" ht="28.799999237060547">
      <x:c r="A59" s="2" t="s">
        <x:v>123</x:v>
      </x:c>
      <x:c r="B59" s="12" t="s">
        <x:v>124</x:v>
      </x:c>
      <x:c r="C59" s="2" t="s">
        <x:v>119</x:v>
      </x:c>
      <x:c r="D59" s="5">
        <x:v>46201.682280092587</x:v>
      </x:c>
      <x:c r="E59" s="2" t="s">
        <x:v>10</x:v>
      </x:c>
      <x:c r="F59" s="6">
        <x:v>350</x:v>
      </x:c>
      <x:c r="G59" s="2" t="s">
        <x:v>40</x:v>
      </x:c>
      <x:c r="H59" s="4"/>
      <x:c r="I59" t="str">
        <x:f>IF(A59="","",A59&amp;"|"&amp;C59)</x:f>
        <x:v>EE10186|INFORME 08/25</x:v>
      </x:c>
      <x:c r="J59" t="str">
        <x:f>IF(A59&lt;&gt;"","SÍ","NO")</x:f>
        <x:v>SÍ</x:v>
      </x:c>
    </x:row>
    <x:row r="60" ht="28.799999237060547">
      <x:c r="A60" s="2" t="s">
        <x:v>125</x:v>
      </x:c>
      <x:c r="B60" s="12" t="s">
        <x:v>126</x:v>
      </x:c>
      <x:c r="C60" s="2" t="s">
        <x:v>85</x:v>
      </x:c>
      <x:c r="D60" s="5">
        <x:v>46201.682534722233</x:v>
      </x:c>
      <x:c r="E60" s="2" t="s">
        <x:v>10</x:v>
      </x:c>
      <x:c r="F60" s="6">
        <x:v>204.91</x:v>
      </x:c>
      <x:c r="G60" s="2" t="s">
        <x:v>40</x:v>
      </x:c>
      <x:c r="H60" s="4"/>
      <x:c r="I60" t="str">
        <x:f>IF(A60="","",A60&amp;"|"&amp;C60)</x:f>
        <x:v>EE10187|INFORME 10/25</x:v>
      </x:c>
      <x:c r="J60" t="str">
        <x:f>IF(A60&lt;&gt;"","SÍ","NO")</x:f>
        <x:v>SÍ</x:v>
      </x:c>
    </x:row>
    <x:row r="61" ht="43.20000076293945">
      <x:c r="A61" s="2" t="s">
        <x:v>100</x:v>
      </x:c>
      <x:c r="B61" s="12" t="s">
        <x:v>101</x:v>
      </x:c>
      <x:c r="C61" s="2" t="s">
        <x:v>127</x:v>
      </x:c>
      <x:c r="D61" s="5">
        <x:v>46210.925266203703</x:v>
      </x:c>
      <x:c r="E61" s="2" t="s">
        <x:v>10</x:v>
      </x:c>
      <x:c r="F61" s="6">
        <x:v>528.31000000000006</x:v>
      </x:c>
      <x:c r="G61" s="2" t="s">
        <x:v>40</x:v>
      </x:c>
      <x:c r="H61" s="4"/>
      <x:c r="I61" t="str">
        <x:f>IF(A61="","",A61&amp;"|"&amp;C61)</x:f>
        <x:v>EE10122|INFORME 09/25</x:v>
      </x:c>
      <x:c r="J61" t="str">
        <x:f>IF(A61&lt;&gt;"","SÍ","NO")</x:f>
        <x:v>SÍ</x:v>
      </x:c>
    </x:row>
    <x:row r="62" ht="43.20000076293945">
      <x:c r="A62" s="2" t="s">
        <x:v>128</x:v>
      </x:c>
      <x:c r="B62" s="12" t="s">
        <x:v>129</x:v>
      </x:c>
      <x:c r="C62" s="2" t="s">
        <x:v>116</x:v>
      </x:c>
      <x:c r="D62" s="5">
        <x:v>46221.926793981482</x:v>
      </x:c>
      <x:c r="E62" s="2" t="s">
        <x:v>10</x:v>
      </x:c>
      <x:c r="F62" s="6">
        <x:v>323</x:v>
      </x:c>
      <x:c r="G62" s="2" t="s">
        <x:v>40</x:v>
      </x:c>
      <x:c r="H62" s="4"/>
      <x:c r="I62" t="str">
        <x:f>IF(A62="","",A62&amp;"|"&amp;C62)</x:f>
        <x:v>EE10198|INFORME 16/25</x:v>
      </x:c>
      <x:c r="J62" t="str">
        <x:f>IF(A62&lt;&gt;"","SÍ","NO")</x:f>
        <x:v>SÍ</x:v>
      </x:c>
    </x:row>
    <x:row r="63" ht="43.20000076293945">
      <x:c r="A63" s="2" t="s">
        <x:v>130</x:v>
      </x:c>
      <x:c r="B63" s="12" t="s">
        <x:v>131</x:v>
      </x:c>
      <x:c r="C63" s="2"/>
      <x:c r="D63" s="5"/>
      <x:c r="E63" s="2" t="s">
        <x:v>10</x:v>
      </x:c>
      <x:c r="F63" s="6">
        <x:v>45.161799999999999</x:v>
      </x:c>
      <x:c r="G63" s="2" t="s">
        <x:v>11</x:v>
      </x:c>
      <x:c r="H63" s="4"/>
      <x:c r="I63" t="str">
        <x:f>IF(A63="","",A63&amp;"|"&amp;C63)</x:f>
        <x:v>EE10075|</x:v>
      </x:c>
      <x:c r="J63" t="str">
        <x:f>IF(A63&lt;&gt;"","SÍ","NO")</x:f>
        <x:v>SÍ</x:v>
      </x:c>
    </x:row>
    <x:row r="64" ht="43.20000076293945">
      <x:c r="A64" s="2" t="s">
        <x:v>132</x:v>
      </x:c>
      <x:c r="B64" s="12" t="s">
        <x:v>133</x:v>
      </x:c>
      <x:c r="C64" s="2"/>
      <x:c r="D64" s="5"/>
      <x:c r="E64" s="2" t="s">
        <x:v>10</x:v>
      </x:c>
      <x:c r="F64" s="6">
        <x:v>23650</x:v>
      </x:c>
      <x:c r="G64" s="2" t="s">
        <x:v>11</x:v>
      </x:c>
      <x:c r="H64" s="4"/>
      <x:c r="I64" t="str">
        <x:f>IF(A64="","",A64&amp;"|"&amp;C64)</x:f>
        <x:v>EE10204|</x:v>
      </x:c>
      <x:c r="J64" t="str">
        <x:f>IF(A64&lt;&gt;"","SÍ","NO")</x:f>
        <x:v>SÍ</x:v>
      </x:c>
    </x:row>
    <x:row r="65" ht="28.799999237060547">
      <x:c r="A65" s="2" t="s">
        <x:v>134</x:v>
      </x:c>
      <x:c r="B65" s="12" t="s">
        <x:v>135</x:v>
      </x:c>
      <x:c r="C65" s="2"/>
      <x:c r="D65" s="5"/>
      <x:c r="E65" s="2" t="s">
        <x:v>10</x:v>
      </x:c>
      <x:c r="F65" s="6">
        <x:v>12240</x:v>
      </x:c>
      <x:c r="G65" s="2" t="s">
        <x:v>11</x:v>
      </x:c>
      <x:c r="H65" s="4"/>
      <x:c r="I65" t="str">
        <x:f>IF(A65="","",A65&amp;"|"&amp;C65)</x:f>
        <x:v>EE10205|</x:v>
      </x:c>
      <x:c r="J65" t="str">
        <x:f>IF(A65&lt;&gt;"","SÍ","NO")</x:f>
        <x:v>SÍ</x:v>
      </x:c>
    </x:row>
    <x:row r="66" ht="28.799999237060547">
      <x:c r="A66" s="2" t="s">
        <x:v>136</x:v>
      </x:c>
      <x:c r="B66" s="12" t="s">
        <x:v>137</x:v>
      </x:c>
      <x:c r="C66" s="2"/>
      <x:c r="D66" s="5"/>
      <x:c r="E66" s="2" t="s">
        <x:v>10</x:v>
      </x:c>
      <x:c r="F66" s="6">
        <x:v>19000</x:v>
      </x:c>
      <x:c r="G66" s="2" t="s">
        <x:v>11</x:v>
      </x:c>
      <x:c r="H66" s="4"/>
      <x:c r="I66" t="str">
        <x:f>IF(A66="","",A66&amp;"|"&amp;C66)</x:f>
        <x:v>EE10203|</x:v>
      </x:c>
      <x:c r="J66" t="str">
        <x:f>IF(A66&lt;&gt;"","SÍ","NO")</x:f>
        <x:v>SÍ</x:v>
      </x:c>
    </x:row>
    <x:row r="67" ht="28.799999237060547">
      <x:c r="A67" s="2" t="s">
        <x:v>138</x:v>
      </x:c>
      <x:c r="B67" s="12" t="s">
        <x:v>139</x:v>
      </x:c>
      <x:c r="C67" s="2"/>
      <x:c r="D67" s="5"/>
      <x:c r="E67" s="2" t="s">
        <x:v>10</x:v>
      </x:c>
      <x:c r="F67" s="6">
        <x:v>23000</x:v>
      </x:c>
      <x:c r="G67" s="2" t="s">
        <x:v>11</x:v>
      </x:c>
      <x:c r="H67" s="4"/>
      <x:c r="I67" t="str">
        <x:f>IF(A67="","",A67&amp;"|"&amp;C67)</x:f>
        <x:v>EE10202|</x:v>
      </x:c>
      <x:c r="J67" t="str">
        <x:f>IF(A67&lt;&gt;"","SÍ","NO")</x:f>
        <x:v>SÍ</x:v>
      </x:c>
    </x:row>
    <x:row r="68" ht="43.20000076293945">
      <x:c r="A68" s="2" t="s">
        <x:v>140</x:v>
      </x:c>
      <x:c r="B68" s="12" t="s">
        <x:v>141</x:v>
      </x:c>
      <x:c r="C68" s="2" t="s">
        <x:v>91</x:v>
      </x:c>
      <x:c r="D68" s="5">
        <x:v>46261.414189814823</x:v>
      </x:c>
      <x:c r="E68" s="2" t="s">
        <x:v>10</x:v>
      </x:c>
      <x:c r="F68" s="6">
        <x:v>8800</x:v>
      </x:c>
      <x:c r="G68" s="2" t="s">
        <x:v>11</x:v>
      </x:c>
      <x:c r="H68" s="4"/>
      <x:c r="I68" t="str">
        <x:f>IF(A68="","",A68&amp;"|"&amp;C68)</x:f>
        <x:v>EE10196|INFORME 01/25</x:v>
      </x:c>
      <x:c r="J68" t="str">
        <x:f>IF(A68&lt;&gt;"","SÍ","NO")</x:f>
        <x:v>SÍ</x:v>
      </x:c>
    </x:row>
    <x:row r="69" ht="28.799999237060547">
      <x:c r="A69" s="2" t="s">
        <x:v>142</x:v>
      </x:c>
      <x:c r="B69" s="12" t="s">
        <x:v>143</x:v>
      </x:c>
      <x:c r="C69" s="2" t="s">
        <x:v>67</x:v>
      </x:c>
      <x:c r="D69" s="5">
        <x:v>46265.371238425927</x:v>
      </x:c>
      <x:c r="E69" s="2" t="s">
        <x:v>10</x:v>
      </x:c>
      <x:c r="F69" s="6">
        <x:v>29.620200000000001</x:v>
      </x:c>
      <x:c r="G69" s="2" t="s">
        <x:v>40</x:v>
      </x:c>
      <x:c r="H69" s="4"/>
      <x:c r="I69" t="str">
        <x:f>IF(A69="","",A69&amp;"|"&amp;C69)</x:f>
        <x:v>EE10044|INFORME 05/25</x:v>
      </x:c>
      <x:c r="J69" t="str">
        <x:f>IF(A69&lt;&gt;"","SÍ","NO")</x:f>
        <x:v>SÍ</x:v>
      </x:c>
    </x:row>
    <x:row r="70" ht="43.20000076293945">
      <x:c r="A70" s="2" t="s">
        <x:v>96</x:v>
      </x:c>
      <x:c r="B70" s="12" t="s">
        <x:v>97</x:v>
      </x:c>
      <x:c r="C70" s="2" t="s">
        <x:v>144</x:v>
      </x:c>
      <x:c r="D70" s="5">
        <x:v>46217.800046296303</x:v>
      </x:c>
      <x:c r="E70" s="2" t="s">
        <x:v>10</x:v>
      </x:c>
      <x:c r="F70" s="6">
        <x:v>398.92</x:v>
      </x:c>
      <x:c r="G70" s="2" t="s">
        <x:v>40</x:v>
      </x:c>
      <x:c r="H70" s="4"/>
      <x:c r="I70" t="str">
        <x:f>IF(A70="","",A70&amp;"|"&amp;C70)</x:f>
        <x:v>EE10015|INFORME 19/25</x:v>
      </x:c>
      <x:c r="J70" t="str">
        <x:f>IF(A70&lt;&gt;"","SÍ","NO")</x:f>
        <x:v>SÍ</x:v>
      </x:c>
    </x:row>
    <x:row r="71" ht="28.799999237060547">
      <x:c r="A71" s="2" t="s">
        <x:v>145</x:v>
      </x:c>
      <x:c r="B71" s="12" t="s">
        <x:v>146</x:v>
      </x:c>
      <x:c r="C71" s="2" t="s">
        <x:v>91</x:v>
      </x:c>
      <x:c r="D71" s="5">
        <x:v>46248.805254629631</x:v>
      </x:c>
      <x:c r="E71" s="2" t="s">
        <x:v>10</x:v>
      </x:c>
      <x:c r="F71" s="6">
        <x:v>472.78399999999999</x:v>
      </x:c>
      <x:c r="G71" s="2" t="s">
        <x:v>40</x:v>
      </x:c>
      <x:c r="H71" s="4"/>
      <x:c r="I71" t="str">
        <x:f>IF(A71="","",A71&amp;"|"&amp;C71)</x:f>
        <x:v>EE10045|INFORME 01/25</x:v>
      </x:c>
      <x:c r="J71" t="str">
        <x:f>IF(A71&lt;&gt;"","SÍ","NO")</x:f>
        <x:v>SÍ</x:v>
      </x:c>
    </x:row>
    <x:row r="72" ht="28.799999237060547">
      <x:c r="A72" s="2" t="s">
        <x:v>147</x:v>
      </x:c>
      <x:c r="B72" s="12" t="s">
        <x:v>148</x:v>
      </x:c>
      <x:c r="C72" s="2" t="s">
        <x:v>116</x:v>
      </x:c>
      <x:c r="D72" s="5">
        <x:v>46254.994131944448</x:v>
      </x:c>
      <x:c r="E72" s="2" t="s">
        <x:v>10</x:v>
      </x:c>
      <x:c r="F72" s="6">
        <x:v>1.369</x:v>
      </x:c>
      <x:c r="G72" s="2" t="s">
        <x:v>40</x:v>
      </x:c>
      <x:c r="H72" s="4"/>
      <x:c r="I72" t="str">
        <x:f>IF(A72="","",A72&amp;"|"&amp;C72)</x:f>
        <x:v>EE10153|INFORME 16/25</x:v>
      </x:c>
      <x:c r="J72" t="str">
        <x:f>IF(A72&lt;&gt;"","SÍ","NO")</x:f>
        <x:v>SÍ</x:v>
      </x:c>
    </x:row>
    <x:row r="73" ht="28.799999237060547">
      <x:c r="A73" s="2" t="s">
        <x:v>149</x:v>
      </x:c>
      <x:c r="B73" s="12" t="s">
        <x:v>150</x:v>
      </x:c>
      <x:c r="C73" s="2" t="s">
        <x:v>127</x:v>
      </x:c>
      <x:c r="D73" s="5">
        <x:v>46255.99863425926</x:v>
      </x:c>
      <x:c r="E73" s="2" t="s">
        <x:v>10</x:v>
      </x:c>
      <x:c r="F73" s="6">
        <x:v>1564.97</x:v>
      </x:c>
      <x:c r="G73" s="2" t="s">
        <x:v>40</x:v>
      </x:c>
      <x:c r="H73" s="4"/>
      <x:c r="I73" t="str">
        <x:f>IF(A73="","",A73&amp;"|"&amp;C73)</x:f>
        <x:v>EE10152|INFORME 09/25</x:v>
      </x:c>
      <x:c r="J73" t="str">
        <x:f>IF(A73&lt;&gt;"","SÍ","NO")</x:f>
        <x:v>SÍ</x:v>
      </x:c>
    </x:row>
    <x:row r="74" ht="28.799999237060547">
      <x:c r="A74" s="2" t="s">
        <x:v>76</x:v>
      </x:c>
      <x:c r="B74" s="12" t="s">
        <x:v>77</x:v>
      </x:c>
      <x:c r="C74" s="2" t="s">
        <x:v>119</x:v>
      </x:c>
      <x:c r="D74" s="5">
        <x:v>46157.470543981479</x:v>
      </x:c>
      <x:c r="E74" s="2" t="s">
        <x:v>10</x:v>
      </x:c>
      <x:c r="F74" s="6">
        <x:v>494.2</x:v>
      </x:c>
      <x:c r="G74" s="2" t="s">
        <x:v>40</x:v>
      </x:c>
      <x:c r="H74" s="4"/>
      <x:c r="I74" t="str">
        <x:f>IF(A74="","",A74&amp;"|"&amp;C74)</x:f>
        <x:v>EE10158|INFORME 08/25</x:v>
      </x:c>
      <x:c r="J74" t="str">
        <x:f>IF(A74&lt;&gt;"","SÍ","NO")</x:f>
        <x:v>SÍ</x:v>
      </x:c>
    </x:row>
    <x:row r="75" ht="43.20000076293945">
      <x:c r="A75" s="2" t="s">
        <x:v>96</x:v>
      </x:c>
      <x:c r="B75" s="12" t="s">
        <x:v>97</x:v>
      </x:c>
      <x:c r="C75" s="2" t="s">
        <x:v>119</x:v>
      </x:c>
      <x:c r="D75" s="5">
        <x:v>46166.630219907413</x:v>
      </x:c>
      <x:c r="E75" s="2" t="s">
        <x:v>10</x:v>
      </x:c>
      <x:c r="F75" s="6">
        <x:v>236.61</x:v>
      </x:c>
      <x:c r="G75" s="2" t="s">
        <x:v>40</x:v>
      </x:c>
      <x:c r="H75" s="4"/>
      <x:c r="I75" t="str">
        <x:f>IF(A75="","",A75&amp;"|"&amp;C75)</x:f>
        <x:v>EE10015|INFORME 08/25</x:v>
      </x:c>
      <x:c r="J75" t="str">
        <x:f>IF(A75&lt;&gt;"","SÍ","NO")</x:f>
        <x:v>SÍ</x:v>
      </x:c>
    </x:row>
    <x:row r="76" ht="28.799999237060547">
      <x:c r="A76" s="2" t="s">
        <x:v>151</x:v>
      </x:c>
      <x:c r="B76" s="12" t="s">
        <x:v>152</x:v>
      </x:c>
      <x:c r="C76" s="2" t="s">
        <x:v>88</x:v>
      </x:c>
      <x:c r="D76" s="5">
        <x:v>46262.640706018523</x:v>
      </x:c>
      <x:c r="E76" s="2" t="s">
        <x:v>10</x:v>
      </x:c>
      <x:c r="F76" s="6">
        <x:v>111.6337</x:v>
      </x:c>
      <x:c r="G76" s="2" t="s">
        <x:v>40</x:v>
      </x:c>
      <x:c r="H76" s="4"/>
      <x:c r="I76" t="str">
        <x:f>IF(A76="","",A76&amp;"|"&amp;C76)</x:f>
        <x:v>EE10106|INFORME 07/25</x:v>
      </x:c>
      <x:c r="J76" t="str">
        <x:f>IF(A76&lt;&gt;"","SÍ","NO")</x:f>
        <x:v>SÍ</x:v>
      </x:c>
    </x:row>
    <x:row r="77" ht="28.799999237060547">
      <x:c r="A77" s="2" t="s">
        <x:v>149</x:v>
      </x:c>
      <x:c r="B77" s="12" t="s">
        <x:v>150</x:v>
      </x:c>
      <x:c r="C77" s="2" t="s">
        <x:v>85</x:v>
      </x:c>
      <x:c r="D77" s="5">
        <x:v>46271.410937499997</x:v>
      </x:c>
      <x:c r="E77" s="2" t="s">
        <x:v>10</x:v>
      </x:c>
      <x:c r="F77" s="6">
        <x:v>804.97</x:v>
      </x:c>
      <x:c r="G77" s="2" t="s">
        <x:v>40</x:v>
      </x:c>
      <x:c r="H77" s="4"/>
      <x:c r="I77" t="str">
        <x:f>IF(A77="","",A77&amp;"|"&amp;C77)</x:f>
        <x:v>EE10152|INFORME 10/25</x:v>
      </x:c>
      <x:c r="J77" t="str">
        <x:f>IF(A77&lt;&gt;"","SÍ","NO")</x:f>
        <x:v>SÍ</x:v>
      </x:c>
    </x:row>
    <x:row r="78" ht="28.799999237060547">
      <x:c r="A78" s="2" t="s">
        <x:v>76</x:v>
      </x:c>
      <x:c r="B78" s="12" t="s">
        <x:v>77</x:v>
      </x:c>
      <x:c r="C78" s="2" t="s">
        <x:v>127</x:v>
      </x:c>
      <x:c r="D78" s="5">
        <x:v>46273.483715277784</x:v>
      </x:c>
      <x:c r="E78" s="2" t="s">
        <x:v>10</x:v>
      </x:c>
      <x:c r="F78" s="6">
        <x:v>1015.94</x:v>
      </x:c>
      <x:c r="G78" s="2" t="s">
        <x:v>40</x:v>
      </x:c>
      <x:c r="H78" s="4"/>
      <x:c r="I78" t="str">
        <x:f>IF(A78="","",A78&amp;"|"&amp;C78)</x:f>
        <x:v>EE10158|INFORME 09/25</x:v>
      </x:c>
      <x:c r="J78" t="str">
        <x:f>IF(A78&lt;&gt;"","SÍ","NO")</x:f>
        <x:v>SÍ</x:v>
      </x:c>
    </x:row>
    <x:row r="79" ht="28.799999237060547">
      <x:c r="A79" s="2" t="s">
        <x:v>153</x:v>
      </x:c>
      <x:c r="B79" s="12" t="s">
        <x:v>154</x:v>
      </x:c>
      <x:c r="C79" s="2" t="s">
        <x:v>82</x:v>
      </x:c>
      <x:c r="D79" s="5">
        <x:v>46278.473611111112</x:v>
      </x:c>
      <x:c r="E79" s="2" t="s">
        <x:v>10</x:v>
      </x:c>
      <x:c r="F79" s="6">
        <x:v>230.42240000000001</x:v>
      </x:c>
      <x:c r="G79" s="2" t="s">
        <x:v>40</x:v>
      </x:c>
      <x:c r="H79" s="4"/>
      <x:c r="I79" t="str">
        <x:f>IF(A79="","",A79&amp;"|"&amp;C79)</x:f>
        <x:v>EE10049|INFORME 06/25</x:v>
      </x:c>
      <x:c r="J79" t="str">
        <x:f>IF(A79&lt;&gt;"","SÍ","NO")</x:f>
        <x:v>SÍ</x:v>
      </x:c>
    </x:row>
    <x:row r="80" ht="43.20000076293945">
      <x:c r="A80" s="2" t="s">
        <x:v>155</x:v>
      </x:c>
      <x:c r="B80" s="12" t="s">
        <x:v>156</x:v>
      </x:c>
      <x:c r="C80" s="2" t="s">
        <x:v>157</x:v>
      </x:c>
      <x:c r="D80" s="5">
        <x:v>46295.590578703697</x:v>
      </x:c>
      <x:c r="E80" s="2" t="s">
        <x:v>10</x:v>
      </x:c>
      <x:c r="F80" s="6">
        <x:v>6300</x:v>
      </x:c>
      <x:c r="G80" s="2" t="s">
        <x:v>11</x:v>
      </x:c>
      <x:c r="H80" s="4"/>
      <x:c r="I80" t="str">
        <x:f>IF(A80="","",A80&amp;"|"&amp;C80)</x:f>
        <x:v>EE10225|INFORME 100/25</x:v>
      </x:c>
      <x:c r="J80" t="str">
        <x:f>IF(A80&lt;&gt;"","SÍ","NO")</x:f>
        <x:v>SÍ</x:v>
      </x:c>
    </x:row>
    <x:row r="81" ht="28.799999237060547">
      <x:c r="A81" s="2" t="s">
        <x:v>158</x:v>
      </x:c>
      <x:c r="B81" s="12" t="s">
        <x:v>159</x:v>
      </x:c>
      <x:c r="C81" s="2" t="s">
        <x:v>122</x:v>
      </x:c>
      <x:c r="D81" s="5">
        <x:v>46286.916689814818</x:v>
      </x:c>
      <x:c r="E81" s="2" t="s">
        <x:v>10</x:v>
      </x:c>
      <x:c r="F81" s="6">
        <x:v>920</x:v>
      </x:c>
      <x:c r="G81" s="2" t="s">
        <x:v>40</x:v>
      </x:c>
      <x:c r="H81" s="4"/>
      <x:c r="I81" t="str">
        <x:f>IF(A81="","",A81&amp;"|"&amp;C81)</x:f>
        <x:v>EE10217|INFORME 18/25</x:v>
      </x:c>
      <x:c r="J81" t="str">
        <x:f>IF(A81&lt;&gt;"","SÍ","NO")</x:f>
        <x:v>SÍ</x:v>
      </x:c>
    </x:row>
    <x:row r="82" ht="28.799999237060547">
      <x:c r="A82" s="2" t="s">
        <x:v>160</x:v>
      </x:c>
      <x:c r="B82" s="12" t="s">
        <x:v>161</x:v>
      </x:c>
      <x:c r="C82" s="2" t="s">
        <x:v>98</x:v>
      </x:c>
      <x:c r="D82" s="5">
        <x:v>46286.916539351849</x:v>
      </x:c>
      <x:c r="E82" s="2" t="s">
        <x:v>10</x:v>
      </x:c>
      <x:c r="F82" s="6">
        <x:v>965</x:v>
      </x:c>
      <x:c r="G82" s="2" t="s">
        <x:v>40</x:v>
      </x:c>
      <x:c r="H82" s="4"/>
      <x:c r="I82" t="str">
        <x:f>IF(A82="","",A82&amp;"|"&amp;C82)</x:f>
        <x:v>EE10215|INFORME 13/25</x:v>
      </x:c>
      <x:c r="J82" t="str">
        <x:f>IF(A82&lt;&gt;"","SÍ","NO")</x:f>
        <x:v>SÍ</x:v>
      </x:c>
    </x:row>
    <x:row r="83" ht="28.799999237060547">
      <x:c r="A83" s="2" t="s">
        <x:v>162</x:v>
      </x:c>
      <x:c r="B83" s="12" t="s">
        <x:v>163</x:v>
      </x:c>
      <x:c r="C83" s="2" t="s">
        <x:v>119</x:v>
      </x:c>
      <x:c r="D83" s="5">
        <x:v>46289.751875000002</x:v>
      </x:c>
      <x:c r="E83" s="2" t="s">
        <x:v>10</x:v>
      </x:c>
      <x:c r="F83" s="6">
        <x:v>352.54939999999999</x:v>
      </x:c>
      <x:c r="G83" s="2" t="s">
        <x:v>40</x:v>
      </x:c>
      <x:c r="H83" s="4"/>
      <x:c r="I83" t="str">
        <x:f>IF(A83="","",A83&amp;"|"&amp;C83)</x:f>
        <x:v>EE10105|INFORME 08/25</x:v>
      </x:c>
      <x:c r="J83" t="str">
        <x:f>IF(A83&lt;&gt;"","SÍ","NO")</x:f>
        <x:v>SÍ</x:v>
      </x:c>
    </x:row>
    <x:row r="84" ht="28.799999237060547">
      <x:c r="A84" s="2" t="s">
        <x:v>164</x:v>
      </x:c>
      <x:c r="B84" s="12" t="s">
        <x:v>165</x:v>
      </x:c>
      <x:c r="C84" s="2" t="s">
        <x:v>91</x:v>
      </x:c>
      <x:c r="D84" s="5">
        <x:v>46291.432569444441</x:v>
      </x:c>
      <x:c r="E84" s="2" t="s">
        <x:v>10</x:v>
      </x:c>
      <x:c r="F84" s="6">
        <x:v>189.99</x:v>
      </x:c>
      <x:c r="G84" s="2" t="s">
        <x:v>40</x:v>
      </x:c>
      <x:c r="H84" s="4"/>
      <x:c r="I84" t="str">
        <x:f>IF(A84="","",A84&amp;"|"&amp;C84)</x:f>
        <x:v>EE10222|INFORME 01/25</x:v>
      </x:c>
      <x:c r="J84" t="str">
        <x:f>IF(A84&lt;&gt;"","SÍ","NO")</x:f>
        <x:v>SÍ</x:v>
      </x:c>
    </x:row>
    <x:row r="85" ht="28.799999237060547">
      <x:c r="A85" s="2" t="s">
        <x:v>166</x:v>
      </x:c>
      <x:c r="B85" s="12" t="s">
        <x:v>167</x:v>
      </x:c>
      <x:c r="C85" s="2" t="s">
        <x:v>168</x:v>
      </x:c>
      <x:c r="D85" s="5">
        <x:v>46291.436018518521</x:v>
      </x:c>
      <x:c r="E85" s="2" t="s">
        <x:v>10</x:v>
      </x:c>
      <x:c r="F85" s="6">
        <x:v>268.101</x:v>
      </x:c>
      <x:c r="G85" s="2" t="s">
        <x:v>40</x:v>
      </x:c>
      <x:c r="H85" s="4"/>
      <x:c r="I85" t="str">
        <x:f>IF(A85="","",A85&amp;"|"&amp;C85)</x:f>
        <x:v>EE10183|INFORME 03/25</x:v>
      </x:c>
      <x:c r="J85" t="str">
        <x:f>IF(A85&lt;&gt;"","SÍ","NO")</x:f>
        <x:v>SÍ</x:v>
      </x:c>
    </x:row>
    <x:row r="86" ht="43.20000076293945">
      <x:c r="A86" s="2" t="s">
        <x:v>169</x:v>
      </x:c>
      <x:c r="B86" s="12" t="s">
        <x:v>170</x:v>
      </x:c>
      <x:c r="C86" s="2" t="s">
        <x:v>171</x:v>
      </x:c>
      <x:c r="D86" s="5">
        <x:v>46276.659687500003</x:v>
      </x:c>
      <x:c r="E86" s="2" t="s">
        <x:v>10</x:v>
      </x:c>
      <x:c r="F86" s="6">
        <x:v>535.83500000000004</x:v>
      </x:c>
      <x:c r="G86" s="2" t="s">
        <x:v>40</x:v>
      </x:c>
      <x:c r="H86" s="4"/>
      <x:c r="I86" t="str">
        <x:f>IF(A86="","",A86&amp;"|"&amp;C86)</x:f>
        <x:v>EE10139|INFORME 11/25</x:v>
      </x:c>
      <x:c r="J86" t="str">
        <x:f>IF(A86&lt;&gt;"","SÍ","NO")</x:f>
        <x:v>SÍ</x:v>
      </x:c>
    </x:row>
    <x:row r="87" ht="28.799999237060547">
      <x:c r="A87" s="2" t="s">
        <x:v>120</x:v>
      </x:c>
      <x:c r="B87" s="12" t="s">
        <x:v>121</x:v>
      </x:c>
      <x:c r="C87" s="2" t="s">
        <x:v>168</x:v>
      </x:c>
      <x:c r="D87" s="5">
        <x:v>46278.661689814813</x:v>
      </x:c>
      <x:c r="E87" s="2" t="s">
        <x:v>10</x:v>
      </x:c>
      <x:c r="F87" s="6">
        <x:v>1986.72</x:v>
      </x:c>
      <x:c r="G87" s="2" t="s">
        <x:v>40</x:v>
      </x:c>
      <x:c r="H87" s="4"/>
      <x:c r="I87" t="str">
        <x:f>IF(A87="","",A87&amp;"|"&amp;C87)</x:f>
        <x:v>EE10131|INFORME 03/25</x:v>
      </x:c>
      <x:c r="J87" t="str">
        <x:f>IF(A87&lt;&gt;"","SÍ","NO")</x:f>
        <x:v>SÍ</x:v>
      </x:c>
    </x:row>
    <x:row r="88" ht="28.799999237060547">
      <x:c r="A88" s="2" t="s">
        <x:v>172</x:v>
      </x:c>
      <x:c r="B88" s="12" t="s">
        <x:v>173</x:v>
      </x:c>
      <x:c r="C88" s="2" t="s">
        <x:v>174</x:v>
      </x:c>
      <x:c r="D88" s="5">
        <x:v>46274.663113425922</x:v>
      </x:c>
      <x:c r="E88" s="2" t="s">
        <x:v>10</x:v>
      </x:c>
      <x:c r="F88" s="6">
        <x:v>73</x:v>
      </x:c>
      <x:c r="G88" s="2" t="s">
        <x:v>40</x:v>
      </x:c>
      <x:c r="H88" s="4"/>
      <x:c r="I88" t="str">
        <x:f>IF(A88="","",A88&amp;"|"&amp;C88)</x:f>
        <x:v>MP10055|INFORME 24/25</x:v>
      </x:c>
      <x:c r="J88" t="str">
        <x:f>IF(A88&lt;&gt;"","SÍ","NO")</x:f>
        <x:v>SÍ</x:v>
      </x:c>
    </x:row>
    <x:row r="89" ht="28.799999237060547">
      <x:c r="A89" s="2" t="s">
        <x:v>175</x:v>
      </x:c>
      <x:c r="B89" s="12" t="s">
        <x:v>176</x:v>
      </x:c>
      <x:c r="C89" s="2" t="s">
        <x:v>67</x:v>
      </x:c>
      <x:c r="D89" s="5">
        <x:v>46295.670254629629</x:v>
      </x:c>
      <x:c r="E89" s="2" t="s">
        <x:v>10</x:v>
      </x:c>
      <x:c r="F89" s="6">
        <x:v>505</x:v>
      </x:c>
      <x:c r="G89" s="2" t="s">
        <x:v>11</x:v>
      </x:c>
      <x:c r="H89" s="4"/>
      <x:c r="I89" t="str">
        <x:f>IF(A89="","",A89&amp;"|"&amp;C89)</x:f>
        <x:v>EE10150|INFORME 05/25</x:v>
      </x:c>
      <x:c r="J89" t="str">
        <x:f>IF(A89&lt;&gt;"","SÍ","NO")</x:f>
        <x:v>SÍ</x:v>
      </x:c>
    </x:row>
    <x:row r="90" ht="28.799999237060547">
      <x:c r="A90" s="2" t="s">
        <x:v>105</x:v>
      </x:c>
      <x:c r="B90" s="12" t="s">
        <x:v>106</x:v>
      </x:c>
      <x:c r="C90" s="2" t="s">
        <x:v>168</x:v>
      </x:c>
      <x:c r="D90" s="5">
        <x:v>46275.701215277782</x:v>
      </x:c>
      <x:c r="E90" s="2" t="s">
        <x:v>10</x:v>
      </x:c>
      <x:c r="F90" s="6">
        <x:v>1224.82</x:v>
      </x:c>
      <x:c r="G90" s="2" t="s">
        <x:v>40</x:v>
      </x:c>
      <x:c r="H90" s="4"/>
      <x:c r="I90" t="str">
        <x:f>IF(A90="","",A90&amp;"|"&amp;C90)</x:f>
        <x:v>EE10128|INFORME 03/25</x:v>
      </x:c>
      <x:c r="J90" t="str">
        <x:f>IF(A90&lt;&gt;"","SÍ","NO")</x:f>
        <x:v>SÍ</x:v>
      </x:c>
    </x:row>
    <x:row r="91" ht="43.20000076293945">
      <x:c r="A91" s="2" t="s">
        <x:v>177</x:v>
      </x:c>
      <x:c r="B91" s="12" t="s">
        <x:v>178</x:v>
      </x:c>
      <x:c r="C91" s="2" t="s">
        <x:v>179</x:v>
      </x:c>
      <x:c r="D91" s="5">
        <x:v>46288.524363425917</x:v>
      </x:c>
      <x:c r="E91" s="2" t="s">
        <x:v>10</x:v>
      </x:c>
      <x:c r="F91" s="6">
        <x:v>4.1968000000000014</x:v>
      </x:c>
      <x:c r="G91" s="2" t="s">
        <x:v>40</x:v>
      </x:c>
      <x:c r="H91" s="4"/>
      <x:c r="I91" t="str">
        <x:f>IF(A91="","",A91&amp;"|"&amp;C91)</x:f>
        <x:v>EE10138|INFORME 05/25.</x:v>
      </x:c>
      <x:c r="J91" t="str">
        <x:f>IF(A91&lt;&gt;"","SÍ","NO")</x:f>
        <x:v>SÍ</x:v>
      </x:c>
    </x:row>
    <x:row r="92" ht="28.799999237060547">
      <x:c r="A92" s="2" t="s">
        <x:v>180</x:v>
      </x:c>
      <x:c r="B92" s="12" t="s">
        <x:v>181</x:v>
      </x:c>
      <x:c r="C92" s="2" t="s">
        <x:v>168</x:v>
      </x:c>
      <x:c r="D92" s="5">
        <x:v>46285.525810185187</x:v>
      </x:c>
      <x:c r="E92" s="2" t="s">
        <x:v>10</x:v>
      </x:c>
      <x:c r="F92" s="6">
        <x:v>162.554</x:v>
      </x:c>
      <x:c r="G92" s="2" t="s">
        <x:v>40</x:v>
      </x:c>
      <x:c r="H92" s="4"/>
      <x:c r="I92" t="str">
        <x:f>IF(A92="","",A92&amp;"|"&amp;C92)</x:f>
        <x:v>EE10136|INFORME 03/25</x:v>
      </x:c>
      <x:c r="J92" t="str">
        <x:f>IF(A92&lt;&gt;"","SÍ","NO")</x:f>
        <x:v>SÍ</x:v>
      </x:c>
    </x:row>
    <x:row r="93" ht="28.799999237060547">
      <x:c r="A93" s="2" t="s">
        <x:v>182</x:v>
      </x:c>
      <x:c r="B93" s="12" t="s">
        <x:v>183</x:v>
      </x:c>
      <x:c r="C93" s="2" t="s">
        <x:v>82</x:v>
      </x:c>
      <x:c r="D93" s="5">
        <x:v>46283.460787037038</x:v>
      </x:c>
      <x:c r="E93" s="2" t="s">
        <x:v>10</x:v>
      </x:c>
      <x:c r="F93" s="6">
        <x:v>292.88240000000002</x:v>
      </x:c>
      <x:c r="G93" s="2" t="s">
        <x:v>40</x:v>
      </x:c>
      <x:c r="H93" s="4"/>
      <x:c r="I93" t="str">
        <x:f>IF(A93="","",A93&amp;"|"&amp;C93)</x:f>
        <x:v>EE10116|INFORME 06/25</x:v>
      </x:c>
      <x:c r="J93" t="str">
        <x:f>IF(A93&lt;&gt;"","SÍ","NO")</x:f>
        <x:v>SÍ</x:v>
      </x:c>
    </x:row>
    <x:row r="94" ht="28.799999237060547">
      <x:c r="A94" s="2" t="s">
        <x:v>184</x:v>
      </x:c>
      <x:c r="B94" s="12" t="s">
        <x:v>185</x:v>
      </x:c>
      <x:c r="C94" s="2" t="s">
        <x:v>119</x:v>
      </x:c>
      <x:c r="D94" s="5">
        <x:v>46289.464201388888</x:v>
      </x:c>
      <x:c r="E94" s="2" t="s">
        <x:v>10</x:v>
      </x:c>
      <x:c r="F94" s="6">
        <x:v>817.303</x:v>
      </x:c>
      <x:c r="G94" s="2" t="s">
        <x:v>40</x:v>
      </x:c>
      <x:c r="H94" s="4"/>
      <x:c r="I94" t="str">
        <x:f>IF(A94="","",A94&amp;"|"&amp;C94)</x:f>
        <x:v>EE10124|INFORME 08/25</x:v>
      </x:c>
      <x:c r="J94" t="str">
        <x:f>IF(A94&lt;&gt;"","SÍ","NO")</x:f>
        <x:v>SÍ</x:v>
      </x:c>
    </x:row>
    <x:row r="95" ht="28.799999237060547">
      <x:c r="A95" s="2" t="s">
        <x:v>186</x:v>
      </x:c>
      <x:c r="B95" s="12" t="s">
        <x:v>187</x:v>
      </x:c>
      <x:c r="C95" s="2" t="s">
        <x:v>127</x:v>
      </x:c>
      <x:c r="D95" s="5">
        <x:v>46309.823680555557</x:v>
      </x:c>
      <x:c r="E95" s="2" t="s">
        <x:v>10</x:v>
      </x:c>
      <x:c r="F95" s="6">
        <x:v>136</x:v>
      </x:c>
      <x:c r="G95" s="2" t="s">
        <x:v>40</x:v>
      </x:c>
      <x:c r="H95" s="4"/>
      <x:c r="I95" t="str">
        <x:f>IF(A95="","",A95&amp;"|"&amp;C95)</x:f>
        <x:v>EE10214|INFORME 09/25</x:v>
      </x:c>
      <x:c r="J95" t="str">
        <x:f>IF(A95&lt;&gt;"","SÍ","NO")</x:f>
        <x:v>SÍ</x:v>
      </x:c>
    </x:row>
    <x:row r="96" ht="43.20000076293945">
      <x:c r="A96" s="2" t="s">
        <x:v>188</x:v>
      </x:c>
      <x:c r="B96" s="12" t="s">
        <x:v>189</x:v>
      </x:c>
      <x:c r="C96" s="2" t="s">
        <x:v>55</x:v>
      </x:c>
      <x:c r="D96" s="5">
        <x:v>46263.031168981477</x:v>
      </x:c>
      <x:c r="E96" s="2" t="s">
        <x:v>10</x:v>
      </x:c>
      <x:c r="F96" s="6">
        <x:v>318.18200000000002</x:v>
      </x:c>
      <x:c r="G96" s="2" t="s">
        <x:v>40</x:v>
      </x:c>
      <x:c r="H96" s="4"/>
      <x:c r="I96" t="str">
        <x:f>IF(A96="","",A96&amp;"|"&amp;C96)</x:f>
        <x:v>EE10149|INFORME 02/25</x:v>
      </x:c>
      <x:c r="J96" t="str">
        <x:f>IF(A96&lt;&gt;"","SÍ","NO")</x:f>
        <x:v>SÍ</x:v>
      </x:c>
    </x:row>
    <x:row r="97" ht="28.799999237060547">
      <x:c r="A97" s="2" t="s">
        <x:v>190</x:v>
      </x:c>
      <x:c r="B97" s="12" t="s">
        <x:v>191</x:v>
      </x:c>
      <x:c r="C97" s="2"/>
      <x:c r="D97" s="5"/>
      <x:c r="E97" s="2" t="s">
        <x:v>10</x:v>
      </x:c>
      <x:c r="F97" s="6">
        <x:v>754.11599999999999</x:v>
      </x:c>
      <x:c r="G97" s="2" t="s">
        <x:v>11</x:v>
      </x:c>
      <x:c r="H97" s="4"/>
      <x:c r="I97" t="str">
        <x:f>IF(A97="","",A97&amp;"|"&amp;C97)</x:f>
        <x:v>EE10099|</x:v>
      </x:c>
      <x:c r="J97" t="str">
        <x:f>IF(A97&lt;&gt;"","SÍ","NO")</x:f>
        <x:v>SÍ</x:v>
      </x:c>
    </x:row>
    <x:row r="98" ht="28.799999237060547">
      <x:c r="A98" s="2" t="s">
        <x:v>192</x:v>
      </x:c>
      <x:c r="B98" s="12" t="s">
        <x:v>193</x:v>
      </x:c>
      <x:c r="C98" s="2" t="s">
        <x:v>91</x:v>
      </x:c>
      <x:c r="D98" s="5">
        <x:v>46311.382928240739</x:v>
      </x:c>
      <x:c r="E98" s="2" t="s">
        <x:v>10</x:v>
      </x:c>
      <x:c r="F98" s="6">
        <x:v>15.3018</x:v>
      </x:c>
      <x:c r="G98" s="2" t="s">
        <x:v>40</x:v>
      </x:c>
      <x:c r="H98" s="4"/>
      <x:c r="I98" t="str">
        <x:f>IF(A98="","",A98&amp;"|"&amp;C98)</x:f>
        <x:v>EE10127|INFORME 01/25</x:v>
      </x:c>
      <x:c r="J98" t="str">
        <x:f>IF(A98&lt;&gt;"","SÍ","NO")</x:f>
        <x:v>SÍ</x:v>
      </x:c>
    </x:row>
    <x:row r="99" ht="28.799999237060547">
      <x:c r="A99" s="2" t="s">
        <x:v>194</x:v>
      </x:c>
      <x:c r="B99" s="12" t="s">
        <x:v>195</x:v>
      </x:c>
      <x:c r="C99" s="2" t="s">
        <x:v>98</x:v>
      </x:c>
      <x:c r="D99" s="5">
        <x:v>46323.752175925933</x:v>
      </x:c>
      <x:c r="E99" s="2" t="s">
        <x:v>10</x:v>
      </x:c>
      <x:c r="F99" s="6">
        <x:v>106</x:v>
      </x:c>
      <x:c r="G99" s="2" t="s">
        <x:v>40</x:v>
      </x:c>
      <x:c r="H99" s="4"/>
      <x:c r="I99" t="str">
        <x:f>IF(A99="","",A99&amp;"|"&amp;C99)</x:f>
        <x:v>EE10184|INFORME 13/25</x:v>
      </x:c>
      <x:c r="J99" t="str">
        <x:f>IF(A99&lt;&gt;"","SÍ","NO")</x:f>
        <x:v>SÍ</x:v>
      </x:c>
    </x:row>
    <x:row r="100" ht="28.799999237060547">
      <x:c r="A100" s="2" t="s">
        <x:v>125</x:v>
      </x:c>
      <x:c r="B100" s="12" t="s">
        <x:v>126</x:v>
      </x:c>
      <x:c r="C100" s="2" t="s">
        <x:v>127</x:v>
      </x:c>
      <x:c r="D100" s="5">
        <x:v>46201.567754629628</x:v>
      </x:c>
      <x:c r="E100" s="2" t="s">
        <x:v>10</x:v>
      </x:c>
      <x:c r="F100" s="6">
        <x:v>9.48</x:v>
      </x:c>
      <x:c r="G100" s="2" t="s">
        <x:v>40</x:v>
      </x:c>
      <x:c r="H100" s="4"/>
      <x:c r="I100" t="str">
        <x:f>IF(A100="","",A100&amp;"|"&amp;C100)</x:f>
        <x:v>EE10187|INFORME 09/25</x:v>
      </x:c>
      <x:c r="J100" t="str">
        <x:f>IF(A100&lt;&gt;"","SÍ","NO")</x:f>
        <x:v>SÍ</x:v>
      </x:c>
    </x:row>
    <x:row r="101" ht="28.799999237060547">
      <x:c r="A101" s="2" t="s">
        <x:v>196</x:v>
      </x:c>
      <x:c r="B101" s="12" t="s">
        <x:v>197</x:v>
      </x:c>
      <x:c r="C101" s="2" t="s">
        <x:v>82</x:v>
      </x:c>
      <x:c r="D101" s="5">
        <x:v>46326.55777777778</x:v>
      </x:c>
      <x:c r="E101" s="2" t="s">
        <x:v>10</x:v>
      </x:c>
      <x:c r="F101" s="6">
        <x:v>345.70679999999999</x:v>
      </x:c>
      <x:c r="G101" s="2" t="s">
        <x:v>40</x:v>
      </x:c>
      <x:c r="H101" s="4"/>
      <x:c r="I101" t="str">
        <x:f>IF(A101="","",A101&amp;"|"&amp;C101)</x:f>
        <x:v>EE10043|INFORME 06/25</x:v>
      </x:c>
      <x:c r="J101" t="str">
        <x:f>IF(A101&lt;&gt;"","SÍ","NO")</x:f>
        <x:v>SÍ</x:v>
      </x:c>
    </x:row>
    <x:row r="102" ht="28.799999237060547">
      <x:c r="A102" s="2" t="s">
        <x:v>198</x:v>
      </x:c>
      <x:c r="B102" s="12" t="s">
        <x:v>199</x:v>
      </x:c>
      <x:c r="C102" s="2" t="s">
        <x:v>168</x:v>
      </x:c>
      <x:c r="D102" s="5">
        <x:v>46326.557453703703</x:v>
      </x:c>
      <x:c r="E102" s="2" t="s">
        <x:v>10</x:v>
      </x:c>
      <x:c r="F102" s="6">
        <x:v>338.642</x:v>
      </x:c>
      <x:c r="G102" s="2" t="s">
        <x:v>40</x:v>
      </x:c>
      <x:c r="H102" s="4"/>
      <x:c r="I102" t="str">
        <x:f>IF(A102="","",A102&amp;"|"&amp;C102)</x:f>
        <x:v>EE10040|INFORME 03/25</x:v>
      </x:c>
      <x:c r="J102" t="str">
        <x:f>IF(A102&lt;&gt;"","SÍ","NO")</x:f>
        <x:v>SÍ</x:v>
      </x:c>
    </x:row>
    <x:row r="103" ht="43.20000076293945">
      <x:c r="A103" s="2" t="s">
        <x:v>200</x:v>
      </x:c>
      <x:c r="B103" s="12" t="s">
        <x:v>201</x:v>
      </x:c>
      <x:c r="C103" s="2" t="s">
        <x:v>202</x:v>
      </x:c>
      <x:c r="D103" s="5">
        <x:v>46356.856828703712</x:v>
      </x:c>
      <x:c r="E103" s="2" t="s">
        <x:v>10</x:v>
      </x:c>
      <x:c r="F103" s="6">
        <x:v>19800</x:v>
      </x:c>
      <x:c r="G103" s="2" t="s">
        <x:v>11</x:v>
      </x:c>
      <x:c r="H103" s="4"/>
      <x:c r="I103" t="str">
        <x:f>IF(A103="","",A103&amp;"|"&amp;C103)</x:f>
        <x:v>EE10149-1|INFORME 20/25</x:v>
      </x:c>
      <x:c r="J103" t="str">
        <x:f>IF(A103&lt;&gt;"","SÍ","NO")</x:f>
        <x:v>SÍ</x:v>
      </x:c>
    </x:row>
    <x:row r="104" ht="43.20000076293945">
      <x:c r="A104" s="2" t="s">
        <x:v>203</x:v>
      </x:c>
      <x:c r="B104" s="12" t="s">
        <x:v>204</x:v>
      </x:c>
      <x:c r="C104" s="2" t="s">
        <x:v>55</x:v>
      </x:c>
      <x:c r="D104" s="5">
        <x:v>46323.676724537043</x:v>
      </x:c>
      <x:c r="E104" s="2" t="s">
        <x:v>10</x:v>
      </x:c>
      <x:c r="F104" s="6">
        <x:v>568.44000000000005</x:v>
      </x:c>
      <x:c r="G104" s="2" t="s">
        <x:v>40</x:v>
      </x:c>
      <x:c r="H104" s="4"/>
      <x:c r="I104" t="str">
        <x:f>IF(A104="","",A104&amp;"|"&amp;C104)</x:f>
        <x:v>EE10223|INFORME 02/25</x:v>
      </x:c>
      <x:c r="J104" t="str">
        <x:f>IF(A104&lt;&gt;"","SÍ","NO")</x:f>
        <x:v>SÍ</x:v>
      </x:c>
    </x:row>
    <x:row r="105" ht="28.799999237060547">
      <x:c r="A105" s="2" t="s">
        <x:v>205</x:v>
      </x:c>
      <x:c r="B105" s="12" t="s">
        <x:v>206</x:v>
      </x:c>
      <x:c r="C105" s="2" t="s">
        <x:v>98</x:v>
      </x:c>
      <x:c r="D105" s="5">
        <x:v>46330.411122685182</x:v>
      </x:c>
      <x:c r="E105" s="2" t="s">
        <x:v>10</x:v>
      </x:c>
      <x:c r="F105" s="6">
        <x:v>428.27</x:v>
      </x:c>
      <x:c r="G105" s="2" t="s">
        <x:v>40</x:v>
      </x:c>
      <x:c r="H105" s="4"/>
      <x:c r="I105" t="str">
        <x:f>IF(A105="","",A105&amp;"|"&amp;C105)</x:f>
        <x:v>EE10117|INFORME 13/25</x:v>
      </x:c>
      <x:c r="J105" t="str">
        <x:f>IF(A105&lt;&gt;"","SÍ","NO")</x:f>
        <x:v>SÍ</x:v>
      </x:c>
    </x:row>
    <x:row r="106" ht="43.20000076293945">
      <x:c r="A106" s="2" t="s">
        <x:v>207</x:v>
      </x:c>
      <x:c r="B106" s="12" t="s">
        <x:v>208</x:v>
      </x:c>
      <x:c r="C106" s="2" t="s">
        <x:v>209</x:v>
      </x:c>
      <x:c r="D106" s="5">
        <x:v>46295.59033564815</x:v>
      </x:c>
      <x:c r="E106" s="2" t="s">
        <x:v>10</x:v>
      </x:c>
      <x:c r="F106" s="6">
        <x:v>2875</x:v>
      </x:c>
      <x:c r="G106" s="2" t="s">
        <x:v>11</x:v>
      </x:c>
      <x:c r="H106" s="4"/>
      <x:c r="I106" t="str">
        <x:f>IF(A106="","",A106&amp;"|"&amp;C106)</x:f>
        <x:v>EE10224|INFORME 99/25</x:v>
      </x:c>
      <x:c r="J106" t="str">
        <x:f>IF(A106&lt;&gt;"","SÍ","NO")</x:f>
        <x:v>SÍ</x:v>
      </x:c>
    </x:row>
    <x:row r="107" ht="43.20000076293945">
      <x:c r="A107" s="2" t="s">
        <x:v>210</x:v>
      </x:c>
      <x:c r="B107" s="12" t="s">
        <x:v>211</x:v>
      </x:c>
      <x:c r="C107" s="2" t="s">
        <x:v>212</x:v>
      </x:c>
      <x:c r="D107" s="5">
        <x:v>46699.581805555557</x:v>
      </x:c>
      <x:c r="E107" s="2" t="s">
        <x:v>10</x:v>
      </x:c>
      <x:c r="F107" s="6">
        <x:v>3550</x:v>
      </x:c>
      <x:c r="G107" s="2" t="s">
        <x:v>11</x:v>
      </x:c>
      <x:c r="H107" s="4"/>
      <x:c r="I107" t="str">
        <x:f>IF(A107="","",A107&amp;"|"&amp;C107)</x:f>
        <x:v>EE10242|INFORME 116/25</x:v>
      </x:c>
      <x:c r="J107" t="str">
        <x:f>IF(A107&lt;&gt;"","SÍ","NO")</x:f>
        <x:v>SÍ</x:v>
      </x:c>
    </x:row>
    <x:row r="108" ht="28.799999237060547">
      <x:c r="A108" s="2" t="s">
        <x:v>213</x:v>
      </x:c>
      <x:c r="B108" s="12" t="s">
        <x:v>214</x:v>
      </x:c>
      <x:c r="C108" s="2" t="s">
        <x:v>215</x:v>
      </x:c>
      <x:c r="D108" s="5">
        <x:v>46699.581956018519</x:v>
      </x:c>
      <x:c r="E108" s="2" t="s">
        <x:v>10</x:v>
      </x:c>
      <x:c r="F108" s="6">
        <x:v>4500</x:v>
      </x:c>
      <x:c r="G108" s="2" t="s">
        <x:v>11</x:v>
      </x:c>
      <x:c r="H108" s="4"/>
      <x:c r="I108" t="str">
        <x:f>IF(A108="","",A108&amp;"|"&amp;C108)</x:f>
        <x:v>EE10197|INFORME 117/25</x:v>
      </x:c>
      <x:c r="J108" t="str">
        <x:f>IF(A108&lt;&gt;"","SÍ","NO")</x:f>
        <x:v>SÍ</x:v>
      </x:c>
    </x:row>
    <x:row r="109" ht="43.20000076293945">
      <x:c r="A109" s="2" t="s">
        <x:v>188</x:v>
      </x:c>
      <x:c r="B109" s="12" t="s">
        <x:v>189</x:v>
      </x:c>
      <x:c r="C109" s="2" t="s">
        <x:v>78</x:v>
      </x:c>
      <x:c r="D109" s="5">
        <x:v>46197.475451388891</x:v>
      </x:c>
      <x:c r="E109" s="2" t="s">
        <x:v>10</x:v>
      </x:c>
      <x:c r="F109" s="6">
        <x:v>1534.38</x:v>
      </x:c>
      <x:c r="G109" s="2" t="s">
        <x:v>40</x:v>
      </x:c>
      <x:c r="H109" s="4"/>
      <x:c r="I109" t="str">
        <x:f>IF(A109="","",A109&amp;"|"&amp;C109)</x:f>
        <x:v>EE10149|INFORME 04/25</x:v>
      </x:c>
      <x:c r="J109" t="str">
        <x:f>IF(A109&lt;&gt;"","SÍ","NO")</x:f>
        <x:v>SÍ</x:v>
      </x:c>
    </x:row>
    <x:row r="110" ht="43.20000076293945">
      <x:c r="A110" s="2" t="s">
        <x:v>216</x:v>
      </x:c>
      <x:c r="B110" s="12" t="s">
        <x:v>217</x:v>
      </x:c>
      <x:c r="C110" s="2" t="s">
        <x:v>88</x:v>
      </x:c>
      <x:c r="D110" s="5">
        <x:v>46339.611493055563</x:v>
      </x:c>
      <x:c r="E110" s="2" t="s">
        <x:v>10</x:v>
      </x:c>
      <x:c r="F110" s="6">
        <x:v>38.286000000000001</x:v>
      </x:c>
      <x:c r="G110" s="2" t="s">
        <x:v>40</x:v>
      </x:c>
      <x:c r="H110" s="4"/>
      <x:c r="I110" t="str">
        <x:f>IF(A110="","",A110&amp;"|"&amp;C110)</x:f>
        <x:v>EE10145|INFORME 07/25</x:v>
      </x:c>
      <x:c r="J110" t="str">
        <x:f>IF(A110&lt;&gt;"","SÍ","NO")</x:f>
        <x:v>SÍ</x:v>
      </x:c>
    </x:row>
    <x:row r="111">
      <x:c r="A111" s="2" t="s">
        <x:v>218</x:v>
      </x:c>
      <x:c r="B111" s="12" t="s">
        <x:v>219</x:v>
      </x:c>
      <x:c r="C111" s="2" t="s">
        <x:v>67</x:v>
      </x:c>
      <x:c r="D111" s="5">
        <x:v>46618.760555555556</x:v>
      </x:c>
      <x:c r="E111" s="2" t="s">
        <x:v>10</x:v>
      </x:c>
      <x:c r="F111" s="6">
        <x:v>577.59199999999998</x:v>
      </x:c>
      <x:c r="G111" s="2" t="s">
        <x:v>40</x:v>
      </x:c>
      <x:c r="H111" s="4"/>
      <x:c r="I111" t="str">
        <x:f>IF(A111="","",A111&amp;"|"&amp;C111)</x:f>
        <x:v>MP10018|INFORME 05/25</x:v>
      </x:c>
      <x:c r="J111" t="str">
        <x:f>IF(A111&lt;&gt;"","SÍ","NO")</x:f>
        <x:v>SÍ</x:v>
      </x:c>
    </x:row>
    <x:row r="112" ht="43.20000076293945">
      <x:c r="A112" s="2" t="s">
        <x:v>220</x:v>
      </x:c>
      <x:c r="B112" s="12" t="s">
        <x:v>221</x:v>
      </x:c>
      <x:c r="C112" s="2" t="s">
        <x:v>222</x:v>
      </x:c>
      <x:c r="D112" s="5">
        <x:v>46346.783888888887</x:v>
      </x:c>
      <x:c r="E112" s="2" t="s">
        <x:v>10</x:v>
      </x:c>
      <x:c r="F112" s="6">
        <x:v>3000</x:v>
      </x:c>
      <x:c r="G112" s="2" t="s">
        <x:v>11</x:v>
      </x:c>
      <x:c r="H112" s="4"/>
      <x:c r="I112" t="str">
        <x:f>IF(A112="","",A112&amp;"|"&amp;C112)</x:f>
        <x:v>EE10245|INFORME 119/25</x:v>
      </x:c>
      <x:c r="J112" t="str">
        <x:f>IF(A112&lt;&gt;"","SÍ","NO")</x:f>
        <x:v>SÍ</x:v>
      </x:c>
    </x:row>
    <x:row r="113" ht="28.799999237060547">
      <x:c r="A113" s="2" t="s">
        <x:v>223</x:v>
      </x:c>
      <x:c r="B113" s="12" t="s">
        <x:v>224</x:v>
      </x:c>
      <x:c r="C113" s="2" t="s">
        <x:v>225</x:v>
      </x:c>
      <x:c r="D113" s="5">
        <x:v>46260.535520833328</x:v>
      </x:c>
      <x:c r="E113" s="2" t="s">
        <x:v>10</x:v>
      </x:c>
      <x:c r="F113" s="6">
        <x:v>1940</x:v>
      </x:c>
      <x:c r="G113" s="2" t="s">
        <x:v>11</x:v>
      </x:c>
      <x:c r="H113" s="4"/>
      <x:c r="I113" t="str">
        <x:f>IF(A113="","",A113&amp;"|"&amp;C113)</x:f>
        <x:v>EE10006|INFORME 42</x:v>
      </x:c>
      <x:c r="J113" t="str">
        <x:f>IF(A113&lt;&gt;"","SÍ","NO")</x:f>
        <x:v>SÍ</x:v>
      </x:c>
    </x:row>
    <x:row r="114" ht="28.799999237060547">
      <x:c r="A114" s="2" t="s">
        <x:v>226</x:v>
      </x:c>
      <x:c r="B114" s="12" t="s">
        <x:v>227</x:v>
      </x:c>
      <x:c r="C114" s="2" t="s">
        <x:v>70</x:v>
      </x:c>
      <x:c r="D114" s="5"/>
      <x:c r="E114" s="2" t="s">
        <x:v>10</x:v>
      </x:c>
      <x:c r="F114" s="6">
        <x:v>16</x:v>
      </x:c>
      <x:c r="G114" s="2" t="s">
        <x:v>228</x:v>
      </x:c>
      <x:c r="H114" s="4"/>
      <x:c r="I114" t="str">
        <x:f>IF(A114="","",A114&amp;"|"&amp;C114)</x:f>
        <x:v>EE10161|LT-SF-AGR</x:v>
      </x:c>
      <x:c r="J114" t="str">
        <x:f>IF(A114&lt;&gt;"","SÍ","NO")</x:f>
        <x:v>SÍ</x:v>
      </x:c>
    </x:row>
    <x:row r="115" ht="43.20000076293945">
      <x:c r="A115" s="2" t="s">
        <x:v>229</x:v>
      </x:c>
      <x:c r="B115" s="12" t="s">
        <x:v>230</x:v>
      </x:c>
      <x:c r="C115" s="2" t="s">
        <x:v>168</x:v>
      </x:c>
      <x:c r="D115" s="5"/>
      <x:c r="E115" s="2" t="s">
        <x:v>10</x:v>
      </x:c>
      <x:c r="F115" s="6">
        <x:v>0.03</x:v>
      </x:c>
      <x:c r="G115" s="2" t="s">
        <x:v>40</x:v>
      </x:c>
      <x:c r="H115" s="4"/>
      <x:c r="I115" t="str">
        <x:f>IF(A115="","",A115&amp;"|"&amp;C115)</x:f>
        <x:v>EE10053|INFORME 03/25</x:v>
      </x:c>
      <x:c r="J115" t="str">
        <x:f>IF(A115&lt;&gt;"","SÍ","NO")</x:f>
        <x:v>SÍ</x:v>
      </x:c>
    </x:row>
    <x:row r="116" ht="28.799999237060547">
      <x:c r="A116" s="2" t="s">
        <x:v>231</x:v>
      </x:c>
      <x:c r="B116" s="12" t="s">
        <x:v>232</x:v>
      </x:c>
      <x:c r="C116" s="2" t="s">
        <x:v>127</x:v>
      </x:c>
      <x:c r="D116" s="5">
        <x:v>46286.912106481483</x:v>
      </x:c>
      <x:c r="E116" s="2" t="s">
        <x:v>10</x:v>
      </x:c>
      <x:c r="F116" s="6">
        <x:v>669.81670000000008</x:v>
      </x:c>
      <x:c r="G116" s="2" t="s">
        <x:v>40</x:v>
      </x:c>
      <x:c r="H116" s="4"/>
      <x:c r="I116" t="str">
        <x:f>IF(A116="","",A116&amp;"|"&amp;C116)</x:f>
        <x:v>MP10048|INFORME 09/25</x:v>
      </x:c>
      <x:c r="J116" t="str">
        <x:f>IF(A116&lt;&gt;"","SÍ","NO")</x:f>
        <x:v>SÍ</x:v>
      </x:c>
    </x:row>
    <x:row r="117" ht="28.799999237060547">
      <x:c r="A117" s="2" t="s">
        <x:v>233</x:v>
      </x:c>
      <x:c r="B117" s="12" t="s">
        <x:v>234</x:v>
      </x:c>
      <x:c r="C117" s="2"/>
      <x:c r="D117" s="5"/>
      <x:c r="E117" s="2" t="s">
        <x:v>10</x:v>
      </x:c>
      <x:c r="F117" s="6">
        <x:v>293</x:v>
      </x:c>
      <x:c r="G117" s="2" t="s">
        <x:v>11</x:v>
      </x:c>
      <x:c r="H117" s="4"/>
      <x:c r="I117" t="str">
        <x:f>IF(A117="","",A117&amp;"|"&amp;C117)</x:f>
        <x:v>EE10077|</x:v>
      </x:c>
      <x:c r="J117" t="str">
        <x:f>IF(A117&lt;&gt;"","SÍ","NO")</x:f>
        <x:v>SÍ</x:v>
      </x:c>
    </x:row>
    <x:row r="118" ht="43.20000076293945">
      <x:c r="A118" s="2" t="s">
        <x:v>188</x:v>
      </x:c>
      <x:c r="B118" s="12" t="s">
        <x:v>189</x:v>
      </x:c>
      <x:c r="C118" s="2" t="s">
        <x:v>82</x:v>
      </x:c>
      <x:c r="D118" s="5">
        <x:v>46333.388425925928</x:v>
      </x:c>
      <x:c r="E118" s="2" t="s">
        <x:v>10</x:v>
      </x:c>
      <x:c r="F118" s="6">
        <x:v>1556.97</x:v>
      </x:c>
      <x:c r="G118" s="2" t="s">
        <x:v>40</x:v>
      </x:c>
      <x:c r="H118" s="4"/>
      <x:c r="I118" t="str">
        <x:f>IF(A118="","",A118&amp;"|"&amp;C118)</x:f>
        <x:v>EE10149|INFORME 06/25</x:v>
      </x:c>
      <x:c r="J118" t="str">
        <x:f>IF(A118&lt;&gt;"","SÍ","NO")</x:f>
        <x:v>SÍ</x:v>
      </x:c>
    </x:row>
    <x:row r="119" ht="28.799999237060547">
      <x:c r="A119" s="2" t="s">
        <x:v>7</x:v>
      </x:c>
      <x:c r="B119" s="12" t="s">
        <x:v>8</x:v>
      </x:c>
      <x:c r="C119" s="2" t="s">
        <x:v>116</x:v>
      </x:c>
      <x:c r="D119" s="5">
        <x:v>46752.991597222222</x:v>
      </x:c>
      <x:c r="E119" s="2" t="s">
        <x:v>10</x:v>
      </x:c>
      <x:c r="F119" s="6">
        <x:v>3070</x:v>
      </x:c>
      <x:c r="G119" s="2" t="s">
        <x:v>11</x:v>
      </x:c>
      <x:c r="H119" s="4"/>
      <x:c r="I119" t="str">
        <x:f>IF(A119="","",A119&amp;"|"&amp;C119)</x:f>
        <x:v>EE10005|INFORME 16/25</x:v>
      </x:c>
      <x:c r="J119" t="str">
        <x:f>IF(A119&lt;&gt;"","SÍ","NO")</x:f>
        <x:v>SÍ</x:v>
      </x:c>
    </x:row>
    <x:row r="120" ht="28.799999237060547">
      <x:c r="A120" s="2" t="s">
        <x:v>235</x:v>
      </x:c>
      <x:c r="B120" s="12" t="s">
        <x:v>236</x:v>
      </x:c>
      <x:c r="C120" s="2" t="s">
        <x:v>237</x:v>
      </x:c>
      <x:c r="D120" s="5">
        <x:v>46305.841331018521</x:v>
      </x:c>
      <x:c r="E120" s="2" t="s">
        <x:v>10</x:v>
      </x:c>
      <x:c r="F120" s="6">
        <x:v>341</x:v>
      </x:c>
      <x:c r="G120" s="2" t="s">
        <x:v>11</x:v>
      </x:c>
      <x:c r="H120" s="4"/>
      <x:c r="I120" t="str">
        <x:f>IF(A120="","",A120&amp;"|"&amp;C120)</x:f>
        <x:v>EE10239|INFORME 114/25</x:v>
      </x:c>
      <x:c r="J120" t="str">
        <x:f>IF(A120&lt;&gt;"","SÍ","NO")</x:f>
        <x:v>SÍ</x:v>
      </x:c>
    </x:row>
    <x:row r="121" ht="43.20000076293945">
      <x:c r="A121" s="2" t="s">
        <x:v>238</x:v>
      </x:c>
      <x:c r="B121" s="12" t="s">
        <x:v>239</x:v>
      </x:c>
      <x:c r="C121" s="2" t="s">
        <x:v>240</x:v>
      </x:c>
      <x:c r="D121" s="5">
        <x:v>46387.655439814807</x:v>
      </x:c>
      <x:c r="E121" s="2" t="s">
        <x:v>10</x:v>
      </x:c>
      <x:c r="F121" s="6">
        <x:v>16400</x:v>
      </x:c>
      <x:c r="G121" s="2" t="s">
        <x:v>11</x:v>
      </x:c>
      <x:c r="H121" s="4"/>
      <x:c r="I121" t="str">
        <x:f>IF(A121="","",A121&amp;"|"&amp;C121)</x:f>
        <x:v>EE10227|INFORME 01</x:v>
      </x:c>
      <x:c r="J121" t="str">
        <x:f>IF(A121&lt;&gt;"","SÍ","NO")</x:f>
        <x:v>SÍ</x:v>
      </x:c>
    </x:row>
    <x:row r="122" ht="28.799999237060547">
      <x:c r="A122" s="2" t="s">
        <x:v>241</x:v>
      </x:c>
      <x:c r="B122" s="12" t="s">
        <x:v>242</x:v>
      </x:c>
      <x:c r="C122" s="2" t="s">
        <x:v>91</x:v>
      </x:c>
      <x:c r="D122" s="5">
        <x:v>46355.695983796293</x:v>
      </x:c>
      <x:c r="E122" s="2" t="s">
        <x:v>10</x:v>
      </x:c>
      <x:c r="F122" s="6">
        <x:v>19.087</x:v>
      </x:c>
      <x:c r="G122" s="2" t="s">
        <x:v>40</x:v>
      </x:c>
      <x:c r="H122" s="4"/>
      <x:c r="I122" t="str">
        <x:f>IF(A122="","",A122&amp;"|"&amp;C122)</x:f>
        <x:v>EE10228|INFORME 01/25</x:v>
      </x:c>
      <x:c r="J122" t="str">
        <x:f>IF(A122&lt;&gt;"","SÍ","NO")</x:f>
        <x:v>SÍ</x:v>
      </x:c>
    </x:row>
    <x:row r="123" ht="28.799999237060547">
      <x:c r="A123" s="2" t="s">
        <x:v>243</x:v>
      </x:c>
      <x:c r="B123" s="12" t="s">
        <x:v>244</x:v>
      </x:c>
      <x:c r="C123" s="2" t="s">
        <x:v>91</x:v>
      </x:c>
      <x:c r="D123" s="5">
        <x:v>46355.697604166657</x:v>
      </x:c>
      <x:c r="E123" s="2" t="s">
        <x:v>10</x:v>
      </x:c>
      <x:c r="F123" s="6">
        <x:v>119.5</x:v>
      </x:c>
      <x:c r="G123" s="2" t="s">
        <x:v>40</x:v>
      </x:c>
      <x:c r="H123" s="4"/>
      <x:c r="I123" t="str">
        <x:f>IF(A123="","",A123&amp;"|"&amp;C123)</x:f>
        <x:v>EE10231|INFORME 01/25</x:v>
      </x:c>
      <x:c r="J123" t="str">
        <x:f>IF(A123&lt;&gt;"","SÍ","NO")</x:f>
        <x:v>SÍ</x:v>
      </x:c>
    </x:row>
    <x:row r="124" ht="28.799999237060547">
      <x:c r="A124" s="2" t="s">
        <x:v>245</x:v>
      </x:c>
      <x:c r="B124" s="12" t="s">
        <x:v>246</x:v>
      </x:c>
      <x:c r="C124" s="2" t="s">
        <x:v>91</x:v>
      </x:c>
      <x:c r="D124" s="5">
        <x:v>46373.700590277767</x:v>
      </x:c>
      <x:c r="E124" s="2" t="s">
        <x:v>10</x:v>
      </x:c>
      <x:c r="F124" s="6">
        <x:v>4000</x:v>
      </x:c>
      <x:c r="G124" s="2" t="s">
        <x:v>11</x:v>
      </x:c>
      <x:c r="H124" s="4"/>
      <x:c r="I124" t="str">
        <x:f>IF(A124="","",A124&amp;"|"&amp;C124)</x:f>
        <x:v>EE10248|INFORME 01/25</x:v>
      </x:c>
      <x:c r="J124" t="str">
        <x:f>IF(A124&lt;&gt;"","SÍ","NO")</x:f>
        <x:v>SÍ</x:v>
      </x:c>
    </x:row>
    <x:row r="125" ht="28.799999237060547">
      <x:c r="A125" s="2" t="s">
        <x:v>247</x:v>
      </x:c>
      <x:c r="B125" s="12" t="s">
        <x:v>248</x:v>
      </x:c>
      <x:c r="C125" s="2" t="s">
        <x:v>174</x:v>
      </x:c>
      <x:c r="D125" s="5">
        <x:v>46367.227164351847</x:v>
      </x:c>
      <x:c r="E125" s="2" t="s">
        <x:v>10</x:v>
      </x:c>
      <x:c r="F125" s="6">
        <x:v>23.65</x:v>
      </x:c>
      <x:c r="G125" s="2" t="s">
        <x:v>40</x:v>
      </x:c>
      <x:c r="H125" s="4"/>
      <x:c r="I125" t="str">
        <x:f>IF(A125="","",A125&amp;"|"&amp;C125)</x:f>
        <x:v>EE10232|INFORME 24/25</x:v>
      </x:c>
      <x:c r="J125" t="str">
        <x:f>IF(A125&lt;&gt;"","SÍ","NO")</x:f>
        <x:v>SÍ</x:v>
      </x:c>
    </x:row>
    <x:row r="126" ht="28.799999237060547">
      <x:c r="A126" s="2" t="s">
        <x:v>249</x:v>
      </x:c>
      <x:c r="B126" s="12" t="s">
        <x:v>250</x:v>
      </x:c>
      <x:c r="C126" s="2" t="s">
        <x:v>99</x:v>
      </x:c>
      <x:c r="D126" s="5">
        <x:v>46376.699247685188</x:v>
      </x:c>
      <x:c r="E126" s="2" t="s">
        <x:v>10</x:v>
      </x:c>
      <x:c r="F126" s="6">
        <x:v>283</x:v>
      </x:c>
      <x:c r="G126" s="2" t="s">
        <x:v>40</x:v>
      </x:c>
      <x:c r="H126" s="4"/>
      <x:c r="I126" t="str">
        <x:f>IF(A126="","",A126&amp;"|"&amp;C126)</x:f>
        <x:v>EE10185|INFORME 14/25</x:v>
      </x:c>
      <x:c r="J126" t="str">
        <x:f>IF(A126&lt;&gt;"","SÍ","NO")</x:f>
        <x:v>SÍ</x:v>
      </x:c>
    </x:row>
    <x:row r="127" ht="28.799999237060547">
      <x:c r="A127" s="2" t="s">
        <x:v>251</x:v>
      </x:c>
      <x:c r="B127" s="12" t="s">
        <x:v>252</x:v>
      </x:c>
      <x:c r="C127" s="2" t="s">
        <x:v>253</x:v>
      </x:c>
      <x:c r="D127" s="5">
        <x:v>46367.702199074083</x:v>
      </x:c>
      <x:c r="E127" s="2" t="s">
        <x:v>10</x:v>
      </x:c>
      <x:c r="F127" s="6">
        <x:v>423.55</x:v>
      </x:c>
      <x:c r="G127" s="2" t="s">
        <x:v>40</x:v>
      </x:c>
      <x:c r="H127" s="4"/>
      <x:c r="I127" t="str">
        <x:f>IF(A127="","",A127&amp;"|"&amp;C127)</x:f>
        <x:v>EE10166|INFORME 25/25</x:v>
      </x:c>
      <x:c r="J127" t="str">
        <x:f>IF(A127&lt;&gt;"","SÍ","NO")</x:f>
        <x:v>SÍ</x:v>
      </x:c>
    </x:row>
    <x:row r="128" ht="28.799999237060547">
      <x:c r="A128" s="2" t="s">
        <x:v>254</x:v>
      </x:c>
      <x:c r="B128" s="12" t="s">
        <x:v>255</x:v>
      </x:c>
      <x:c r="C128" s="2" t="s">
        <x:v>85</x:v>
      </x:c>
      <x:c r="D128" s="5">
        <x:v>46376.473877314813</x:v>
      </x:c>
      <x:c r="E128" s="2" t="s">
        <x:v>10</x:v>
      </x:c>
      <x:c r="F128" s="6">
        <x:v>525</x:v>
      </x:c>
      <x:c r="G128" s="2" t="s">
        <x:v>11</x:v>
      </x:c>
      <x:c r="H128" s="4"/>
      <x:c r="I128" t="str">
        <x:f>IF(A128="","",A128&amp;"|"&amp;C128)</x:f>
        <x:v>EE10096|INFORME 10/25</x:v>
      </x:c>
      <x:c r="J128" t="str">
        <x:f>IF(A128&lt;&gt;"","SÍ","NO")</x:f>
        <x:v>SÍ</x:v>
      </x:c>
    </x:row>
    <x:row r="129" ht="28.799999237060547">
      <x:c r="A129" s="2" t="s">
        <x:v>254</x:v>
      </x:c>
      <x:c r="B129" s="12" t="s">
        <x:v>255</x:v>
      </x:c>
      <x:c r="C129" s="2" t="s">
        <x:v>171</x:v>
      </x:c>
      <x:c r="D129" s="5">
        <x:v>46374.475601851853</x:v>
      </x:c>
      <x:c r="E129" s="2" t="s">
        <x:v>10</x:v>
      </x:c>
      <x:c r="F129" s="6">
        <x:v>5000</x:v>
      </x:c>
      <x:c r="G129" s="2" t="s">
        <x:v>11</x:v>
      </x:c>
      <x:c r="H129" s="4"/>
      <x:c r="I129" t="str">
        <x:f>IF(A129="","",A129&amp;"|"&amp;C129)</x:f>
        <x:v>EE10096|INFORME 11/25</x:v>
      </x:c>
      <x:c r="J129" t="str">
        <x:f>IF(A129&lt;&gt;"","SÍ","NO")</x:f>
        <x:v>SÍ</x:v>
      </x:c>
    </x:row>
    <x:row r="130" ht="28.799999237060547">
      <x:c r="A130" s="2" t="s">
        <x:v>205</x:v>
      </x:c>
      <x:c r="B130" s="12" t="s">
        <x:v>206</x:v>
      </x:c>
      <x:c r="C130" s="2" t="s">
        <x:v>78</x:v>
      </x:c>
      <x:c r="D130" s="5">
        <x:v>45959.747986111113</x:v>
      </x:c>
      <x:c r="E130" s="2" t="s">
        <x:v>10</x:v>
      </x:c>
      <x:c r="F130" s="6">
        <x:v>702.76</x:v>
      </x:c>
      <x:c r="G130" s="2" t="s">
        <x:v>40</x:v>
      </x:c>
      <x:c r="H130" s="4"/>
      <x:c r="I130" t="str">
        <x:f>IF(A130="","",A130&amp;"|"&amp;C130)</x:f>
        <x:v>EE10117|INFORME 04/25</x:v>
      </x:c>
      <x:c r="J130" t="str">
        <x:f>IF(A130&lt;&gt;"","SÍ","NO")</x:f>
        <x:v>SÍ</x:v>
      </x:c>
    </x:row>
    <x:row r="131" ht="28.799999237060547">
      <x:c r="A131" s="2" t="s">
        <x:v>256</x:v>
      </x:c>
      <x:c r="B131" s="12" t="s">
        <x:v>257</x:v>
      </x:c>
      <x:c r="C131" s="2" t="s">
        <x:v>258</x:v>
      </x:c>
      <x:c r="D131" s="5">
        <x:v>46401.358958333331</x:v>
      </x:c>
      <x:c r="E131" s="2" t="s">
        <x:v>10</x:v>
      </x:c>
      <x:c r="F131" s="6">
        <x:v>7.5119999999999996</x:v>
      </x:c>
      <x:c r="G131" s="2" t="s">
        <x:v>40</x:v>
      </x:c>
      <x:c r="H131" s="4"/>
      <x:c r="I131" t="str">
        <x:f>IF(A131="","",A131&amp;"|"&amp;C131)</x:f>
        <x:v>EE10212|INFORME 01/26</x:v>
      </x:c>
      <x:c r="J131" t="str">
        <x:f>IF(A131&lt;&gt;"","SÍ","NO")</x:f>
        <x:v>SÍ</x:v>
      </x:c>
    </x:row>
    <x:row r="132" ht="28.799999237060547">
      <x:c r="A132" s="2" t="s">
        <x:v>259</x:v>
      </x:c>
      <x:c r="B132" s="12" t="s">
        <x:v>260</x:v>
      </x:c>
      <x:c r="C132" s="2" t="s">
        <x:v>261</x:v>
      </x:c>
      <x:c r="D132" s="5"/>
      <x:c r="E132" s="2" t="s">
        <x:v>10</x:v>
      </x:c>
      <x:c r="F132" s="6">
        <x:v>9800</x:v>
      </x:c>
      <x:c r="G132" s="2" t="s">
        <x:v>11</x:v>
      </x:c>
      <x:c r="H132" s="4"/>
      <x:c r="I132" t="str">
        <x:f>IF(A132="","",A132&amp;"|"&amp;C132)</x:f>
        <x:v>EE10057|INFORME  01/26</x:v>
      </x:c>
      <x:c r="J132" t="str">
        <x:f>IF(A132&lt;&gt;"","SÍ","NO")</x:f>
        <x:v>SÍ</x:v>
      </x:c>
    </x:row>
    <x:row r="133" ht="28.799999237060547">
      <x:c r="A133" s="2" t="s">
        <x:v>262</x:v>
      </x:c>
      <x:c r="B133" s="12" t="s">
        <x:v>263</x:v>
      </x:c>
      <x:c r="C133" s="2" t="s">
        <x:v>258</x:v>
      </x:c>
      <x:c r="D133" s="5">
        <x:v>46407.591817129629</x:v>
      </x:c>
      <x:c r="E133" s="2" t="s">
        <x:v>10</x:v>
      </x:c>
      <x:c r="F133" s="6">
        <x:v>13</x:v>
      </x:c>
      <x:c r="G133" s="2" t="s">
        <x:v>11</x:v>
      </x:c>
      <x:c r="H133" s="4"/>
      <x:c r="I133" t="str">
        <x:f>IF(A133="","",A133&amp;"|"&amp;C133)</x:f>
        <x:v>EE10160|INFORME 01/26</x:v>
      </x:c>
      <x:c r="J133" t="str">
        <x:f>IF(A133&lt;&gt;"","SÍ","NO")</x:f>
        <x:v>SÍ</x:v>
      </x:c>
    </x:row>
    <x:row r="134" ht="43.20000076293945">
      <x:c r="A134" s="2" t="s">
        <x:v>264</x:v>
      </x:c>
      <x:c r="B134" s="12" t="s">
        <x:v>265</x:v>
      </x:c>
      <x:c r="C134" s="2" t="s">
        <x:v>258</x:v>
      </x:c>
      <x:c r="D134" s="5">
        <x:v>46388.499236111107</x:v>
      </x:c>
      <x:c r="E134" s="2" t="s">
        <x:v>10</x:v>
      </x:c>
      <x:c r="F134" s="6">
        <x:v>900</x:v>
      </x:c>
      <x:c r="G134" s="2" t="s">
        <x:v>11</x:v>
      </x:c>
      <x:c r="H134" s="4"/>
      <x:c r="I134" t="str">
        <x:f>IF(A134="","",A134&amp;"|"&amp;C134)</x:f>
        <x:v>EE10255|INFORME 01/26</x:v>
      </x:c>
      <x:c r="J134" t="str">
        <x:f>IF(A134&lt;&gt;"","SÍ","NO")</x:f>
        <x:v>SÍ</x:v>
      </x:c>
    </x:row>
    <x:row r="135" ht="28.799999237060547">
      <x:c r="A135" s="2" t="s">
        <x:v>266</x:v>
      </x:c>
      <x:c r="B135" s="12" t="s">
        <x:v>267</x:v>
      </x:c>
      <x:c r="C135" s="2" t="s">
        <x:v>258</x:v>
      </x:c>
      <x:c r="D135" s="5">
        <x:v>46388.499502314808</x:v>
      </x:c>
      <x:c r="E135" s="2" t="s">
        <x:v>10</x:v>
      </x:c>
      <x:c r="F135" s="6">
        <x:v>900</x:v>
      </x:c>
      <x:c r="G135" s="2" t="s">
        <x:v>11</x:v>
      </x:c>
      <x:c r="H135" s="4"/>
      <x:c r="I135" t="str">
        <x:f>IF(A135="","",A135&amp;"|"&amp;C135)</x:f>
        <x:v>EE10254|INFORME 01/26</x:v>
      </x:c>
      <x:c r="J135" t="str">
        <x:f>IF(A135&lt;&gt;"","SÍ","NO")</x:f>
        <x:v>SÍ</x:v>
      </x:c>
    </x:row>
    <x:row r="136" ht="28.799999237060547">
      <x:c r="A136" s="2" t="s">
        <x:v>268</x:v>
      </x:c>
      <x:c r="B136" s="12" t="s">
        <x:v>269</x:v>
      </x:c>
      <x:c r="C136" s="2" t="s">
        <x:v>67</x:v>
      </x:c>
      <x:c r="D136" s="5">
        <x:v>46227.92324074074</x:v>
      </x:c>
      <x:c r="E136" s="2" t="s">
        <x:v>10</x:v>
      </x:c>
      <x:c r="F136" s="6">
        <x:v>2.7</x:v>
      </x:c>
      <x:c r="G136" s="2" t="s">
        <x:v>40</x:v>
      </x:c>
      <x:c r="H136" s="4"/>
      <x:c r="I136" t="str">
        <x:f>IF(A136="","",A136&amp;"|"&amp;C136)</x:f>
        <x:v>EE10156|INFORME 05/25</x:v>
      </x:c>
      <x:c r="J136" t="str">
        <x:f>IF(A136&lt;&gt;"","SÍ","NO")</x:f>
        <x:v>SÍ</x:v>
      </x:c>
    </x:row>
    <x:row r="137" ht="43.20000076293945">
      <x:c r="A137" s="2" t="s">
        <x:v>264</x:v>
      </x:c>
      <x:c r="B137" s="12" t="s">
        <x:v>265</x:v>
      </x:c>
      <x:c r="C137" s="2" t="s">
        <x:v>270</x:v>
      </x:c>
      <x:c r="D137" s="5">
        <x:v>46415.568171296298</x:v>
      </x:c>
      <x:c r="E137" s="2" t="s">
        <x:v>10</x:v>
      </x:c>
      <x:c r="F137" s="6">
        <x:v>80</x:v>
      </x:c>
      <x:c r="G137" s="2" t="s">
        <x:v>11</x:v>
      </x:c>
      <x:c r="H137" s="4"/>
      <x:c r="I137" t="str">
        <x:f>IF(A137="","",A137&amp;"|"&amp;C137)</x:f>
        <x:v>EE10255|INFORME 02/26</x:v>
      </x:c>
      <x:c r="J137" t="str">
        <x:f>IF(A137&lt;&gt;"","SÍ","NO")</x:f>
        <x:v>SÍ</x:v>
      </x:c>
    </x:row>
    <x:row r="138" ht="28.799999237060547">
      <x:c r="A138" s="2" t="s">
        <x:v>266</x:v>
      </x:c>
      <x:c r="B138" s="12" t="s">
        <x:v>267</x:v>
      </x:c>
      <x:c r="C138" s="2" t="s">
        <x:v>270</x:v>
      </x:c>
      <x:c r="D138" s="5">
        <x:v>46413.567939814813</x:v>
      </x:c>
      <x:c r="E138" s="2" t="s">
        <x:v>10</x:v>
      </x:c>
      <x:c r="F138" s="6">
        <x:v>78</x:v>
      </x:c>
      <x:c r="G138" s="2" t="s">
        <x:v>11</x:v>
      </x:c>
      <x:c r="H138" s="4"/>
      <x:c r="I138" t="str">
        <x:f>IF(A138="","",A138&amp;"|"&amp;C138)</x:f>
        <x:v>EE10254|INFORME 02/26</x:v>
      </x:c>
      <x:c r="J138" t="str">
        <x:f>IF(A138&lt;&gt;"","SÍ","NO")</x:f>
        <x:v>SÍ</x:v>
      </x:c>
    </x:row>
    <x:row r="139" ht="28.799999237060547">
      <x:c r="A139" s="2" t="s">
        <x:v>271</x:v>
      </x:c>
      <x:c r="B139" s="12" t="s">
        <x:v>272</x:v>
      </x:c>
      <x:c r="C139" s="2" t="s">
        <x:v>258</x:v>
      </x:c>
      <x:c r="D139" s="5"/>
      <x:c r="E139" s="2" t="s">
        <x:v>10</x:v>
      </x:c>
      <x:c r="F139" s="6">
        <x:v>150</x:v>
      </x:c>
      <x:c r="G139" s="2" t="s">
        <x:v>11</x:v>
      </x:c>
      <x:c r="H139" s="4"/>
      <x:c r="I139" t="str">
        <x:f>IF(A139="","",A139&amp;"|"&amp;C139)</x:f>
        <x:v>EE10093|INFORME 01/26</x:v>
      </x:c>
      <x:c r="J139" t="str">
        <x:f>IF(A139&lt;&gt;"","SÍ","NO")</x:f>
        <x:v>SÍ</x:v>
      </x:c>
    </x:row>
    <x:row r="140" ht="28.799999237060547">
      <x:c r="A140" s="2" t="s">
        <x:v>273</x:v>
      </x:c>
      <x:c r="B140" s="12" t="s">
        <x:v>274</x:v>
      </x:c>
      <x:c r="C140" s="2" t="s">
        <x:v>258</x:v>
      </x:c>
      <x:c r="D140" s="5">
        <x:v>46752.500543981478</x:v>
      </x:c>
      <x:c r="E140" s="2" t="s">
        <x:v>10</x:v>
      </x:c>
      <x:c r="F140" s="6">
        <x:v>272</x:v>
      </x:c>
      <x:c r="G140" s="2" t="s">
        <x:v>11</x:v>
      </x:c>
      <x:c r="H140" s="4"/>
      <x:c r="I140" t="str">
        <x:f>IF(A140="","",A140&amp;"|"&amp;C140)</x:f>
        <x:v>EE10256|INFORME 01/26</x:v>
      </x:c>
      <x:c r="J140" t="str">
        <x:f>IF(A140&lt;&gt;"","SÍ","NO")</x:f>
        <x:v>SÍ</x:v>
      </x:c>
    </x:row>
    <x:row r="141" ht="28.799999237060547">
      <x:c r="A141" s="2" t="s">
        <x:v>205</x:v>
      </x:c>
      <x:c r="B141" s="12" t="s">
        <x:v>206</x:v>
      </x:c>
      <x:c r="C141" s="2" t="s">
        <x:v>275</x:v>
      </x:c>
      <x:c r="D141" s="5">
        <x:v>46366.791666666657</x:v>
      </x:c>
      <x:c r="E141" s="2" t="s">
        <x:v>10</x:v>
      </x:c>
      <x:c r="F141" s="6">
        <x:v>150.94</x:v>
      </x:c>
      <x:c r="G141" s="2" t="s">
        <x:v>40</x:v>
      </x:c>
      <x:c r="H141" s="4"/>
      <x:c r="I141" t="str">
        <x:f>IF(A141="","",A141&amp;"|"&amp;C141)</x:f>
        <x:v>EE10117|INFORM 04/25</x:v>
      </x:c>
      <x:c r="J141" t="str">
        <x:f>IF(A141&lt;&gt;"","SÍ","NO")</x:f>
        <x:v>SÍ</x:v>
      </x:c>
    </x:row>
    <x:row r="142" ht="28.799999237060547">
      <x:c r="A142" s="2" t="s">
        <x:v>276</x:v>
      </x:c>
      <x:c r="B142" s="12" t="s">
        <x:v>277</x:v>
      </x:c>
      <x:c r="C142" s="2" t="s">
        <x:v>258</x:v>
      </x:c>
      <x:c r="D142" s="5">
        <x:v>46417.674907407411</x:v>
      </x:c>
      <x:c r="E142" s="2" t="s">
        <x:v>10</x:v>
      </x:c>
      <x:c r="F142" s="6">
        <x:v>900</x:v>
      </x:c>
      <x:c r="G142" s="2" t="s">
        <x:v>11</x:v>
      </x:c>
      <x:c r="H142" s="4"/>
      <x:c r="I142" t="str">
        <x:f>IF(A142="","",A142&amp;"|"&amp;C142)</x:f>
        <x:v>EE10253|INFORME 01/26</x:v>
      </x:c>
      <x:c r="J142" t="str">
        <x:f>IF(A142&lt;&gt;"","SÍ","NO")</x:f>
        <x:v>SÍ</x:v>
      </x:c>
    </x:row>
    <x:row r="143" ht="28.799999237060547">
      <x:c r="A143" s="2" t="s">
        <x:v>278</x:v>
      </x:c>
      <x:c r="B143" s="12" t="s">
        <x:v>279</x:v>
      </x:c>
      <x:c r="C143" s="2" t="s">
        <x:v>258</x:v>
      </x:c>
      <x:c r="D143" s="5">
        <x:v>46425.535219907397</x:v>
      </x:c>
      <x:c r="E143" s="2" t="s">
        <x:v>10</x:v>
      </x:c>
      <x:c r="F143" s="6">
        <x:v>25.777000000000001</x:v>
      </x:c>
      <x:c r="G143" s="2" t="s">
        <x:v>40</x:v>
      </x:c>
      <x:c r="H143" s="4"/>
      <x:c r="I143" t="str">
        <x:f>IF(A143="","",A143&amp;"|"&amp;C143)</x:f>
        <x:v>EE10229|INFORME 01/26</x:v>
      </x:c>
      <x:c r="J143" t="str">
        <x:f>IF(A143&lt;&gt;"","SÍ","NO")</x:f>
        <x:v>SÍ</x:v>
      </x:c>
    </x:row>
    <x:row r="144" ht="43.20000076293945">
      <x:c r="A144" s="2" t="s">
        <x:v>109</x:v>
      </x:c>
      <x:c r="B144" s="12" t="s">
        <x:v>110</x:v>
      </x:c>
      <x:c r="C144" s="2" t="s">
        <x:v>258</x:v>
      </x:c>
      <x:c r="D144" s="5">
        <x:v>46427.418645833342</x:v>
      </x:c>
      <x:c r="E144" s="2" t="s">
        <x:v>10</x:v>
      </x:c>
      <x:c r="F144" s="6">
        <x:v>1071</x:v>
      </x:c>
      <x:c r="G144" s="2" t="s">
        <x:v>40</x:v>
      </x:c>
      <x:c r="H144" s="4"/>
      <x:c r="I144" t="str">
        <x:f>IF(A144="","",A144&amp;"|"&amp;C144)</x:f>
        <x:v>EE10029-1|INFORME 01/26</x:v>
      </x:c>
      <x:c r="J144" t="str">
        <x:f>IF(A144&lt;&gt;"","SÍ","NO")</x:f>
        <x:v>SÍ</x:v>
      </x:c>
    </x:row>
    <x:row r="145" ht="28.799999237060547">
      <x:c r="A145" s="2" t="s">
        <x:v>280</x:v>
      </x:c>
      <x:c r="B145" s="12" t="s">
        <x:v>281</x:v>
      </x:c>
      <x:c r="C145" s="2" t="s">
        <x:v>258</x:v>
      </x:c>
      <x:c r="D145" s="5">
        <x:v>46427.418877314813</x:v>
      </x:c>
      <x:c r="E145" s="2" t="s">
        <x:v>10</x:v>
      </x:c>
      <x:c r="F145" s="6">
        <x:v>526.02</x:v>
      </x:c>
      <x:c r="G145" s="2" t="s">
        <x:v>40</x:v>
      </x:c>
      <x:c r="H145" s="4"/>
      <x:c r="I145" t="str">
        <x:f>IF(A145="","",A145&amp;"|"&amp;C145)</x:f>
        <x:v>EE10142|INFORME 01/26</x:v>
      </x:c>
      <x:c r="J145" t="str">
        <x:f>IF(A145&lt;&gt;"","SÍ","NO")</x:f>
        <x:v>SÍ</x:v>
      </x:c>
    </x:row>
    <x:row r="146" ht="28.799999237060547">
      <x:c r="A146" s="2" t="s">
        <x:v>282</x:v>
      </x:c>
      <x:c r="B146" s="12" t="s">
        <x:v>283</x:v>
      </x:c>
      <x:c r="C146" s="2" t="s">
        <x:v>99</x:v>
      </x:c>
      <x:c r="D146" s="5">
        <x:v>46290.442812499998</x:v>
      </x:c>
      <x:c r="E146" s="2" t="s">
        <x:v>10</x:v>
      </x:c>
      <x:c r="F146" s="6">
        <x:v>25.94</x:v>
      </x:c>
      <x:c r="G146" s="2" t="s">
        <x:v>40</x:v>
      </x:c>
      <x:c r="H146" s="4"/>
      <x:c r="I146" t="str">
        <x:f>IF(A146="","",A146&amp;"|"&amp;C146)</x:f>
        <x:v>EE10050|INFORME 14/25</x:v>
      </x:c>
      <x:c r="J146" t="str">
        <x:f>IF(A146&lt;&gt;"","SÍ","NO")</x:f>
        <x:v>SÍ</x:v>
      </x:c>
    </x:row>
    <x:row r="147" ht="28.799999237060547">
      <x:c r="A147" s="2" t="s">
        <x:v>284</x:v>
      </x:c>
      <x:c r="B147" s="12" t="s">
        <x:v>285</x:v>
      </x:c>
      <x:c r="C147" s="2" t="s">
        <x:v>258</x:v>
      </x:c>
      <x:c r="D147" s="5">
        <x:v>46436.462453703702</x:v>
      </x:c>
      <x:c r="E147" s="2" t="s">
        <x:v>10</x:v>
      </x:c>
      <x:c r="F147" s="6">
        <x:v>427.15269999999998</x:v>
      </x:c>
      <x:c r="G147" s="2" t="s">
        <x:v>40</x:v>
      </x:c>
      <x:c r="H147" s="4"/>
      <x:c r="I147" t="str">
        <x:f>IF(A147="","",A147&amp;"|"&amp;C147)</x:f>
        <x:v>EE10171|INFORME 01/26</x:v>
      </x:c>
      <x:c r="J147" t="str">
        <x:f>IF(A147&lt;&gt;"","SÍ","NO")</x:f>
        <x:v>SÍ</x:v>
      </x:c>
    </x:row>
    <x:row r="148" ht="43.20000076293945">
      <x:c r="A148" s="2" t="s">
        <x:v>286</x:v>
      </x:c>
      <x:c r="B148" s="12" t="s">
        <x:v>287</x:v>
      </x:c>
      <x:c r="C148" s="2" t="s">
        <x:v>288</x:v>
      </x:c>
      <x:c r="D148" s="5">
        <x:v>46371.482141203713</x:v>
      </x:c>
      <x:c r="E148" s="2" t="s">
        <x:v>10</x:v>
      </x:c>
      <x:c r="F148" s="6">
        <x:v>0.7994</x:v>
      </x:c>
      <x:c r="G148" s="2" t="s">
        <x:v>11</x:v>
      </x:c>
      <x:c r="H148" s="4"/>
      <x:c r="I148" t="str">
        <x:f>IF(A148="","",A148&amp;"|"&amp;C148)</x:f>
        <x:v>EE10249|INFORME 03/26</x:v>
      </x:c>
      <x:c r="J148" t="str">
        <x:f>IF(A148&lt;&gt;"","SÍ","NO")</x:f>
        <x:v>SÍ</x:v>
      </x:c>
    </x:row>
    <x:row r="149" ht="43.20000076293945">
      <x:c r="A149" s="2" t="s">
        <x:v>289</x:v>
      </x:c>
      <x:c r="B149" s="12" t="s">
        <x:v>290</x:v>
      </x:c>
      <x:c r="C149" s="2" t="s">
        <x:v>270</x:v>
      </x:c>
      <x:c r="D149" s="5">
        <x:v>46267.48269675926</x:v>
      </x:c>
      <x:c r="E149" s="2" t="s">
        <x:v>10</x:v>
      </x:c>
      <x:c r="F149" s="6">
        <x:v>0.61420000000000008</x:v>
      </x:c>
      <x:c r="G149" s="2" t="s">
        <x:v>11</x:v>
      </x:c>
      <x:c r="H149" s="4"/>
      <x:c r="I149" t="str">
        <x:f>IF(A149="","",A149&amp;"|"&amp;C149)</x:f>
        <x:v>EE10250|INFORME 02/26</x:v>
      </x:c>
      <x:c r="J149" t="str">
        <x:f>IF(A149&lt;&gt;"","SÍ","NO")</x:f>
        <x:v>SÍ</x:v>
      </x:c>
    </x:row>
    <x:row r="150" ht="43.20000076293945">
      <x:c r="A150" s="2" t="s">
        <x:v>289</x:v>
      </x:c>
      <x:c r="B150" s="12" t="s">
        <x:v>290</x:v>
      </x:c>
      <x:c r="C150" s="2" t="s">
        <x:v>291</x:v>
      </x:c>
      <x:c r="D150" s="5">
        <x:v>46343.483182870368</x:v>
      </x:c>
      <x:c r="E150" s="2" t="s">
        <x:v>10</x:v>
      </x:c>
      <x:c r="F150" s="6">
        <x:v>169.71180000000001</x:v>
      </x:c>
      <x:c r="G150" s="2" t="s">
        <x:v>11</x:v>
      </x:c>
      <x:c r="H150" s="4"/>
      <x:c r="I150" t="str">
        <x:f>IF(A150="","",A150&amp;"|"&amp;C150)</x:f>
        <x:v>EE10250|INFORME 04/26</x:v>
      </x:c>
      <x:c r="J150" t="str">
        <x:f>IF(A150&lt;&gt;"","SÍ","NO")</x:f>
        <x:v>SÍ</x:v>
      </x:c>
    </x:row>
    <x:row r="151" ht="28.799999237060547">
      <x:c r="A151" s="2" t="s">
        <x:v>256</x:v>
      </x:c>
      <x:c r="B151" s="12" t="s">
        <x:v>257</x:v>
      </x:c>
      <x:c r="C151" s="2" t="s">
        <x:v>270</x:v>
      </x:c>
      <x:c r="D151" s="5">
        <x:v>46429.743101851847</x:v>
      </x:c>
      <x:c r="E151" s="2" t="s">
        <x:v>10</x:v>
      </x:c>
      <x:c r="F151" s="6">
        <x:v>536.04000000000008</x:v>
      </x:c>
      <x:c r="G151" s="2" t="s">
        <x:v>40</x:v>
      </x:c>
      <x:c r="H151" s="4"/>
      <x:c r="I151" t="str">
        <x:f>IF(A151="","",A151&amp;"|"&amp;C151)</x:f>
        <x:v>EE10212|INFORME 02/26</x:v>
      </x:c>
      <x:c r="J151" t="str">
        <x:f>IF(A151&lt;&gt;"","SÍ","NO")</x:f>
        <x:v>SÍ</x:v>
      </x:c>
    </x:row>
    <x:row r="152" ht="28.799999237060547">
      <x:c r="A152" s="2" t="s">
        <x:v>292</x:v>
      </x:c>
      <x:c r="B152" s="12" t="s">
        <x:v>293</x:v>
      </x:c>
      <x:c r="C152" s="2" t="s">
        <x:v>270</x:v>
      </x:c>
      <x:c r="D152" s="5">
        <x:v>46429.743368055562</x:v>
      </x:c>
      <x:c r="E152" s="2" t="s">
        <x:v>10</x:v>
      </x:c>
      <x:c r="F152" s="6">
        <x:v>362.11</x:v>
      </x:c>
      <x:c r="G152" s="2" t="s">
        <x:v>40</x:v>
      </x:c>
      <x:c r="H152" s="4"/>
      <x:c r="I152" t="str">
        <x:f>IF(A152="","",A152&amp;"|"&amp;C152)</x:f>
        <x:v>EE10211|INFORME 02/26</x:v>
      </x:c>
      <x:c r="J152" t="str">
        <x:f>IF(A152&lt;&gt;"","SÍ","NO")</x:f>
        <x:v>SÍ</x:v>
      </x:c>
    </x:row>
    <x:row r="153" ht="28.799999237060547">
      <x:c r="A153" s="2" t="s">
        <x:v>294</x:v>
      </x:c>
      <x:c r="B153" s="12" t="s">
        <x:v>295</x:v>
      </x:c>
      <x:c r="C153" s="2" t="s">
        <x:v>270</x:v>
      </x:c>
      <x:c r="D153" s="5">
        <x:v>46429.743449074071</x:v>
      </x:c>
      <x:c r="E153" s="2" t="s">
        <x:v>10</x:v>
      </x:c>
      <x:c r="F153" s="6">
        <x:v>427.20600000000002</x:v>
      </x:c>
      <x:c r="G153" s="2" t="s">
        <x:v>40</x:v>
      </x:c>
      <x:c r="H153" s="4"/>
      <x:c r="I153" t="str">
        <x:f>IF(A153="","",A153&amp;"|"&amp;C153)</x:f>
        <x:v>EE10209|INFORME 02/26</x:v>
      </x:c>
      <x:c r="J153" t="str">
        <x:f>IF(A153&lt;&gt;"","SÍ","NO")</x:f>
        <x:v>SÍ</x:v>
      </x:c>
    </x:row>
    <x:row r="154" ht="28.799999237060547">
      <x:c r="A154" s="2" t="s">
        <x:v>296</x:v>
      </x:c>
      <x:c r="B154" s="12" t="s">
        <x:v>297</x:v>
      </x:c>
      <x:c r="C154" s="2" t="s">
        <x:v>298</x:v>
      </x:c>
      <x:c r="D154" s="5">
        <x:v>46450.747546296298</x:v>
      </x:c>
      <x:c r="E154" s="2" t="s">
        <x:v>10</x:v>
      </x:c>
      <x:c r="F154" s="6">
        <x:v>23740</x:v>
      </x:c>
      <x:c r="G154" s="2" t="s">
        <x:v>11</x:v>
      </x:c>
      <x:c r="H154" s="4"/>
      <x:c r="I154" t="str">
        <x:f>IF(A154="","",A154&amp;"|"&amp;C154)</x:f>
        <x:v>EE10199|INFORME 05/26</x:v>
      </x:c>
      <x:c r="J154" t="str">
        <x:f>IF(A154&lt;&gt;"","SÍ","NO")</x:f>
        <x:v>SÍ</x:v>
      </x:c>
    </x:row>
    <x:row r="155" ht="43.20000076293945">
      <x:c r="A155" s="2" t="s">
        <x:v>299</x:v>
      </x:c>
      <x:c r="B155" s="12" t="s">
        <x:v>300</x:v>
      </x:c>
      <x:c r="C155" s="2" t="s">
        <x:v>301</x:v>
      </x:c>
      <x:c r="D155" s="5">
        <x:v>46752.564189814817</x:v>
      </x:c>
      <x:c r="E155" s="2" t="s">
        <x:v>10</x:v>
      </x:c>
      <x:c r="F155" s="6">
        <x:v>21000</x:v>
      </x:c>
      <x:c r="G155" s="2" t="s">
        <x:v>11</x:v>
      </x:c>
      <x:c r="H155" s="4"/>
      <x:c r="I155" t="str">
        <x:f>IF(A155="","",A155&amp;"|"&amp;C155)</x:f>
        <x:v>EE10201|AS2603</x:v>
      </x:c>
      <x:c r="J155" t="str">
        <x:f>IF(A155&lt;&gt;"","SÍ","NO")</x:f>
        <x:v>SÍ</x:v>
      </x:c>
    </x:row>
    <x:row r="156" ht="28.799999237060547">
      <x:c r="A156" s="2" t="s">
        <x:v>296</x:v>
      </x:c>
      <x:c r="B156" s="12" t="s">
        <x:v>297</x:v>
      </x:c>
      <x:c r="C156" s="2" t="s">
        <x:v>258</x:v>
      </x:c>
      <x:c r="D156" s="5">
        <x:v>46441.420358796298</x:v>
      </x:c>
      <x:c r="E156" s="2" t="s">
        <x:v>10</x:v>
      </x:c>
      <x:c r="F156" s="6">
        <x:v>9736</x:v>
      </x:c>
      <x:c r="G156" s="2" t="s">
        <x:v>11</x:v>
      </x:c>
      <x:c r="H156" s="4"/>
      <x:c r="I156" t="str">
        <x:f>IF(A156="","",A156&amp;"|"&amp;C156)</x:f>
        <x:v>EE10199|INFORME 01/26</x:v>
      </x:c>
      <x:c r="J156" t="str">
        <x:f>IF(A156&lt;&gt;"","SÍ","NO")</x:f>
        <x:v>SÍ</x:v>
      </x:c>
    </x:row>
    <x:row r="157" ht="28.799999237060547">
      <x:c r="A157" s="2" t="s">
        <x:v>302</x:v>
      </x:c>
      <x:c r="B157" s="12" t="s">
        <x:v>303</x:v>
      </x:c>
      <x:c r="C157" s="2" t="s">
        <x:v>258</x:v>
      </x:c>
      <x:c r="D157" s="5">
        <x:v>46449.460462962961</x:v>
      </x:c>
      <x:c r="E157" s="2" t="s">
        <x:v>10</x:v>
      </x:c>
      <x:c r="F157" s="6">
        <x:v>4000</x:v>
      </x:c>
      <x:c r="G157" s="2" t="s">
        <x:v>11</x:v>
      </x:c>
      <x:c r="H157" s="4"/>
      <x:c r="I157" t="str">
        <x:f>IF(A157="","",A157&amp;"|"&amp;C157)</x:f>
        <x:v>EE10260|INFORME 01/26</x:v>
      </x:c>
      <x:c r="J157" t="str">
        <x:f>IF(A157&lt;&gt;"","SÍ","NO")</x:f>
        <x:v>SÍ</x:v>
      </x:c>
    </x:row>
    <x:row r="158" ht="28.799999237060547">
      <x:c r="A158" s="2" t="s">
        <x:v>304</x:v>
      </x:c>
      <x:c r="B158" s="12" t="s">
        <x:v>305</x:v>
      </x:c>
      <x:c r="C158" s="2" t="s">
        <x:v>291</x:v>
      </x:c>
      <x:c r="D158" s="5">
        <x:v>46419.757395833331</x:v>
      </x:c>
      <x:c r="E158" s="2" t="s">
        <x:v>10</x:v>
      </x:c>
      <x:c r="F158" s="6">
        <x:v>2E-3</x:v>
      </x:c>
      <x:c r="G158" s="2" t="s">
        <x:v>40</x:v>
      </x:c>
      <x:c r="H158" s="4"/>
      <x:c r="I158" t="str">
        <x:f>IF(A158="","",A158&amp;"|"&amp;C158)</x:f>
        <x:v>EE10047|INFORME 04/26</x:v>
      </x:c>
      <x:c r="J158" t="str">
        <x:f>IF(A158&lt;&gt;"","SÍ","NO")</x:f>
        <x:v>SÍ</x:v>
      </x:c>
    </x:row>
    <x:row r="159" ht="28.799999237060547">
      <x:c r="A159" s="2" t="s">
        <x:v>306</x:v>
      </x:c>
      <x:c r="B159" s="12" t="s">
        <x:v>307</x:v>
      </x:c>
      <x:c r="C159" s="2"/>
      <x:c r="D159" s="5"/>
      <x:c r="E159" s="2" t="s">
        <x:v>10</x:v>
      </x:c>
      <x:c r="F159" s="6">
        <x:v>463.9384</x:v>
      </x:c>
      <x:c r="G159" s="2" t="s">
        <x:v>11</x:v>
      </x:c>
      <x:c r="H159" s="4"/>
      <x:c r="I159" t="str">
        <x:f>IF(A159="","",A159&amp;"|"&amp;C159)</x:f>
        <x:v>EE10265|</x:v>
      </x:c>
      <x:c r="J159" t="str">
        <x:f>IF(A159&lt;&gt;"","SÍ","NO")</x:f>
        <x:v>SÍ</x:v>
      </x:c>
    </x:row>
    <x:row r="160" ht="43.20000076293945">
      <x:c r="A160" s="2" t="s">
        <x:v>308</x:v>
      </x:c>
      <x:c r="B160" s="12" t="s">
        <x:v>309</x:v>
      </x:c>
      <x:c r="C160" s="2" t="s">
        <x:v>258</x:v>
      </x:c>
      <x:c r="D160" s="5"/>
      <x:c r="E160" s="2" t="s">
        <x:v>10</x:v>
      </x:c>
      <x:c r="F160" s="6">
        <x:v>4550</x:v>
      </x:c>
      <x:c r="G160" s="2" t="s">
        <x:v>11</x:v>
      </x:c>
      <x:c r="H160" s="4"/>
      <x:c r="I160" t="str">
        <x:f>IF(A160="","",A160&amp;"|"&amp;C160)</x:f>
        <x:v>EE10058|INFORME 01/26</x:v>
      </x:c>
      <x:c r="J160" t="str">
        <x:f>IF(A160&lt;&gt;"","SÍ","NO")</x:f>
        <x:v>SÍ</x:v>
      </x:c>
    </x:row>
    <x:row r="161" ht="28.799999237060547">
      <x:c r="A161" s="2" t="s">
        <x:v>310</x:v>
      </x:c>
      <x:c r="B161" s="12" t="s">
        <x:v>311</x:v>
      </x:c>
      <x:c r="C161" s="2" t="s">
        <x:v>312</x:v>
      </x:c>
      <x:c r="D161" s="5">
        <x:v>46465.359317129631</x:v>
      </x:c>
      <x:c r="E161" s="2" t="s">
        <x:v>10</x:v>
      </x:c>
      <x:c r="F161" s="6">
        <x:v>13560</x:v>
      </x:c>
      <x:c r="G161" s="2" t="s">
        <x:v>11</x:v>
      </x:c>
      <x:c r="H161" s="4"/>
      <x:c r="I161" t="str">
        <x:f>IF(A161="","",A161&amp;"|"&amp;C161)</x:f>
        <x:v>EE10262|INFORME 09/26</x:v>
      </x:c>
      <x:c r="J161" t="str">
        <x:f>IF(A161&lt;&gt;"","SÍ","NO")</x:f>
        <x:v>SÍ</x:v>
      </x:c>
    </x:row>
    <x:row r="162" ht="28.799999237060547">
      <x:c r="A162" s="2" t="s">
        <x:v>313</x:v>
      </x:c>
      <x:c r="B162" s="12" t="s">
        <x:v>314</x:v>
      </x:c>
      <x:c r="C162" s="2" t="s">
        <x:v>312</x:v>
      </x:c>
      <x:c r="D162" s="5">
        <x:v>46465.359490740739</x:v>
      </x:c>
      <x:c r="E162" s="2" t="s">
        <x:v>10</x:v>
      </x:c>
      <x:c r="F162" s="6">
        <x:v>9050</x:v>
      </x:c>
      <x:c r="G162" s="2" t="s">
        <x:v>11</x:v>
      </x:c>
      <x:c r="H162" s="4"/>
      <x:c r="I162" t="str">
        <x:f>IF(A162="","",A162&amp;"|"&amp;C162)</x:f>
        <x:v>EE10263|INFORME 09/26</x:v>
      </x:c>
      <x:c r="J162" t="str">
        <x:f>IF(A162&lt;&gt;"","SÍ","NO")</x:f>
        <x:v>SÍ</x:v>
      </x:c>
    </x:row>
    <x:row r="163" ht="28.799999237060547">
      <x:c r="A163" s="2" t="s">
        <x:v>315</x:v>
      </x:c>
      <x:c r="B163" s="12" t="s">
        <x:v>316</x:v>
      </x:c>
      <x:c r="C163" s="2" t="s">
        <x:v>312</x:v>
      </x:c>
      <x:c r="D163" s="5">
        <x:v>46465.359583333331</x:v>
      </x:c>
      <x:c r="E163" s="2" t="s">
        <x:v>10</x:v>
      </x:c>
      <x:c r="F163" s="6">
        <x:v>15000</x:v>
      </x:c>
      <x:c r="G163" s="2" t="s">
        <x:v>11</x:v>
      </x:c>
      <x:c r="H163" s="4"/>
      <x:c r="I163" t="str">
        <x:f>IF(A163="","",A163&amp;"|"&amp;C163)</x:f>
        <x:v>EE10264|INFORME 09/26</x:v>
      </x:c>
      <x:c r="J163" t="str">
        <x:f>IF(A163&lt;&gt;"","SÍ","NO")</x:f>
        <x:v>SÍ</x:v>
      </x:c>
    </x:row>
    <x:row r="164" ht="28.799999237060547">
      <x:c r="A164" s="2" t="s">
        <x:v>296</x:v>
      </x:c>
      <x:c r="B164" s="12" t="s">
        <x:v>297</x:v>
      </x:c>
      <x:c r="C164" s="2" t="s">
        <x:v>317</x:v>
      </x:c>
      <x:c r="D164" s="5">
        <x:v>46465.4690162037</x:v>
      </x:c>
      <x:c r="E164" s="2" t="s">
        <x:v>10</x:v>
      </x:c>
      <x:c r="F164" s="6">
        <x:v>10000</x:v>
      </x:c>
      <x:c r="G164" s="2" t="s">
        <x:v>11</x:v>
      </x:c>
      <x:c r="H164" s="4"/>
      <x:c r="I164" t="str">
        <x:f>IF(A164="","",A164&amp;"|"&amp;C164)</x:f>
        <x:v>EE10199|INFORME 08/26</x:v>
      </x:c>
      <x:c r="J164" t="str">
        <x:f>IF(A164&lt;&gt;"","SÍ","NO")</x:f>
        <x:v>SÍ</x:v>
      </x:c>
    </x:row>
    <x:row r="165" ht="43.20000076293945">
      <x:c r="A165" s="2" t="s">
        <x:v>318</x:v>
      </x:c>
      <x:c r="B165" s="12" t="s">
        <x:v>319</x:v>
      </x:c>
      <x:c r="C165" s="2" t="s">
        <x:v>258</x:v>
      </x:c>
      <x:c r="D165" s="5">
        <x:v>46485.912986111107</x:v>
      </x:c>
      <x:c r="E165" s="2" t="s">
        <x:v>10</x:v>
      </x:c>
      <x:c r="F165" s="6">
        <x:v>388.32799999999997</x:v>
      </x:c>
      <x:c r="G165" s="2" t="s">
        <x:v>40</x:v>
      </x:c>
      <x:c r="H165" s="4"/>
      <x:c r="I165" t="str">
        <x:f>IF(A165="","",A165&amp;"|"&amp;C165)</x:f>
        <x:v>EE10021-1|INFORME 01/26</x:v>
      </x:c>
      <x:c r="J165" t="str">
        <x:f>IF(A165&lt;&gt;"","SÍ","NO")</x:f>
        <x:v>SÍ</x:v>
      </x:c>
    </x:row>
    <x:row r="166" ht="28.799999237060547">
      <x:c r="A166" s="2" t="s">
        <x:v>320</x:v>
      </x:c>
      <x:c r="B166" s="12" t="s">
        <x:v>321</x:v>
      </x:c>
      <x:c r="C166" s="2" t="s">
        <x:v>258</x:v>
      </x:c>
      <x:c r="D166" s="5">
        <x:v>46483.933541666673</x:v>
      </x:c>
      <x:c r="E166" s="2" t="s">
        <x:v>10</x:v>
      </x:c>
      <x:c r="F166" s="6">
        <x:v>327.43799999999999</x:v>
      </x:c>
      <x:c r="G166" s="2" t="s">
        <x:v>40</x:v>
      </x:c>
      <x:c r="H166" s="4"/>
      <x:c r="I166" t="str">
        <x:f>IF(A166="","",A166&amp;"|"&amp;C166)</x:f>
        <x:v>EE10041|INFORME 01/26</x:v>
      </x:c>
      <x:c r="J166" t="str">
        <x:f>IF(A166&lt;&gt;"","SÍ","NO")</x:f>
        <x:v>SÍ</x:v>
      </x:c>
    </x:row>
    <x:row r="167" ht="28.799999237060547">
      <x:c r="A167" s="2" t="s">
        <x:v>241</x:v>
      </x:c>
      <x:c r="B167" s="12" t="s">
        <x:v>242</x:v>
      </x:c>
      <x:c r="C167" s="2" t="s">
        <x:v>258</x:v>
      </x:c>
      <x:c r="D167" s="5">
        <x:v>46485.936898148153</x:v>
      </x:c>
      <x:c r="E167" s="2" t="s">
        <x:v>10</x:v>
      </x:c>
      <x:c r="F167" s="6">
        <x:v>526.79000000000008</x:v>
      </x:c>
      <x:c r="G167" s="2" t="s">
        <x:v>40</x:v>
      </x:c>
      <x:c r="H167" s="4"/>
      <x:c r="I167" t="str">
        <x:f>IF(A167="","",A167&amp;"|"&amp;C167)</x:f>
        <x:v>EE10228|INFORME 01/26</x:v>
      </x:c>
      <x:c r="J167" t="str">
        <x:f>IF(A167&lt;&gt;"","SÍ","NO")</x:f>
        <x:v>SÍ</x:v>
      </x:c>
    </x:row>
    <x:row r="168" ht="28.799999237060547">
      <x:c r="A168" s="2" t="s">
        <x:v>243</x:v>
      </x:c>
      <x:c r="B168" s="12" t="s">
        <x:v>244</x:v>
      </x:c>
      <x:c r="C168" s="2" t="s">
        <x:v>258</x:v>
      </x:c>
      <x:c r="D168" s="5">
        <x:v>46485.937164351853</x:v>
      </x:c>
      <x:c r="E168" s="2" t="s">
        <x:v>10</x:v>
      </x:c>
      <x:c r="F168" s="6">
        <x:v>560.34</x:v>
      </x:c>
      <x:c r="G168" s="2" t="s">
        <x:v>40</x:v>
      </x:c>
      <x:c r="H168" s="4"/>
      <x:c r="I168" t="str">
        <x:f>IF(A168="","",A168&amp;"|"&amp;C168)</x:f>
        <x:v>EE10231|INFORME 01/26</x:v>
      </x:c>
      <x:c r="J168" t="str">
        <x:f>IF(A168&lt;&gt;"","SÍ","NO")</x:f>
        <x:v>SÍ</x:v>
      </x:c>
    </x:row>
    <x:row r="169" ht="28.799999237060547">
      <x:c r="A169" s="2" t="s">
        <x:v>322</x:v>
      </x:c>
      <x:c r="B169" s="12" t="s">
        <x:v>323</x:v>
      </x:c>
      <x:c r="C169" s="2" t="s">
        <x:v>258</x:v>
      </x:c>
      <x:c r="D169" s="5">
        <x:v>46485.943402777782</x:v>
      </x:c>
      <x:c r="E169" s="2" t="s">
        <x:v>10</x:v>
      </x:c>
      <x:c r="F169" s="6">
        <x:v>357.89</x:v>
      </x:c>
      <x:c r="G169" s="2" t="s">
        <x:v>40</x:v>
      </x:c>
      <x:c r="H169" s="4"/>
      <x:c r="I169" t="str">
        <x:f>IF(A169="","",A169&amp;"|"&amp;C169)</x:f>
        <x:v>EE10235|INFORME 01/26</x:v>
      </x:c>
      <x:c r="J169" t="str">
        <x:f>IF(A169&lt;&gt;"","SÍ","NO")</x:f>
        <x:v>SÍ</x:v>
      </x:c>
    </x:row>
    <x:row r="170" ht="28.799999237060547">
      <x:c r="A170" s="2" t="s">
        <x:v>324</x:v>
      </x:c>
      <x:c r="B170" s="12" t="s">
        <x:v>325</x:v>
      </x:c>
      <x:c r="C170" s="2" t="s">
        <x:v>258</x:v>
      </x:c>
      <x:c r="D170" s="5">
        <x:v>46485.943680555552</x:v>
      </x:c>
      <x:c r="E170" s="2" t="s">
        <x:v>10</x:v>
      </x:c>
      <x:c r="F170" s="6">
        <x:v>459.78</x:v>
      </x:c>
      <x:c r="G170" s="2" t="s">
        <x:v>40</x:v>
      </x:c>
      <x:c r="H170" s="4"/>
      <x:c r="I170" t="str">
        <x:f>IF(A170="","",A170&amp;"|"&amp;C170)</x:f>
        <x:v>EE10238|INFORME 01/26</x:v>
      </x:c>
      <x:c r="J170" t="str">
        <x:f>IF(A170&lt;&gt;"","SÍ","NO")</x:f>
        <x:v>SÍ</x:v>
      </x:c>
    </x:row>
    <x:row r="171" ht="28.799999237060547">
      <x:c r="A171" s="2" t="s">
        <x:v>326</x:v>
      </x:c>
      <x:c r="B171" s="12" t="s">
        <x:v>327</x:v>
      </x:c>
      <x:c r="C171" s="2" t="s">
        <x:v>258</x:v>
      </x:c>
      <x:c r="D171" s="5">
        <x:v>46485.944016203714</x:v>
      </x:c>
      <x:c r="E171" s="2" t="s">
        <x:v>10</x:v>
      </x:c>
      <x:c r="F171" s="6">
        <x:v>389.54</x:v>
      </x:c>
      <x:c r="G171" s="2" t="s">
        <x:v>40</x:v>
      </x:c>
      <x:c r="H171" s="4"/>
      <x:c r="I171" t="str">
        <x:f>IF(A171="","",A171&amp;"|"&amp;C171)</x:f>
        <x:v>EE10236|INFORME 01/26</x:v>
      </x:c>
      <x:c r="J171" t="str">
        <x:f>IF(A171&lt;&gt;"","SÍ","NO")</x:f>
        <x:v>SÍ</x:v>
      </x:c>
    </x:row>
    <x:row r="172" ht="28.799999237060547">
      <x:c r="A172" s="2" t="s">
        <x:v>107</x:v>
      </x:c>
      <x:c r="B172" s="12" t="s">
        <x:v>108</x:v>
      </x:c>
      <x:c r="C172" s="2" t="s">
        <x:v>328</x:v>
      </x:c>
      <x:c r="D172" s="5">
        <x:v>45838.502951388888</x:v>
      </x:c>
      <x:c r="E172" s="2" t="s">
        <x:v>10</x:v>
      </x:c>
      <x:c r="F172" s="6">
        <x:v>0.4</x:v>
      </x:c>
      <x:c r="G172" s="2" t="s">
        <x:v>40</x:v>
      </x:c>
      <x:c r="H172" s="4"/>
      <x:c r="I172" t="str">
        <x:f>IF(A172="","",A172&amp;"|"&amp;C172)</x:f>
        <x:v>EE10022|INFORME 12</x:v>
      </x:c>
      <x:c r="J172" t="str">
        <x:f>IF(A172&lt;&gt;"","SÍ","NO")</x:f>
        <x:v>SÍ</x:v>
      </x:c>
    </x:row>
    <x:row r="173" ht="28.799999237060547">
      <x:c r="A173" s="2" t="s">
        <x:v>278</x:v>
      </x:c>
      <x:c r="B173" s="12" t="s">
        <x:v>279</x:v>
      </x:c>
      <x:c r="C173" s="2" t="s">
        <x:v>270</x:v>
      </x:c>
      <x:c r="D173" s="5">
        <x:v>46500.663888888892</x:v>
      </x:c>
      <x:c r="E173" s="2" t="s">
        <x:v>10</x:v>
      </x:c>
      <x:c r="F173" s="6">
        <x:v>456.17399999999998</x:v>
      </x:c>
      <x:c r="G173" s="2" t="s">
        <x:v>40</x:v>
      </x:c>
      <x:c r="H173" s="4"/>
      <x:c r="I173" t="str">
        <x:f>IF(A173="","",A173&amp;"|"&amp;C173)</x:f>
        <x:v>EE10229|INFORME 02/26</x:v>
      </x:c>
      <x:c r="J173" t="str">
        <x:f>IF(A173&lt;&gt;"","SÍ","NO")</x:f>
        <x:v>SÍ</x:v>
      </x:c>
    </x:row>
    <x:row r="174" ht="28.799999237060547">
      <x:c r="A174" s="2" t="s">
        <x:v>329</x:v>
      </x:c>
      <x:c r="B174" s="12" t="s">
        <x:v>330</x:v>
      </x:c>
      <x:c r="C174" s="2" t="s">
        <x:v>258</x:v>
      </x:c>
      <x:c r="D174" s="5">
        <x:v>46503.667870370373</x:v>
      </x:c>
      <x:c r="E174" s="2" t="s">
        <x:v>10</x:v>
      </x:c>
      <x:c r="F174" s="6">
        <x:v>210.02</x:v>
      </x:c>
      <x:c r="G174" s="2" t="s">
        <x:v>40</x:v>
      </x:c>
      <x:c r="H174" s="4"/>
      <x:c r="I174" t="str">
        <x:f>IF(A174="","",A174&amp;"|"&amp;C174)</x:f>
        <x:v>EE10032|INFORME 01/26</x:v>
      </x:c>
      <x:c r="J174" t="str">
        <x:f>IF(A174&lt;&gt;"","SÍ","NO")</x:f>
        <x:v>SÍ</x:v>
      </x:c>
    </x:row>
    <x:row r="175" ht="28.799999237060547">
      <x:c r="A175" s="2" t="s">
        <x:v>331</x:v>
      </x:c>
      <x:c r="B175" s="12" t="s">
        <x:v>332</x:v>
      </x:c>
      <x:c r="C175" s="2" t="s">
        <x:v>258</x:v>
      </x:c>
      <x:c r="D175" s="5">
        <x:v>46500.668124999997</x:v>
      </x:c>
      <x:c r="E175" s="2" t="s">
        <x:v>10</x:v>
      </x:c>
      <x:c r="F175" s="6">
        <x:v>33.658999999999999</x:v>
      </x:c>
      <x:c r="G175" s="2" t="s">
        <x:v>40</x:v>
      </x:c>
      <x:c r="H175" s="4"/>
      <x:c r="I175" t="str">
        <x:f>IF(A175="","",A175&amp;"|"&amp;C175)</x:f>
        <x:v>EE10035|INFORME 01/26</x:v>
      </x:c>
      <x:c r="J175" t="str">
        <x:f>IF(A175&lt;&gt;"","SÍ","NO")</x:f>
        <x:v>SÍ</x:v>
      </x:c>
    </x:row>
    <x:row r="176" ht="43.20000076293945">
      <x:c r="A176" s="2" t="s">
        <x:v>333</x:v>
      </x:c>
      <x:c r="B176" s="12" t="s">
        <x:v>334</x:v>
      </x:c>
      <x:c r="C176" s="2" t="s">
        <x:v>270</x:v>
      </x:c>
      <x:c r="D176" s="5">
        <x:v>46490.011574074073</x:v>
      </x:c>
      <x:c r="E176" s="2" t="s">
        <x:v>10</x:v>
      </x:c>
      <x:c r="F176" s="6">
        <x:v>30.808</x:v>
      </x:c>
      <x:c r="G176" s="2" t="s">
        <x:v>40</x:v>
      </x:c>
      <x:c r="H176" s="4"/>
      <x:c r="I176" t="str">
        <x:f>IF(A176="","",A176&amp;"|"&amp;C176)</x:f>
        <x:v>MP10019-1|INFORME 02/26</x:v>
      </x:c>
      <x:c r="J176" t="str">
        <x:f>IF(A176&lt;&gt;"","SÍ","NO")</x:f>
        <x:v>SÍ</x:v>
      </x:c>
    </x:row>
    <x:row r="177" ht="28.799999237060547">
      <x:c r="A177" s="2" t="s">
        <x:v>335</x:v>
      </x:c>
      <x:c r="B177" s="12" t="s">
        <x:v>336</x:v>
      </x:c>
      <x:c r="C177" s="2" t="s">
        <x:v>258</x:v>
      </x:c>
      <x:c r="D177" s="5">
        <x:v>46752.536840277768</x:v>
      </x:c>
      <x:c r="E177" s="2" t="s">
        <x:v>10</x:v>
      </x:c>
      <x:c r="F177" s="6">
        <x:v>500</x:v>
      </x:c>
      <x:c r="G177" s="2" t="s">
        <x:v>11</x:v>
      </x:c>
      <x:c r="H177" s="4"/>
      <x:c r="I177" t="str">
        <x:f>IF(A177="","",A177&amp;"|"&amp;C177)</x:f>
        <x:v>EE10282|INFORME 01/26</x:v>
      </x:c>
      <x:c r="J177" t="str">
        <x:f>IF(A177&lt;&gt;"","SÍ","NO")</x:f>
        <x:v>SÍ</x:v>
      </x:c>
    </x:row>
    <x:row r="178" ht="28.799999237060547">
      <x:c r="A178" s="2" t="s">
        <x:v>337</x:v>
      </x:c>
      <x:c r="B178" s="12" t="s">
        <x:v>338</x:v>
      </x:c>
      <x:c r="C178" s="2" t="s">
        <x:v>258</x:v>
      </x:c>
      <x:c r="D178" s="5">
        <x:v>46752.536886574067</x:v>
      </x:c>
      <x:c r="E178" s="2" t="s">
        <x:v>10</x:v>
      </x:c>
      <x:c r="F178" s="6">
        <x:v>460</x:v>
      </x:c>
      <x:c r="G178" s="2" t="s">
        <x:v>11</x:v>
      </x:c>
      <x:c r="H178" s="4"/>
      <x:c r="I178" t="str">
        <x:f>IF(A178="","",A178&amp;"|"&amp;C178)</x:f>
        <x:v>EE10284|INFORME 01/26</x:v>
      </x:c>
      <x:c r="J178" t="str">
        <x:f>IF(A178&lt;&gt;"","SÍ","NO")</x:f>
        <x:v>SÍ</x:v>
      </x:c>
    </x:row>
    <x:row r="179" ht="28.799999237060547">
      <x:c r="A179" s="2" t="s">
        <x:v>339</x:v>
      </x:c>
      <x:c r="B179" s="12" t="s">
        <x:v>340</x:v>
      </x:c>
      <x:c r="C179" s="2" t="s">
        <x:v>258</x:v>
      </x:c>
      <x:c r="D179" s="5">
        <x:v>46752.539363425924</x:v>
      </x:c>
      <x:c r="E179" s="2" t="s">
        <x:v>10</x:v>
      </x:c>
      <x:c r="F179" s="6">
        <x:v>400</x:v>
      </x:c>
      <x:c r="G179" s="2" t="s">
        <x:v>11</x:v>
      </x:c>
      <x:c r="H179" s="4"/>
      <x:c r="I179" t="str">
        <x:f>IF(A179="","",A179&amp;"|"&amp;C179)</x:f>
        <x:v>EE10283|INFORME 01/26</x:v>
      </x:c>
      <x:c r="J179" t="str">
        <x:f>IF(A179&lt;&gt;"","SÍ","NO")</x:f>
        <x:v>SÍ</x:v>
      </x:c>
    </x:row>
    <x:row r="180" ht="28.799999237060547">
      <x:c r="A180" s="2" t="s">
        <x:v>341</x:v>
      </x:c>
      <x:c r="B180" s="12" t="s">
        <x:v>342</x:v>
      </x:c>
      <x:c r="C180" s="2" t="s">
        <x:v>258</x:v>
      </x:c>
      <x:c r="D180" s="5">
        <x:v>46752.539305555547</x:v>
      </x:c>
      <x:c r="E180" s="2" t="s">
        <x:v>10</x:v>
      </x:c>
      <x:c r="F180" s="6">
        <x:v>500</x:v>
      </x:c>
      <x:c r="G180" s="2" t="s">
        <x:v>11</x:v>
      </x:c>
      <x:c r="H180" s="4"/>
      <x:c r="I180" t="str">
        <x:f>IF(A180="","",A180&amp;"|"&amp;C180)</x:f>
        <x:v>EE10280|INFORME 01/26</x:v>
      </x:c>
      <x:c r="J180" t="str">
        <x:f>IF(A180&lt;&gt;"","SÍ","NO")</x:f>
        <x:v>SÍ</x:v>
      </x:c>
    </x:row>
    <x:row r="181" ht="28.799999237060547">
      <x:c r="A181" s="2" t="s">
        <x:v>304</x:v>
      </x:c>
      <x:c r="B181" s="12" t="s">
        <x:v>305</x:v>
      </x:c>
      <x:c r="C181" s="2" t="s">
        <x:v>343</x:v>
      </x:c>
      <x:c r="D181" s="5">
        <x:v>46337.515219907407</x:v>
      </x:c>
      <x:c r="E181" s="2" t="s">
        <x:v>10</x:v>
      </x:c>
      <x:c r="F181" s="6">
        <x:v>0.32</x:v>
      </x:c>
      <x:c r="G181" s="2" t="s">
        <x:v>40</x:v>
      </x:c>
      <x:c r="H181" s="4"/>
      <x:c r="I181" t="str">
        <x:f>IF(A181="","",A181&amp;"|"&amp;C181)</x:f>
        <x:v>EE10047|INFORME 07/26</x:v>
      </x:c>
      <x:c r="J181" t="str">
        <x:f>IF(A181&lt;&gt;"","SÍ","NO")</x:f>
        <x:v>SÍ</x:v>
      </x:c>
    </x:row>
    <x:row r="182" ht="43.20000076293945">
      <x:c r="A182" s="2" t="s">
        <x:v>344</x:v>
      </x:c>
      <x:c r="B182" s="12" t="s">
        <x:v>345</x:v>
      </x:c>
      <x:c r="C182" s="2" t="s">
        <x:v>288</x:v>
      </x:c>
      <x:c r="D182" s="5">
        <x:v>46490.650127314817</x:v>
      </x:c>
      <x:c r="E182" s="2" t="s">
        <x:v>10</x:v>
      </x:c>
      <x:c r="F182" s="6">
        <x:v>102.79600000000001</x:v>
      </x:c>
      <x:c r="G182" s="2" t="s">
        <x:v>40</x:v>
      </x:c>
      <x:c r="H182" s="4"/>
      <x:c r="I182" t="str">
        <x:f>IF(A182="","",A182&amp;"|"&amp;C182)</x:f>
        <x:v>MP10044|INFORME 03/26</x:v>
      </x:c>
      <x:c r="J182" t="str">
        <x:f>IF(A182&lt;&gt;"","SÍ","NO")</x:f>
        <x:v>SÍ</x:v>
      </x:c>
    </x:row>
    <x:row r="183" ht="28.799999237060547">
      <x:c r="A183" s="2" t="s">
        <x:v>151</x:v>
      </x:c>
      <x:c r="B183" s="12" t="s">
        <x:v>152</x:v>
      </x:c>
      <x:c r="C183" s="2" t="s">
        <x:v>258</x:v>
      </x:c>
      <x:c r="D183" s="5">
        <x:v>46519.580706018518</x:v>
      </x:c>
      <x:c r="E183" s="2" t="s">
        <x:v>10</x:v>
      </x:c>
      <x:c r="F183" s="6">
        <x:v>544.75</x:v>
      </x:c>
      <x:c r="G183" s="2" t="s">
        <x:v>40</x:v>
      </x:c>
      <x:c r="H183" s="4"/>
      <x:c r="I183" t="str">
        <x:f>IF(A183="","",A183&amp;"|"&amp;C183)</x:f>
        <x:v>EE10106|INFORME 01/26</x:v>
      </x:c>
      <x:c r="J183" t="str">
        <x:f>IF(A183&lt;&gt;"","SÍ","NO")</x:f>
        <x:v>SÍ</x:v>
      </x:c>
    </x:row>
    <x:row r="184" ht="28.799999237060547">
      <x:c r="A184" s="2" t="s">
        <x:v>346</x:v>
      </x:c>
      <x:c r="B184" s="12" t="s">
        <x:v>347</x:v>
      </x:c>
      <x:c r="C184" s="2" t="s">
        <x:v>270</x:v>
      </x:c>
      <x:c r="D184" s="5">
        <x:v>46499.592499999999</x:v>
      </x:c>
      <x:c r="E184" s="2" t="s">
        <x:v>10</x:v>
      </x:c>
      <x:c r="F184" s="6">
        <x:v>117</x:v>
      </x:c>
      <x:c r="G184" s="2" t="s">
        <x:v>40</x:v>
      </x:c>
      <x:c r="H184" s="4"/>
      <x:c r="I184" t="str">
        <x:f>IF(A184="","",A184&amp;"|"&amp;C184)</x:f>
        <x:v>MP10020|INFORME 02/26</x:v>
      </x:c>
      <x:c r="J184" t="str">
        <x:f>IF(A184&lt;&gt;"","SÍ","NO")</x:f>
        <x:v>SÍ</x:v>
      </x:c>
    </x:row>
    <x:row r="185" ht="28.799999237060547">
      <x:c r="A185" s="2" t="s">
        <x:v>348</x:v>
      </x:c>
      <x:c r="B185" s="12" t="s">
        <x:v>349</x:v>
      </x:c>
      <x:c r="C185" s="2" t="s">
        <x:v>258</x:v>
      </x:c>
      <x:c r="D185" s="5">
        <x:v>46341.520405092589</x:v>
      </x:c>
      <x:c r="E185" s="2" t="s">
        <x:v>10</x:v>
      </x:c>
      <x:c r="F185" s="6">
        <x:v>442.38</x:v>
      </x:c>
      <x:c r="G185" s="2" t="s">
        <x:v>40</x:v>
      </x:c>
      <x:c r="H185" s="4"/>
      <x:c r="I185" t="str">
        <x:f>IF(A185="","",A185&amp;"|"&amp;C185)</x:f>
        <x:v>EE10300|INFORME 01/26</x:v>
      </x:c>
      <x:c r="J185" t="str">
        <x:f>IF(A185&lt;&gt;"","SÍ","NO")</x:f>
        <x:v>SÍ</x:v>
      </x:c>
    </x:row>
    <x:row r="186" ht="28.799999237060547">
      <x:c r="A186" s="2" t="s">
        <x:v>350</x:v>
      </x:c>
      <x:c r="B186" s="12" t="s">
        <x:v>351</x:v>
      </x:c>
      <x:c r="C186" s="2" t="s">
        <x:v>258</x:v>
      </x:c>
      <x:c r="D186" s="5">
        <x:v>46341.524618055562</x:v>
      </x:c>
      <x:c r="E186" s="2" t="s">
        <x:v>10</x:v>
      </x:c>
      <x:c r="F186" s="6">
        <x:v>1135.45</x:v>
      </x:c>
      <x:c r="G186" s="2" t="s">
        <x:v>40</x:v>
      </x:c>
      <x:c r="H186" s="4"/>
      <x:c r="I186" t="str">
        <x:f>IF(A186="","",A186&amp;"|"&amp;C186)</x:f>
        <x:v>EE10297|INFORME 01/26</x:v>
      </x:c>
      <x:c r="J186" t="str">
        <x:f>IF(A186&lt;&gt;"","SÍ","NO")</x:f>
        <x:v>SÍ</x:v>
      </x:c>
    </x:row>
    <x:row r="187" ht="28.799999237060547">
      <x:c r="A187" s="2" t="s">
        <x:v>352</x:v>
      </x:c>
      <x:c r="B187" s="12" t="s">
        <x:v>353</x:v>
      </x:c>
      <x:c r="C187" s="2" t="s">
        <x:v>258</x:v>
      </x:c>
      <x:c r="D187" s="5">
        <x:v>46341.526516203703</x:v>
      </x:c>
      <x:c r="E187" s="2" t="s">
        <x:v>10</x:v>
      </x:c>
      <x:c r="F187" s="6">
        <x:v>604.94000000000005</x:v>
      </x:c>
      <x:c r="G187" s="2" t="s">
        <x:v>40</x:v>
      </x:c>
      <x:c r="H187" s="4"/>
      <x:c r="I187" t="str">
        <x:f>IF(A187="","",A187&amp;"|"&amp;C187)</x:f>
        <x:v>EE10299|INFORME 01/26</x:v>
      </x:c>
      <x:c r="J187" t="str">
        <x:f>IF(A187&lt;&gt;"","SÍ","NO")</x:f>
        <x:v>SÍ</x:v>
      </x:c>
    </x:row>
    <x:row r="188" ht="28.799999237060547">
      <x:c r="A188" s="2" t="s">
        <x:v>320</x:v>
      </x:c>
      <x:c r="B188" s="12" t="s">
        <x:v>321</x:v>
      </x:c>
      <x:c r="C188" s="2" t="s">
        <x:v>91</x:v>
      </x:c>
      <x:c r="D188" s="5">
        <x:v>46248.805</x:v>
      </x:c>
      <x:c r="E188" s="2" t="s">
        <x:v>10</x:v>
      </x:c>
      <x:c r="F188" s="6">
        <x:v>2.8643999999999998</x:v>
      </x:c>
      <x:c r="G188" s="2" t="s">
        <x:v>40</x:v>
      </x:c>
      <x:c r="H188" s="4"/>
      <x:c r="I188" t="str">
        <x:f>IF(A188="","",A188&amp;"|"&amp;C188)</x:f>
        <x:v>EE10041|INFORME 01/25</x:v>
      </x:c>
      <x:c r="J188" t="str">
        <x:f>IF(A188&lt;&gt;"","SÍ","NO")</x:f>
        <x:v>SÍ</x:v>
      </x:c>
    </x:row>
    <x:row r="189" ht="43.20000076293945">
      <x:c r="A189" s="2" t="s">
        <x:v>354</x:v>
      </x:c>
      <x:c r="B189" s="12" t="s">
        <x:v>355</x:v>
      </x:c>
      <x:c r="C189" s="2" t="s">
        <x:v>343</x:v>
      </x:c>
      <x:c r="D189" s="5">
        <x:v>46515.428807870368</x:v>
      </x:c>
      <x:c r="E189" s="2" t="s">
        <x:v>10</x:v>
      </x:c>
      <x:c r="F189" s="6">
        <x:v>2880</x:v>
      </x:c>
      <x:c r="G189" s="2" t="s">
        <x:v>11</x:v>
      </x:c>
      <x:c r="H189" s="4"/>
      <x:c r="I189" t="str">
        <x:f>IF(A189="","",A189&amp;"|"&amp;C189)</x:f>
        <x:v>EE10058-1|INFORME 07/26</x:v>
      </x:c>
      <x:c r="J189" t="str">
        <x:f>IF(A189&lt;&gt;"","SÍ","NO")</x:f>
        <x:v>SÍ</x:v>
      </x:c>
    </x:row>
    <x:row r="190" ht="28.799999237060547">
      <x:c r="A190" s="2" t="s">
        <x:v>356</x:v>
      </x:c>
      <x:c r="B190" s="12" t="s">
        <x:v>357</x:v>
      </x:c>
      <x:c r="C190" s="2" t="s">
        <x:v>270</x:v>
      </x:c>
      <x:c r="D190" s="5">
        <x:v>46533.916180555563</x:v>
      </x:c>
      <x:c r="E190" s="2" t="s">
        <x:v>10</x:v>
      </x:c>
      <x:c r="F190" s="6">
        <x:v>304</x:v>
      </x:c>
      <x:c r="G190" s="2" t="s">
        <x:v>11</x:v>
      </x:c>
      <x:c r="H190" s="4"/>
      <x:c r="I190" t="str">
        <x:f>IF(A190="","",A190&amp;"|"&amp;C190)</x:f>
        <x:v>EE10213|INFORME 02/26</x:v>
      </x:c>
      <x:c r="J190" t="str">
        <x:f>IF(A190&lt;&gt;"","SÍ","NO")</x:f>
        <x:v>SÍ</x:v>
      </x:c>
    </x:row>
    <x:row r="191" ht="28.799999237060547">
      <x:c r="A191" s="2" t="s">
        <x:v>273</x:v>
      </x:c>
      <x:c r="B191" s="12" t="s">
        <x:v>274</x:v>
      </x:c>
      <x:c r="C191" s="2" t="s">
        <x:v>270</x:v>
      </x:c>
      <x:c r="D191" s="5">
        <x:v>46538.483969907407</x:v>
      </x:c>
      <x:c r="E191" s="2" t="s">
        <x:v>10</x:v>
      </x:c>
      <x:c r="F191" s="6">
        <x:v>696</x:v>
      </x:c>
      <x:c r="G191" s="2" t="s">
        <x:v>11</x:v>
      </x:c>
      <x:c r="H191" s="4"/>
      <x:c r="I191" t="str">
        <x:f>IF(A191="","",A191&amp;"|"&amp;C191)</x:f>
        <x:v>EE10256|INFORME 02/26</x:v>
      </x:c>
      <x:c r="J191" t="str">
        <x:f>IF(A191&lt;&gt;"","SÍ","NO")</x:f>
        <x:v>SÍ</x:v>
      </x:c>
    </x:row>
    <x:row r="192" ht="28.799999237060547">
      <x:c r="A192" s="2" t="s">
        <x:v>358</x:v>
      </x:c>
      <x:c r="B192" s="12" t="s">
        <x:v>359</x:v>
      </x:c>
      <x:c r="C192" s="2" t="s">
        <x:v>258</x:v>
      </x:c>
      <x:c r="D192" s="5">
        <x:v>46538.479768518519</x:v>
      </x:c>
      <x:c r="E192" s="2" t="s">
        <x:v>10</x:v>
      </x:c>
      <x:c r="F192" s="6">
        <x:v>235</x:v>
      </x:c>
      <x:c r="G192" s="2" t="s">
        <x:v>11</x:v>
      </x:c>
      <x:c r="H192" s="4"/>
      <x:c r="I192" t="str">
        <x:f>IF(A192="","",A192&amp;"|"&amp;C192)</x:f>
        <x:v>EE10302|INFORME 01/26</x:v>
      </x:c>
      <x:c r="J192" t="str">
        <x:f>IF(A192&lt;&gt;"","SÍ","NO")</x:f>
        <x:v>SÍ</x:v>
      </x:c>
    </x:row>
    <x:row r="193" ht="28.799999237060547">
      <x:c r="A193" s="2" t="s">
        <x:v>360</x:v>
      </x:c>
      <x:c r="B193" s="12" t="s">
        <x:v>361</x:v>
      </x:c>
      <x:c r="C193" s="2" t="s">
        <x:v>362</x:v>
      </x:c>
      <x:c r="D193" s="5">
        <x:v>46241.936215277783</x:v>
      </x:c>
      <x:c r="E193" s="2" t="s">
        <x:v>10</x:v>
      </x:c>
      <x:c r="F193" s="6">
        <x:v>5612.6572999999999</x:v>
      </x:c>
      <x:c r="G193" s="2" t="s">
        <x:v>40</x:v>
      </x:c>
      <x:c r="H193" s="4"/>
      <x:c r="I193" t="str">
        <x:f>IF(A193="","",A193&amp;"|"&amp;C193)</x:f>
        <x:v>MP10002|INFORME 107/26</x:v>
      </x:c>
      <x:c r="J193" t="str">
        <x:f>IF(A193&lt;&gt;"","SÍ","NO")</x:f>
        <x:v>SÍ</x:v>
      </x:c>
    </x:row>
    <x:row r="194" ht="28.799999237060547">
      <x:c r="A194" s="2" t="s">
        <x:v>360</x:v>
      </x:c>
      <x:c r="B194" s="12" t="s">
        <x:v>361</x:v>
      </x:c>
      <x:c r="C194" s="2" t="s">
        <x:v>363</x:v>
      </x:c>
      <x:c r="D194" s="5">
        <x:v>46235.938888888893</x:v>
      </x:c>
      <x:c r="E194" s="2" t="s">
        <x:v>10</x:v>
      </x:c>
      <x:c r="F194" s="6">
        <x:v>336.80829999999997</x:v>
      </x:c>
      <x:c r="G194" s="2" t="s">
        <x:v>40</x:v>
      </x:c>
      <x:c r="H194" s="4"/>
      <x:c r="I194" t="str">
        <x:f>IF(A194="","",A194&amp;"|"&amp;C194)</x:f>
        <x:v>MP10002|INFORME 111/26</x:v>
      </x:c>
      <x:c r="J194" t="str">
        <x:f>IF(A194&lt;&gt;"","SÍ","NO")</x:f>
        <x:v>SÍ</x:v>
      </x:c>
    </x:row>
    <x:row r="195" ht="28.799999237060547">
      <x:c r="A195" s="2" t="s">
        <x:v>360</x:v>
      </x:c>
      <x:c r="B195" s="12" t="s">
        <x:v>361</x:v>
      </x:c>
      <x:c r="C195" s="2" t="s">
        <x:v>364</x:v>
      </x:c>
      <x:c r="D195" s="5">
        <x:v>46235.942789351851</x:v>
      </x:c>
      <x:c r="E195" s="2" t="s">
        <x:v>10</x:v>
      </x:c>
      <x:c r="F195" s="6">
        <x:v>4291</x:v>
      </x:c>
      <x:c r="G195" s="2" t="s">
        <x:v>40</x:v>
      </x:c>
      <x:c r="H195" s="4"/>
      <x:c r="I195" t="str">
        <x:f>IF(A195="","",A195&amp;"|"&amp;C195)</x:f>
        <x:v>MP10002|INFORME 112/26</x:v>
      </x:c>
      <x:c r="J195" t="str">
        <x:f>IF(A195&lt;&gt;"","SÍ","NO")</x:f>
        <x:v>SÍ</x:v>
      </x:c>
    </x:row>
    <x:row r="196" ht="28.799999237060547">
      <x:c r="A196" s="2" t="s">
        <x:v>360</x:v>
      </x:c>
      <x:c r="B196" s="12" t="s">
        <x:v>361</x:v>
      </x:c>
      <x:c r="C196" s="2" t="s">
        <x:v>365</x:v>
      </x:c>
      <x:c r="D196" s="5">
        <x:v>46203.945208333331</x:v>
      </x:c>
      <x:c r="E196" s="2" t="s">
        <x:v>10</x:v>
      </x:c>
      <x:c r="F196" s="6">
        <x:v>1926.9489000000001</x:v>
      </x:c>
      <x:c r="G196" s="2" t="s">
        <x:v>40</x:v>
      </x:c>
      <x:c r="H196" s="4"/>
      <x:c r="I196" t="str">
        <x:f>IF(A196="","",A196&amp;"|"&amp;C196)</x:f>
        <x:v>MP10002|INFORME 116/26</x:v>
      </x:c>
      <x:c r="J196" t="str">
        <x:f>IF(A196&lt;&gt;"","SÍ","NO")</x:f>
        <x:v>SÍ</x:v>
      </x:c>
    </x:row>
    <x:row r="197" ht="28.799999237060547">
      <x:c r="A197" s="2" t="s">
        <x:v>360</x:v>
      </x:c>
      <x:c r="B197" s="12" t="s">
        <x:v>361</x:v>
      </x:c>
      <x:c r="C197" s="2" t="s">
        <x:v>366</x:v>
      </x:c>
      <x:c r="D197" s="5">
        <x:v>46265.946539351848</x:v>
      </x:c>
      <x:c r="E197" s="2" t="s">
        <x:v>10</x:v>
      </x:c>
      <x:c r="F197" s="6">
        <x:v>4332.2052000000003</x:v>
      </x:c>
      <x:c r="G197" s="2" t="s">
        <x:v>40</x:v>
      </x:c>
      <x:c r="H197" s="4"/>
      <x:c r="I197" t="str">
        <x:f>IF(A197="","",A197&amp;"|"&amp;C197)</x:f>
        <x:v>MP10002|INFORME 118/26</x:v>
      </x:c>
      <x:c r="J197" t="str">
        <x:f>IF(A197&lt;&gt;"","SÍ","NO")</x:f>
        <x:v>SÍ</x:v>
      </x:c>
    </x:row>
    <x:row r="198" ht="43.20000076293945">
      <x:c r="A198" s="2" t="s">
        <x:v>286</x:v>
      </x:c>
      <x:c r="B198" s="12" t="s">
        <x:v>287</x:v>
      </x:c>
      <x:c r="C198" s="2" t="s">
        <x:v>291</x:v>
      </x:c>
      <x:c r="D198" s="5">
        <x:v>46536.400451388887</x:v>
      </x:c>
      <x:c r="E198" s="2" t="s">
        <x:v>10</x:v>
      </x:c>
      <x:c r="F198" s="6">
        <x:v>103.8526</x:v>
      </x:c>
      <x:c r="G198" s="2" t="s">
        <x:v>11</x:v>
      </x:c>
      <x:c r="H198" s="4"/>
      <x:c r="I198" t="str">
        <x:f>IF(A198="","",A198&amp;"|"&amp;C198)</x:f>
        <x:v>EE10249|INFORME 04/26</x:v>
      </x:c>
      <x:c r="J198" t="str">
        <x:f>IF(A198&lt;&gt;"","SÍ","NO")</x:f>
        <x:v>SÍ</x:v>
      </x:c>
    </x:row>
    <x:row r="199" ht="28.799999237060547">
      <x:c r="A199" s="2" t="s">
        <x:v>367</x:v>
      </x:c>
      <x:c r="B199" s="12" t="s">
        <x:v>368</x:v>
      </x:c>
      <x:c r="C199" s="2" t="s">
        <x:v>291</x:v>
      </x:c>
      <x:c r="D199" s="5">
        <x:v>46498.436979166669</x:v>
      </x:c>
      <x:c r="E199" s="2" t="s">
        <x:v>10</x:v>
      </x:c>
      <x:c r="F199" s="6">
        <x:v>260.68</x:v>
      </x:c>
      <x:c r="G199" s="2" t="s">
        <x:v>40</x:v>
      </x:c>
      <x:c r="H199" s="4"/>
      <x:c r="I199" t="str">
        <x:f>IF(A199="","",A199&amp;"|"&amp;C199)</x:f>
        <x:v>MP10062|INFORME 04/26</x:v>
      </x:c>
      <x:c r="J199" t="str">
        <x:f>IF(A199&lt;&gt;"","SÍ","NO")</x:f>
        <x:v>SÍ</x:v>
      </x:c>
    </x:row>
    <x:row r="200" ht="28.799999237060547">
      <x:c r="A200" s="2" t="s">
        <x:v>273</x:v>
      </x:c>
      <x:c r="B200" s="12" t="s">
        <x:v>274</x:v>
      </x:c>
      <x:c r="C200" s="2" t="s">
        <x:v>288</x:v>
      </x:c>
      <x:c r="D200" s="5">
        <x:v>46565.562094907407</x:v>
      </x:c>
      <x:c r="E200" s="2" t="s">
        <x:v>10</x:v>
      </x:c>
      <x:c r="F200" s="6">
        <x:v>900</x:v>
      </x:c>
      <x:c r="G200" s="2" t="s">
        <x:v>11</x:v>
      </x:c>
      <x:c r="H200" s="4"/>
      <x:c r="I200" t="str">
        <x:f>IF(A200="","",A200&amp;"|"&amp;C200)</x:f>
        <x:v>EE10256|INFORME 03/26</x:v>
      </x:c>
      <x:c r="J200" t="str">
        <x:f>IF(A200&lt;&gt;"","SÍ","NO")</x:f>
        <x:v>SÍ</x:v>
      </x:c>
    </x:row>
    <x:row r="201" ht="28.799999237060547">
      <x:c r="A201" s="2" t="s">
        <x:v>273</x:v>
      </x:c>
      <x:c r="B201" s="12" t="s">
        <x:v>274</x:v>
      </x:c>
      <x:c r="C201" s="2" t="s">
        <x:v>291</x:v>
      </x:c>
      <x:c r="D201" s="5">
        <x:v>46542.565196759257</x:v>
      </x:c>
      <x:c r="E201" s="2" t="s">
        <x:v>10</x:v>
      </x:c>
      <x:c r="F201" s="6">
        <x:v>3400</x:v>
      </x:c>
      <x:c r="G201" s="2" t="s">
        <x:v>11</x:v>
      </x:c>
      <x:c r="H201" s="4"/>
      <x:c r="I201" t="str">
        <x:f>IF(A201="","",A201&amp;"|"&amp;C201)</x:f>
        <x:v>EE10256|INFORME 04/26</x:v>
      </x:c>
      <x:c r="J201" t="str">
        <x:f>IF(A201&lt;&gt;"","SÍ","NO")</x:f>
        <x:v>SÍ</x:v>
      </x:c>
    </x:row>
    <x:row r="202" ht="43.20000076293945">
      <x:c r="A202" s="2" t="s">
        <x:v>369</x:v>
      </x:c>
      <x:c r="B202" s="12" t="s">
        <x:v>370</x:v>
      </x:c>
      <x:c r="C202" s="2" t="s">
        <x:v>258</x:v>
      </x:c>
      <x:c r="D202" s="5">
        <x:v>46254.501076388893</x:v>
      </x:c>
      <x:c r="E202" s="2" t="s">
        <x:v>10</x:v>
      </x:c>
      <x:c r="F202" s="6">
        <x:v>1000</x:v>
      </x:c>
      <x:c r="G202" s="2" t="s">
        <x:v>11</x:v>
      </x:c>
      <x:c r="H202" s="4"/>
      <x:c r="I202" t="str">
        <x:f>IF(A202="","",A202&amp;"|"&amp;C202)</x:f>
        <x:v>EE10251|INFORME 01/26</x:v>
      </x:c>
      <x:c r="J202" t="str">
        <x:f>IF(A202&lt;&gt;"","SÍ","NO")</x:f>
        <x:v>SÍ</x:v>
      </x:c>
    </x:row>
    <x:row r="203" ht="28.799999237060547">
      <x:c r="A203" s="2" t="s">
        <x:v>271</x:v>
      </x:c>
      <x:c r="B203" s="12" t="s">
        <x:v>272</x:v>
      </x:c>
      <x:c r="C203" s="2" t="s">
        <x:v>270</x:v>
      </x:c>
      <x:c r="D203" s="5"/>
      <x:c r="E203" s="2" t="s">
        <x:v>10</x:v>
      </x:c>
      <x:c r="F203" s="6">
        <x:v>3400</x:v>
      </x:c>
      <x:c r="G203" s="2" t="s">
        <x:v>11</x:v>
      </x:c>
      <x:c r="H203" s="4"/>
      <x:c r="I203" t="str">
        <x:f>IF(A203="","",A203&amp;"|"&amp;C203)</x:f>
        <x:v>EE10093|INFORME 02/26</x:v>
      </x:c>
      <x:c r="J203" t="str">
        <x:f>IF(A203&lt;&gt;"","SÍ","NO")</x:f>
        <x:v>SÍ</x:v>
      </x:c>
    </x:row>
    <x:row r="204" ht="28.799999237060547">
      <x:c r="A204" s="2" t="s">
        <x:v>371</x:v>
      </x:c>
      <x:c r="B204" s="12" t="s">
        <x:v>372</x:v>
      </x:c>
      <x:c r="C204" s="2" t="s">
        <x:v>258</x:v>
      </x:c>
      <x:c r="D204" s="5">
        <x:v>46542.566006944442</x:v>
      </x:c>
      <x:c r="E204" s="2" t="s">
        <x:v>10</x:v>
      </x:c>
      <x:c r="F204" s="6">
        <x:v>1000</x:v>
      </x:c>
      <x:c r="G204" s="2" t="s">
        <x:v>11</x:v>
      </x:c>
      <x:c r="H204" s="4"/>
      <x:c r="I204" t="str">
        <x:f>IF(A204="","",A204&amp;"|"&amp;C204)</x:f>
        <x:v>EE10304|INFORME 01/26</x:v>
      </x:c>
      <x:c r="J204" t="str">
        <x:f>IF(A204&lt;&gt;"","SÍ","NO")</x:f>
        <x:v>SÍ</x:v>
      </x:c>
    </x:row>
    <x:row r="205" ht="28.799999237060547">
      <x:c r="A205" s="2" t="s">
        <x:v>360</x:v>
      </x:c>
      <x:c r="B205" s="12" t="s">
        <x:v>361</x:v>
      </x:c>
      <x:c r="C205" s="2" t="s">
        <x:v>373</x:v>
      </x:c>
      <x:c r="D205" s="5">
        <x:v>46231.62259259259</x:v>
      </x:c>
      <x:c r="E205" s="2" t="s">
        <x:v>10</x:v>
      </x:c>
      <x:c r="F205" s="6">
        <x:v>1217.1931999999999</x:v>
      </x:c>
      <x:c r="G205" s="2" t="s">
        <x:v>40</x:v>
      </x:c>
      <x:c r="H205" s="4"/>
      <x:c r="I205" t="str">
        <x:f>IF(A205="","",A205&amp;"|"&amp;C205)</x:f>
        <x:v>MP10002|INFORME 102/26</x:v>
      </x:c>
      <x:c r="J205" t="str">
        <x:f>IF(A205&lt;&gt;"","SÍ","NO")</x:f>
        <x:v>SÍ</x:v>
      </x:c>
    </x:row>
    <x:row r="206" ht="43.20000076293945">
      <x:c r="A206" s="2" t="s">
        <x:v>374</x:v>
      </x:c>
      <x:c r="B206" s="12" t="s">
        <x:v>375</x:v>
      </x:c>
      <x:c r="C206" s="2" t="s">
        <x:v>270</x:v>
      </x:c>
      <x:c r="D206" s="5">
        <x:v>46543.728750000002</x:v>
      </x:c>
      <x:c r="E206" s="2" t="s">
        <x:v>10</x:v>
      </x:c>
      <x:c r="F206" s="6">
        <x:v>5.0310000000000006</x:v>
      </x:c>
      <x:c r="G206" s="2" t="s">
        <x:v>11</x:v>
      </x:c>
      <x:c r="H206" s="4"/>
      <x:c r="I206" t="str">
        <x:f>IF(A206="","",A206&amp;"|"&amp;C206)</x:f>
        <x:v>EE10200|INFORME 02/26</x:v>
      </x:c>
      <x:c r="J206" t="str">
        <x:f>IF(A206&lt;&gt;"","SÍ","NO")</x:f>
        <x:v>SÍ</x:v>
      </x:c>
    </x:row>
    <x:row r="207" ht="28.799999237060547">
      <x:c r="A207" s="2" t="s">
        <x:v>376</x:v>
      </x:c>
      <x:c r="B207" s="12" t="s">
        <x:v>377</x:v>
      </x:c>
      <x:c r="C207" s="2" t="s">
        <x:v>312</x:v>
      </x:c>
      <x:c r="D207" s="5">
        <x:v>46542.732071759259</x:v>
      </x:c>
      <x:c r="E207" s="2" t="s">
        <x:v>10</x:v>
      </x:c>
      <x:c r="F207" s="6">
        <x:v>791</x:v>
      </x:c>
      <x:c r="G207" s="2" t="s">
        <x:v>11</x:v>
      </x:c>
      <x:c r="H207" s="4"/>
      <x:c r="I207" t="str">
        <x:f>IF(A207="","",A207&amp;"|"&amp;C207)</x:f>
        <x:v>EE10012|INFORME 09/26</x:v>
      </x:c>
      <x:c r="J207" t="str">
        <x:f>IF(A207&lt;&gt;"","SÍ","NO")</x:f>
        <x:v>SÍ</x:v>
      </x:c>
    </x:row>
    <x:row r="208" ht="28.799999237060547">
      <x:c r="A208" s="2" t="s">
        <x:v>360</x:v>
      </x:c>
      <x:c r="B208" s="12" t="s">
        <x:v>361</x:v>
      </x:c>
      <x:c r="C208" s="2" t="s">
        <x:v>378</x:v>
      </x:c>
      <x:c r="D208" s="5">
        <x:v>46188.92659722222</x:v>
      </x:c>
      <x:c r="E208" s="2" t="s">
        <x:v>10</x:v>
      </x:c>
      <x:c r="F208" s="6">
        <x:v>850</x:v>
      </x:c>
      <x:c r="G208" s="2" t="s">
        <x:v>40</x:v>
      </x:c>
      <x:c r="H208" s="4"/>
      <x:c r="I208" t="str">
        <x:f>IF(A208="","",A208&amp;"|"&amp;C208)</x:f>
        <x:v>MP10002|INFORME 56/26</x:v>
      </x:c>
      <x:c r="J208" t="str">
        <x:f>IF(A208&lt;&gt;"","SÍ","NO")</x:f>
        <x:v>SÍ</x:v>
      </x:c>
    </x:row>
    <x:row r="209" ht="28.799999237060547">
      <x:c r="A209" s="2" t="s">
        <x:v>379</x:v>
      </x:c>
      <x:c r="B209" s="12" t="s">
        <x:v>380</x:v>
      </x:c>
      <x:c r="C209" s="2" t="s">
        <x:v>270</x:v>
      </x:c>
      <x:c r="D209" s="5">
        <x:v>46548.681793981479</x:v>
      </x:c>
      <x:c r="E209" s="2" t="s">
        <x:v>10</x:v>
      </x:c>
      <x:c r="F209" s="6">
        <x:v>600</x:v>
      </x:c>
      <x:c r="G209" s="2" t="s">
        <x:v>11</x:v>
      </x:c>
      <x:c r="H209" s="4"/>
      <x:c r="I209" t="str">
        <x:f>IF(A209="","",A209&amp;"|"&amp;C209)</x:f>
        <x:v>EE10287|INFORME 02/26</x:v>
      </x:c>
      <x:c r="J209" t="str">
        <x:f>IF(A209&lt;&gt;"","SÍ","NO")</x:f>
        <x:v>SÍ</x:v>
      </x:c>
    </x:row>
    <x:row r="210" ht="28.799999237060547">
      <x:c r="A210" s="2" t="s">
        <x:v>335</x:v>
      </x:c>
      <x:c r="B210" s="12" t="s">
        <x:v>336</x:v>
      </x:c>
      <x:c r="C210" s="2" t="s">
        <x:v>270</x:v>
      </x:c>
      <x:c r="D210" s="5">
        <x:v>46539.5547337963</x:v>
      </x:c>
      <x:c r="E210" s="2" t="s">
        <x:v>10</x:v>
      </x:c>
      <x:c r="F210" s="6">
        <x:v>380</x:v>
      </x:c>
      <x:c r="G210" s="2" t="s">
        <x:v>11</x:v>
      </x:c>
      <x:c r="H210" s="4"/>
      <x:c r="I210" t="str">
        <x:f>IF(A210="","",A210&amp;"|"&amp;C210)</x:f>
        <x:v>EE10282|INFORME 02/26</x:v>
      </x:c>
      <x:c r="J210" t="str">
        <x:f>IF(A210&lt;&gt;"","SÍ","NO")</x:f>
        <x:v>SÍ</x:v>
      </x:c>
    </x:row>
    <x:row r="211" ht="28.799999237060547">
      <x:c r="A211" s="2" t="s">
        <x:v>337</x:v>
      </x:c>
      <x:c r="B211" s="12" t="s">
        <x:v>338</x:v>
      </x:c>
      <x:c r="C211" s="2" t="s">
        <x:v>270</x:v>
      </x:c>
      <x:c r="D211" s="5">
        <x:v>46539.554467592592</x:v>
      </x:c>
      <x:c r="E211" s="2" t="s">
        <x:v>10</x:v>
      </x:c>
      <x:c r="F211" s="6">
        <x:v>200</x:v>
      </x:c>
      <x:c r="G211" s="2" t="s">
        <x:v>11</x:v>
      </x:c>
      <x:c r="H211" s="4"/>
      <x:c r="I211" t="str">
        <x:f>IF(A211="","",A211&amp;"|"&amp;C211)</x:f>
        <x:v>EE10284|INFORME 02/26</x:v>
      </x:c>
      <x:c r="J211" t="str">
        <x:f>IF(A211&lt;&gt;"","SÍ","NO")</x:f>
        <x:v>SÍ</x:v>
      </x:c>
    </x:row>
    <x:row r="212" ht="28.799999237060547">
      <x:c r="A212" s="2" t="s">
        <x:v>341</x:v>
      </x:c>
      <x:c r="B212" s="12" t="s">
        <x:v>342</x:v>
      </x:c>
      <x:c r="C212" s="2" t="s">
        <x:v>270</x:v>
      </x:c>
      <x:c r="D212" s="5">
        <x:v>46539.554178240738</x:v>
      </x:c>
      <x:c r="E212" s="2" t="s">
        <x:v>10</x:v>
      </x:c>
      <x:c r="F212" s="6">
        <x:v>449</x:v>
      </x:c>
      <x:c r="G212" s="2" t="s">
        <x:v>11</x:v>
      </x:c>
      <x:c r="H212" s="4"/>
      <x:c r="I212" t="str">
        <x:f>IF(A212="","",A212&amp;"|"&amp;C212)</x:f>
        <x:v>EE10280|INFORME 02/26</x:v>
      </x:c>
      <x:c r="J212" t="str">
        <x:f>IF(A212&lt;&gt;"","SÍ","NO")</x:f>
        <x:v>SÍ</x:v>
      </x:c>
    </x:row>
    <x:row r="213" ht="28.799999237060547">
      <x:c r="A213" s="2" t="s">
        <x:v>379</x:v>
      </x:c>
      <x:c r="B213" s="12" t="s">
        <x:v>380</x:v>
      </x:c>
      <x:c r="C213" s="2" t="s">
        <x:v>258</x:v>
      </x:c>
      <x:c r="D213" s="5">
        <x:v>46539.555289351847</x:v>
      </x:c>
      <x:c r="E213" s="2" t="s">
        <x:v>10</x:v>
      </x:c>
      <x:c r="F213" s="6">
        <x:v>557</x:v>
      </x:c>
      <x:c r="G213" s="2" t="s">
        <x:v>11</x:v>
      </x:c>
      <x:c r="H213" s="4"/>
      <x:c r="I213" t="str">
        <x:f>IF(A213="","",A213&amp;"|"&amp;C213)</x:f>
        <x:v>EE10287|INFORME 01/26</x:v>
      </x:c>
      <x:c r="J213" t="str">
        <x:f>IF(A213&lt;&gt;"","SÍ","NO")</x:f>
        <x:v>SÍ</x:v>
      </x:c>
    </x:row>
    <x:row r="214" ht="28.799999237060547">
      <x:c r="A214" s="2" t="s">
        <x:v>381</x:v>
      </x:c>
      <x:c r="B214" s="12" t="s">
        <x:v>382</x:v>
      </x:c>
      <x:c r="C214" s="2" t="s">
        <x:v>258</x:v>
      </x:c>
      <x:c r="D214" s="5">
        <x:v>46539.553969907407</x:v>
      </x:c>
      <x:c r="E214" s="2" t="s">
        <x:v>10</x:v>
      </x:c>
      <x:c r="F214" s="6">
        <x:v>600</x:v>
      </x:c>
      <x:c r="G214" s="2" t="s">
        <x:v>11</x:v>
      </x:c>
      <x:c r="H214" s="4"/>
      <x:c r="I214" t="str">
        <x:f>IF(A214="","",A214&amp;"|"&amp;C214)</x:f>
        <x:v>EE10281|INFORME 01/26</x:v>
      </x:c>
      <x:c r="J214" t="str">
        <x:f>IF(A214&lt;&gt;"","SÍ","NO")</x:f>
        <x:v>SÍ</x:v>
      </x:c>
    </x:row>
    <x:row r="215" ht="28.799999237060547">
      <x:c r="A215" s="2" t="s">
        <x:v>383</x:v>
      </x:c>
      <x:c r="B215" s="12" t="s">
        <x:v>384</x:v>
      </x:c>
      <x:c r="C215" s="2" t="s">
        <x:v>258</x:v>
      </x:c>
      <x:c r="D215" s="5">
        <x:v>46539.55505787037</x:v>
      </x:c>
      <x:c r="E215" s="2" t="s">
        <x:v>10</x:v>
      </x:c>
      <x:c r="F215" s="6">
        <x:v>200</x:v>
      </x:c>
      <x:c r="G215" s="2" t="s">
        <x:v>11</x:v>
      </x:c>
      <x:c r="H215" s="4"/>
      <x:c r="I215" t="str">
        <x:f>IF(A215="","",A215&amp;"|"&amp;C215)</x:f>
        <x:v>EE10285|INFORME 01/26</x:v>
      </x:c>
      <x:c r="J215" t="str">
        <x:f>IF(A215&lt;&gt;"","SÍ","NO")</x:f>
        <x:v>SÍ</x:v>
      </x:c>
    </x:row>
    <x:row r="216" ht="28.799999237060547">
      <x:c r="A216" s="2" t="s">
        <x:v>385</x:v>
      </x:c>
      <x:c r="B216" s="12" t="s">
        <x:v>386</x:v>
      </x:c>
      <x:c r="C216" s="2" t="s">
        <x:v>258</x:v>
      </x:c>
      <x:c r="D216" s="5">
        <x:v>46752.555474537039</x:v>
      </x:c>
      <x:c r="E216" s="2" t="s">
        <x:v>10</x:v>
      </x:c>
      <x:c r="F216" s="6">
        <x:v>120</x:v>
      </x:c>
      <x:c r="G216" s="2" t="s">
        <x:v>11</x:v>
      </x:c>
      <x:c r="H216" s="4"/>
      <x:c r="I216" t="str">
        <x:f>IF(A216="","",A216&amp;"|"&amp;C216)</x:f>
        <x:v>EE10286|INFORME 01/26</x:v>
      </x:c>
      <x:c r="J216" t="str">
        <x:f>IF(A216&lt;&gt;"","SÍ","NO")</x:f>
        <x:v>SÍ</x:v>
      </x:c>
    </x:row>
    <x:row r="217" ht="43.20000076293945">
      <x:c r="A217" s="2" t="s">
        <x:v>387</x:v>
      </x:c>
      <x:c r="B217" s="12" t="s">
        <x:v>388</x:v>
      </x:c>
      <x:c r="C217" s="2" t="s">
        <x:v>258</x:v>
      </x:c>
      <x:c r="D217" s="5">
        <x:v>46538.479687500003</x:v>
      </x:c>
      <x:c r="E217" s="2" t="s">
        <x:v>10</x:v>
      </x:c>
      <x:c r="F217" s="6">
        <x:v>173</x:v>
      </x:c>
      <x:c r="G217" s="2" t="s">
        <x:v>11</x:v>
      </x:c>
      <x:c r="H217" s="4"/>
      <x:c r="I217" t="str">
        <x:f>IF(A217="","",A217&amp;"|"&amp;C217)</x:f>
        <x:v>EE10303|INFORME 01/26</x:v>
      </x:c>
      <x:c r="J217" t="str">
        <x:f>IF(A217&lt;&gt;"","SÍ","NO")</x:f>
        <x:v>SÍ</x:v>
      </x:c>
    </x:row>
    <x:row r="218" ht="28.799999237060547">
      <x:c r="A218" s="2" t="s">
        <x:v>389</x:v>
      </x:c>
      <x:c r="B218" s="12" t="s">
        <x:v>390</x:v>
      </x:c>
      <x:c r="C218" s="2" t="s">
        <x:v>258</x:v>
      </x:c>
      <x:c r="D218" s="5">
        <x:v>46539.55572916667</x:v>
      </x:c>
      <x:c r="E218" s="2" t="s">
        <x:v>10</x:v>
      </x:c>
      <x:c r="F218" s="6">
        <x:v>142</x:v>
      </x:c>
      <x:c r="G218" s="2" t="s">
        <x:v>11</x:v>
      </x:c>
      <x:c r="H218" s="4"/>
      <x:c r="I218" t="str">
        <x:f>IF(A218="","",A218&amp;"|"&amp;C218)</x:f>
        <x:v>EE10290|INFORME 01/26</x:v>
      </x:c>
      <x:c r="J218" t="str">
        <x:f>IF(A218&lt;&gt;"","SÍ","NO")</x:f>
        <x:v>SÍ</x:v>
      </x:c>
    </x:row>
    <x:row r="219" ht="28.799999237060547">
      <x:c r="A219" s="2" t="s">
        <x:v>391</x:v>
      </x:c>
      <x:c r="B219" s="12" t="s">
        <x:v>392</x:v>
      </x:c>
      <x:c r="C219" s="2" t="s">
        <x:v>258</x:v>
      </x:c>
      <x:c r="D219" s="5">
        <x:v>46550.416018518517</x:v>
      </x:c>
      <x:c r="E219" s="2" t="s">
        <x:v>10</x:v>
      </x:c>
      <x:c r="F219" s="6">
        <x:v>352.44630000000001</x:v>
      </x:c>
      <x:c r="G219" s="2" t="s">
        <x:v>40</x:v>
      </x:c>
      <x:c r="H219" s="4"/>
      <x:c r="I219" t="str">
        <x:f>IF(A219="","",A219&amp;"|"&amp;C219)</x:f>
        <x:v>EE10036|INFORME 01/26</x:v>
      </x:c>
      <x:c r="J219" t="str">
        <x:f>IF(A219&lt;&gt;"","SÍ","NO")</x:f>
        <x:v>SÍ</x:v>
      </x:c>
    </x:row>
    <x:row r="220" ht="28.799999237060547">
      <x:c r="A220" s="2" t="s">
        <x:v>393</x:v>
      </x:c>
      <x:c r="B220" s="12" t="s">
        <x:v>394</x:v>
      </x:c>
      <x:c r="C220" s="2" t="s">
        <x:v>317</x:v>
      </x:c>
      <x:c r="D220" s="5">
        <x:v>46542.60833333333</x:v>
      </x:c>
      <x:c r="E220" s="2" t="s">
        <x:v>10</x:v>
      </x:c>
      <x:c r="F220" s="6">
        <x:v>273.084</x:v>
      </x:c>
      <x:c r="G220" s="2" t="s">
        <x:v>40</x:v>
      </x:c>
      <x:c r="H220" s="4"/>
      <x:c r="I220" t="str">
        <x:f>IF(A220="","",A220&amp;"|"&amp;C220)</x:f>
        <x:v>MP10036|INFORME 08/26</x:v>
      </x:c>
      <x:c r="J220" t="str">
        <x:f>IF(A220&lt;&gt;"","SÍ","NO")</x:f>
        <x:v>SÍ</x:v>
      </x:c>
    </x:row>
    <x:row r="221" ht="28.799999237060547">
      <x:c r="A221" s="2" t="s">
        <x:v>360</x:v>
      </x:c>
      <x:c r="B221" s="12" t="s">
        <x:v>361</x:v>
      </x:c>
      <x:c r="C221" s="2" t="s">
        <x:v>395</x:v>
      </x:c>
      <x:c r="D221" s="5">
        <x:v>46251.598923611113</x:v>
      </x:c>
      <x:c r="E221" s="2" t="s">
        <x:v>10</x:v>
      </x:c>
      <x:c r="F221" s="6">
        <x:v>4284.9926999999998</x:v>
      </x:c>
      <x:c r="G221" s="2" t="s">
        <x:v>40</x:v>
      </x:c>
      <x:c r="H221" s="4"/>
      <x:c r="I221" t="str">
        <x:f>IF(A221="","",A221&amp;"|"&amp;C221)</x:f>
        <x:v>MP10002|INFORME 123/26</x:v>
      </x:c>
      <x:c r="J221" t="str">
        <x:f>IF(A221&lt;&gt;"","SÍ","NO")</x:f>
        <x:v>SÍ</x:v>
      </x:c>
    </x:row>
    <x:row r="222" ht="28.799999237060547">
      <x:c r="A222" s="2" t="s">
        <x:v>360</x:v>
      </x:c>
      <x:c r="B222" s="12" t="s">
        <x:v>361</x:v>
      </x:c>
      <x:c r="C222" s="2" t="s">
        <x:v>396</x:v>
      </x:c>
      <x:c r="D222" s="5">
        <x:v>46251.602754629632</x:v>
      </x:c>
      <x:c r="E222" s="2" t="s">
        <x:v>10</x:v>
      </x:c>
      <x:c r="F222" s="6">
        <x:v>437.12</x:v>
      </x:c>
      <x:c r="G222" s="2" t="s">
        <x:v>40</x:v>
      </x:c>
      <x:c r="H222" s="4"/>
      <x:c r="I222" t="str">
        <x:f>IF(A222="","",A222&amp;"|"&amp;C222)</x:f>
        <x:v>MP10002|INFORME 131/26</x:v>
      </x:c>
      <x:c r="J222" t="str">
        <x:f>IF(A222&lt;&gt;"","SÍ","NO")</x:f>
        <x:v>SÍ</x:v>
      </x:c>
    </x:row>
    <x:row r="223" ht="28.799999237060547">
      <x:c r="A223" s="2" t="s">
        <x:v>360</x:v>
      </x:c>
      <x:c r="B223" s="12" t="s">
        <x:v>361</x:v>
      </x:c>
      <x:c r="C223" s="2" t="s">
        <x:v>397</x:v>
      </x:c>
      <x:c r="D223" s="5">
        <x:v>46249.481666666667</x:v>
      </x:c>
      <x:c r="E223" s="2" t="s">
        <x:v>10</x:v>
      </x:c>
      <x:c r="F223" s="6">
        <x:v>4345.3</x:v>
      </x:c>
      <x:c r="G223" s="2" t="s">
        <x:v>40</x:v>
      </x:c>
      <x:c r="H223" s="4"/>
      <x:c r="I223" t="str">
        <x:f>IF(A223="","",A223&amp;"|"&amp;C223)</x:f>
        <x:v>MP10002|INFORME 140/26</x:v>
      </x:c>
      <x:c r="J223" t="str">
        <x:f>IF(A223&lt;&gt;"","SÍ","NO")</x:f>
        <x:v>SÍ</x:v>
      </x:c>
    </x:row>
    <x:row r="224" ht="28.799999237060547">
      <x:c r="A224" s="2" t="s">
        <x:v>360</x:v>
      </x:c>
      <x:c r="B224" s="12" t="s">
        <x:v>361</x:v>
      </x:c>
      <x:c r="C224" s="2" t="s">
        <x:v>398</x:v>
      </x:c>
      <x:c r="D224" s="5">
        <x:v>46249.492106481477</x:v>
      </x:c>
      <x:c r="E224" s="2" t="s">
        <x:v>10</x:v>
      </x:c>
      <x:c r="F224" s="6">
        <x:v>4665.9000000000005</x:v>
      </x:c>
      <x:c r="G224" s="2" t="s">
        <x:v>40</x:v>
      </x:c>
      <x:c r="H224" s="4"/>
      <x:c r="I224" t="str">
        <x:f>IF(A224="","",A224&amp;"|"&amp;C224)</x:f>
        <x:v>MP10002|INFORME 141/26</x:v>
      </x:c>
      <x:c r="J224" t="str">
        <x:f>IF(A224&lt;&gt;"","SÍ","NO")</x:f>
        <x:v>SÍ</x:v>
      </x:c>
    </x:row>
    <x:row r="225" ht="28.799999237060547">
      <x:c r="A225" s="2" t="s">
        <x:v>360</x:v>
      </x:c>
      <x:c r="B225" s="12" t="s">
        <x:v>361</x:v>
      </x:c>
      <x:c r="C225" s="2" t="s">
        <x:v>399</x:v>
      </x:c>
      <x:c r="D225" s="5">
        <x:v>46253.676365740743</x:v>
      </x:c>
      <x:c r="E225" s="2" t="s">
        <x:v>10</x:v>
      </x:c>
      <x:c r="F225" s="6">
        <x:v>8277.8000000000011</x:v>
      </x:c>
      <x:c r="G225" s="2" t="s">
        <x:v>40</x:v>
      </x:c>
      <x:c r="H225" s="4"/>
      <x:c r="I225" t="str">
        <x:f>IF(A225="","",A225&amp;"|"&amp;C225)</x:f>
        <x:v>MP10002|INFORME 147/26</x:v>
      </x:c>
      <x:c r="J225" t="str">
        <x:f>IF(A225&lt;&gt;"","SÍ","NO")</x:f>
        <x:v>SÍ</x:v>
      </x:c>
    </x:row>
    <x:row r="226">
      <x:c r="A226" s="2" t="s">
        <x:v>400</x:v>
      </x:c>
      <x:c r="B226" s="12" t="s">
        <x:v>401</x:v>
      </x:c>
      <x:c r="C226" s="2" t="s">
        <x:v>288</x:v>
      </x:c>
      <x:c r="D226" s="5">
        <x:v>46844.368831018517</x:v>
      </x:c>
      <x:c r="E226" s="2" t="s">
        <x:v>10</x:v>
      </x:c>
      <x:c r="F226" s="6">
        <x:v>68.25500000000001</x:v>
      </x:c>
      <x:c r="G226" s="2" t="s">
        <x:v>40</x:v>
      </x:c>
      <x:c r="H226" s="4"/>
      <x:c r="I226" t="str">
        <x:f>IF(A226="","",A226&amp;"|"&amp;C226)</x:f>
        <x:v>MP10030|INFORME 03/26</x:v>
      </x:c>
      <x:c r="J226" t="str">
        <x:f>IF(A226&lt;&gt;"","SÍ","NO")</x:f>
        <x:v>SÍ</x:v>
      </x:c>
    </x:row>
    <x:row r="227" ht="28.799999237060547">
      <x:c r="A227" s="2" t="s">
        <x:v>360</x:v>
      </x:c>
      <x:c r="B227" s="12" t="s">
        <x:v>361</x:v>
      </x:c>
      <x:c r="C227" s="2" t="s">
        <x:v>402</x:v>
      </x:c>
      <x:c r="D227" s="5">
        <x:v>46257.964826388888</x:v>
      </x:c>
      <x:c r="E227" s="2" t="s">
        <x:v>10</x:v>
      </x:c>
      <x:c r="F227" s="6">
        <x:v>12837.9</x:v>
      </x:c>
      <x:c r="G227" s="2" t="s">
        <x:v>40</x:v>
      </x:c>
      <x:c r="H227" s="4"/>
      <x:c r="I227" t="str">
        <x:f>IF(A227="","",A227&amp;"|"&amp;C227)</x:f>
        <x:v>MP10002|INFORME 148/26</x:v>
      </x:c>
      <x:c r="J227" t="str">
        <x:f>IF(A227&lt;&gt;"","SÍ","NO")</x:f>
        <x:v>SÍ</x:v>
      </x:c>
    </x:row>
    <x:row r="228" ht="28.799999237060547">
      <x:c r="A228" s="2" t="s">
        <x:v>360</x:v>
      </x:c>
      <x:c r="B228" s="12" t="s">
        <x:v>361</x:v>
      </x:c>
      <x:c r="C228" s="2" t="s">
        <x:v>403</x:v>
      </x:c>
      <x:c r="D228" s="5">
        <x:v>46257.968182870369</x:v>
      </x:c>
      <x:c r="E228" s="2" t="s">
        <x:v>10</x:v>
      </x:c>
      <x:c r="F228" s="6">
        <x:v>17396.5</x:v>
      </x:c>
      <x:c r="G228" s="2" t="s">
        <x:v>40</x:v>
      </x:c>
      <x:c r="H228" s="4"/>
      <x:c r="I228" t="str">
        <x:f>IF(A228="","",A228&amp;"|"&amp;C228)</x:f>
        <x:v>MP10002|INFORME 152/26</x:v>
      </x:c>
      <x:c r="J228" t="str">
        <x:f>IF(A228&lt;&gt;"","SÍ","NO")</x:f>
        <x:v>SÍ</x:v>
      </x:c>
    </x:row>
    <x:row r="229" ht="28.799999237060547">
      <x:c r="A229" s="2" t="s">
        <x:v>360</x:v>
      </x:c>
      <x:c r="B229" s="12" t="s">
        <x:v>361</x:v>
      </x:c>
      <x:c r="C229" s="2" t="s">
        <x:v>404</x:v>
      </x:c>
      <x:c r="D229" s="5">
        <x:v>46258.446192129632</x:v>
      </x:c>
      <x:c r="E229" s="2" t="s">
        <x:v>10</x:v>
      </x:c>
      <x:c r="F229" s="6">
        <x:v>6005</x:v>
      </x:c>
      <x:c r="G229" s="2" t="s">
        <x:v>40</x:v>
      </x:c>
      <x:c r="H229" s="4"/>
      <x:c r="I229" t="str">
        <x:f>IF(A229="","",A229&amp;"|"&amp;C229)</x:f>
        <x:v>MP10002|INFORME 156/26</x:v>
      </x:c>
      <x:c r="J229" t="str">
        <x:f>IF(A229&lt;&gt;"","SÍ","NO")</x:f>
        <x:v>SÍ</x:v>
      </x:c>
    </x:row>
    <x:row r="230" ht="28.799999237060547">
      <x:c r="A230" s="2" t="s">
        <x:v>360</x:v>
      </x:c>
      <x:c r="B230" s="12" t="s">
        <x:v>361</x:v>
      </x:c>
      <x:c r="C230" s="2" t="s">
        <x:v>405</x:v>
      </x:c>
      <x:c r="D230" s="5">
        <x:v>46258.449629629627</x:v>
      </x:c>
      <x:c r="E230" s="2" t="s">
        <x:v>10</x:v>
      </x:c>
      <x:c r="F230" s="6">
        <x:v>14523.2</x:v>
      </x:c>
      <x:c r="G230" s="2" t="s">
        <x:v>40</x:v>
      </x:c>
      <x:c r="H230" s="4"/>
      <x:c r="I230" t="str">
        <x:f>IF(A230="","",A230&amp;"|"&amp;C230)</x:f>
        <x:v>MP10002|INFORME 157/26</x:v>
      </x:c>
      <x:c r="J230" t="str">
        <x:f>IF(A230&lt;&gt;"","SÍ","NO")</x:f>
        <x:v>SÍ</x:v>
      </x:c>
    </x:row>
    <x:row r="231" ht="28.799999237060547">
      <x:c r="A231" s="2" t="s">
        <x:v>406</x:v>
      </x:c>
      <x:c r="B231" s="12" t="s">
        <x:v>407</x:v>
      </x:c>
      <x:c r="C231" s="2" t="s">
        <x:v>258</x:v>
      </x:c>
      <x:c r="D231" s="5">
        <x:v>46555.56459490741</x:v>
      </x:c>
      <x:c r="E231" s="2" t="s">
        <x:v>10</x:v>
      </x:c>
      <x:c r="F231" s="6">
        <x:v>4000</x:v>
      </x:c>
      <x:c r="G231" s="2" t="s">
        <x:v>11</x:v>
      </x:c>
      <x:c r="H231" s="4"/>
      <x:c r="I231" t="str">
        <x:f>IF(A231="","",A231&amp;"|"&amp;C231)</x:f>
        <x:v>EE10278|INFORME 01/26</x:v>
      </x:c>
      <x:c r="J231" t="str">
        <x:f>IF(A231&lt;&gt;"","SÍ","NO")</x:f>
        <x:v>SÍ</x:v>
      </x:c>
    </x:row>
    <x:row r="232" ht="28.799999237060547">
      <x:c r="A232" s="2" t="s">
        <x:v>408</x:v>
      </x:c>
      <x:c r="B232" s="12" t="s">
        <x:v>409</x:v>
      </x:c>
      <x:c r="C232" s="2" t="s">
        <x:v>298</x:v>
      </x:c>
      <x:c r="D232" s="5">
        <x:v>46934.654710648138</x:v>
      </x:c>
      <x:c r="E232" s="2" t="s">
        <x:v>10</x:v>
      </x:c>
      <x:c r="F232" s="6">
        <x:v>26</x:v>
      </x:c>
      <x:c r="G232" s="2" t="s">
        <x:v>40</x:v>
      </x:c>
      <x:c r="H232" s="4"/>
      <x:c r="I232" t="str">
        <x:f>IF(A232="","",A232&amp;"|"&amp;C232)</x:f>
        <x:v>MP10027|INFORME 05/26</x:v>
      </x:c>
      <x:c r="J232" t="str">
        <x:f>IF(A232&lt;&gt;"","SÍ","NO")</x:f>
        <x:v>SÍ</x:v>
      </x:c>
    </x:row>
    <x:row r="233" ht="28.799999237060547">
      <x:c r="A233" s="2" t="s">
        <x:v>360</x:v>
      </x:c>
      <x:c r="B233" s="12" t="s">
        <x:v>361</x:v>
      </x:c>
      <x:c r="C233" s="2" t="s">
        <x:v>410</x:v>
      </x:c>
      <x:c r="D233" s="5">
        <x:v>46259.709363425929</x:v>
      </x:c>
      <x:c r="E233" s="2" t="s">
        <x:v>10</x:v>
      </x:c>
      <x:c r="F233" s="6">
        <x:v>7372.2000000000007</x:v>
      </x:c>
      <x:c r="G233" s="2" t="s">
        <x:v>40</x:v>
      </x:c>
      <x:c r="H233" s="4"/>
      <x:c r="I233" t="str">
        <x:f>IF(A233="","",A233&amp;"|"&amp;C233)</x:f>
        <x:v>MP10002|INFORME 162/26</x:v>
      </x:c>
      <x:c r="J233" t="str">
        <x:f>IF(A233&lt;&gt;"","SÍ","NO")</x:f>
        <x:v>SÍ</x:v>
      </x:c>
    </x:row>
    <x:row r="234" ht="28.799999237060547">
      <x:c r="A234" s="2" t="s">
        <x:v>360</x:v>
      </x:c>
      <x:c r="B234" s="12" t="s">
        <x:v>361</x:v>
      </x:c>
      <x:c r="C234" s="2" t="s">
        <x:v>411</x:v>
      </x:c>
      <x:c r="D234" s="5">
        <x:v>46257.714918981481</x:v>
      </x:c>
      <x:c r="E234" s="2" t="s">
        <x:v>10</x:v>
      </x:c>
      <x:c r="F234" s="6">
        <x:v>6734.3</x:v>
      </x:c>
      <x:c r="G234" s="2" t="s">
        <x:v>40</x:v>
      </x:c>
      <x:c r="H234" s="4"/>
      <x:c r="I234" t="str">
        <x:f>IF(A234="","",A234&amp;"|"&amp;C234)</x:f>
        <x:v>MP10002|INFORME 161/26</x:v>
      </x:c>
      <x:c r="J234" t="str">
        <x:f>IF(A234&lt;&gt;"","SÍ","NO")</x:f>
        <x:v>SÍ</x:v>
      </x:c>
    </x:row>
    <x:row r="235" ht="28.799999237060547">
      <x:c r="A235" s="2" t="s">
        <x:v>360</x:v>
      </x:c>
      <x:c r="B235" s="12" t="s">
        <x:v>361</x:v>
      </x:c>
      <x:c r="C235" s="2" t="s">
        <x:v>412</x:v>
      </x:c>
      <x:c r="D235" s="5">
        <x:v>46260.720520833333</x:v>
      </x:c>
      <x:c r="E235" s="2" t="s">
        <x:v>10</x:v>
      </x:c>
      <x:c r="F235" s="6">
        <x:v>6346.6440000000002</x:v>
      </x:c>
      <x:c r="G235" s="2" t="s">
        <x:v>40</x:v>
      </x:c>
      <x:c r="H235" s="4"/>
      <x:c r="I235" t="str">
        <x:f>IF(A235="","",A235&amp;"|"&amp;C235)</x:f>
        <x:v>MP10002|INFORME 160/26</x:v>
      </x:c>
      <x:c r="J235" t="str">
        <x:f>IF(A235&lt;&gt;"","SÍ","NO")</x:f>
        <x:v>SÍ</x:v>
      </x:c>
    </x:row>
    <x:row r="236" ht="43.20000076293945">
      <x:c r="A236" s="2" t="s">
        <x:v>169</x:v>
      </x:c>
      <x:c r="B236" s="12" t="s">
        <x:v>170</x:v>
      </x:c>
      <x:c r="C236" s="2" t="s">
        <x:v>258</x:v>
      </x:c>
      <x:c r="D236" s="5">
        <x:v>46557.644444444442</x:v>
      </x:c>
      <x:c r="E236" s="2" t="s">
        <x:v>10</x:v>
      </x:c>
      <x:c r="F236" s="6">
        <x:v>823.59</x:v>
      </x:c>
      <x:c r="G236" s="2" t="s">
        <x:v>40</x:v>
      </x:c>
      <x:c r="H236" s="4"/>
      <x:c r="I236" t="str">
        <x:f>IF(A236="","",A236&amp;"|"&amp;C236)</x:f>
        <x:v>EE10139|INFORME 01/26</x:v>
      </x:c>
      <x:c r="J236" t="str">
        <x:f>IF(A236&lt;&gt;"","SÍ","NO")</x:f>
        <x:v>SÍ</x:v>
      </x:c>
    </x:row>
    <x:row r="237" ht="28.799999237060547">
      <x:c r="A237" s="2" t="s">
        <x:v>184</x:v>
      </x:c>
      <x:c r="B237" s="12" t="s">
        <x:v>185</x:v>
      </x:c>
      <x:c r="C237" s="2" t="s">
        <x:v>258</x:v>
      </x:c>
      <x:c r="D237" s="5">
        <x:v>46558.452615740738</x:v>
      </x:c>
      <x:c r="E237" s="2" t="s">
        <x:v>10</x:v>
      </x:c>
      <x:c r="F237" s="6">
        <x:v>1022.98</x:v>
      </x:c>
      <x:c r="G237" s="2" t="s">
        <x:v>40</x:v>
      </x:c>
      <x:c r="H237" s="4"/>
      <x:c r="I237" t="str">
        <x:f>IF(A237="","",A237&amp;"|"&amp;C237)</x:f>
        <x:v>EE10124|INFORME 01/26</x:v>
      </x:c>
      <x:c r="J237" t="str">
        <x:f>IF(A237&lt;&gt;"","SÍ","NO")</x:f>
        <x:v>SÍ</x:v>
      </x:c>
    </x:row>
    <x:row r="238" ht="43.20000076293945">
      <x:c r="A238" s="2" t="s">
        <x:v>216</x:v>
      </x:c>
      <x:c r="B238" s="12" t="s">
        <x:v>217</x:v>
      </x:c>
      <x:c r="C238" s="2" t="s">
        <x:v>258</x:v>
      </x:c>
      <x:c r="D238" s="5">
        <x:v>46556.457638888889</x:v>
      </x:c>
      <x:c r="E238" s="2" t="s">
        <x:v>10</x:v>
      </x:c>
      <x:c r="F238" s="6">
        <x:v>432.88</x:v>
      </x:c>
      <x:c r="G238" s="2" t="s">
        <x:v>40</x:v>
      </x:c>
      <x:c r="H238" s="4"/>
      <x:c r="I238" t="str">
        <x:f>IF(A238="","",A238&amp;"|"&amp;C238)</x:f>
        <x:v>EE10145|INFORME 01/26</x:v>
      </x:c>
      <x:c r="J238" t="str">
        <x:f>IF(A238&lt;&gt;"","SÍ","NO")</x:f>
        <x:v>SÍ</x:v>
      </x:c>
    </x:row>
    <x:row r="239" ht="43.20000076293945">
      <x:c r="A239" s="2" t="s">
        <x:v>203</x:v>
      </x:c>
      <x:c r="B239" s="12" t="s">
        <x:v>204</x:v>
      </x:c>
      <x:c r="C239" s="2" t="s">
        <x:v>258</x:v>
      </x:c>
      <x:c r="D239" s="5">
        <x:v>46555.461863425917</x:v>
      </x:c>
      <x:c r="E239" s="2" t="s">
        <x:v>10</x:v>
      </x:c>
      <x:c r="F239" s="6">
        <x:v>737.96</x:v>
      </x:c>
      <x:c r="G239" s="2" t="s">
        <x:v>40</x:v>
      </x:c>
      <x:c r="H239" s="4"/>
      <x:c r="I239" t="str">
        <x:f>IF(A239="","",A239&amp;"|"&amp;C239)</x:f>
        <x:v>EE10223|INFORME 01/26</x:v>
      </x:c>
      <x:c r="J239" t="str">
        <x:f>IF(A239&lt;&gt;"","SÍ","NO")</x:f>
        <x:v>SÍ</x:v>
      </x:c>
    </x:row>
    <x:row r="240" ht="28.799999237060547">
      <x:c r="A240" s="2" t="s">
        <x:v>205</x:v>
      </x:c>
      <x:c r="B240" s="12" t="s">
        <x:v>206</x:v>
      </x:c>
      <x:c r="C240" s="2" t="s">
        <x:v>258</x:v>
      </x:c>
      <x:c r="D240" s="5">
        <x:v>46557.475937499999</x:v>
      </x:c>
      <x:c r="E240" s="2" t="s">
        <x:v>10</x:v>
      </x:c>
      <x:c r="F240" s="6">
        <x:v>1065.93</x:v>
      </x:c>
      <x:c r="G240" s="2" t="s">
        <x:v>40</x:v>
      </x:c>
      <x:c r="H240" s="4"/>
      <x:c r="I240" t="str">
        <x:f>IF(A240="","",A240&amp;"|"&amp;C240)</x:f>
        <x:v>EE10117|INFORME 01/26</x:v>
      </x:c>
      <x:c r="J240" t="str">
        <x:f>IF(A240&lt;&gt;"","SÍ","NO")</x:f>
        <x:v>SÍ</x:v>
      </x:c>
    </x:row>
    <x:row r="241" ht="28.799999237060547">
      <x:c r="A241" s="2" t="s">
        <x:v>413</x:v>
      </x:c>
      <x:c r="B241" s="12" t="s">
        <x:v>414</x:v>
      </x:c>
      <x:c r="C241" s="2" t="s">
        <x:v>258</x:v>
      </x:c>
      <x:c r="D241" s="5">
        <x:v>46557.478194444448</x:v>
      </x:c>
      <x:c r="E241" s="2" t="s">
        <x:v>10</x:v>
      </x:c>
      <x:c r="F241" s="6">
        <x:v>486.036</x:v>
      </x:c>
      <x:c r="G241" s="2" t="s">
        <x:v>40</x:v>
      </x:c>
      <x:c r="H241" s="4"/>
      <x:c r="I241" t="str">
        <x:f>IF(A241="","",A241&amp;"|"&amp;C241)</x:f>
        <x:v>EE10103|INFORME 01/26</x:v>
      </x:c>
      <x:c r="J241" t="str">
        <x:f>IF(A241&lt;&gt;"","SÍ","NO")</x:f>
        <x:v>SÍ</x:v>
      </x:c>
    </x:row>
    <x:row r="242" ht="28.799999237060547">
      <x:c r="A242" s="2" t="s">
        <x:v>360</x:v>
      </x:c>
      <x:c r="B242" s="12" t="s">
        <x:v>361</x:v>
      </x:c>
      <x:c r="C242" s="2" t="s">
        <x:v>415</x:v>
      </x:c>
      <x:c r="D242" s="5">
        <x:v>46261.428773148153</x:v>
      </x:c>
      <x:c r="E242" s="2" t="s">
        <x:v>10</x:v>
      </x:c>
      <x:c r="F242" s="6">
        <x:v>10604.9</x:v>
      </x:c>
      <x:c r="G242" s="2" t="s">
        <x:v>40</x:v>
      </x:c>
      <x:c r="H242" s="4"/>
      <x:c r="I242" t="str">
        <x:f>IF(A242="","",A242&amp;"|"&amp;C242)</x:f>
        <x:v>MP10002|INFORME 165/26</x:v>
      </x:c>
      <x:c r="J242" t="str">
        <x:f>IF(A242&lt;&gt;"","SÍ","NO")</x:f>
        <x:v>SÍ</x:v>
      </x:c>
    </x:row>
    <x:row r="243" ht="28.799999237060547">
      <x:c r="A243" s="2" t="s">
        <x:v>360</x:v>
      </x:c>
      <x:c r="B243" s="12" t="s">
        <x:v>361</x:v>
      </x:c>
      <x:c r="C243" s="2" t="s">
        <x:v>416</x:v>
      </x:c>
      <x:c r="D243" s="5">
        <x:v>46260.439131944448</x:v>
      </x:c>
      <x:c r="E243" s="2" t="s">
        <x:v>10</x:v>
      </x:c>
      <x:c r="F243" s="6">
        <x:v>9225.7000000000007</x:v>
      </x:c>
      <x:c r="G243" s="2" t="s">
        <x:v>40</x:v>
      </x:c>
      <x:c r="H243" s="4"/>
      <x:c r="I243" t="str">
        <x:f>IF(A243="","",A243&amp;"|"&amp;C243)</x:f>
        <x:v>MP10002|INFORME 164/26</x:v>
      </x:c>
      <x:c r="J243" t="str">
        <x:f>IF(A243&lt;&gt;"","SÍ","NO")</x:f>
        <x:v>SÍ</x:v>
      </x:c>
    </x:row>
    <x:row r="244" ht="43.20000076293945">
      <x:c r="A244" s="2" t="s">
        <x:v>216</x:v>
      </x:c>
      <x:c r="B244" s="12" t="s">
        <x:v>217</x:v>
      </x:c>
      <x:c r="C244" s="2" t="s">
        <x:v>270</x:v>
      </x:c>
      <x:c r="D244" s="5">
        <x:v>46556.414398148147</x:v>
      </x:c>
      <x:c r="E244" s="2" t="s">
        <x:v>10</x:v>
      </x:c>
      <x:c r="F244" s="6">
        <x:v>181.87</x:v>
      </x:c>
      <x:c r="G244" s="2" t="s">
        <x:v>40</x:v>
      </x:c>
      <x:c r="H244" s="4"/>
      <x:c r="I244" t="str">
        <x:f>IF(A244="","",A244&amp;"|"&amp;C244)</x:f>
        <x:v>EE10145|INFORME 02/26</x:v>
      </x:c>
      <x:c r="J244" t="str">
        <x:f>IF(A244&lt;&gt;"","SÍ","NO")</x:f>
        <x:v>SÍ</x:v>
      </x:c>
    </x:row>
    <x:row r="245" ht="43.20000076293945">
      <x:c r="A245" s="2" t="s">
        <x:v>177</x:v>
      </x:c>
      <x:c r="B245" s="12" t="s">
        <x:v>178</x:v>
      </x:c>
      <x:c r="C245" s="2" t="s">
        <x:v>258</x:v>
      </x:c>
      <x:c r="D245" s="5">
        <x:v>46557.416967592602</x:v>
      </x:c>
      <x:c r="E245" s="2" t="s">
        <x:v>10</x:v>
      </x:c>
      <x:c r="F245" s="6">
        <x:v>264.52</x:v>
      </x:c>
      <x:c r="G245" s="2" t="s">
        <x:v>40</x:v>
      </x:c>
      <x:c r="H245" s="4"/>
      <x:c r="I245" t="str">
        <x:f>IF(A245="","",A245&amp;"|"&amp;C245)</x:f>
        <x:v>EE10138|INFORME 01/26</x:v>
      </x:c>
      <x:c r="J245" t="str">
        <x:f>IF(A245&lt;&gt;"","SÍ","NO")</x:f>
        <x:v>SÍ</x:v>
      </x:c>
    </x:row>
    <x:row r="246" ht="28.799999237060547">
      <x:c r="A246" s="2" t="s">
        <x:v>180</x:v>
      </x:c>
      <x:c r="B246" s="12" t="s">
        <x:v>181</x:v>
      </x:c>
      <x:c r="C246" s="2" t="s">
        <x:v>258</x:v>
      </x:c>
      <x:c r="D246" s="5">
        <x:v>46556.420046296298</x:v>
      </x:c>
      <x:c r="E246" s="2" t="s">
        <x:v>10</x:v>
      </x:c>
      <x:c r="F246" s="6">
        <x:v>825.1</x:v>
      </x:c>
      <x:c r="G246" s="2" t="s">
        <x:v>40</x:v>
      </x:c>
      <x:c r="H246" s="4"/>
      <x:c r="I246" t="str">
        <x:f>IF(A246="","",A246&amp;"|"&amp;C246)</x:f>
        <x:v>EE10136|INFORME 01/26</x:v>
      </x:c>
      <x:c r="J246" t="str">
        <x:f>IF(A246&lt;&gt;"","SÍ","NO")</x:f>
        <x:v>SÍ</x:v>
      </x:c>
    </x:row>
    <x:row r="247" ht="28.799999237060547">
      <x:c r="A247" s="2" t="s">
        <x:v>417</x:v>
      </x:c>
      <x:c r="B247" s="12" t="s">
        <x:v>418</x:v>
      </x:c>
      <x:c r="C247" s="2" t="s">
        <x:v>258</x:v>
      </x:c>
      <x:c r="D247" s="5">
        <x:v>46563.422222222223</x:v>
      </x:c>
      <x:c r="E247" s="2" t="s">
        <x:v>10</x:v>
      </x:c>
      <x:c r="F247" s="6">
        <x:v>887.97</x:v>
      </x:c>
      <x:c r="G247" s="2" t="s">
        <x:v>40</x:v>
      </x:c>
      <x:c r="H247" s="4"/>
      <x:c r="I247" t="str">
        <x:f>IF(A247="","",A247&amp;"|"&amp;C247)</x:f>
        <x:v>EE10033|INFORME 01/26</x:v>
      </x:c>
      <x:c r="J247" t="str">
        <x:f>IF(A247&lt;&gt;"","SÍ","NO")</x:f>
        <x:v>SÍ</x:v>
      </x:c>
    </x:row>
    <x:row r="248" ht="28.799999237060547">
      <x:c r="A248" s="2" t="s">
        <x:v>331</x:v>
      </x:c>
      <x:c r="B248" s="12" t="s">
        <x:v>332</x:v>
      </x:c>
      <x:c r="C248" s="2" t="s">
        <x:v>270</x:v>
      </x:c>
      <x:c r="D248" s="5">
        <x:v>46562.428622685176</x:v>
      </x:c>
      <x:c r="E248" s="2" t="s">
        <x:v>10</x:v>
      </x:c>
      <x:c r="F248" s="6">
        <x:v>740.23200000000008</x:v>
      </x:c>
      <x:c r="G248" s="2" t="s">
        <x:v>40</x:v>
      </x:c>
      <x:c r="H248" s="4"/>
      <x:c r="I248" t="str">
        <x:f>IF(A248="","",A248&amp;"|"&amp;C248)</x:f>
        <x:v>EE10035|INFORME 02/26</x:v>
      </x:c>
      <x:c r="J248" t="str">
        <x:f>IF(A248&lt;&gt;"","SÍ","NO")</x:f>
        <x:v>SÍ</x:v>
      </x:c>
    </x:row>
    <x:row r="249" ht="43.20000076293945">
      <x:c r="A249" s="2" t="s">
        <x:v>419</x:v>
      </x:c>
      <x:c r="B249" s="12" t="s">
        <x:v>420</x:v>
      </x:c>
      <x:c r="C249" s="2" t="s">
        <x:v>258</x:v>
      </x:c>
      <x:c r="D249" s="5">
        <x:v>46563.436643518522</x:v>
      </x:c>
      <x:c r="E249" s="2" t="s">
        <x:v>10</x:v>
      </x:c>
      <x:c r="F249" s="6">
        <x:v>959.72500000000002</x:v>
      </x:c>
      <x:c r="G249" s="2" t="s">
        <x:v>40</x:v>
      </x:c>
      <x:c r="H249" s="4"/>
      <x:c r="I249" t="str">
        <x:f>IF(A249="","",A249&amp;"|"&amp;C249)</x:f>
        <x:v>EE10030|INFORME 01/26</x:v>
      </x:c>
      <x:c r="J249" t="str">
        <x:f>IF(A249&lt;&gt;"","SÍ","NO")</x:f>
        <x:v>SÍ</x:v>
      </x:c>
    </x:row>
    <x:row r="250" ht="43.20000076293945">
      <x:c r="A250" s="2" t="s">
        <x:v>177</x:v>
      </x:c>
      <x:c r="B250" s="12" t="s">
        <x:v>178</x:v>
      </x:c>
      <x:c r="C250" s="2" t="s">
        <x:v>270</x:v>
      </x:c>
      <x:c r="D250" s="5">
        <x:v>46557.370694444442</x:v>
      </x:c>
      <x:c r="E250" s="2" t="s">
        <x:v>10</x:v>
      </x:c>
      <x:c r="F250" s="6">
        <x:v>187.25</x:v>
      </x:c>
      <x:c r="G250" s="2" t="s">
        <x:v>40</x:v>
      </x:c>
      <x:c r="H250" s="4"/>
      <x:c r="I250" t="str">
        <x:f>IF(A250="","",A250&amp;"|"&amp;C250)</x:f>
        <x:v>EE10138|INFORME 02/26</x:v>
      </x:c>
      <x:c r="J250" t="str">
        <x:f>IF(A250&lt;&gt;"","SÍ","NO")</x:f>
        <x:v>SÍ</x:v>
      </x:c>
    </x:row>
    <x:row r="251" ht="43.20000076293945">
      <x:c r="A251" s="2" t="s">
        <x:v>419</x:v>
      </x:c>
      <x:c r="B251" s="12" t="s">
        <x:v>420</x:v>
      </x:c>
      <x:c r="C251" s="2" t="s">
        <x:v>288</x:v>
      </x:c>
      <x:c r="D251" s="5">
        <x:v>46563.375011574077</x:v>
      </x:c>
      <x:c r="E251" s="2" t="s">
        <x:v>10</x:v>
      </x:c>
      <x:c r="F251" s="6">
        <x:v>2266.2800000000002</x:v>
      </x:c>
      <x:c r="G251" s="2" t="s">
        <x:v>40</x:v>
      </x:c>
      <x:c r="H251" s="4"/>
      <x:c r="I251" t="str">
        <x:f>IF(A251="","",A251&amp;"|"&amp;C251)</x:f>
        <x:v>EE10030|INFORME 03/26</x:v>
      </x:c>
      <x:c r="J251" t="str">
        <x:f>IF(A251&lt;&gt;"","SÍ","NO")</x:f>
        <x:v>SÍ</x:v>
      </x:c>
    </x:row>
    <x:row r="252" ht="43.20000076293945">
      <x:c r="A252" s="2" t="s">
        <x:v>419</x:v>
      </x:c>
      <x:c r="B252" s="12" t="s">
        <x:v>420</x:v>
      </x:c>
      <x:c r="C252" s="2" t="s">
        <x:v>421</x:v>
      </x:c>
      <x:c r="D252" s="5">
        <x:v>46563.375300925924</x:v>
      </x:c>
      <x:c r="E252" s="2" t="s">
        <x:v>10</x:v>
      </x:c>
      <x:c r="F252" s="6">
        <x:v>518.48</x:v>
      </x:c>
      <x:c r="G252" s="2" t="s">
        <x:v>40</x:v>
      </x:c>
      <x:c r="H252" s="4"/>
      <x:c r="I252" t="str">
        <x:f>IF(A252="","",A252&amp;"|"&amp;C252)</x:f>
        <x:v>EE10030|INFORME 03/26.</x:v>
      </x:c>
      <x:c r="J252" t="str">
        <x:f>IF(A252&lt;&gt;"","SÍ","NO")</x:f>
        <x:v>SÍ</x:v>
      </x:c>
    </x:row>
    <x:row r="253" ht="28.799999237060547">
      <x:c r="A253" s="2" t="s">
        <x:v>142</x:v>
      </x:c>
      <x:c r="B253" s="12" t="s">
        <x:v>143</x:v>
      </x:c>
      <x:c r="C253" s="2" t="s">
        <x:v>258</x:v>
      </x:c>
      <x:c r="D253" s="5">
        <x:v>46563.377187500002</x:v>
      </x:c>
      <x:c r="E253" s="2" t="s">
        <x:v>10</x:v>
      </x:c>
      <x:c r="F253" s="6">
        <x:v>641.14</x:v>
      </x:c>
      <x:c r="G253" s="2" t="s">
        <x:v>40</x:v>
      </x:c>
      <x:c r="H253" s="4"/>
      <x:c r="I253" t="str">
        <x:f>IF(A253="","",A253&amp;"|"&amp;C253)</x:f>
        <x:v>EE10044|INFORME 01/26</x:v>
      </x:c>
      <x:c r="J253" t="str">
        <x:f>IF(A253&lt;&gt;"","SÍ","NO")</x:f>
        <x:v>SÍ</x:v>
      </x:c>
    </x:row>
    <x:row r="254" ht="28.799999237060547">
      <x:c r="A254" s="2" t="s">
        <x:v>422</x:v>
      </x:c>
      <x:c r="B254" s="12" t="s">
        <x:v>423</x:v>
      </x:c>
      <x:c r="C254" s="2" t="s">
        <x:v>270</x:v>
      </x:c>
      <x:c r="D254" s="5">
        <x:v>46389.517372685194</x:v>
      </x:c>
      <x:c r="E254" s="2" t="s">
        <x:v>10</x:v>
      </x:c>
      <x:c r="F254" s="6">
        <x:v>124.46680000000001</x:v>
      </x:c>
      <x:c r="G254" s="2" t="s">
        <x:v>40</x:v>
      </x:c>
      <x:c r="H254" s="4"/>
      <x:c r="I254" t="str">
        <x:f>IF(A254="","",A254&amp;"|"&amp;C254)</x:f>
        <x:v>EE10277|INFORME 02/26</x:v>
      </x:c>
      <x:c r="J254" t="str">
        <x:f>IF(A254&lt;&gt;"","SÍ","NO")</x:f>
        <x:v>SÍ</x:v>
      </x:c>
    </x:row>
    <x:row r="255" ht="43.20000076293945">
      <x:c r="A255" s="2" t="s">
        <x:v>333</x:v>
      </x:c>
      <x:c r="B255" s="12" t="s">
        <x:v>334</x:v>
      </x:c>
      <x:c r="C255" s="2" t="s">
        <x:v>288</x:v>
      </x:c>
      <x:c r="D255" s="5">
        <x:v>46547.431932870371</x:v>
      </x:c>
      <x:c r="E255" s="2" t="s">
        <x:v>10</x:v>
      </x:c>
      <x:c r="F255" s="6">
        <x:v>300</x:v>
      </x:c>
      <x:c r="G255" s="2" t="s">
        <x:v>40</x:v>
      </x:c>
      <x:c r="H255" s="4"/>
      <x:c r="I255" t="str">
        <x:f>IF(A255="","",A255&amp;"|"&amp;C255)</x:f>
        <x:v>MP10019-1|INFORME 03/26</x:v>
      </x:c>
      <x:c r="J255" t="str">
        <x:f>IF(A255&lt;&gt;"","SÍ","NO")</x:f>
        <x:v>SÍ</x:v>
      </x:c>
    </x:row>
    <x:row r="256" ht="28.799999237060547">
      <x:c r="A256" s="2" t="s">
        <x:v>360</x:v>
      </x:c>
      <x:c r="B256" s="12" t="s">
        <x:v>361</x:v>
      </x:c>
      <x:c r="C256" s="2" t="s">
        <x:v>424</x:v>
      </x:c>
      <x:c r="D256" s="5">
        <x:v>46248.785914351851</x:v>
      </x:c>
      <x:c r="E256" s="2" t="s">
        <x:v>10</x:v>
      </x:c>
      <x:c r="F256" s="6">
        <x:v>214.2</x:v>
      </x:c>
      <x:c r="G256" s="2" t="s">
        <x:v>40</x:v>
      </x:c>
      <x:c r="H256" s="4"/>
      <x:c r="I256" t="str">
        <x:f>IF(A256="","",A256&amp;"|"&amp;C256)</x:f>
        <x:v>MP10002|INFORME 52/26</x:v>
      </x:c>
      <x:c r="J256" t="str">
        <x:f>IF(A256&lt;&gt;"","SÍ","NO")</x:f>
        <x:v>SÍ</x:v>
      </x:c>
    </x:row>
    <x:row r="257" ht="28.799999237060547">
      <x:c r="A257" s="2" t="s">
        <x:v>360</x:v>
      </x:c>
      <x:c r="B257" s="12" t="s">
        <x:v>361</x:v>
      </x:c>
      <x:c r="C257" s="2" t="s">
        <x:v>425</x:v>
      </x:c>
      <x:c r="D257" s="5">
        <x:v>46265.933935185189</x:v>
      </x:c>
      <x:c r="E257" s="2" t="s">
        <x:v>10</x:v>
      </x:c>
      <x:c r="F257" s="6">
        <x:v>1124.8107</x:v>
      </x:c>
      <x:c r="G257" s="2" t="s">
        <x:v>40</x:v>
      </x:c>
      <x:c r="H257" s="4"/>
      <x:c r="I257" t="str">
        <x:f>IF(A257="","",A257&amp;"|"&amp;C257)</x:f>
        <x:v>MP10002|INFORME 105/26</x:v>
      </x:c>
      <x:c r="J257" t="str">
        <x:f>IF(A257&lt;&gt;"","SÍ","NO")</x:f>
        <x:v>SÍ</x:v>
      </x:c>
    </x:row>
    <x:row r="258" ht="43.20000076293945">
      <x:c r="A258" s="2" t="s">
        <x:v>169</x:v>
      </x:c>
      <x:c r="B258" s="12" t="s">
        <x:v>170</x:v>
      </x:c>
      <x:c r="C258" s="2" t="s">
        <x:v>426</x:v>
      </x:c>
      <x:c r="D258" s="5">
        <x:v>46379.438981481479</x:v>
      </x:c>
      <x:c r="E258" s="2" t="s">
        <x:v>10</x:v>
      </x:c>
      <x:c r="F258" s="6">
        <x:v>33.6</x:v>
      </x:c>
      <x:c r="G258" s="2" t="s">
        <x:v>40</x:v>
      </x:c>
      <x:c r="H258" s="4"/>
      <x:c r="I258" t="str">
        <x:f>IF(A258="","",A258&amp;"|"&amp;C258)</x:f>
        <x:v>EE10139|INFORME 11/25.</x:v>
      </x:c>
      <x:c r="J258" t="str">
        <x:f>IF(A258&lt;&gt;"","SÍ","NO")</x:f>
        <x:v>SÍ</x:v>
      </x:c>
    </x:row>
    <x:row r="259">
      <x:c r="A259" s="2"/>
      <x:c r="B259" s="12" t="s">
        <x:v>427</x:v>
      </x:c>
      <x:c r="C259" s="2"/>
      <x:c r="D259" s="5"/>
      <x:c r="E259" s="2" t="s">
        <x:v>10</x:v>
      </x:c>
      <x:c r="F259" s="6">
        <x:v>4000</x:v>
      </x:c>
      <x:c r="G259" s="2" t="s">
        <x:v>11</x:v>
      </x:c>
      <x:c r="H259" s="4"/>
      <x:c r="I259" t="str">
        <x:f>IF(A259="","",A259&amp;"|"&amp;C259)</x:f>
      </x:c>
      <x:c r="J259" t="str">
        <x:f>IF(A259&lt;&gt;"","SÍ","NO")</x:f>
        <x:v>NO</x:v>
      </x:c>
    </x:row>
    <x:row r="260" ht="28.799999237060547">
      <x:c r="A260" s="2" t="s">
        <x:v>322</x:v>
      </x:c>
      <x:c r="B260" s="12" t="s">
        <x:v>323</x:v>
      </x:c>
      <x:c r="C260" s="2" t="s">
        <x:v>428</x:v>
      </x:c>
      <x:c r="D260" s="5">
        <x:v>46571.347303240742</x:v>
      </x:c>
      <x:c r="E260" s="2" t="s">
        <x:v>10</x:v>
      </x:c>
      <x:c r="F260" s="6">
        <x:v>839.47</x:v>
      </x:c>
      <x:c r="G260" s="2" t="s">
        <x:v>40</x:v>
      </x:c>
      <x:c r="H260" s="4"/>
      <x:c r="I260" t="str">
        <x:f>IF(A260="","",A260&amp;"|"&amp;C260)</x:f>
        <x:v>EE10235|LA-01/26</x:v>
      </x:c>
      <x:c r="J260" t="str">
        <x:f>IF(A260&lt;&gt;"","SÍ","NO")</x:f>
        <x:v>SÍ</x:v>
      </x:c>
    </x:row>
    <x:row r="261" ht="28.799999237060547">
      <x:c r="A261" s="2" t="s">
        <x:v>326</x:v>
      </x:c>
      <x:c r="B261" s="12" t="s">
        <x:v>327</x:v>
      </x:c>
      <x:c r="C261" s="2" t="s">
        <x:v>429</x:v>
      </x:c>
      <x:c r="D261" s="5">
        <x:v>46571.347662037027</x:v>
      </x:c>
      <x:c r="E261" s="2" t="s">
        <x:v>10</x:v>
      </x:c>
      <x:c r="F261" s="6">
        <x:v>821.89</x:v>
      </x:c>
      <x:c r="G261" s="2" t="s">
        <x:v>40</x:v>
      </x:c>
      <x:c r="H261" s="4"/>
      <x:c r="I261" t="str">
        <x:f>IF(A261="","",A261&amp;"|"&amp;C261)</x:f>
        <x:v>EE10236|LA-02/26</x:v>
      </x:c>
      <x:c r="J261" t="str">
        <x:f>IF(A261&lt;&gt;"","SÍ","NO")</x:f>
        <x:v>SÍ</x:v>
      </x:c>
    </x:row>
    <x:row r="262" ht="28.799999237060547">
      <x:c r="A262" s="2" t="s">
        <x:v>324</x:v>
      </x:c>
      <x:c r="B262" s="12" t="s">
        <x:v>325</x:v>
      </x:c>
      <x:c r="C262" s="2" t="s">
        <x:v>430</x:v>
      </x:c>
      <x:c r="D262" s="5">
        <x:v>46572.348344907397</x:v>
      </x:c>
      <x:c r="E262" s="2" t="s">
        <x:v>10</x:v>
      </x:c>
      <x:c r="F262" s="6">
        <x:v>894.49</x:v>
      </x:c>
      <x:c r="G262" s="2" t="s">
        <x:v>40</x:v>
      </x:c>
      <x:c r="H262" s="4"/>
      <x:c r="I262" t="str">
        <x:f>IF(A262="","",A262&amp;"|"&amp;C262)</x:f>
        <x:v>EE10238|LA-03/26</x:v>
      </x:c>
      <x:c r="J262" t="str">
        <x:f>IF(A262&lt;&gt;"","SÍ","NO")</x:f>
        <x:v>SÍ</x:v>
      </x:c>
    </x:row>
    <x:row r="263" ht="28.799999237060547">
      <x:c r="A263" s="2" t="s">
        <x:v>278</x:v>
      </x:c>
      <x:c r="B263" s="12" t="s">
        <x:v>279</x:v>
      </x:c>
      <x:c r="C263" s="2" t="s">
        <x:v>431</x:v>
      </x:c>
      <x:c r="D263" s="5">
        <x:v>46571.360810185193</x:v>
      </x:c>
      <x:c r="E263" s="2" t="s">
        <x:v>10</x:v>
      </x:c>
      <x:c r="F263" s="6">
        <x:v>500</x:v>
      </x:c>
      <x:c r="G263" s="2" t="s">
        <x:v>40</x:v>
      </x:c>
      <x:c r="H263" s="4"/>
      <x:c r="I263" t="str">
        <x:f>IF(A263="","",A263&amp;"|"&amp;C263)</x:f>
        <x:v>EE10229|LA-04/26</x:v>
      </x:c>
      <x:c r="J263" t="str">
        <x:f>IF(A263&lt;&gt;"","SÍ","NO")</x:f>
        <x:v>SÍ</x:v>
      </x:c>
    </x:row>
    <x:row r="264" ht="28.799999237060547">
      <x:c r="A264" s="2" t="s">
        <x:v>278</x:v>
      </x:c>
      <x:c r="B264" s="12" t="s">
        <x:v>279</x:v>
      </x:c>
      <x:c r="C264" s="2" t="s">
        <x:v>432</x:v>
      </x:c>
      <x:c r="D264" s="5">
        <x:v>46571.361168981479</x:v>
      </x:c>
      <x:c r="E264" s="2" t="s">
        <x:v>10</x:v>
      </x:c>
      <x:c r="F264" s="6">
        <x:v>559.17000000000007</x:v>
      </x:c>
      <x:c r="G264" s="2" t="s">
        <x:v>40</x:v>
      </x:c>
      <x:c r="H264" s="4"/>
      <x:c r="I264" t="str">
        <x:f>IF(A264="","",A264&amp;"|"&amp;C264)</x:f>
        <x:v>EE10229|LA 04/26</x:v>
      </x:c>
      <x:c r="J264" t="str">
        <x:f>IF(A264&lt;&gt;"","SÍ","NO")</x:f>
        <x:v>SÍ</x:v>
      </x:c>
    </x:row>
    <x:row r="265" ht="28.799999237060547">
      <x:c r="A265" s="2" t="s">
        <x:v>243</x:v>
      </x:c>
      <x:c r="B265" s="12" t="s">
        <x:v>244</x:v>
      </x:c>
      <x:c r="C265" s="2" t="s">
        <x:v>433</x:v>
      </x:c>
      <x:c r="D265" s="5">
        <x:v>46572.36347222222</x:v>
      </x:c>
      <x:c r="E265" s="2" t="s">
        <x:v>10</x:v>
      </x:c>
      <x:c r="F265" s="6">
        <x:v>684.48</x:v>
      </x:c>
      <x:c r="G265" s="2" t="s">
        <x:v>40</x:v>
      </x:c>
      <x:c r="H265" s="4"/>
      <x:c r="I265" t="str">
        <x:f>IF(A265="","",A265&amp;"|"&amp;C265)</x:f>
        <x:v>EE10231|LA-05/26</x:v>
      </x:c>
      <x:c r="J265" t="str">
        <x:f>IF(A265&lt;&gt;"","SÍ","NO")</x:f>
        <x:v>SÍ</x:v>
      </x:c>
    </x:row>
    <x:row r="266" ht="28.799999237060547">
      <x:c r="A266" s="2" t="s">
        <x:v>241</x:v>
      </x:c>
      <x:c r="B266" s="12" t="s">
        <x:v>242</x:v>
      </x:c>
      <x:c r="C266" s="2" t="s">
        <x:v>434</x:v>
      </x:c>
      <x:c r="D266" s="5">
        <x:v>46572.363796296297</x:v>
      </x:c>
      <x:c r="E266" s="2" t="s">
        <x:v>10</x:v>
      </x:c>
      <x:c r="F266" s="6">
        <x:v>835.88</x:v>
      </x:c>
      <x:c r="G266" s="2" t="s">
        <x:v>40</x:v>
      </x:c>
      <x:c r="H266" s="4"/>
      <x:c r="I266" t="str">
        <x:f>IF(A266="","",A266&amp;"|"&amp;C266)</x:f>
        <x:v>EE10228|LA-06/26</x:v>
      </x:c>
      <x:c r="J266" t="str">
        <x:f>IF(A266&lt;&gt;"","SÍ","NO")</x:f>
        <x:v>SÍ</x:v>
      </x:c>
    </x:row>
    <x:row r="267" ht="28.799999237060547">
      <x:c r="A267" s="2" t="s">
        <x:v>408</x:v>
      </x:c>
      <x:c r="B267" s="12" t="s">
        <x:v>409</x:v>
      </x:c>
      <x:c r="C267" s="2" t="s">
        <x:v>435</x:v>
      </x:c>
      <x:c r="D267" s="5">
        <x:v>46935.407442129632</x:v>
      </x:c>
      <x:c r="E267" s="2" t="s">
        <x:v>10</x:v>
      </x:c>
      <x:c r="F267" s="6">
        <x:v>888</x:v>
      </x:c>
      <x:c r="G267" s="2" t="s">
        <x:v>40</x:v>
      </x:c>
      <x:c r="H267" s="4"/>
      <x:c r="I267" t="str">
        <x:f>IF(A267="","",A267&amp;"|"&amp;C267)</x:f>
        <x:v>MP10027|HA-01/26</x:v>
      </x:c>
      <x:c r="J267" t="str">
        <x:f>IF(A267&lt;&gt;"","SÍ","NO")</x:f>
        <x:v>SÍ</x:v>
      </x:c>
    </x:row>
    <x:row r="268">
      <x:c r="A268" s="2" t="s">
        <x:v>436</x:v>
      </x:c>
      <x:c r="B268" s="12" t="s">
        <x:v>437</x:v>
      </x:c>
      <x:c r="C268" s="2" t="s">
        <x:v>438</x:v>
      </x:c>
      <x:c r="D268" s="5">
        <x:v>46844.366712962961</x:v>
      </x:c>
      <x:c r="E268" s="2" t="s">
        <x:v>10</x:v>
      </x:c>
      <x:c r="F268" s="6">
        <x:v>438.10410000000002</x:v>
      </x:c>
      <x:c r="G268" s="2" t="s">
        <x:v>40</x:v>
      </x:c>
      <x:c r="H268" s="4"/>
      <x:c r="I268" t="str">
        <x:f>IF(A268="","",A268&amp;"|"&amp;C268)</x:f>
        <x:v>MP10017|SM-06/26</x:v>
      </x:c>
      <x:c r="J268" t="str">
        <x:f>IF(A268&lt;&gt;"","SÍ","NO")</x:f>
        <x:v>SÍ</x:v>
      </x:c>
    </x:row>
    <x:row r="269">
      <x:c r="A269" s="2" t="s">
        <x:v>400</x:v>
      </x:c>
      <x:c r="B269" s="12" t="s">
        <x:v>401</x:v>
      </x:c>
      <x:c r="C269" s="2" t="s">
        <x:v>439</x:v>
      </x:c>
      <x:c r="D269" s="5">
        <x:v>46904.496516203697</x:v>
      </x:c>
      <x:c r="E269" s="2" t="s">
        <x:v>10</x:v>
      </x:c>
      <x:c r="F269" s="6">
        <x:v>500</x:v>
      </x:c>
      <x:c r="G269" s="2" t="s">
        <x:v>40</x:v>
      </x:c>
      <x:c r="H269" s="4"/>
      <x:c r="I269" t="str">
        <x:f>IF(A269="","",A269&amp;"|"&amp;C269)</x:f>
        <x:v>MP10030|AM-01/26</x:v>
      </x:c>
      <x:c r="J269" t="str">
        <x:f>IF(A269&lt;&gt;"","SÍ","NO")</x:f>
        <x:v>SÍ</x:v>
      </x:c>
    </x:row>
    <x:row r="270">
      <x:c r="A270" s="2" t="s">
        <x:v>440</x:v>
      </x:c>
      <x:c r="B270" s="12" t="s">
        <x:v>441</x:v>
      </x:c>
      <x:c r="C270" s="2" t="s">
        <x:v>442</x:v>
      </x:c>
      <x:c r="D270" s="5">
        <x:v>47972.497291666667</x:v>
      </x:c>
      <x:c r="E270" s="2" t="s">
        <x:v>10</x:v>
      </x:c>
      <x:c r="F270" s="6">
        <x:v>394.94369999999998</x:v>
      </x:c>
      <x:c r="G270" s="2" t="s">
        <x:v>40</x:v>
      </x:c>
      <x:c r="H270" s="4"/>
      <x:c r="I270" t="str">
        <x:f>IF(A270="","",A270&amp;"|"&amp;C270)</x:f>
        <x:v>MP10031|AM-02/26</x:v>
      </x:c>
      <x:c r="J270" t="str">
        <x:f>IF(A270&lt;&gt;"","SÍ","NO")</x:f>
        <x:v>SÍ</x:v>
      </x:c>
    </x:row>
    <x:row r="271" ht="28.799999237060547">
      <x:c r="A271" s="2" t="s">
        <x:v>367</x:v>
      </x:c>
      <x:c r="B271" s="12" t="s">
        <x:v>368</x:v>
      </x:c>
      <x:c r="C271" s="2" t="s">
        <x:v>443</x:v>
      </x:c>
      <x:c r="D271" s="5">
        <x:v>46561.676400462973</x:v>
      </x:c>
      <x:c r="E271" s="2" t="s">
        <x:v>10</x:v>
      </x:c>
      <x:c r="F271" s="6">
        <x:v>1500</x:v>
      </x:c>
      <x:c r="G271" s="2" t="s">
        <x:v>40</x:v>
      </x:c>
      <x:c r="H271" s="4"/>
      <x:c r="I271" t="str">
        <x:f>IF(A271="","",A271&amp;"|"&amp;C271)</x:f>
        <x:v>MP10062|SB-04/26</x:v>
      </x:c>
      <x:c r="J271" t="str">
        <x:f>IF(A271&lt;&gt;"","SÍ","NO")</x:f>
        <x:v>SÍ</x:v>
      </x:c>
    </x:row>
    <x:row r="272" ht="28.799999237060547">
      <x:c r="A272" s="2" t="s">
        <x:v>393</x:v>
      </x:c>
      <x:c r="B272" s="12" t="s">
        <x:v>394</x:v>
      </x:c>
      <x:c r="C272" s="2" t="s">
        <x:v>444</x:v>
      </x:c>
      <x:c r="D272" s="5">
        <x:v>46469.678738425922</x:v>
      </x:c>
      <x:c r="E272" s="2" t="s">
        <x:v>10</x:v>
      </x:c>
      <x:c r="F272" s="6">
        <x:v>1000</x:v>
      </x:c>
      <x:c r="G272" s="2" t="s">
        <x:v>40</x:v>
      </x:c>
      <x:c r="H272" s="4"/>
      <x:c r="I272" t="str">
        <x:f>IF(A272="","",A272&amp;"|"&amp;C272)</x:f>
        <x:v>MP10036|SB-03/26</x:v>
      </x:c>
      <x:c r="J272" t="str">
        <x:f>IF(A272&lt;&gt;"","SÍ","NO")</x:f>
        <x:v>SÍ</x:v>
      </x:c>
    </x:row>
    <x:row r="273" ht="43.20000076293945">
      <x:c r="A273" s="2" t="s">
        <x:v>344</x:v>
      </x:c>
      <x:c r="B273" s="12" t="s">
        <x:v>345</x:v>
      </x:c>
      <x:c r="C273" s="2" t="s">
        <x:v>445</x:v>
      </x:c>
      <x:c r="D273" s="5">
        <x:v>46555.679803240739</x:v>
      </x:c>
      <x:c r="E273" s="2" t="s">
        <x:v>10</x:v>
      </x:c>
      <x:c r="F273" s="6">
        <x:v>300</x:v>
      </x:c>
      <x:c r="G273" s="2" t="s">
        <x:v>40</x:v>
      </x:c>
      <x:c r="H273" s="4"/>
      <x:c r="I273" t="str">
        <x:f>IF(A273="","",A273&amp;"|"&amp;C273)</x:f>
        <x:v>MP10044|SB-02/26</x:v>
      </x:c>
      <x:c r="J273" t="str">
        <x:f>IF(A273&lt;&gt;"","SÍ","NO")</x:f>
        <x:v>SÍ</x:v>
      </x:c>
    </x:row>
    <x:row r="274" ht="43.20000076293945">
      <x:c r="A274" s="2" t="s">
        <x:v>446</x:v>
      </x:c>
      <x:c r="B274" s="12" t="s">
        <x:v>447</x:v>
      </x:c>
      <x:c r="C274" s="2" t="s">
        <x:v>448</x:v>
      </x:c>
      <x:c r="D274" s="5">
        <x:v>46541.680844907409</x:v>
      </x:c>
      <x:c r="E274" s="2" t="s">
        <x:v>10</x:v>
      </x:c>
      <x:c r="F274" s="6">
        <x:v>2189</x:v>
      </x:c>
      <x:c r="G274" s="2" t="s">
        <x:v>40</x:v>
      </x:c>
      <x:c r="H274" s="4"/>
      <x:c r="I274" t="str">
        <x:f>IF(A274="","",A274&amp;"|"&amp;C274)</x:f>
        <x:v>MP10021|SB-01/26</x:v>
      </x:c>
      <x:c r="J274" t="str">
        <x:f>IF(A274&lt;&gt;"","SÍ","NO")</x:f>
        <x:v>SÍ</x:v>
      </x:c>
    </x:row>
    <x:row r="275" ht="28.799999237060547">
      <x:c r="A275" s="2" t="s">
        <x:v>449</x:v>
      </x:c>
      <x:c r="B275" s="12" t="s">
        <x:v>450</x:v>
      </x:c>
      <x:c r="C275" s="2" t="s">
        <x:v>451</x:v>
      </x:c>
      <x:c r="D275" s="5">
        <x:v>46537.683009259257</x:v>
      </x:c>
      <x:c r="E275" s="2" t="s">
        <x:v>10</x:v>
      </x:c>
      <x:c r="F275" s="6">
        <x:v>9</x:v>
      </x:c>
      <x:c r="G275" s="2" t="s">
        <x:v>452</x:v>
      </x:c>
      <x:c r="H275" s="4"/>
      <x:c r="I275" t="str">
        <x:f>IF(A275="","",A275&amp;"|"&amp;C275)</x:f>
        <x:v>MP10013|AO-13/26</x:v>
      </x:c>
      <x:c r="J275" t="str">
        <x:f>IF(A275&lt;&gt;"","SÍ","NO")</x:f>
        <x:v>SÍ</x:v>
      </x:c>
    </x:row>
    <x:row r="276" ht="43.20000076293945">
      <x:c r="A276" s="2" t="s">
        <x:v>453</x:v>
      </x:c>
      <x:c r="B276" s="12" t="s">
        <x:v>454</x:v>
      </x:c>
      <x:c r="C276" s="2" t="s">
        <x:v>428</x:v>
      </x:c>
      <x:c r="D276" s="5">
        <x:v>46579.350173611107</x:v>
      </x:c>
      <x:c r="E276" s="2" t="s">
        <x:v>10</x:v>
      </x:c>
      <x:c r="F276" s="6">
        <x:v>812.11200000000008</x:v>
      </x:c>
      <x:c r="G276" s="2" t="s">
        <x:v>40</x:v>
      </x:c>
      <x:c r="H276" s="4"/>
      <x:c r="I276" t="str">
        <x:f>IF(A276="","",A276&amp;"|"&amp;C276)</x:f>
        <x:v>EE10144|LA-01/26</x:v>
      </x:c>
      <x:c r="J276" t="str">
        <x:f>IF(A276&lt;&gt;"","SÍ","NO")</x:f>
        <x:v>SÍ</x:v>
      </x:c>
    </x:row>
    <x:row r="277" ht="43.20000076293945">
      <x:c r="A277" s="2" t="s">
        <x:v>177</x:v>
      </x:c>
      <x:c r="B277" s="12" t="s">
        <x:v>178</x:v>
      </x:c>
      <x:c r="C277" s="2" t="s">
        <x:v>429</x:v>
      </x:c>
      <x:c r="D277" s="5">
        <x:v>46582.352800925917</x:v>
      </x:c>
      <x:c r="E277" s="2" t="s">
        <x:v>10</x:v>
      </x:c>
      <x:c r="F277" s="6">
        <x:v>550.98</x:v>
      </x:c>
      <x:c r="G277" s="2" t="s">
        <x:v>40</x:v>
      </x:c>
      <x:c r="H277" s="4"/>
      <x:c r="I277" t="str">
        <x:f>IF(A277="","",A277&amp;"|"&amp;C277)</x:f>
        <x:v>EE10138|LA-02/26</x:v>
      </x:c>
      <x:c r="J277" t="str">
        <x:f>IF(A277&lt;&gt;"","SÍ","NO")</x:f>
        <x:v>SÍ</x:v>
      </x:c>
    </x:row>
    <x:row r="278" ht="43.20000076293945">
      <x:c r="A278" s="2" t="s">
        <x:v>177</x:v>
      </x:c>
      <x:c r="B278" s="12" t="s">
        <x:v>178</x:v>
      </x:c>
      <x:c r="C278" s="2" t="s">
        <x:v>455</x:v>
      </x:c>
      <x:c r="D278" s="5">
        <x:v>46582.353113425917</x:v>
      </x:c>
      <x:c r="E278" s="2" t="s">
        <x:v>10</x:v>
      </x:c>
      <x:c r="F278" s="6">
        <x:v>35.83</x:v>
      </x:c>
      <x:c r="G278" s="2" t="s">
        <x:v>40</x:v>
      </x:c>
      <x:c r="H278" s="4"/>
      <x:c r="I278" t="str">
        <x:f>IF(A278="","",A278&amp;"|"&amp;C278)</x:f>
        <x:v>EE10138|LA-02/26.</x:v>
      </x:c>
      <x:c r="J278" t="str">
        <x:f>IF(A278&lt;&gt;"","SÍ","NO")</x:f>
        <x:v>SÍ</x:v>
      </x:c>
    </x:row>
    <x:row r="279" ht="28.799999237060547">
      <x:c r="A279" s="2" t="s">
        <x:v>456</x:v>
      </x:c>
      <x:c r="B279" s="12" t="s">
        <x:v>457</x:v>
      </x:c>
      <x:c r="C279" s="2" t="s">
        <x:v>458</x:v>
      </x:c>
      <x:c r="D279" s="5">
        <x:v>46575.420312499999</x:v>
      </x:c>
      <x:c r="E279" s="2" t="s">
        <x:v>10</x:v>
      </x:c>
      <x:c r="F279" s="6">
        <x:v>27.08</x:v>
      </x:c>
      <x:c r="G279" s="2" t="s">
        <x:v>452</x:v>
      </x:c>
      <x:c r="H279" s="4"/>
      <x:c r="I279" t="str">
        <x:f>IF(A279="","",A279&amp;"|"&amp;C279)</x:f>
        <x:v>MP10015|OP-43/26.</x:v>
      </x:c>
      <x:c r="J279" t="str">
        <x:f>IF(A279&lt;&gt;"","SÍ","NO")</x:f>
        <x:v>SÍ</x:v>
      </x:c>
    </x:row>
    <x:row r="280" ht="28.799999237060547">
      <x:c r="A280" s="2" t="s">
        <x:v>459</x:v>
      </x:c>
      <x:c r="B280" s="12" t="s">
        <x:v>460</x:v>
      </x:c>
      <x:c r="C280" s="2" t="s">
        <x:v>428</x:v>
      </x:c>
      <x:c r="D280" s="5">
        <x:v>46406.441354166673</x:v>
      </x:c>
      <x:c r="E280" s="2" t="s">
        <x:v>10</x:v>
      </x:c>
      <x:c r="F280" s="6">
        <x:v>450.88900000000001</x:v>
      </x:c>
      <x:c r="G280" s="2" t="s">
        <x:v>40</x:v>
      </x:c>
      <x:c r="H280" s="4"/>
      <x:c r="I280" t="str">
        <x:f>IF(A280="","",A280&amp;"|"&amp;C280)</x:f>
        <x:v>EE10298|LA-01/26</x:v>
      </x:c>
      <x:c r="J280" t="str">
        <x:f>IF(A280&lt;&gt;"","SÍ","NO")</x:f>
        <x:v>SÍ</x:v>
      </x:c>
    </x:row>
    <x:row r="281" ht="28.799999237060547">
      <x:c r="A281" s="2" t="s">
        <x:v>360</x:v>
      </x:c>
      <x:c r="B281" s="12" t="s">
        <x:v>361</x:v>
      </x:c>
      <x:c r="C281" s="2" t="s">
        <x:v>461</x:v>
      </x:c>
      <x:c r="D281" s="5">
        <x:v>46283.727731481478</x:v>
      </x:c>
      <x:c r="E281" s="2" t="s">
        <x:v>10</x:v>
      </x:c>
      <x:c r="F281" s="6">
        <x:v>11425</x:v>
      </x:c>
      <x:c r="G281" s="2" t="s">
        <x:v>40</x:v>
      </x:c>
      <x:c r="H281" s="4"/>
      <x:c r="I281" t="str">
        <x:f>IF(A281="","",A281&amp;"|"&amp;C281)</x:f>
        <x:v>MP10002|INFORME 187/26</x:v>
      </x:c>
      <x:c r="J281" t="str">
        <x:f>IF(A281&lt;&gt;"","SÍ","NO")</x:f>
        <x:v>SÍ</x:v>
      </x:c>
    </x:row>
    <x:row r="282" ht="28.799999237060547">
      <x:c r="A282" s="2" t="s">
        <x:v>360</x:v>
      </x:c>
      <x:c r="B282" s="12" t="s">
        <x:v>361</x:v>
      </x:c>
      <x:c r="C282" s="2" t="s">
        <x:v>462</x:v>
      </x:c>
      <x:c r="D282" s="5">
        <x:v>46317.67428240741</x:v>
      </x:c>
      <x:c r="E282" s="2" t="s">
        <x:v>10</x:v>
      </x:c>
      <x:c r="F282" s="6">
        <x:v>22296</x:v>
      </x:c>
      <x:c r="G282" s="2" t="s">
        <x:v>40</x:v>
      </x:c>
      <x:c r="H282" s="4"/>
      <x:c r="I282" t="str">
        <x:f>IF(A282="","",A282&amp;"|"&amp;C282)</x:f>
        <x:v>MP10002|INFORME 177/26</x:v>
      </x:c>
      <x:c r="J282" t="str">
        <x:f>IF(A282&lt;&gt;"","SÍ","NO")</x:f>
        <x:v>SÍ</x:v>
      </x:c>
    </x:row>
    <x:row r="283" ht="28.799999237060547">
      <x:c r="A283" s="2" t="s">
        <x:v>360</x:v>
      </x:c>
      <x:c r="B283" s="12" t="s">
        <x:v>361</x:v>
      </x:c>
      <x:c r="C283" s="2" t="s">
        <x:v>463</x:v>
      </x:c>
      <x:c r="D283" s="5">
        <x:v>46283.686840277784</x:v>
      </x:c>
      <x:c r="E283" s="2" t="s">
        <x:v>10</x:v>
      </x:c>
      <x:c r="F283" s="6">
        <x:v>20856</x:v>
      </x:c>
      <x:c r="G283" s="2" t="s">
        <x:v>40</x:v>
      </x:c>
      <x:c r="H283" s="4"/>
      <x:c r="I283" t="str">
        <x:f>IF(A283="","",A283&amp;"|"&amp;C283)</x:f>
        <x:v>MP10002|INFORME 179/26</x:v>
      </x:c>
      <x:c r="J283" t="str">
        <x:f>IF(A283&lt;&gt;"","SÍ","NO")</x:f>
        <x:v>SÍ</x:v>
      </x:c>
    </x:row>
    <x:row r="284" ht="28.799999237060547">
      <x:c r="A284" s="2" t="s">
        <x:v>360</x:v>
      </x:c>
      <x:c r="B284" s="12" t="s">
        <x:v>361</x:v>
      </x:c>
      <x:c r="C284" s="2" t="s">
        <x:v>464</x:v>
      </x:c>
      <x:c r="D284" s="5">
        <x:v>46283.689143518517</x:v>
      </x:c>
      <x:c r="E284" s="2" t="s">
        <x:v>10</x:v>
      </x:c>
      <x:c r="F284" s="6">
        <x:v>23085</x:v>
      </x:c>
      <x:c r="G284" s="2" t="s">
        <x:v>40</x:v>
      </x:c>
      <x:c r="H284" s="4"/>
      <x:c r="I284" t="str">
        <x:f>IF(A284="","",A284&amp;"|"&amp;C284)</x:f>
        <x:v>MP10002|INFORME 184/26</x:v>
      </x:c>
      <x:c r="J284" t="str">
        <x:f>IF(A284&lt;&gt;"","SÍ","NO")</x:f>
        <x:v>SÍ</x:v>
      </x:c>
    </x:row>
    <x:row r="285" ht="28.799999237060547">
      <x:c r="A285" s="2" t="s">
        <x:v>360</x:v>
      </x:c>
      <x:c r="B285" s="12" t="s">
        <x:v>361</x:v>
      </x:c>
      <x:c r="C285" s="2" t="s">
        <x:v>465</x:v>
      </x:c>
      <x:c r="D285" s="5">
        <x:v>46281.691504629627</x:v>
      </x:c>
      <x:c r="E285" s="2" t="s">
        <x:v>10</x:v>
      </x:c>
      <x:c r="F285" s="6">
        <x:v>23158</x:v>
      </x:c>
      <x:c r="G285" s="2" t="s">
        <x:v>40</x:v>
      </x:c>
      <x:c r="H285" s="4"/>
      <x:c r="I285" t="str">
        <x:f>IF(A285="","",A285&amp;"|"&amp;C285)</x:f>
        <x:v>MP10002|INFORME 183/26</x:v>
      </x:c>
      <x:c r="J285" t="str">
        <x:f>IF(A285&lt;&gt;"","SÍ","NO")</x:f>
        <x:v>SÍ</x:v>
      </x:c>
    </x:row>
    <x:row r="286" ht="28.799999237060547">
      <x:c r="A286" s="2" t="s">
        <x:v>360</x:v>
      </x:c>
      <x:c r="B286" s="12" t="s">
        <x:v>361</x:v>
      </x:c>
      <x:c r="C286" s="2" t="s">
        <x:v>466</x:v>
      </x:c>
      <x:c r="D286" s="5">
        <x:v>46281.713530092587</x:v>
      </x:c>
      <x:c r="E286" s="2" t="s">
        <x:v>10</x:v>
      </x:c>
      <x:c r="F286" s="6">
        <x:v>14854</x:v>
      </x:c>
      <x:c r="G286" s="2" t="s">
        <x:v>40</x:v>
      </x:c>
      <x:c r="H286" s="4"/>
      <x:c r="I286" t="str">
        <x:f>IF(A286="","",A286&amp;"|"&amp;C286)</x:f>
        <x:v>MP10002|INFORME 185/26</x:v>
      </x:c>
      <x:c r="J286" t="str">
        <x:f>IF(A286&lt;&gt;"","SÍ","NO")</x:f>
        <x:v>SÍ</x:v>
      </x:c>
    </x:row>
    <x:row r="287" ht="43.20000076293945">
      <x:c r="A287" s="2" t="s">
        <x:v>286</x:v>
      </x:c>
      <x:c r="B287" s="12" t="s">
        <x:v>287</x:v>
      </x:c>
      <x:c r="C287" s="2" t="s">
        <x:v>298</x:v>
      </x:c>
      <x:c r="D287" s="5">
        <x:v>46581.722719907397</x:v>
      </x:c>
      <x:c r="E287" s="2" t="s">
        <x:v>10</x:v>
      </x:c>
      <x:c r="F287" s="6">
        <x:v>100</x:v>
      </x:c>
      <x:c r="G287" s="2" t="s">
        <x:v>11</x:v>
      </x:c>
      <x:c r="H287" s="4"/>
      <x:c r="I287" t="str">
        <x:f>IF(A287="","",A287&amp;"|"&amp;C287)</x:f>
        <x:v>EE10249|INFORME 05/26</x:v>
      </x:c>
      <x:c r="J287" t="str">
        <x:f>IF(A287&lt;&gt;"","SÍ","NO")</x:f>
        <x:v>SÍ</x:v>
      </x:c>
    </x:row>
    <x:row r="288" ht="43.20000076293945">
      <x:c r="A288" s="2" t="s">
        <x:v>289</x:v>
      </x:c>
      <x:c r="B288" s="12" t="s">
        <x:v>290</x:v>
      </x:c>
      <x:c r="C288" s="2" t="s">
        <x:v>298</x:v>
      </x:c>
      <x:c r="D288" s="5">
        <x:v>46483.723761574067</x:v>
      </x:c>
      <x:c r="E288" s="2" t="s">
        <x:v>10</x:v>
      </x:c>
      <x:c r="F288" s="6">
        <x:v>100</x:v>
      </x:c>
      <x:c r="G288" s="2" t="s">
        <x:v>11</x:v>
      </x:c>
      <x:c r="H288" s="4"/>
      <x:c r="I288" t="str">
        <x:f>IF(A288="","",A288&amp;"|"&amp;C288)</x:f>
        <x:v>EE10250|INFORME 05/26</x:v>
      </x:c>
      <x:c r="J288" t="str">
        <x:f>IF(A288&lt;&gt;"","SÍ","NO")</x:f>
        <x:v>SÍ</x:v>
      </x:c>
    </x:row>
    <x:row r="289">
      <x:c r="A289" s="2" t="s">
        <x:v>467</x:v>
      </x:c>
      <x:c r="B289" s="12" t="s">
        <x:v>468</x:v>
      </x:c>
      <x:c r="C289" s="2" t="s">
        <x:v>469</x:v>
      </x:c>
      <x:c r="D289" s="5">
        <x:v>46588.3434837963</x:v>
      </x:c>
      <x:c r="E289" s="2" t="s">
        <x:v>10</x:v>
      </x:c>
      <x:c r="F289" s="6">
        <x:v>5567.7053000000014</x:v>
      </x:c>
      <x:c r="G289" s="2" t="s">
        <x:v>11</x:v>
      </x:c>
      <x:c r="H289" s="4"/>
      <x:c r="I289" t="str">
        <x:f>IF(A289="","",A289&amp;"|"&amp;C289)</x:f>
        <x:v>EE10083|BP-01/26</x:v>
      </x:c>
      <x:c r="J289" t="str">
        <x:f>IF(A289&lt;&gt;"","SÍ","NO")</x:f>
        <x:v>SÍ</x:v>
      </x:c>
    </x:row>
    <x:row r="290" ht="28.799999237060547">
      <x:c r="A290" s="2" t="s">
        <x:v>470</x:v>
      </x:c>
      <x:c r="B290" s="12" t="s">
        <x:v>471</x:v>
      </x:c>
      <x:c r="C290" s="2" t="s">
        <x:v>472</x:v>
      </x:c>
      <x:c r="D290" s="5">
        <x:v>46582.3593287037</x:v>
      </x:c>
      <x:c r="E290" s="2" t="s">
        <x:v>10</x:v>
      </x:c>
      <x:c r="F290" s="6">
        <x:v>3135</x:v>
      </x:c>
      <x:c r="G290" s="2" t="s">
        <x:v>11</x:v>
      </x:c>
      <x:c r="H290" s="4"/>
      <x:c r="I290" t="str">
        <x:f>IF(A290="","",A290&amp;"|"&amp;C290)</x:f>
        <x:v>EE10001|CT-16/26</x:v>
      </x:c>
      <x:c r="J290" t="str">
        <x:f>IF(A290&lt;&gt;"","SÍ","NO")</x:f>
        <x:v>SÍ</x:v>
      </x:c>
    </x:row>
    <x:row r="291" ht="28.799999237060547">
      <x:c r="A291" s="2" t="s">
        <x:v>470</x:v>
      </x:c>
      <x:c r="B291" s="12" t="s">
        <x:v>471</x:v>
      </x:c>
      <x:c r="C291" s="2" t="s">
        <x:v>473</x:v>
      </x:c>
      <x:c r="D291" s="5">
        <x:v>46582.3596412037</x:v>
      </x:c>
      <x:c r="E291" s="2" t="s">
        <x:v>10</x:v>
      </x:c>
      <x:c r="F291" s="6">
        <x:v>111</x:v>
      </x:c>
      <x:c r="G291" s="2" t="s">
        <x:v>11</x:v>
      </x:c>
      <x:c r="H291" s="4"/>
      <x:c r="I291" t="str">
        <x:f>IF(A291="","",A291&amp;"|"&amp;C291)</x:f>
        <x:v>EE10001|CT-16/26-</x:v>
      </x:c>
      <x:c r="J291" t="str">
        <x:f>IF(A291&lt;&gt;"","SÍ","NO")</x:f>
        <x:v>SÍ</x:v>
      </x:c>
    </x:row>
    <x:row r="292" ht="43.20000076293945">
      <x:c r="A292" s="2" t="s">
        <x:v>474</x:v>
      </x:c>
      <x:c r="B292" s="12" t="s">
        <x:v>475</x:v>
      </x:c>
      <x:c r="C292" s="2" t="s">
        <x:v>476</x:v>
      </x:c>
      <x:c r="D292" s="5">
        <x:v>46410.554988425924</x:v>
      </x:c>
      <x:c r="E292" s="2" t="s">
        <x:v>10</x:v>
      </x:c>
      <x:c r="F292" s="6">
        <x:v>459.68</x:v>
      </x:c>
      <x:c r="G292" s="2" t="s">
        <x:v>40</x:v>
      </x:c>
      <x:c r="H292" s="4"/>
      <x:c r="I292" t="str">
        <x:f>IF(A292="","",A292&amp;"|"&amp;C292)</x:f>
        <x:v>EE10312|LA-10/26</x:v>
      </x:c>
      <x:c r="J292" t="str">
        <x:f>IF(A292&lt;&gt;"","SÍ","NO")</x:f>
        <x:v>SÍ</x:v>
      </x:c>
    </x:row>
    <x:row r="293" ht="28.799999237060547">
      <x:c r="A293" s="2" t="s">
        <x:v>477</x:v>
      </x:c>
      <x:c r="B293" s="12" t="s">
        <x:v>478</x:v>
      </x:c>
      <x:c r="C293" s="2" t="s">
        <x:v>479</x:v>
      </x:c>
      <x:c r="D293" s="5">
        <x:v>46591.679120370369</x:v>
      </x:c>
      <x:c r="E293" s="2" t="s">
        <x:v>10</x:v>
      </x:c>
      <x:c r="F293" s="6">
        <x:v>240</x:v>
      </x:c>
      <x:c r="G293" s="2" t="s">
        <x:v>11</x:v>
      </x:c>
      <x:c r="H293" s="4"/>
      <x:c r="I293" t="str">
        <x:f>IF(A293="","",A293&amp;"|"&amp;C293)</x:f>
        <x:v>EE10009|CR-17/26</x:v>
      </x:c>
      <x:c r="J293" t="str">
        <x:f>IF(A293&lt;&gt;"","SÍ","NO")</x:f>
        <x:v>SÍ</x:v>
      </x:c>
    </x:row>
    <x:row r="294" ht="28.799999237060547">
      <x:c r="A294" s="2" t="s">
        <x:v>360</x:v>
      </x:c>
      <x:c r="B294" s="12" t="s">
        <x:v>361</x:v>
      </x:c>
      <x:c r="C294" s="2" t="s">
        <x:v>480</x:v>
      </x:c>
      <x:c r="D294" s="5">
        <x:v>46318.706956018519</x:v>
      </x:c>
      <x:c r="E294" s="2" t="s">
        <x:v>10</x:v>
      </x:c>
      <x:c r="F294" s="6">
        <x:v>2590.6</x:v>
      </x:c>
      <x:c r="G294" s="2" t="s">
        <x:v>40</x:v>
      </x:c>
      <x:c r="H294" s="4"/>
      <x:c r="I294" t="str">
        <x:f>IF(A294="","",A294&amp;"|"&amp;C294)</x:f>
        <x:v>MP10002|INFORME 188/26</x:v>
      </x:c>
      <x:c r="J294" t="str">
        <x:f>IF(A294&lt;&gt;"","SÍ","NO")</x:f>
        <x:v>SÍ</x:v>
      </x:c>
    </x:row>
    <x:row r="295" ht="28.799999237060547">
      <x:c r="A295" s="2" t="s">
        <x:v>360</x:v>
      </x:c>
      <x:c r="B295" s="12" t="s">
        <x:v>361</x:v>
      </x:c>
      <x:c r="C295" s="2" t="s">
        <x:v>481</x:v>
      </x:c>
      <x:c r="D295" s="5">
        <x:v>46290.732789351852</x:v>
      </x:c>
      <x:c r="E295" s="2" t="s">
        <x:v>10</x:v>
      </x:c>
      <x:c r="F295" s="6">
        <x:v>14049</x:v>
      </x:c>
      <x:c r="G295" s="2" t="s">
        <x:v>40</x:v>
      </x:c>
      <x:c r="H295" s="4"/>
      <x:c r="I295" t="str">
        <x:f>IF(A295="","",A295&amp;"|"&amp;C295)</x:f>
        <x:v>MP10002|INFORME 189/26</x:v>
      </x:c>
      <x:c r="J295" t="str">
        <x:f>IF(A295&lt;&gt;"","SÍ","NO")</x:f>
        <x:v>SÍ</x:v>
      </x:c>
    </x:row>
    <x:row r="296" ht="28.799999237060547">
      <x:c r="A296" s="2" t="s">
        <x:v>482</x:v>
      </x:c>
      <x:c r="B296" s="12" t="s">
        <x:v>483</x:v>
      </x:c>
      <x:c r="C296" s="2" t="s">
        <x:v>484</x:v>
      </x:c>
      <x:c r="D296" s="5">
        <x:v>46562.789571759262</x:v>
      </x:c>
      <x:c r="E296" s="2" t="s">
        <x:v>10</x:v>
      </x:c>
      <x:c r="F296" s="6">
        <x:v>300</x:v>
      </x:c>
      <x:c r="G296" s="2" t="s">
        <x:v>11</x:v>
      </x:c>
      <x:c r="H296" s="4"/>
      <x:c r="I296" t="str">
        <x:f>IF(A296="","",A296&amp;"|"&amp;C296)</x:f>
        <x:v>EE10305|informe 01/26</x:v>
      </x:c>
      <x:c r="J296" t="str">
        <x:f>IF(A296&lt;&gt;"","SÍ","NO")</x:f>
        <x:v>SÍ</x:v>
      </x:c>
    </x:row>
    <x:row r="297" ht="28.799999237060547">
      <x:c r="A297" s="2" t="s">
        <x:v>485</x:v>
      </x:c>
      <x:c r="B297" s="12" t="s">
        <x:v>486</x:v>
      </x:c>
      <x:c r="C297" s="2" t="s">
        <x:v>484</x:v>
      </x:c>
      <x:c r="D297" s="5">
        <x:v>46565.789351851847</x:v>
      </x:c>
      <x:c r="E297" s="2" t="s">
        <x:v>10</x:v>
      </x:c>
      <x:c r="F297" s="6">
        <x:v>300</x:v>
      </x:c>
      <x:c r="G297" s="2" t="s">
        <x:v>11</x:v>
      </x:c>
      <x:c r="H297" s="4"/>
      <x:c r="I297" t="str">
        <x:f>IF(A297="","",A297&amp;"|"&amp;C297)</x:f>
        <x:v>EE10360|informe 01/26</x:v>
      </x:c>
      <x:c r="J297" t="str">
        <x:f>IF(A297&lt;&gt;"","SÍ","NO")</x:f>
        <x:v>SÍ</x:v>
      </x:c>
    </x:row>
    <x:row r="298" ht="43.20000076293945">
      <x:c r="A298" s="2" t="s">
        <x:v>487</x:v>
      </x:c>
      <x:c r="B298" s="12" t="s">
        <x:v>488</x:v>
      </x:c>
      <x:c r="C298" s="2" t="s">
        <x:v>489</x:v>
      </x:c>
      <x:c r="D298" s="5">
        <x:v>46630.591493055559</x:v>
      </x:c>
      <x:c r="E298" s="2" t="s">
        <x:v>10</x:v>
      </x:c>
      <x:c r="F298" s="6">
        <x:v>300</x:v>
      </x:c>
      <x:c r="G298" s="2" t="s">
        <x:v>11</x:v>
      </x:c>
      <x:c r="H298" s="4"/>
      <x:c r="I298" t="str">
        <x:f>IF(A298="","",A298&amp;"|"&amp;C298)</x:f>
        <x:v>EE10310|ET-01/26</x:v>
      </x:c>
      <x:c r="J298" t="str">
        <x:f>IF(A298&lt;&gt;"","SÍ","NO")</x:f>
        <x:v>SÍ</x:v>
      </x:c>
    </x:row>
    <x:row r="299" ht="43.20000076293945">
      <x:c r="A299" s="2" t="s">
        <x:v>490</x:v>
      </x:c>
      <x:c r="B299" s="12" t="s">
        <x:v>491</x:v>
      </x:c>
      <x:c r="C299" s="2" t="s">
        <x:v>489</x:v>
      </x:c>
      <x:c r="D299" s="5">
        <x:v>46576.453657407408</x:v>
      </x:c>
      <x:c r="E299" s="2" t="s">
        <x:v>10</x:v>
      </x:c>
      <x:c r="F299" s="6">
        <x:v>2640</x:v>
      </x:c>
      <x:c r="G299" s="2" t="s">
        <x:v>11</x:v>
      </x:c>
      <x:c r="H299" s="4"/>
      <x:c r="I299" t="str">
        <x:f>IF(A299="","",A299&amp;"|"&amp;C299)</x:f>
        <x:v>EE10309|ET-01/26</x:v>
      </x:c>
      <x:c r="J299" t="str">
        <x:f>IF(A299&lt;&gt;"","SÍ","NO")</x:f>
        <x:v>SÍ</x:v>
      </x:c>
    </x:row>
    <x:row r="300" ht="43.20000076293945">
      <x:c r="A300" s="2" t="s">
        <x:v>490</x:v>
      </x:c>
      <x:c r="B300" s="12" t="s">
        <x:v>491</x:v>
      </x:c>
      <x:c r="C300" s="2" t="s">
        <x:v>492</x:v>
      </x:c>
      <x:c r="D300" s="5">
        <x:v>46583.416412037041</x:v>
      </x:c>
      <x:c r="E300" s="2" t="s">
        <x:v>10</x:v>
      </x:c>
      <x:c r="F300" s="6">
        <x:v>1500</x:v>
      </x:c>
      <x:c r="G300" s="2" t="s">
        <x:v>11</x:v>
      </x:c>
      <x:c r="H300" s="4"/>
      <x:c r="I300" t="str">
        <x:f>IF(A300="","",A300&amp;"|"&amp;C300)</x:f>
        <x:v>EE10309|ET-02/26</x:v>
      </x:c>
      <x:c r="J300" t="str">
        <x:f>IF(A300&lt;&gt;"","SÍ","NO")</x:f>
        <x:v>SÍ</x:v>
      </x:c>
    </x:row>
    <x:row r="301" ht="57.599998474121094">
      <x:c r="A301" s="2" t="s">
        <x:v>493</x:v>
      </x:c>
      <x:c r="B301" s="12" t="s">
        <x:v>494</x:v>
      </x:c>
      <x:c r="C301" s="2" t="s">
        <x:v>489</x:v>
      </x:c>
      <x:c r="D301" s="5">
        <x:v>46576.453321759262</x:v>
      </x:c>
      <x:c r="E301" s="2" t="s">
        <x:v>10</x:v>
      </x:c>
      <x:c r="F301" s="6">
        <x:v>300</x:v>
      </x:c>
      <x:c r="G301" s="2" t="s">
        <x:v>11</x:v>
      </x:c>
      <x:c r="H301" s="4"/>
      <x:c r="I301" t="str">
        <x:f>IF(A301="","",A301&amp;"|"&amp;C301)</x:f>
        <x:v>EE10311|ET-01/26</x:v>
      </x:c>
      <x:c r="J301" t="str">
        <x:f>IF(A301&lt;&gt;"","SÍ","NO")</x:f>
        <x:v>SÍ</x:v>
      </x:c>
    </x:row>
    <x:row r="302" ht="43.20000076293945">
      <x:c r="A302" s="2" t="s">
        <x:v>495</x:v>
      </x:c>
      <x:c r="B302" s="12" t="s">
        <x:v>496</x:v>
      </x:c>
      <x:c r="C302" s="2" t="s">
        <x:v>489</x:v>
      </x:c>
      <x:c r="D302" s="5">
        <x:v>46576.453900462962</x:v>
      </x:c>
      <x:c r="E302" s="2" t="s">
        <x:v>10</x:v>
      </x:c>
      <x:c r="F302" s="6">
        <x:v>300</x:v>
      </x:c>
      <x:c r="G302" s="2" t="s">
        <x:v>11</x:v>
      </x:c>
      <x:c r="H302" s="4"/>
      <x:c r="I302" t="str">
        <x:f>IF(A302="","",A302&amp;"|"&amp;C302)</x:f>
        <x:v>EE10308|ET-01/26</x:v>
      </x:c>
      <x:c r="J302" t="str">
        <x:f>IF(A302&lt;&gt;"","SÍ","NO")</x:f>
        <x:v>SÍ</x:v>
      </x:c>
    </x:row>
    <x:row r="303" ht="28.799999237060547">
      <x:c r="A303" s="2" t="s">
        <x:v>497</x:v>
      </x:c>
      <x:c r="B303" s="12" t="s">
        <x:v>498</x:v>
      </x:c>
      <x:c r="C303" s="2" t="s">
        <x:v>489</x:v>
      </x:c>
      <x:c r="D303" s="5">
        <x:v>46598.630046296297</x:v>
      </x:c>
      <x:c r="E303" s="2" t="s">
        <x:v>10</x:v>
      </x:c>
      <x:c r="F303" s="6">
        <x:v>300</x:v>
      </x:c>
      <x:c r="G303" s="2" t="s">
        <x:v>11</x:v>
      </x:c>
      <x:c r="H303" s="4"/>
      <x:c r="I303" t="str">
        <x:f>IF(A303="","",A303&amp;"|"&amp;C303)</x:f>
        <x:v>EE10315|ET-01/26</x:v>
      </x:c>
      <x:c r="J303" t="str">
        <x:f>IF(A303&lt;&gt;"","SÍ","NO")</x:f>
        <x:v>SÍ</x:v>
      </x:c>
    </x:row>
    <x:row r="304" ht="28.799999237060547">
      <x:c r="A304" s="2" t="s">
        <x:v>499</x:v>
      </x:c>
      <x:c r="B304" s="12" t="s">
        <x:v>500</x:v>
      </x:c>
      <x:c r="C304" s="2" t="s">
        <x:v>489</x:v>
      </x:c>
      <x:c r="D304" s="5">
        <x:v>46591.629525462973</x:v>
      </x:c>
      <x:c r="E304" s="2" t="s">
        <x:v>10</x:v>
      </x:c>
      <x:c r="F304" s="6">
        <x:v>300</x:v>
      </x:c>
      <x:c r="G304" s="2" t="s">
        <x:v>11</x:v>
      </x:c>
      <x:c r="H304" s="4"/>
      <x:c r="I304" t="str">
        <x:f>IF(A304="","",A304&amp;"|"&amp;C304)</x:f>
        <x:v>EE10316|ET-01/26</x:v>
      </x:c>
      <x:c r="J304" t="str">
        <x:f>IF(A304&lt;&gt;"","SÍ","NO")</x:f>
        <x:v>SÍ</x:v>
      </x:c>
    </x:row>
    <x:row r="305" ht="28.799999237060547">
      <x:c r="A305" s="2" t="s">
        <x:v>501</x:v>
      </x:c>
      <x:c r="B305" s="12" t="s">
        <x:v>502</x:v>
      </x:c>
      <x:c r="C305" s="2" t="s">
        <x:v>489</x:v>
      </x:c>
      <x:c r="D305" s="5">
        <x:v>46596.634409722217</x:v>
      </x:c>
      <x:c r="E305" s="2" t="s">
        <x:v>10</x:v>
      </x:c>
      <x:c r="F305" s="6">
        <x:v>300</x:v>
      </x:c>
      <x:c r="G305" s="2" t="s">
        <x:v>11</x:v>
      </x:c>
      <x:c r="H305" s="4"/>
      <x:c r="I305" t="str">
        <x:f>IF(A305="","",A305&amp;"|"&amp;C305)</x:f>
        <x:v>EE10317|ET-01/26</x:v>
      </x:c>
      <x:c r="J305" t="str">
        <x:f>IF(A305&lt;&gt;"","SÍ","NO")</x:f>
        <x:v>SÍ</x:v>
      </x:c>
    </x:row>
    <x:row r="306" ht="28.799999237060547">
      <x:c r="A306" s="2" t="s">
        <x:v>503</x:v>
      </x:c>
      <x:c r="B306" s="12" t="s">
        <x:v>504</x:v>
      </x:c>
      <x:c r="C306" s="2" t="s">
        <x:v>489</x:v>
      </x:c>
      <x:c r="D306" s="5">
        <x:v>46599.634675925918</x:v>
      </x:c>
      <x:c r="E306" s="2" t="s">
        <x:v>10</x:v>
      </x:c>
      <x:c r="F306" s="6">
        <x:v>300</x:v>
      </x:c>
      <x:c r="G306" s="2" t="s">
        <x:v>11</x:v>
      </x:c>
      <x:c r="H306" s="4"/>
      <x:c r="I306" t="str">
        <x:f>IF(A306="","",A306&amp;"|"&amp;C306)</x:f>
        <x:v>EE10318|ET-01/26</x:v>
      </x:c>
      <x:c r="J306" t="str">
        <x:f>IF(A306&lt;&gt;"","SÍ","NO")</x:f>
        <x:v>SÍ</x:v>
      </x:c>
    </x:row>
    <x:row r="307" ht="28.799999237060547">
      <x:c r="A307" s="2" t="s">
        <x:v>505</x:v>
      </x:c>
      <x:c r="B307" s="12" t="s">
        <x:v>506</x:v>
      </x:c>
      <x:c r="C307" s="2" t="s">
        <x:v>258</x:v>
      </x:c>
      <x:c r="D307" s="5">
        <x:v>46539.553680555553</x:v>
      </x:c>
      <x:c r="E307" s="2" t="s">
        <x:v>10</x:v>
      </x:c>
      <x:c r="F307" s="6">
        <x:v>564</x:v>
      </x:c>
      <x:c r="G307" s="2" t="s">
        <x:v>11</x:v>
      </x:c>
      <x:c r="H307" s="4"/>
      <x:c r="I307" t="str">
        <x:f>IF(A307="","",A307&amp;"|"&amp;C307)</x:f>
        <x:v>EE10291|INFORME 01/26</x:v>
      </x:c>
      <x:c r="J307" t="str">
        <x:f>IF(A307&lt;&gt;"","SÍ","NO")</x:f>
        <x:v>SÍ</x:v>
      </x:c>
    </x:row>
    <x:row r="308" ht="28.799999237060547">
      <x:c r="A308" s="2" t="s">
        <x:v>507</x:v>
      </x:c>
      <x:c r="B308" s="12" t="s">
        <x:v>508</x:v>
      </x:c>
      <x:c r="C308" s="2"/>
      <x:c r="D308" s="5"/>
      <x:c r="E308" s="2" t="s">
        <x:v>10</x:v>
      </x:c>
      <x:c r="F308" s="6">
        <x:v>300</x:v>
      </x:c>
      <x:c r="G308" s="2" t="s">
        <x:v>11</x:v>
      </x:c>
      <x:c r="H308" s="4"/>
      <x:c r="I308" t="str">
        <x:f>IF(A308="","",A308&amp;"|"&amp;C308)</x:f>
        <x:v>EE10189|</x:v>
      </x:c>
      <x:c r="J308" t="str">
        <x:f>IF(A308&lt;&gt;"","SÍ","NO")</x:f>
        <x:v>SÍ</x:v>
      </x:c>
    </x:row>
    <x:row r="309" ht="28.799999237060547">
      <x:c r="A309" s="2" t="s">
        <x:v>509</x:v>
      </x:c>
      <x:c r="B309" s="12" t="s">
        <x:v>510</x:v>
      </x:c>
      <x:c r="C309" s="2" t="s">
        <x:v>511</x:v>
      </x:c>
      <x:c r="D309" s="5">
        <x:v>46604.349641203713</x:v>
      </x:c>
      <x:c r="E309" s="2" t="s">
        <x:v>10</x:v>
      </x:c>
      <x:c r="F309" s="6">
        <x:v>710.61</x:v>
      </x:c>
      <x:c r="G309" s="2" t="s">
        <x:v>40</x:v>
      </x:c>
      <x:c r="H309" s="4"/>
      <x:c r="I309" t="str">
        <x:f>IF(A309="","",A309&amp;"|"&amp;C309)</x:f>
        <x:v>EE10182|LA-11/26</x:v>
      </x:c>
      <x:c r="J309" t="str">
        <x:f>IF(A309&lt;&gt;"","SÍ","NO")</x:f>
        <x:v>SÍ</x:v>
      </x:c>
    </x:row>
    <x:row r="310" ht="28.799999237060547">
      <x:c r="A310" s="2" t="s">
        <x:v>477</x:v>
      </x:c>
      <x:c r="B310" s="12" t="s">
        <x:v>478</x:v>
      </x:c>
      <x:c r="C310" s="2" t="s">
        <x:v>512</x:v>
      </x:c>
      <x:c r="D310" s="5">
        <x:v>46603.352210648147</x:v>
      </x:c>
      <x:c r="E310" s="2" t="s">
        <x:v>10</x:v>
      </x:c>
      <x:c r="F310" s="6">
        <x:v>5150</x:v>
      </x:c>
      <x:c r="G310" s="2" t="s">
        <x:v>11</x:v>
      </x:c>
      <x:c r="H310" s="4"/>
      <x:c r="I310" t="str">
        <x:f>IF(A310="","",A310&amp;"|"&amp;C310)</x:f>
        <x:v>EE10009|CR-18/26</x:v>
      </x:c>
      <x:c r="J310" t="str">
        <x:f>IF(A310&lt;&gt;"","SÍ","NO")</x:f>
        <x:v>SÍ</x:v>
      </x:c>
    </x:row>
    <x:row r="311" ht="28.799999237060547">
      <x:c r="A311" s="2" t="s">
        <x:v>408</x:v>
      </x:c>
      <x:c r="B311" s="12" t="s">
        <x:v>409</x:v>
      </x:c>
      <x:c r="C311" s="2" t="s">
        <x:v>513</x:v>
      </x:c>
      <x:c r="D311" s="5">
        <x:v>46966.396874999999</x:v>
      </x:c>
      <x:c r="E311" s="2" t="s">
        <x:v>10</x:v>
      </x:c>
      <x:c r="F311" s="6">
        <x:v>1000</x:v>
      </x:c>
      <x:c r="G311" s="2" t="s">
        <x:v>40</x:v>
      </x:c>
      <x:c r="H311" s="4"/>
      <x:c r="I311" t="str">
        <x:f>IF(A311="","",A311&amp;"|"&amp;C311)</x:f>
        <x:v>MP10027|HA-02/26</x:v>
      </x:c>
      <x:c r="J311" t="str">
        <x:f>IF(A311&lt;&gt;"","SÍ","NO")</x:f>
        <x:v>SÍ</x:v>
      </x:c>
    </x:row>
    <x:row r="312" ht="43.20000076293945">
      <x:c r="A312" s="2" t="s">
        <x:v>354</x:v>
      </x:c>
      <x:c r="B312" s="12" t="s">
        <x:v>355</x:v>
      </x:c>
      <x:c r="C312" s="2" t="s">
        <x:v>514</x:v>
      </x:c>
      <x:c r="D312" s="5">
        <x:v>46603.399293981478</x:v>
      </x:c>
      <x:c r="E312" s="2" t="s">
        <x:v>10</x:v>
      </x:c>
      <x:c r="F312" s="6">
        <x:v>8640</x:v>
      </x:c>
      <x:c r="G312" s="2" t="s">
        <x:v>11</x:v>
      </x:c>
      <x:c r="H312" s="4"/>
      <x:c r="I312" t="str">
        <x:f>IF(A312="","",A312&amp;"|"&amp;C312)</x:f>
        <x:v>EE10058-1|TB-08/26</x:v>
      </x:c>
      <x:c r="J312" t="str">
        <x:f>IF(A312&lt;&gt;"","SÍ","NO")</x:f>
        <x:v>SÍ</x:v>
      </x:c>
    </x:row>
    <x:row r="313" ht="43.20000076293945">
      <x:c r="A313" s="2" t="s">
        <x:v>374</x:v>
      </x:c>
      <x:c r="B313" s="12" t="s">
        <x:v>375</x:v>
      </x:c>
      <x:c r="C313" s="2" t="s">
        <x:v>288</x:v>
      </x:c>
      <x:c r="D313" s="5">
        <x:v>47024.688067129631</x:v>
      </x:c>
      <x:c r="E313" s="2" t="s">
        <x:v>10</x:v>
      </x:c>
      <x:c r="F313" s="6">
        <x:v>24</x:v>
      </x:c>
      <x:c r="G313" s="2" t="s">
        <x:v>11</x:v>
      </x:c>
      <x:c r="H313" s="4"/>
      <x:c r="I313" t="str">
        <x:f>IF(A313="","",A313&amp;"|"&amp;C313)</x:f>
        <x:v>EE10200|INFORME 03/26</x:v>
      </x:c>
      <x:c r="J313" t="str">
        <x:f>IF(A313&lt;&gt;"","SÍ","NO")</x:f>
        <x:v>SÍ</x:v>
      </x:c>
    </x:row>
    <x:row r="314">
      <x:c r="A314" s="2" t="s">
        <x:v>515</x:v>
      </x:c>
      <x:c r="B314" s="12" t="s">
        <x:v>516</x:v>
      </x:c>
      <x:c r="C314" s="2" t="s">
        <x:v>517</x:v>
      </x:c>
      <x:c r="D314" s="5">
        <x:v>46256.679768518523</x:v>
      </x:c>
      <x:c r="E314" s="2" t="s">
        <x:v>10</x:v>
      </x:c>
      <x:c r="F314" s="6">
        <x:v>936</x:v>
      </x:c>
      <x:c r="G314" s="2" t="s">
        <x:v>40</x:v>
      </x:c>
      <x:c r="H314" s="4"/>
      <x:c r="I314" t="str">
        <x:f>IF(A314="","",A314&amp;"|"&amp;C314)</x:f>
        <x:v>MP10010|INFORME 205/26</x:v>
      </x:c>
      <x:c r="J314" t="str">
        <x:f>IF(A314&lt;&gt;"","SÍ","NO")</x:f>
        <x:v>SÍ</x:v>
      </x:c>
    </x:row>
    <x:row r="315" ht="28.799999237060547">
      <x:c r="A315" s="2" t="s">
        <x:v>518</x:v>
      </x:c>
      <x:c r="B315" s="12" t="s">
        <x:v>519</x:v>
      </x:c>
      <x:c r="C315" s="2" t="s">
        <x:v>520</x:v>
      </x:c>
      <x:c r="D315" s="5">
        <x:v>46358.452465277784</x:v>
      </x:c>
      <x:c r="E315" s="2" t="s">
        <x:v>10</x:v>
      </x:c>
      <x:c r="F315" s="6">
        <x:v>0.88</x:v>
      </x:c>
      <x:c r="G315" s="2" t="s">
        <x:v>40</x:v>
      </x:c>
      <x:c r="H315" s="4"/>
      <x:c r="I315" t="str">
        <x:f>IF(A315="","",A315&amp;"|"&amp;C315)</x:f>
        <x:v>MP10054|INFORME 06/26</x:v>
      </x:c>
      <x:c r="J315" t="str">
        <x:f>IF(A315&lt;&gt;"","SÍ","NO")</x:f>
        <x:v>SÍ</x:v>
      </x:c>
    </x:row>
    <x:row r="316">
      <x:c r="A316" s="2" t="s">
        <x:v>515</x:v>
      </x:c>
      <x:c r="B316" s="12" t="s">
        <x:v>516</x:v>
      </x:c>
      <x:c r="C316" s="2" t="s">
        <x:v>521</x:v>
      </x:c>
      <x:c r="D316" s="5">
        <x:v>46259.726469907408</x:v>
      </x:c>
      <x:c r="E316" s="2" t="s">
        <x:v>10</x:v>
      </x:c>
      <x:c r="F316" s="6">
        <x:v>1519.6</x:v>
      </x:c>
      <x:c r="G316" s="2" t="s">
        <x:v>40</x:v>
      </x:c>
      <x:c r="H316" s="4"/>
      <x:c r="I316" t="str">
        <x:f>IF(A316="","",A316&amp;"|"&amp;C316)</x:f>
        <x:v>MP10010|INFORME 206/26</x:v>
      </x:c>
      <x:c r="J316" t="str">
        <x:f>IF(A316&lt;&gt;"","SÍ","NO")</x:f>
        <x:v>SÍ</x:v>
      </x:c>
    </x:row>
    <x:row r="317" ht="28.799999237060547">
      <x:c r="A317" s="2" t="s">
        <x:v>522</x:v>
      </x:c>
      <x:c r="B317" s="12" t="s">
        <x:v>523</x:v>
      </x:c>
      <x:c r="C317" s="2" t="s">
        <x:v>88</x:v>
      </x:c>
      <x:c r="D317" s="5">
        <x:v>46283.493622685193</x:v>
      </x:c>
      <x:c r="E317" s="2" t="s">
        <x:v>10</x:v>
      </x:c>
      <x:c r="F317" s="6">
        <x:v>168.14</x:v>
      </x:c>
      <x:c r="G317" s="2" t="s">
        <x:v>40</x:v>
      </x:c>
      <x:c r="H317" s="4"/>
      <x:c r="I317" t="str">
        <x:f>IF(A317="","",A317&amp;"|"&amp;C317)</x:f>
        <x:v>EE10046|INFORME 07/25</x:v>
      </x:c>
      <x:c r="J317" t="str">
        <x:f>IF(A317&lt;&gt;"","SÍ","NO")</x:f>
        <x:v>SÍ</x:v>
      </x:c>
    </x:row>
    <x:row r="318">
      <x:c r="A318" s="2" t="s">
        <x:v>515</x:v>
      </x:c>
      <x:c r="B318" s="12" t="s">
        <x:v>516</x:v>
      </x:c>
      <x:c r="C318" s="2" t="s">
        <x:v>524</x:v>
      </x:c>
      <x:c r="D318" s="5">
        <x:v>46261.39576388889</x:v>
      </x:c>
      <x:c r="E318" s="2" t="s">
        <x:v>10</x:v>
      </x:c>
      <x:c r="F318" s="6">
        <x:v>1794</x:v>
      </x:c>
      <x:c r="G318" s="2" t="s">
        <x:v>40</x:v>
      </x:c>
      <x:c r="H318" s="4"/>
      <x:c r="I318" t="str">
        <x:f>IF(A318="","",A318&amp;"|"&amp;C318)</x:f>
        <x:v>MP10010|INFORME 209/26</x:v>
      </x:c>
      <x:c r="J318" t="str">
        <x:f>IF(A318&lt;&gt;"","SÍ","NO")</x:f>
        <x:v>SÍ</x:v>
      </x:c>
    </x:row>
    <x:row r="319" ht="28.799999237060547">
      <x:c r="A319" s="2" t="s">
        <x:v>449</x:v>
      </x:c>
      <x:c r="B319" s="12" t="s">
        <x:v>450</x:v>
      </x:c>
      <x:c r="C319" s="2" t="s">
        <x:v>525</x:v>
      </x:c>
      <x:c r="D319" s="5">
        <x:v>46494.409525462957</x:v>
      </x:c>
      <x:c r="E319" s="2" t="s">
        <x:v>10</x:v>
      </x:c>
      <x:c r="F319" s="6">
        <x:v>20180</x:v>
      </x:c>
      <x:c r="G319" s="2" t="s">
        <x:v>452</x:v>
      </x:c>
      <x:c r="H319" s="4"/>
      <x:c r="I319" t="str">
        <x:f>IF(A319="","",A319&amp;"|"&amp;C319)</x:f>
        <x:v>MP10013|AO-14/26</x:v>
      </x:c>
      <x:c r="J319" t="str">
        <x:f>IF(A319&lt;&gt;"","SÍ","NO")</x:f>
        <x:v>SÍ</x:v>
      </x:c>
    </x:row>
    <x:row r="320" ht="43.20000076293945">
      <x:c r="A320" s="2" t="s">
        <x:v>286</x:v>
      </x:c>
      <x:c r="B320" s="12" t="s">
        <x:v>287</x:v>
      </x:c>
      <x:c r="C320" s="2" t="s">
        <x:v>520</x:v>
      </x:c>
      <x:c r="D320" s="5">
        <x:v>46619.589618055557</x:v>
      </x:c>
      <x:c r="E320" s="2" t="s">
        <x:v>10</x:v>
      </x:c>
      <x:c r="F320" s="6">
        <x:v>100</x:v>
      </x:c>
      <x:c r="G320" s="2" t="s">
        <x:v>11</x:v>
      </x:c>
      <x:c r="H320" s="4"/>
      <x:c r="I320" t="str">
        <x:f>IF(A320="","",A320&amp;"|"&amp;C320)</x:f>
        <x:v>EE10249|INFORME 06/26</x:v>
      </x:c>
      <x:c r="J320" t="str">
        <x:f>IF(A320&lt;&gt;"","SÍ","NO")</x:f>
        <x:v>SÍ</x:v>
      </x:c>
    </x:row>
    <x:row r="321" ht="43.20000076293945">
      <x:c r="A321" s="2" t="s">
        <x:v>289</x:v>
      </x:c>
      <x:c r="B321" s="12" t="s">
        <x:v>290</x:v>
      </x:c>
      <x:c r="C321" s="2" t="s">
        <x:v>520</x:v>
      </x:c>
      <x:c r="D321" s="5">
        <x:v>46619.589861111112</x:v>
      </x:c>
      <x:c r="E321" s="2" t="s">
        <x:v>10</x:v>
      </x:c>
      <x:c r="F321" s="6">
        <x:v>100</x:v>
      </x:c>
      <x:c r="G321" s="2" t="s">
        <x:v>11</x:v>
      </x:c>
      <x:c r="H321" s="4"/>
      <x:c r="I321" t="str">
        <x:f>IF(A321="","",A321&amp;"|"&amp;C321)</x:f>
        <x:v>EE10250|INFORME 06/26</x:v>
      </x:c>
      <x:c r="J321" t="str">
        <x:f>IF(A321&lt;&gt;"","SÍ","NO")</x:f>
        <x:v>SÍ</x:v>
      </x:c>
    </x:row>
    <x:row r="322">
      <x:c r="A322" s="2" t="s">
        <x:v>515</x:v>
      </x:c>
      <x:c r="B322" s="12" t="s">
        <x:v>516</x:v>
      </x:c>
      <x:c r="C322" s="2" t="s">
        <x:v>526</x:v>
      </x:c>
      <x:c r="D322" s="5">
        <x:v>46262.555879629632</x:v>
      </x:c>
      <x:c r="E322" s="2" t="s">
        <x:v>10</x:v>
      </x:c>
      <x:c r="F322" s="6">
        <x:v>1866</x:v>
      </x:c>
      <x:c r="G322" s="2" t="s">
        <x:v>40</x:v>
      </x:c>
      <x:c r="H322" s="4"/>
      <x:c r="I322" t="str">
        <x:f>IF(A322="","",A322&amp;"|"&amp;C322)</x:f>
        <x:v>MP10010|INFORME 210/26</x:v>
      </x:c>
      <x:c r="J322" t="str">
        <x:f>IF(A322&lt;&gt;"","SÍ","NO")</x:f>
        <x:v>SÍ</x:v>
      </x:c>
    </x:row>
    <x:row r="323">
      <x:c r="A323" s="2" t="s">
        <x:v>515</x:v>
      </x:c>
      <x:c r="B323" s="12" t="s">
        <x:v>516</x:v>
      </x:c>
      <x:c r="C323" s="2" t="s">
        <x:v>527</x:v>
      </x:c>
      <x:c r="D323" s="5">
        <x:v>46263.709085648137</x:v>
      </x:c>
      <x:c r="E323" s="2" t="s">
        <x:v>10</x:v>
      </x:c>
      <x:c r="F323" s="6">
        <x:v>1413</x:v>
      </x:c>
      <x:c r="G323" s="2" t="s">
        <x:v>40</x:v>
      </x:c>
      <x:c r="H323" s="4"/>
      <x:c r="I323" t="str">
        <x:f>IF(A323="","",A323&amp;"|"&amp;C323)</x:f>
        <x:v>MP10010|INFORME 212/26</x:v>
      </x:c>
      <x:c r="J323" t="str">
        <x:f>IF(A323&lt;&gt;"","SÍ","NO")</x:f>
        <x:v>SÍ</x:v>
      </x:c>
    </x:row>
    <x:row r="324">
      <x:c r="A324" s="2" t="s">
        <x:v>528</x:v>
      </x:c>
      <x:c r="B324" s="12" t="s">
        <x:v>529</x:v>
      </x:c>
      <x:c r="C324" s="2" t="s">
        <x:v>530</x:v>
      </x:c>
      <x:c r="D324" s="5">
        <x:v>46263.711574074077</x:v>
      </x:c>
      <x:c r="E324" s="2" t="s">
        <x:v>10</x:v>
      </x:c>
      <x:c r="F324" s="6">
        <x:v>1508</x:v>
      </x:c>
      <x:c r="G324" s="2" t="s">
        <x:v>40</x:v>
      </x:c>
      <x:c r="H324" s="4"/>
      <x:c r="I324" t="str">
        <x:f>IF(A324="","",A324&amp;"|"&amp;C324)</x:f>
        <x:v>MP10009|INFORME 213/26</x:v>
      </x:c>
      <x:c r="J324" t="str">
        <x:f>IF(A324&lt;&gt;"","SÍ","NO")</x:f>
        <x:v>SÍ</x:v>
      </x:c>
    </x:row>
    <x:row r="325">
      <x:c r="A325" s="2" t="s">
        <x:v>436</x:v>
      </x:c>
      <x:c r="B325" s="12" t="s">
        <x:v>437</x:v>
      </x:c>
      <x:c r="C325" s="2" t="s">
        <x:v>298</x:v>
      </x:c>
      <x:c r="D325" s="5">
        <x:v>46844.700740740736</x:v>
      </x:c>
      <x:c r="E325" s="2" t="s">
        <x:v>10</x:v>
      </x:c>
      <x:c r="F325" s="6">
        <x:v>22.488299999999999</x:v>
      </x:c>
      <x:c r="G325" s="2" t="s">
        <x:v>40</x:v>
      </x:c>
      <x:c r="H325" s="4"/>
      <x:c r="I325" t="str">
        <x:f>IF(A325="","",A325&amp;"|"&amp;C325)</x:f>
        <x:v>MP10017|INFORME 05/26</x:v>
      </x:c>
      <x:c r="J325" t="str">
        <x:f>IF(A325&lt;&gt;"","SÍ","NO")</x:f>
        <x:v>SÍ</x:v>
      </x:c>
    </x:row>
    <x:row r="326" ht="28.799999237060547">
      <x:c r="A326" s="2" t="s">
        <x:v>470</x:v>
      </x:c>
      <x:c r="B326" s="12" t="s">
        <x:v>471</x:v>
      </x:c>
      <x:c r="C326" s="2" t="s">
        <x:v>531</x:v>
      </x:c>
      <x:c r="D326" s="5">
        <x:v>46581.971828703703</x:v>
      </x:c>
      <x:c r="E326" s="2" t="s">
        <x:v>10</x:v>
      </x:c>
      <x:c r="F326" s="6">
        <x:v>380</x:v>
      </x:c>
      <x:c r="G326" s="2" t="s">
        <x:v>11</x:v>
      </x:c>
      <x:c r="H326" s="4"/>
      <x:c r="I326" t="str">
        <x:f>IF(A326="","",A326&amp;"|"&amp;C326)</x:f>
        <x:v>EE10001|CT-13/26</x:v>
      </x:c>
      <x:c r="J326" t="str">
        <x:f>IF(A326&lt;&gt;"","SÍ","NO")</x:f>
        <x:v>SÍ</x:v>
      </x:c>
    </x:row>
    <x:row r="327" ht="28.799999237060547">
      <x:c r="A327" s="2" t="s">
        <x:v>470</x:v>
      </x:c>
      <x:c r="B327" s="12" t="s">
        <x:v>471</x:v>
      </x:c>
      <x:c r="C327" s="2" t="s">
        <x:v>532</x:v>
      </x:c>
      <x:c r="D327" s="5">
        <x:v>46584.645150462973</x:v>
      </x:c>
      <x:c r="E327" s="2" t="s">
        <x:v>10</x:v>
      </x:c>
      <x:c r="F327" s="6">
        <x:v>549</x:v>
      </x:c>
      <x:c r="G327" s="2" t="s">
        <x:v>11</x:v>
      </x:c>
      <x:c r="H327" s="4"/>
      <x:c r="I327" t="str">
        <x:f>IF(A327="","",A327&amp;"|"&amp;C327)</x:f>
        <x:v>EE10001|CT-14/26</x:v>
      </x:c>
      <x:c r="J327" t="str">
        <x:f>IF(A327&lt;&gt;"","SÍ","NO")</x:f>
        <x:v>SÍ</x:v>
      </x:c>
    </x:row>
    <x:row r="328">
      <x:c r="A328" s="2" t="s">
        <x:v>515</x:v>
      </x:c>
      <x:c r="B328" s="12" t="s">
        <x:v>516</x:v>
      </x:c>
      <x:c r="C328" s="2" t="s">
        <x:v>533</x:v>
      </x:c>
      <x:c r="D328" s="5">
        <x:v>46265.495509259257</x:v>
      </x:c>
      <x:c r="E328" s="2" t="s">
        <x:v>10</x:v>
      </x:c>
      <x:c r="F328" s="6">
        <x:v>3133</x:v>
      </x:c>
      <x:c r="G328" s="2" t="s">
        <x:v>40</x:v>
      </x:c>
      <x:c r="H328" s="4"/>
      <x:c r="I328" t="str">
        <x:f>IF(A328="","",A328&amp;"|"&amp;C328)</x:f>
        <x:v>MP10010|INFORME 214/26</x:v>
      </x:c>
      <x:c r="J328" t="str">
        <x:f>IF(A328&lt;&gt;"","SÍ","NO")</x:f>
        <x:v>SÍ</x:v>
      </x:c>
    </x:row>
    <x:row r="329" ht="28.799999237060547">
      <x:c r="A329" s="2" t="s">
        <x:v>534</x:v>
      </x:c>
      <x:c r="B329" s="12" t="s">
        <x:v>535</x:v>
      </x:c>
      <x:c r="C329" s="2" t="s">
        <x:v>428</x:v>
      </x:c>
      <x:c r="D329" s="5">
        <x:v>46619.613310185188</x:v>
      </x:c>
      <x:c r="E329" s="2" t="s">
        <x:v>10</x:v>
      </x:c>
      <x:c r="F329" s="6">
        <x:v>369.51499999999999</x:v>
      </x:c>
      <x:c r="G329" s="2" t="s">
        <x:v>40</x:v>
      </x:c>
      <x:c r="H329" s="4"/>
      <x:c r="I329" t="str">
        <x:f>IF(A329="","",A329&amp;"|"&amp;C329)</x:f>
        <x:v>EE10293|LA-01/26</x:v>
      </x:c>
      <x:c r="J329" t="str">
        <x:f>IF(A329&lt;&gt;"","SÍ","NO")</x:f>
        <x:v>SÍ</x:v>
      </x:c>
    </x:row>
    <x:row r="330" ht="28.799999237060547">
      <x:c r="A330" s="2" t="s">
        <x:v>456</x:v>
      </x:c>
      <x:c r="B330" s="12" t="s">
        <x:v>457</x:v>
      </x:c>
      <x:c r="C330" s="2" t="s">
        <x:v>536</x:v>
      </x:c>
      <x:c r="D330" s="5">
        <x:v>46600.500891203701</x:v>
      </x:c>
      <x:c r="E330" s="2" t="s">
        <x:v>10</x:v>
      </x:c>
      <x:c r="F330" s="6">
        <x:v>10000</x:v>
      </x:c>
      <x:c r="G330" s="2" t="s">
        <x:v>452</x:v>
      </x:c>
      <x:c r="H330" s="4"/>
      <x:c r="I330" t="str">
        <x:f>IF(A330="","",A330&amp;"|"&amp;C330)</x:f>
        <x:v>MP10015|INFORME 46/26</x:v>
      </x:c>
      <x:c r="J330" t="str">
        <x:f>IF(A330&lt;&gt;"","SÍ","NO")</x:f>
        <x:v>SÍ</x:v>
      </x:c>
    </x:row>
    <x:row r="331" ht="28.799999237060547">
      <x:c r="A331" s="2" t="s">
        <x:v>518</x:v>
      </x:c>
      <x:c r="B331" s="12" t="s">
        <x:v>519</x:v>
      </x:c>
      <x:c r="C331" s="2" t="s">
        <x:v>537</x:v>
      </x:c>
      <x:c r="D331" s="5">
        <x:v>46557.574803240743</x:v>
      </x:c>
      <x:c r="E331" s="2" t="s">
        <x:v>10</x:v>
      </x:c>
      <x:c r="F331" s="6">
        <x:v>200</x:v>
      </x:c>
      <x:c r="G331" s="2" t="s">
        <x:v>40</x:v>
      </x:c>
      <x:c r="H331" s="4"/>
      <x:c r="I331" t="str">
        <x:f>IF(A331="","",A331&amp;"|"&amp;C331)</x:f>
        <x:v>MP10054|SA-07/26</x:v>
      </x:c>
      <x:c r="J331" t="str">
        <x:f>IF(A331&lt;&gt;"","SÍ","NO")</x:f>
        <x:v>SÍ</x:v>
      </x:c>
    </x:row>
    <x:row r="332">
      <x:c r="A332" s="2" t="s">
        <x:v>515</x:v>
      </x:c>
      <x:c r="B332" s="12" t="s">
        <x:v>516</x:v>
      </x:c>
      <x:c r="C332" s="2" t="s">
        <x:v>538</x:v>
      </x:c>
      <x:c r="D332" s="5">
        <x:v>46267.449884259258</x:v>
      </x:c>
      <x:c r="E332" s="2" t="s">
        <x:v>10</x:v>
      </x:c>
      <x:c r="F332" s="6">
        <x:v>3308</x:v>
      </x:c>
      <x:c r="G332" s="2" t="s">
        <x:v>40</x:v>
      </x:c>
      <x:c r="H332" s="4"/>
      <x:c r="I332" t="str">
        <x:f>IF(A332="","",A332&amp;"|"&amp;C332)</x:f>
        <x:v>MP10010|INFORME 216/26</x:v>
      </x:c>
      <x:c r="J332" t="str">
        <x:f>IF(A332&lt;&gt;"","SÍ","NO")</x:f>
        <x:v>SÍ</x:v>
      </x:c>
    </x:row>
    <x:row r="333">
      <x:c r="A333" s="2" t="s">
        <x:v>515</x:v>
      </x:c>
      <x:c r="B333" s="12" t="s">
        <x:v>516</x:v>
      </x:c>
      <x:c r="C333" s="2" t="s">
        <x:v>539</x:v>
      </x:c>
      <x:c r="D333" s="5">
        <x:v>46265.563402777778</x:v>
      </x:c>
      <x:c r="E333" s="2" t="s">
        <x:v>10</x:v>
      </x:c>
      <x:c r="F333" s="6">
        <x:v>602</x:v>
      </x:c>
      <x:c r="G333" s="2" t="s">
        <x:v>40</x:v>
      </x:c>
      <x:c r="H333" s="4"/>
      <x:c r="I333" t="str">
        <x:f>IF(A333="","",A333&amp;"|"&amp;C333)</x:f>
        <x:v>MP10010|INFORME 218/26</x:v>
      </x:c>
      <x:c r="J333" t="str">
        <x:f>IF(A333&lt;&gt;"","SÍ","NO")</x:f>
        <x:v>SÍ</x:v>
      </x:c>
    </x:row>
    <x:row r="334">
      <x:c r="A334" s="2" t="s">
        <x:v>528</x:v>
      </x:c>
      <x:c r="B334" s="12" t="s">
        <x:v>529</x:v>
      </x:c>
      <x:c r="C334" s="2" t="s">
        <x:v>540</x:v>
      </x:c>
      <x:c r="D334" s="5">
        <x:v>46265.568460648137</x:v>
      </x:c>
      <x:c r="E334" s="2" t="s">
        <x:v>10</x:v>
      </x:c>
      <x:c r="F334" s="6">
        <x:v>2227</x:v>
      </x:c>
      <x:c r="G334" s="2" t="s">
        <x:v>40</x:v>
      </x:c>
      <x:c r="H334" s="4"/>
      <x:c r="I334" t="str">
        <x:f>IF(A334="","",A334&amp;"|"&amp;C334)</x:f>
        <x:v>MP10009|INFORME 221/26</x:v>
      </x:c>
      <x:c r="J334" t="str">
        <x:f>IF(A334&lt;&gt;"","SÍ","NO")</x:f>
        <x:v>SÍ</x:v>
      </x:c>
    </x:row>
    <x:row r="335">
      <x:c r="A335" s="2" t="s">
        <x:v>541</x:v>
      </x:c>
      <x:c r="B335" s="12" t="s">
        <x:v>542</x:v>
      </x:c>
      <x:c r="C335" s="2" t="s">
        <x:v>543</x:v>
      </x:c>
      <x:c r="D335" s="5">
        <x:v>46270.195879629631</x:v>
      </x:c>
      <x:c r="E335" s="2" t="s">
        <x:v>10</x:v>
      </x:c>
      <x:c r="F335" s="6">
        <x:v>1362.4960000000001</x:v>
      </x:c>
      <x:c r="G335" s="2" t="s">
        <x:v>40</x:v>
      </x:c>
      <x:c r="H335" s="4"/>
      <x:c r="I335" t="str">
        <x:f>IF(A335="","",A335&amp;"|"&amp;C335)</x:f>
        <x:v>MP10005|INFORME 222/26</x:v>
      </x:c>
      <x:c r="J335" t="str">
        <x:f>IF(A335&lt;&gt;"","SÍ","NO")</x:f>
        <x:v>SÍ</x:v>
      </x:c>
    </x:row>
    <x:row r="336">
      <x:c r="A336" s="2" t="s">
        <x:v>528</x:v>
      </x:c>
      <x:c r="B336" s="12" t="s">
        <x:v>529</x:v>
      </x:c>
      <x:c r="C336" s="2" t="s">
        <x:v>544</x:v>
      </x:c>
      <x:c r="D336" s="5">
        <x:v>46265.768333333333</x:v>
      </x:c>
      <x:c r="E336" s="2" t="s">
        <x:v>10</x:v>
      </x:c>
      <x:c r="F336" s="6">
        <x:v>6412</x:v>
      </x:c>
      <x:c r="G336" s="2" t="s">
        <x:v>40</x:v>
      </x:c>
      <x:c r="H336" s="4"/>
      <x:c r="I336" t="str">
        <x:f>IF(A336="","",A336&amp;"|"&amp;C336)</x:f>
        <x:v>MP10009|INFORME 226/26</x:v>
      </x:c>
      <x:c r="J336" t="str">
        <x:f>IF(A336&lt;&gt;"","SÍ","NO")</x:f>
        <x:v>SÍ</x:v>
      </x:c>
    </x:row>
    <x:row r="337" ht="28.799999237060547">
      <x:c r="A337" s="2" t="s">
        <x:v>456</x:v>
      </x:c>
      <x:c r="B337" s="12" t="s">
        <x:v>457</x:v>
      </x:c>
      <x:c r="C337" s="2" t="s">
        <x:v>545</x:v>
      </x:c>
      <x:c r="D337" s="5">
        <x:v>46627.783518518518</x:v>
      </x:c>
      <x:c r="E337" s="2" t="s">
        <x:v>10</x:v>
      </x:c>
      <x:c r="F337" s="6">
        <x:v>5000</x:v>
      </x:c>
      <x:c r="G337" s="2" t="s">
        <x:v>452</x:v>
      </x:c>
      <x:c r="H337" s="4"/>
      <x:c r="I337" t="str">
        <x:f>IF(A337="","",A337&amp;"|"&amp;C337)</x:f>
        <x:v>MP10015|OP-47/26</x:v>
      </x:c>
      <x:c r="J337" t="str">
        <x:f>IF(A337&lt;&gt;"","SÍ","NO")</x:f>
        <x:v>SÍ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33.33000183105469" hidden="0" customWidth="1"/>
    <x:col min="3" max="3" width="18.889999389648438" hidden="0" customWidth="1"/>
    <x:col min="4" max="4" width="8.890000343322754" hidden="0" customWidth="1"/>
    <x:col min="5" max="5" width="36.66999816894531" hidden="0" customWidth="1"/>
  </x:cols>
  <x:sheetData>
    <x:row r="1">
      <x:c r="A1" s="16" t="str">
        <x:v>Código ubicación</x:v>
      </x:c>
      <x:c r="B1" s="17" t="str">
        <x:v>Nombre ubicación</x:v>
      </x:c>
      <x:c r="C1" s="17" t="str">
        <x:v>Código de barras</x:v>
      </x:c>
      <x:c r="D1" s="17" t="str">
        <x:v>Activa</x:v>
      </x:c>
      <x:c r="E1" s="18" t="str">
        <x:v>Observaciones</x:v>
      </x:c>
    </x:row>
    <x:row r="2">
      <x:c r="A2" s="19" t="str">
        <x:v>MAT-001</x:v>
      </x:c>
      <x:c r="B2" s="4" t="str">
        <x:v>SF-03/Materiales</x:v>
      </x:c>
      <x:c r="C2" s="4" t="str">
        <x:v>MAT-001</x:v>
      </x:c>
      <x:c r="D2" s="20" t="str">
        <x:v>SÍ</x:v>
      </x:c>
      <x:c r="E2" s="21" t="str">
        <x:v>Ubicación inicial tomada del archivo original</x:v>
      </x:c>
    </x:row>
    <x:row r="3">
      <x:c r="A3" s="22" t="str"/>
      <x:c r="B3" s="23" t="str"/>
      <x:c r="C3" s="23" t="str"/>
      <x:c r="D3" s="24" t="str">
        <x:v>SÍ</x:v>
      </x:c>
      <x:c r="E3" s="25" t="str">
        <x:v>Agregue aquí las demás ubicaciones antes del conteo</x:v>
      </x:c>
    </x:row>
    <x:row r="4">
      <x:c r="A4" s="4"/>
      <x:c r="B4" s="4"/>
      <x:c r="C4" s="4"/>
    </x:row>
    <x:row r="5">
      <x:c r="A5" s="4"/>
      <x:c r="B5" s="4"/>
      <x:c r="C5" s="4"/>
    </x:row>
    <x:row r="6">
      <x:c r="A6" s="4"/>
      <x:c r="B6" s="4"/>
      <x:c r="C6" s="4"/>
    </x:row>
    <x:row r="7">
      <x:c r="A7" s="4"/>
      <x:c r="B7" s="4"/>
      <x:c r="C7" s="4"/>
    </x:row>
    <x:row r="8">
      <x:c r="A8" s="4"/>
      <x:c r="B8" s="4"/>
      <x:c r="C8" s="4"/>
    </x:row>
    <x:row r="9">
      <x:c r="A9" s="4"/>
      <x:c r="B9" s="4"/>
      <x:c r="C9" s="4"/>
    </x:row>
    <x:row r="10">
      <x:c r="A10" s="4"/>
      <x:c r="B10" s="4"/>
      <x:c r="C10" s="4"/>
    </x:row>
    <x:row r="11">
      <x:c r="A11" s="4"/>
      <x:c r="B11" s="4"/>
      <x:c r="C11" s="4"/>
    </x:row>
    <x:row r="12">
      <x:c r="A12" s="4"/>
      <x:c r="B12" s="4"/>
      <x:c r="C12" s="4"/>
    </x:row>
    <x:row r="13">
      <x:c r="A13" s="4"/>
      <x:c r="B13" s="4"/>
      <x:c r="C13" s="4"/>
    </x:row>
    <x:row r="14">
      <x:c r="A14" s="4"/>
      <x:c r="B14" s="4"/>
      <x:c r="C14" s="4"/>
    </x:row>
    <x:row r="15">
      <x:c r="A15" s="4"/>
      <x:c r="B15" s="4"/>
      <x:c r="C15" s="4"/>
    </x:row>
    <x:row r="16">
      <x:c r="A16" s="4"/>
      <x:c r="B16" s="4"/>
      <x:c r="C16" s="4"/>
    </x:row>
    <x:row r="17">
      <x:c r="A17" s="4"/>
      <x:c r="B17" s="4"/>
      <x:c r="C17" s="4"/>
    </x:row>
    <x:row r="18">
      <x:c r="A18" s="4"/>
      <x:c r="B18" s="4"/>
      <x:c r="C18" s="4"/>
    </x:row>
    <x:row r="19">
      <x:c r="A19" s="4"/>
      <x:c r="B19" s="4"/>
      <x:c r="C19" s="4"/>
    </x:row>
    <x:row r="20">
      <x:c r="A20" s="4"/>
      <x:c r="B20" s="4"/>
      <x:c r="C20" s="4"/>
    </x:row>
    <x:row r="21">
      <x:c r="A21" s="4"/>
      <x:c r="B21" s="4"/>
      <x:c r="C21" s="4"/>
    </x:row>
    <x:row r="22">
      <x:c r="A22" s="4"/>
      <x:c r="B22" s="4"/>
      <x:c r="C22" s="4"/>
    </x:row>
    <x:row r="23">
      <x:c r="A23" s="4"/>
      <x:c r="B23" s="4"/>
      <x:c r="C23" s="4"/>
    </x:row>
    <x:row r="24">
      <x:c r="A24" s="4"/>
      <x:c r="B24" s="4"/>
      <x:c r="C24" s="4"/>
    </x:row>
    <x:row r="25">
      <x:c r="A25" s="4"/>
      <x:c r="B25" s="4"/>
      <x:c r="C25" s="4"/>
    </x:row>
    <x:row r="26">
      <x:c r="A26" s="4"/>
      <x:c r="B26" s="4"/>
      <x:c r="C26" s="4"/>
    </x:row>
    <x:row r="27">
      <x:c r="A27" s="4"/>
      <x:c r="B27" s="4"/>
      <x:c r="C27" s="4"/>
    </x:row>
    <x:row r="28">
      <x:c r="A28" s="4"/>
      <x:c r="B28" s="4"/>
      <x:c r="C28" s="4"/>
    </x:row>
    <x:row r="29">
      <x:c r="A29" s="4"/>
      <x:c r="B29" s="4"/>
      <x:c r="C29" s="4"/>
    </x:row>
    <x:row r="30">
      <x:c r="A30" s="4"/>
      <x:c r="B30" s="4"/>
      <x:c r="C30" s="4"/>
    </x:row>
    <x:row r="31">
      <x:c r="A31" s="4"/>
      <x:c r="B31" s="4"/>
      <x:c r="C31" s="4"/>
    </x:row>
    <x:row r="32">
      <x:c r="A32" s="4"/>
      <x:c r="B32" s="4"/>
      <x:c r="C32" s="4"/>
    </x:row>
    <x:row r="33">
      <x:c r="A33" s="4"/>
      <x:c r="B33" s="4"/>
      <x:c r="C33" s="4"/>
    </x:row>
    <x:row r="34">
      <x:c r="A34" s="4"/>
      <x:c r="B34" s="4"/>
      <x:c r="C34" s="4"/>
    </x:row>
    <x:row r="35">
      <x:c r="A35" s="4"/>
      <x:c r="B35" s="4"/>
      <x:c r="C35" s="4"/>
    </x:row>
    <x:row r="36">
      <x:c r="A36" s="4"/>
      <x:c r="B36" s="4"/>
      <x:c r="C36" s="4"/>
    </x:row>
    <x:row r="37">
      <x:c r="A37" s="4"/>
      <x:c r="B37" s="4"/>
      <x:c r="C37" s="4"/>
    </x:row>
    <x:row r="38">
      <x:c r="A38" s="4"/>
      <x:c r="B38" s="4"/>
      <x:c r="C38" s="4"/>
    </x:row>
    <x:row r="39">
      <x:c r="A39" s="4"/>
      <x:c r="B39" s="4"/>
      <x:c r="C39" s="4"/>
    </x:row>
    <x:row r="40">
      <x:c r="A40" s="4"/>
      <x:c r="B40" s="4"/>
      <x:c r="C40" s="4"/>
    </x:row>
    <x:row r="41">
      <x:c r="A41" s="4"/>
      <x:c r="B41" s="4"/>
      <x:c r="C41" s="4"/>
    </x:row>
    <x:row r="42">
      <x:c r="A42" s="4"/>
      <x:c r="B42" s="4"/>
      <x:c r="C42" s="4"/>
    </x:row>
    <x:row r="43">
      <x:c r="A43" s="4"/>
      <x:c r="B43" s="4"/>
      <x:c r="C43" s="4"/>
    </x:row>
    <x:row r="44">
      <x:c r="A44" s="4"/>
      <x:c r="B44" s="4"/>
      <x:c r="C44" s="4"/>
    </x:row>
    <x:row r="45">
      <x:c r="A45" s="4"/>
      <x:c r="B45" s="4"/>
      <x:c r="C45" s="4"/>
    </x:row>
    <x:row r="46">
      <x:c r="A46" s="4"/>
      <x:c r="B46" s="4"/>
      <x:c r="C46" s="4"/>
    </x:row>
    <x:row r="47">
      <x:c r="A47" s="4"/>
      <x:c r="B47" s="4"/>
      <x:c r="C47" s="4"/>
    </x:row>
    <x:row r="48">
      <x:c r="A48" s="4"/>
      <x:c r="B48" s="4"/>
      <x:c r="C48" s="4"/>
    </x:row>
    <x:row r="49">
      <x:c r="A49" s="4"/>
      <x:c r="B49" s="4"/>
      <x:c r="C49" s="4"/>
    </x:row>
    <x:row r="50">
      <x:c r="A50" s="4"/>
      <x:c r="B50" s="4"/>
      <x:c r="C50" s="4"/>
    </x:row>
    <x:row r="51">
      <x:c r="A51" s="4"/>
      <x:c r="B51" s="4"/>
      <x:c r="C51" s="4"/>
    </x:row>
    <x:row r="52">
      <x:c r="A52" s="4"/>
      <x:c r="B52" s="4"/>
      <x:c r="C52" s="4"/>
    </x:row>
    <x:row r="53">
      <x:c r="A53" s="4"/>
      <x:c r="B53" s="4"/>
      <x:c r="C53" s="4"/>
    </x:row>
    <x:row r="54">
      <x:c r="A54" s="4"/>
      <x:c r="B54" s="4"/>
      <x:c r="C54" s="4"/>
    </x:row>
    <x:row r="55">
      <x:c r="A55" s="4"/>
      <x:c r="B55" s="4"/>
      <x:c r="C55" s="4"/>
    </x:row>
    <x:row r="56">
      <x:c r="A56" s="4"/>
      <x:c r="B56" s="4"/>
      <x:c r="C56" s="4"/>
    </x:row>
    <x:row r="57">
      <x:c r="A57" s="4"/>
      <x:c r="B57" s="4"/>
      <x:c r="C57" s="4"/>
    </x:row>
    <x:row r="58">
      <x:c r="A58" s="4"/>
      <x:c r="B58" s="4"/>
      <x:c r="C58" s="4"/>
    </x:row>
    <x:row r="59">
      <x:c r="A59" s="4"/>
      <x:c r="B59" s="4"/>
      <x:c r="C59" s="4"/>
    </x:row>
    <x:row r="60">
      <x:c r="A60" s="4"/>
      <x:c r="B60" s="4"/>
      <x:c r="C60" s="4"/>
    </x:row>
    <x:row r="61">
      <x:c r="A61" s="4"/>
      <x:c r="B61" s="4"/>
      <x:c r="C61" s="4"/>
    </x:row>
    <x:row r="62">
      <x:c r="A62" s="4"/>
      <x:c r="B62" s="4"/>
      <x:c r="C62" s="4"/>
    </x:row>
    <x:row r="63">
      <x:c r="A63" s="4"/>
      <x:c r="B63" s="4"/>
      <x:c r="C63" s="4"/>
    </x:row>
    <x:row r="64">
      <x:c r="A64" s="4"/>
      <x:c r="B64" s="4"/>
      <x:c r="C64" s="4"/>
    </x:row>
    <x:row r="65">
      <x:c r="A65" s="4"/>
      <x:c r="B65" s="4"/>
      <x:c r="C65" s="4"/>
    </x:row>
    <x:row r="66">
      <x:c r="A66" s="4"/>
      <x:c r="B66" s="4"/>
      <x:c r="C66" s="4"/>
    </x:row>
    <x:row r="67">
      <x:c r="A67" s="4"/>
      <x:c r="B67" s="4"/>
      <x:c r="C67" s="4"/>
    </x:row>
    <x:row r="68">
      <x:c r="A68" s="4"/>
      <x:c r="B68" s="4"/>
      <x:c r="C68" s="4"/>
    </x:row>
    <x:row r="69">
      <x:c r="A69" s="4"/>
      <x:c r="B69" s="4"/>
      <x:c r="C69" s="4"/>
    </x:row>
    <x:row r="70">
      <x:c r="A70" s="4"/>
      <x:c r="B70" s="4"/>
      <x:c r="C70" s="4"/>
    </x:row>
    <x:row r="71">
      <x:c r="A71" s="4"/>
      <x:c r="B71" s="4"/>
      <x:c r="C71" s="4"/>
    </x:row>
    <x:row r="72">
      <x:c r="A72" s="4"/>
      <x:c r="B72" s="4"/>
      <x:c r="C72" s="4"/>
    </x:row>
    <x:row r="73">
      <x:c r="A73" s="4"/>
      <x:c r="B73" s="4"/>
      <x:c r="C73" s="4"/>
    </x:row>
    <x:row r="74">
      <x:c r="A74" s="4"/>
      <x:c r="B74" s="4"/>
      <x:c r="C74" s="4"/>
    </x:row>
    <x:row r="75">
      <x:c r="A75" s="4"/>
      <x:c r="B75" s="4"/>
      <x:c r="C75" s="4"/>
    </x:row>
    <x:row r="76">
      <x:c r="A76" s="4"/>
      <x:c r="B76" s="4"/>
      <x:c r="C76" s="4"/>
    </x:row>
    <x:row r="77">
      <x:c r="A77" s="4"/>
      <x:c r="B77" s="4"/>
      <x:c r="C77" s="4"/>
    </x:row>
    <x:row r="78">
      <x:c r="A78" s="4"/>
      <x:c r="B78" s="4"/>
      <x:c r="C78" s="4"/>
    </x:row>
    <x:row r="79">
      <x:c r="A79" s="4"/>
      <x:c r="B79" s="4"/>
      <x:c r="C79" s="4"/>
    </x:row>
    <x:row r="80">
      <x:c r="A80" s="4"/>
      <x:c r="B80" s="4"/>
      <x:c r="C80" s="4"/>
    </x:row>
    <x:row r="81">
      <x:c r="A81" s="4"/>
      <x:c r="B81" s="4"/>
      <x:c r="C81" s="4"/>
    </x:row>
    <x:row r="82">
      <x:c r="A82" s="4"/>
      <x:c r="B82" s="4"/>
      <x:c r="C82" s="4"/>
    </x:row>
    <x:row r="83">
      <x:c r="A83" s="4"/>
      <x:c r="B83" s="4"/>
      <x:c r="C83" s="4"/>
    </x:row>
    <x:row r="84">
      <x:c r="A84" s="4"/>
      <x:c r="B84" s="4"/>
      <x:c r="C84" s="4"/>
    </x:row>
    <x:row r="85">
      <x:c r="A85" s="4"/>
      <x:c r="B85" s="4"/>
      <x:c r="C85" s="4"/>
    </x:row>
    <x:row r="86">
      <x:c r="A86" s="4"/>
      <x:c r="B86" s="4"/>
      <x:c r="C86" s="4"/>
    </x:row>
    <x:row r="87">
      <x:c r="A87" s="4"/>
      <x:c r="B87" s="4"/>
      <x:c r="C87" s="4"/>
    </x:row>
    <x:row r="88">
      <x:c r="A88" s="4"/>
      <x:c r="B88" s="4"/>
      <x:c r="C88" s="4"/>
    </x:row>
    <x:row r="89">
      <x:c r="A89" s="4"/>
      <x:c r="B89" s="4"/>
      <x:c r="C89" s="4"/>
    </x:row>
    <x:row r="90">
      <x:c r="A90" s="4"/>
      <x:c r="B90" s="4"/>
      <x:c r="C90" s="4"/>
    </x:row>
    <x:row r="91">
      <x:c r="A91" s="4"/>
      <x:c r="B91" s="4"/>
      <x:c r="C91" s="4"/>
    </x:row>
    <x:row r="92">
      <x:c r="A92" s="4"/>
      <x:c r="B92" s="4"/>
      <x:c r="C92" s="4"/>
    </x:row>
    <x:row r="93">
      <x:c r="A93" s="4"/>
      <x:c r="B93" s="4"/>
      <x:c r="C93" s="4"/>
    </x:row>
    <x:row r="94">
      <x:c r="A94" s="4"/>
      <x:c r="B94" s="4"/>
      <x:c r="C94" s="4"/>
    </x:row>
    <x:row r="95">
      <x:c r="A95" s="4"/>
      <x:c r="B95" s="4"/>
      <x:c r="C95" s="4"/>
    </x:row>
    <x:row r="96">
      <x:c r="A96" s="4"/>
      <x:c r="B96" s="4"/>
      <x:c r="C96" s="4"/>
    </x:row>
    <x:row r="97">
      <x:c r="A97" s="4"/>
      <x:c r="B97" s="4"/>
      <x:c r="C97" s="4"/>
    </x:row>
    <x:row r="98">
      <x:c r="A98" s="4"/>
      <x:c r="B98" s="4"/>
      <x:c r="C98" s="4"/>
    </x:row>
    <x:row r="99">
      <x:c r="A99" s="4"/>
      <x:c r="B99" s="4"/>
      <x:c r="C99" s="4"/>
    </x:row>
    <x:row r="100">
      <x:c r="A100" s="4"/>
      <x:c r="B100" s="4"/>
      <x:c r="C100" s="4"/>
    </x:row>
    <x:row r="101">
      <x:c r="A101" s="4"/>
      <x:c r="B101" s="4"/>
      <x:c r="C101" s="4"/>
    </x:row>
    <x:row r="102">
      <x:c r="A102" s="4"/>
      <x:c r="B102" s="4"/>
      <x:c r="C102" s="4"/>
    </x:row>
    <x:row r="103">
      <x:c r="A103" s="4"/>
      <x:c r="B103" s="4"/>
      <x:c r="C103" s="4"/>
    </x:row>
    <x:row r="104">
      <x:c r="A104" s="4"/>
      <x:c r="B104" s="4"/>
      <x:c r="C104" s="4"/>
    </x:row>
    <x:row r="105">
      <x:c r="A105" s="4"/>
      <x:c r="B105" s="4"/>
      <x:c r="C105" s="4"/>
    </x:row>
    <x:row r="106">
      <x:c r="A106" s="4"/>
      <x:c r="B106" s="4"/>
      <x:c r="C106" s="4"/>
    </x:row>
    <x:row r="107">
      <x:c r="A107" s="4"/>
      <x:c r="B107" s="4"/>
      <x:c r="C107" s="4"/>
    </x:row>
    <x:row r="108">
      <x:c r="A108" s="4"/>
      <x:c r="B108" s="4"/>
      <x:c r="C108" s="4"/>
    </x:row>
    <x:row r="109">
      <x:c r="A109" s="4"/>
      <x:c r="B109" s="4"/>
      <x:c r="C109" s="4"/>
    </x:row>
    <x:row r="110">
      <x:c r="A110" s="4"/>
      <x:c r="B110" s="4"/>
      <x:c r="C110" s="4"/>
    </x:row>
    <x:row r="111">
      <x:c r="A111" s="4"/>
      <x:c r="B111" s="4"/>
      <x:c r="C111" s="4"/>
    </x:row>
    <x:row r="112">
      <x:c r="A112" s="4"/>
      <x:c r="B112" s="4"/>
      <x:c r="C112" s="4"/>
    </x:row>
    <x:row r="113">
      <x:c r="A113" s="4"/>
      <x:c r="B113" s="4"/>
      <x:c r="C113" s="4"/>
    </x:row>
    <x:row r="114">
      <x:c r="A114" s="4"/>
      <x:c r="B114" s="4"/>
      <x:c r="C114" s="4"/>
    </x:row>
    <x:row r="115">
      <x:c r="A115" s="4"/>
      <x:c r="B115" s="4"/>
      <x:c r="C115" s="4"/>
    </x:row>
    <x:row r="116">
      <x:c r="A116" s="4"/>
      <x:c r="B116" s="4"/>
      <x:c r="C116" s="4"/>
    </x:row>
    <x:row r="117">
      <x:c r="A117" s="4"/>
      <x:c r="B117" s="4"/>
      <x:c r="C117" s="4"/>
    </x:row>
    <x:row r="118">
      <x:c r="A118" s="4"/>
      <x:c r="B118" s="4"/>
      <x:c r="C118" s="4"/>
    </x:row>
    <x:row r="119">
      <x:c r="A119" s="4"/>
      <x:c r="B119" s="4"/>
      <x:c r="C119" s="4"/>
    </x:row>
    <x:row r="120">
      <x:c r="A120" s="4"/>
      <x:c r="B120" s="4"/>
      <x:c r="C120" s="4"/>
    </x:row>
    <x:row r="121">
      <x:c r="A121" s="4"/>
      <x:c r="B121" s="4"/>
      <x:c r="C121" s="4"/>
    </x:row>
    <x:row r="122">
      <x:c r="A122" s="4"/>
      <x:c r="B122" s="4"/>
      <x:c r="C122" s="4"/>
    </x:row>
    <x:row r="123">
      <x:c r="A123" s="4"/>
      <x:c r="B123" s="4"/>
      <x:c r="C123" s="4"/>
    </x:row>
    <x:row r="124">
      <x:c r="A124" s="4"/>
      <x:c r="B124" s="4"/>
      <x:c r="C124" s="4"/>
    </x:row>
    <x:row r="125">
      <x:c r="A125" s="4"/>
      <x:c r="B125" s="4"/>
      <x:c r="C125" s="4"/>
    </x:row>
    <x:row r="126">
      <x:c r="A126" s="4"/>
      <x:c r="B126" s="4"/>
      <x:c r="C126" s="4"/>
    </x:row>
    <x:row r="127">
      <x:c r="A127" s="4"/>
      <x:c r="B127" s="4"/>
      <x:c r="C127" s="4"/>
    </x:row>
    <x:row r="128">
      <x:c r="A128" s="4"/>
      <x:c r="B128" s="4"/>
      <x:c r="C128" s="4"/>
    </x:row>
    <x:row r="129">
      <x:c r="A129" s="4"/>
      <x:c r="B129" s="4"/>
      <x:c r="C129" s="4"/>
    </x:row>
    <x:row r="130">
      <x:c r="A130" s="4"/>
      <x:c r="B130" s="4"/>
      <x:c r="C130" s="4"/>
    </x:row>
    <x:row r="131">
      <x:c r="A131" s="4"/>
      <x:c r="B131" s="4"/>
      <x:c r="C131" s="4"/>
    </x:row>
    <x:row r="132">
      <x:c r="A132" s="4"/>
      <x:c r="B132" s="4"/>
      <x:c r="C132" s="4"/>
    </x:row>
    <x:row r="133">
      <x:c r="A133" s="4"/>
      <x:c r="B133" s="4"/>
      <x:c r="C133" s="4"/>
    </x:row>
    <x:row r="134">
      <x:c r="A134" s="4"/>
      <x:c r="B134" s="4"/>
      <x:c r="C134" s="4"/>
    </x:row>
    <x:row r="135">
      <x:c r="A135" s="4"/>
      <x:c r="B135" s="4"/>
      <x:c r="C135" s="4"/>
    </x:row>
    <x:row r="136">
      <x:c r="A136" s="4"/>
      <x:c r="B136" s="4"/>
      <x:c r="C136" s="4"/>
    </x:row>
    <x:row r="137">
      <x:c r="A137" s="4"/>
      <x:c r="B137" s="4"/>
      <x:c r="C137" s="4"/>
    </x:row>
    <x:row r="138">
      <x:c r="A138" s="4"/>
      <x:c r="B138" s="4"/>
      <x:c r="C138" s="4"/>
    </x:row>
    <x:row r="139">
      <x:c r="A139" s="4"/>
      <x:c r="B139" s="4"/>
      <x:c r="C139" s="4"/>
    </x:row>
    <x:row r="140">
      <x:c r="A140" s="4"/>
      <x:c r="B140" s="4"/>
      <x:c r="C140" s="4"/>
    </x:row>
    <x:row r="141">
      <x:c r="A141" s="4"/>
      <x:c r="B141" s="4"/>
      <x:c r="C141" s="4"/>
    </x:row>
    <x:row r="142">
      <x:c r="A142" s="4"/>
      <x:c r="B142" s="4"/>
      <x:c r="C142" s="4"/>
    </x:row>
    <x:row r="143">
      <x:c r="A143" s="4"/>
      <x:c r="B143" s="4"/>
      <x:c r="C143" s="4"/>
    </x:row>
    <x:row r="144">
      <x:c r="A144" s="4"/>
      <x:c r="B144" s="4"/>
      <x:c r="C144" s="4"/>
    </x:row>
    <x:row r="145">
      <x:c r="A145" s="4"/>
      <x:c r="B145" s="4"/>
      <x:c r="C145" s="4"/>
    </x:row>
    <x:row r="146">
      <x:c r="A146" s="4"/>
      <x:c r="B146" s="4"/>
      <x:c r="C146" s="4"/>
    </x:row>
    <x:row r="147">
      <x:c r="A147" s="4"/>
      <x:c r="B147" s="4"/>
      <x:c r="C147" s="4"/>
    </x:row>
    <x:row r="148">
      <x:c r="A148" s="4"/>
      <x:c r="B148" s="4"/>
      <x:c r="C148" s="4"/>
    </x:row>
    <x:row r="149">
      <x:c r="A149" s="4"/>
      <x:c r="B149" s="4"/>
      <x:c r="C149" s="4"/>
    </x:row>
    <x:row r="150">
      <x:c r="A150" s="4"/>
      <x:c r="B150" s="4"/>
      <x:c r="C150" s="4"/>
    </x:row>
    <x:row r="151">
      <x:c r="A151" s="4"/>
      <x:c r="B151" s="4"/>
      <x:c r="C151" s="4"/>
    </x:row>
    <x:row r="152">
      <x:c r="A152" s="4"/>
      <x:c r="B152" s="4"/>
      <x:c r="C152" s="4"/>
    </x:row>
    <x:row r="153">
      <x:c r="A153" s="4"/>
      <x:c r="B153" s="4"/>
      <x:c r="C153" s="4"/>
    </x:row>
    <x:row r="154">
      <x:c r="A154" s="4"/>
      <x:c r="B154" s="4"/>
      <x:c r="C154" s="4"/>
    </x:row>
    <x:row r="155">
      <x:c r="A155" s="4"/>
      <x:c r="B155" s="4"/>
      <x:c r="C155" s="4"/>
    </x:row>
    <x:row r="156">
      <x:c r="A156" s="4"/>
      <x:c r="B156" s="4"/>
      <x:c r="C156" s="4"/>
    </x:row>
    <x:row r="157">
      <x:c r="A157" s="4"/>
      <x:c r="B157" s="4"/>
      <x:c r="C157" s="4"/>
    </x:row>
    <x:row r="158">
      <x:c r="A158" s="4"/>
      <x:c r="B158" s="4"/>
      <x:c r="C158" s="4"/>
    </x:row>
    <x:row r="159">
      <x:c r="A159" s="4"/>
      <x:c r="B159" s="4"/>
      <x:c r="C159" s="4"/>
    </x:row>
    <x:row r="160">
      <x:c r="A160" s="4"/>
      <x:c r="B160" s="4"/>
      <x:c r="C160" s="4"/>
    </x:row>
    <x:row r="161">
      <x:c r="A161" s="4"/>
      <x:c r="B161" s="4"/>
      <x:c r="C161" s="4"/>
    </x:row>
    <x:row r="162">
      <x:c r="A162" s="4"/>
      <x:c r="B162" s="4"/>
      <x:c r="C162" s="4"/>
    </x:row>
    <x:row r="163">
      <x:c r="A163" s="4"/>
      <x:c r="B163" s="4"/>
      <x:c r="C163" s="4"/>
    </x:row>
    <x:row r="164">
      <x:c r="A164" s="4"/>
      <x:c r="B164" s="4"/>
      <x:c r="C164" s="4"/>
    </x:row>
    <x:row r="165">
      <x:c r="A165" s="4"/>
      <x:c r="B165" s="4"/>
      <x:c r="C165" s="4"/>
    </x:row>
    <x:row r="166">
      <x:c r="A166" s="4"/>
      <x:c r="B166" s="4"/>
      <x:c r="C166" s="4"/>
    </x:row>
    <x:row r="167">
      <x:c r="A167" s="4"/>
      <x:c r="B167" s="4"/>
      <x:c r="C167" s="4"/>
    </x:row>
    <x:row r="168">
      <x:c r="A168" s="4"/>
      <x:c r="B168" s="4"/>
      <x:c r="C168" s="4"/>
    </x:row>
    <x:row r="169">
      <x:c r="A169" s="4"/>
      <x:c r="B169" s="4"/>
      <x:c r="C169" s="4"/>
    </x:row>
    <x:row r="170">
      <x:c r="A170" s="4"/>
      <x:c r="B170" s="4"/>
      <x:c r="C170" s="4"/>
    </x:row>
    <x:row r="171">
      <x:c r="A171" s="4"/>
      <x:c r="B171" s="4"/>
      <x:c r="C171" s="4"/>
    </x:row>
    <x:row r="172">
      <x:c r="A172" s="4"/>
      <x:c r="B172" s="4"/>
      <x:c r="C172" s="4"/>
    </x:row>
    <x:row r="173">
      <x:c r="A173" s="4"/>
      <x:c r="B173" s="4"/>
      <x:c r="C173" s="4"/>
    </x:row>
    <x:row r="174">
      <x:c r="A174" s="4"/>
      <x:c r="B174" s="4"/>
      <x:c r="C174" s="4"/>
    </x:row>
    <x:row r="175">
      <x:c r="A175" s="4"/>
      <x:c r="B175" s="4"/>
      <x:c r="C175" s="4"/>
    </x:row>
    <x:row r="176">
      <x:c r="A176" s="4"/>
      <x:c r="B176" s="4"/>
      <x:c r="C176" s="4"/>
    </x:row>
    <x:row r="177">
      <x:c r="A177" s="4"/>
      <x:c r="B177" s="4"/>
      <x:c r="C177" s="4"/>
    </x:row>
    <x:row r="178">
      <x:c r="A178" s="4"/>
      <x:c r="B178" s="4"/>
      <x:c r="C178" s="4"/>
    </x:row>
    <x:row r="179">
      <x:c r="A179" s="4"/>
      <x:c r="B179" s="4"/>
      <x:c r="C179" s="4"/>
    </x:row>
    <x:row r="180">
      <x:c r="A180" s="4"/>
      <x:c r="B180" s="4"/>
      <x:c r="C180" s="4"/>
    </x:row>
    <x:row r="181">
      <x:c r="A181" s="4"/>
      <x:c r="B181" s="4"/>
      <x:c r="C181" s="4"/>
    </x:row>
    <x:row r="182">
      <x:c r="A182" s="4"/>
      <x:c r="B182" s="4"/>
      <x:c r="C182" s="4"/>
    </x:row>
    <x:row r="183">
      <x:c r="A183" s="4"/>
      <x:c r="B183" s="4"/>
      <x:c r="C183" s="4"/>
    </x:row>
    <x:row r="184">
      <x:c r="A184" s="4"/>
      <x:c r="B184" s="4"/>
      <x:c r="C184" s="4"/>
    </x:row>
    <x:row r="185">
      <x:c r="A185" s="4"/>
      <x:c r="B185" s="4"/>
      <x:c r="C185" s="4"/>
    </x:row>
    <x:row r="186">
      <x:c r="A186" s="4"/>
      <x:c r="B186" s="4"/>
      <x:c r="C186" s="4"/>
    </x:row>
    <x:row r="187">
      <x:c r="A187" s="4"/>
      <x:c r="B187" s="4"/>
      <x:c r="C187" s="4"/>
    </x:row>
    <x:row r="188">
      <x:c r="A188" s="4"/>
      <x:c r="B188" s="4"/>
      <x:c r="C188" s="4"/>
    </x:row>
    <x:row r="189">
      <x:c r="A189" s="4"/>
      <x:c r="B189" s="4"/>
      <x:c r="C189" s="4"/>
    </x:row>
    <x:row r="190">
      <x:c r="A190" s="4"/>
      <x:c r="B190" s="4"/>
      <x:c r="C190" s="4"/>
    </x:row>
    <x:row r="191">
      <x:c r="A191" s="4"/>
      <x:c r="B191" s="4"/>
      <x:c r="C191" s="4"/>
    </x:row>
    <x:row r="192">
      <x:c r="A192" s="4"/>
      <x:c r="B192" s="4"/>
      <x:c r="C192" s="4"/>
    </x:row>
    <x:row r="193">
      <x:c r="A193" s="4"/>
      <x:c r="B193" s="4"/>
      <x:c r="C193" s="4"/>
    </x:row>
    <x:row r="194">
      <x:c r="A194" s="4"/>
      <x:c r="B194" s="4"/>
      <x:c r="C194" s="4"/>
    </x:row>
    <x:row r="195">
      <x:c r="A195" s="4"/>
      <x:c r="B195" s="4"/>
      <x:c r="C195" s="4"/>
    </x:row>
    <x:row r="196">
      <x:c r="A196" s="4"/>
      <x:c r="B196" s="4"/>
      <x:c r="C196" s="4"/>
    </x:row>
    <x:row r="197">
      <x:c r="A197" s="4"/>
      <x:c r="B197" s="4"/>
      <x:c r="C197" s="4"/>
    </x:row>
    <x:row r="198">
      <x:c r="A198" s="4"/>
      <x:c r="B198" s="4"/>
      <x:c r="C198" s="4"/>
    </x:row>
    <x:row r="199">
      <x:c r="A199" s="4"/>
      <x:c r="B199" s="4"/>
      <x:c r="C199" s="4"/>
    </x:row>
    <x:row r="200">
      <x:c r="A200" s="4"/>
      <x:c r="B200" s="4"/>
      <x:c r="C200" s="4"/>
    </x:row>
    <x:row r="201">
      <x:c r="A201" s="4"/>
      <x:c r="B201" s="4"/>
      <x:c r="C201" s="4"/>
    </x:row>
    <x:row r="202">
      <x:c r="A202" s="4"/>
      <x:c r="B202" s="4"/>
      <x:c r="C202" s="4"/>
    </x:row>
    <x:row r="203">
      <x:c r="A203" s="4"/>
      <x:c r="B203" s="4"/>
      <x:c r="C203" s="4"/>
    </x:row>
    <x:row r="204">
      <x:c r="A204" s="4"/>
      <x:c r="B204" s="4"/>
      <x:c r="C204" s="4"/>
    </x:row>
    <x:row r="205">
      <x:c r="A205" s="4"/>
      <x:c r="B205" s="4"/>
      <x:c r="C205" s="4"/>
    </x:row>
    <x:row r="206">
      <x:c r="A206" s="4"/>
      <x:c r="B206" s="4"/>
      <x:c r="C206" s="4"/>
    </x:row>
    <x:row r="207">
      <x:c r="A207" s="4"/>
      <x:c r="B207" s="4"/>
      <x:c r="C207" s="4"/>
    </x:row>
    <x:row r="208">
      <x:c r="A208" s="4"/>
      <x:c r="B208" s="4"/>
      <x:c r="C208" s="4"/>
    </x:row>
    <x:row r="209">
      <x:c r="A209" s="4"/>
      <x:c r="B209" s="4"/>
      <x:c r="C209" s="4"/>
    </x:row>
    <x:row r="210">
      <x:c r="A210" s="4"/>
      <x:c r="B210" s="4"/>
      <x:c r="C210" s="4"/>
    </x:row>
    <x:row r="211">
      <x:c r="A211" s="4"/>
      <x:c r="B211" s="4"/>
      <x:c r="C211" s="4"/>
    </x:row>
    <x:row r="212">
      <x:c r="A212" s="4"/>
      <x:c r="B212" s="4"/>
      <x:c r="C212" s="4"/>
    </x:row>
    <x:row r="213">
      <x:c r="A213" s="4"/>
      <x:c r="B213" s="4"/>
      <x:c r="C213" s="4"/>
    </x:row>
    <x:row r="214">
      <x:c r="A214" s="4"/>
      <x:c r="B214" s="4"/>
      <x:c r="C214" s="4"/>
    </x:row>
    <x:row r="215">
      <x:c r="A215" s="4"/>
      <x:c r="B215" s="4"/>
      <x:c r="C215" s="4"/>
    </x:row>
    <x:row r="216">
      <x:c r="A216" s="4"/>
      <x:c r="B216" s="4"/>
      <x:c r="C216" s="4"/>
    </x:row>
    <x:row r="217">
      <x:c r="A217" s="4"/>
      <x:c r="B217" s="4"/>
      <x:c r="C217" s="4"/>
    </x:row>
    <x:row r="218">
      <x:c r="A218" s="4"/>
      <x:c r="B218" s="4"/>
      <x:c r="C218" s="4"/>
    </x:row>
    <x:row r="219">
      <x:c r="A219" s="4"/>
      <x:c r="B219" s="4"/>
      <x:c r="C219" s="4"/>
    </x:row>
    <x:row r="220">
      <x:c r="A220" s="4"/>
      <x:c r="B220" s="4"/>
      <x:c r="C220" s="4"/>
    </x:row>
    <x:row r="221">
      <x:c r="A221" s="4"/>
      <x:c r="B221" s="4"/>
      <x:c r="C221" s="4"/>
    </x:row>
    <x:row r="222">
      <x:c r="A222" s="4"/>
      <x:c r="B222" s="4"/>
      <x:c r="C222" s="4"/>
    </x:row>
    <x:row r="223">
      <x:c r="A223" s="4"/>
      <x:c r="B223" s="4"/>
      <x:c r="C223" s="4"/>
    </x:row>
    <x:row r="224">
      <x:c r="A224" s="4"/>
      <x:c r="B224" s="4"/>
      <x:c r="C224" s="4"/>
    </x:row>
    <x:row r="225">
      <x:c r="A225" s="4"/>
      <x:c r="B225" s="4"/>
      <x:c r="C225" s="4"/>
    </x:row>
    <x:row r="226">
      <x:c r="A226" s="4"/>
      <x:c r="B226" s="4"/>
      <x:c r="C226" s="4"/>
    </x:row>
    <x:row r="227">
      <x:c r="A227" s="4"/>
      <x:c r="B227" s="4"/>
      <x:c r="C227" s="4"/>
    </x:row>
    <x:row r="228">
      <x:c r="A228" s="4"/>
      <x:c r="B228" s="4"/>
      <x:c r="C228" s="4"/>
    </x:row>
    <x:row r="229">
      <x:c r="A229" s="4"/>
      <x:c r="B229" s="4"/>
      <x:c r="C229" s="4"/>
    </x:row>
    <x:row r="230">
      <x:c r="A230" s="4"/>
      <x:c r="B230" s="4"/>
      <x:c r="C230" s="4"/>
    </x:row>
    <x:row r="231">
      <x:c r="A231" s="4"/>
      <x:c r="B231" s="4"/>
      <x:c r="C231" s="4"/>
    </x:row>
    <x:row r="232">
      <x:c r="A232" s="4"/>
      <x:c r="B232" s="4"/>
      <x:c r="C232" s="4"/>
    </x:row>
    <x:row r="233">
      <x:c r="A233" s="4"/>
      <x:c r="B233" s="4"/>
      <x:c r="C233" s="4"/>
    </x:row>
    <x:row r="234">
      <x:c r="A234" s="4"/>
      <x:c r="B234" s="4"/>
      <x:c r="C234" s="4"/>
    </x:row>
    <x:row r="235">
      <x:c r="A235" s="4"/>
      <x:c r="B235" s="4"/>
      <x:c r="C235" s="4"/>
    </x:row>
    <x:row r="236">
      <x:c r="A236" s="4"/>
      <x:c r="B236" s="4"/>
      <x:c r="C236" s="4"/>
    </x:row>
    <x:row r="237">
      <x:c r="A237" s="4"/>
      <x:c r="B237" s="4"/>
      <x:c r="C237" s="4"/>
    </x:row>
    <x:row r="238">
      <x:c r="A238" s="4"/>
      <x:c r="B238" s="4"/>
      <x:c r="C238" s="4"/>
    </x:row>
    <x:row r="239">
      <x:c r="A239" s="4"/>
      <x:c r="B239" s="4"/>
      <x:c r="C239" s="4"/>
    </x:row>
    <x:row r="240">
      <x:c r="A240" s="4"/>
      <x:c r="B240" s="4"/>
      <x:c r="C240" s="4"/>
    </x:row>
    <x:row r="241">
      <x:c r="A241" s="4"/>
      <x:c r="B241" s="4"/>
      <x:c r="C241" s="4"/>
    </x:row>
    <x:row r="242">
      <x:c r="A242" s="4"/>
      <x:c r="B242" s="4"/>
      <x:c r="C242" s="4"/>
    </x:row>
    <x:row r="243">
      <x:c r="A243" s="4"/>
      <x:c r="B243" s="4"/>
      <x:c r="C243" s="4"/>
    </x:row>
    <x:row r="244">
      <x:c r="A244" s="4"/>
      <x:c r="B244" s="4"/>
      <x:c r="C244" s="4"/>
    </x:row>
    <x:row r="245">
      <x:c r="A245" s="4"/>
      <x:c r="B245" s="4"/>
      <x:c r="C245" s="4"/>
    </x:row>
    <x:row r="246">
      <x:c r="A246" s="4"/>
      <x:c r="B246" s="4"/>
      <x:c r="C246" s="4"/>
    </x:row>
    <x:row r="247">
      <x:c r="A247" s="4"/>
      <x:c r="B247" s="4"/>
      <x:c r="C247" s="4"/>
    </x:row>
    <x:row r="248">
      <x:c r="A248" s="4"/>
      <x:c r="B248" s="4"/>
      <x:c r="C248" s="4"/>
    </x:row>
    <x:row r="249">
      <x:c r="A249" s="4"/>
      <x:c r="B249" s="4"/>
      <x:c r="C249" s="4"/>
    </x:row>
    <x:row r="250">
      <x:c r="A250" s="4"/>
      <x:c r="B250" s="4"/>
      <x:c r="C250" s="4"/>
    </x:row>
    <x:row r="251">
      <x:c r="A251" s="4"/>
      <x:c r="B251" s="4"/>
      <x:c r="C251" s="4"/>
    </x:row>
    <x:row r="252">
      <x:c r="A252" s="4"/>
      <x:c r="B252" s="4"/>
      <x:c r="C252" s="4"/>
    </x:row>
    <x:row r="253">
      <x:c r="A253" s="4"/>
      <x:c r="B253" s="4"/>
      <x:c r="C253" s="4"/>
    </x:row>
    <x:row r="254">
      <x:c r="A254" s="4"/>
      <x:c r="B254" s="4"/>
      <x:c r="C254" s="4"/>
    </x:row>
    <x:row r="255">
      <x:c r="A255" s="4"/>
      <x:c r="B255" s="4"/>
      <x:c r="C255" s="4"/>
    </x:row>
    <x:row r="256">
      <x:c r="A256" s="4"/>
      <x:c r="B256" s="4"/>
      <x:c r="C256" s="4"/>
    </x:row>
    <x:row r="257">
      <x:c r="A257" s="4"/>
      <x:c r="B257" s="4"/>
      <x:c r="C257" s="4"/>
    </x:row>
    <x:row r="258">
      <x:c r="A258" s="4"/>
      <x:c r="B258" s="4"/>
      <x:c r="C258" s="4"/>
    </x:row>
    <x:row r="259">
      <x:c r="A259" s="4"/>
      <x:c r="B259" s="4"/>
      <x:c r="C259" s="4"/>
    </x:row>
    <x:row r="260">
      <x:c r="A260" s="4"/>
      <x:c r="B260" s="4"/>
      <x:c r="C260" s="4"/>
    </x:row>
    <x:row r="261">
      <x:c r="A261" s="4"/>
      <x:c r="B261" s="4"/>
      <x:c r="C261" s="4"/>
    </x:row>
    <x:row r="262">
      <x:c r="A262" s="4"/>
      <x:c r="B262" s="4"/>
      <x:c r="C262" s="4"/>
    </x:row>
    <x:row r="263">
      <x:c r="A263" s="4"/>
      <x:c r="B263" s="4"/>
      <x:c r="C263" s="4"/>
    </x:row>
    <x:row r="264">
      <x:c r="A264" s="4"/>
      <x:c r="B264" s="4"/>
      <x:c r="C264" s="4"/>
    </x:row>
    <x:row r="265">
      <x:c r="A265" s="4"/>
      <x:c r="B265" s="4"/>
      <x:c r="C265" s="4"/>
    </x:row>
    <x:row r="266">
      <x:c r="A266" s="4"/>
      <x:c r="B266" s="4"/>
      <x:c r="C266" s="4"/>
    </x:row>
    <x:row r="267">
      <x:c r="A267" s="4"/>
      <x:c r="B267" s="4"/>
      <x:c r="C267" s="4"/>
    </x:row>
    <x:row r="268">
      <x:c r="A268" s="4"/>
      <x:c r="B268" s="4"/>
      <x:c r="C268" s="4"/>
    </x:row>
    <x:row r="269">
      <x:c r="A269" s="4"/>
      <x:c r="B269" s="4"/>
      <x:c r="C269" s="4"/>
    </x:row>
    <x:row r="270">
      <x:c r="A270" s="4"/>
      <x:c r="B270" s="4"/>
      <x:c r="C270" s="4"/>
    </x:row>
    <x:row r="271">
      <x:c r="A271" s="4"/>
      <x:c r="B271" s="4"/>
      <x:c r="C271" s="4"/>
    </x:row>
    <x:row r="272">
      <x:c r="A272" s="4"/>
      <x:c r="B272" s="4"/>
      <x:c r="C272" s="4"/>
    </x:row>
    <x:row r="273">
      <x:c r="A273" s="4"/>
      <x:c r="B273" s="4"/>
      <x:c r="C273" s="4"/>
    </x:row>
    <x:row r="274">
      <x:c r="A274" s="4"/>
      <x:c r="B274" s="4"/>
      <x:c r="C274" s="4"/>
    </x:row>
    <x:row r="275">
      <x:c r="A275" s="4"/>
      <x:c r="B275" s="4"/>
      <x:c r="C275" s="4"/>
    </x:row>
    <x:row r="276">
      <x:c r="A276" s="4"/>
      <x:c r="B276" s="4"/>
      <x:c r="C276" s="4"/>
    </x:row>
    <x:row r="277">
      <x:c r="A277" s="4"/>
      <x:c r="B277" s="4"/>
      <x:c r="C277" s="4"/>
    </x:row>
    <x:row r="278">
      <x:c r="A278" s="4"/>
      <x:c r="B278" s="4"/>
      <x:c r="C278" s="4"/>
    </x:row>
    <x:row r="279">
      <x:c r="A279" s="4"/>
      <x:c r="B279" s="4"/>
      <x:c r="C279" s="4"/>
    </x:row>
    <x:row r="280">
      <x:c r="A280" s="4"/>
      <x:c r="B280" s="4"/>
      <x:c r="C280" s="4"/>
    </x:row>
    <x:row r="281">
      <x:c r="A281" s="4"/>
      <x:c r="B281" s="4"/>
      <x:c r="C281" s="4"/>
    </x:row>
    <x:row r="282">
      <x:c r="A282" s="4"/>
      <x:c r="B282" s="4"/>
      <x:c r="C282" s="4"/>
    </x:row>
    <x:row r="283">
      <x:c r="A283" s="4"/>
      <x:c r="B283" s="4"/>
      <x:c r="C283" s="4"/>
    </x:row>
    <x:row r="284">
      <x:c r="A284" s="4"/>
      <x:c r="B284" s="4"/>
      <x:c r="C284" s="4"/>
    </x:row>
    <x:row r="285">
      <x:c r="A285" s="4"/>
      <x:c r="B285" s="4"/>
      <x:c r="C285" s="4"/>
    </x:row>
    <x:row r="286">
      <x:c r="A286" s="4"/>
      <x:c r="B286" s="4"/>
      <x:c r="C286" s="4"/>
    </x:row>
    <x:row r="287">
      <x:c r="A287" s="4"/>
      <x:c r="B287" s="4"/>
      <x:c r="C287" s="4"/>
    </x:row>
    <x:row r="288">
      <x:c r="A288" s="4"/>
      <x:c r="B288" s="4"/>
      <x:c r="C288" s="4"/>
    </x:row>
    <x:row r="289">
      <x:c r="A289" s="4"/>
      <x:c r="B289" s="4"/>
      <x:c r="C289" s="4"/>
    </x:row>
    <x:row r="290">
      <x:c r="A290" s="4"/>
      <x:c r="B290" s="4"/>
      <x:c r="C290" s="4"/>
    </x:row>
    <x:row r="291">
      <x:c r="A291" s="4"/>
      <x:c r="B291" s="4"/>
      <x:c r="C291" s="4"/>
    </x:row>
    <x:row r="292">
      <x:c r="A292" s="4"/>
      <x:c r="B292" s="4"/>
      <x:c r="C292" s="4"/>
    </x:row>
    <x:row r="293">
      <x:c r="A293" s="4"/>
      <x:c r="B293" s="4"/>
      <x:c r="C293" s="4"/>
    </x:row>
    <x:row r="294">
      <x:c r="A294" s="4"/>
      <x:c r="B294" s="4"/>
      <x:c r="C294" s="4"/>
    </x:row>
    <x:row r="295">
      <x:c r="A295" s="4"/>
      <x:c r="B295" s="4"/>
      <x:c r="C295" s="4"/>
    </x:row>
    <x:row r="296">
      <x:c r="A296" s="4"/>
      <x:c r="B296" s="4"/>
      <x:c r="C296" s="4"/>
    </x:row>
    <x:row r="297">
      <x:c r="A297" s="4"/>
      <x:c r="B297" s="4"/>
      <x:c r="C297" s="4"/>
    </x:row>
    <x:row r="298">
      <x:c r="A298" s="4"/>
      <x:c r="B298" s="4"/>
      <x:c r="C298" s="4"/>
    </x:row>
    <x:row r="299">
      <x:c r="A299" s="4"/>
      <x:c r="B299" s="4"/>
      <x:c r="C299" s="4"/>
    </x:row>
    <x:row r="300">
      <x:c r="A300" s="4"/>
      <x:c r="B300" s="4"/>
      <x:c r="C300" s="4"/>
    </x:row>
    <x:row r="301">
      <x:c r="A301" s="4"/>
      <x:c r="B301" s="4"/>
      <x:c r="C301" s="4"/>
    </x:row>
    <x:row r="302">
      <x:c r="A302" s="4"/>
      <x:c r="B302" s="4"/>
      <x:c r="C302" s="4"/>
    </x:row>
    <x:row r="303">
      <x:c r="A303" s="4"/>
      <x:c r="B303" s="4"/>
      <x:c r="C303" s="4"/>
    </x:row>
    <x:row r="304">
      <x:c r="A304" s="4"/>
      <x:c r="B304" s="4"/>
      <x:c r="C304" s="4"/>
    </x:row>
    <x:row r="305">
      <x:c r="A305" s="4"/>
      <x:c r="B305" s="4"/>
      <x:c r="C305" s="4"/>
    </x:row>
    <x:row r="306">
      <x:c r="A306" s="4"/>
      <x:c r="B306" s="4"/>
      <x:c r="C306" s="4"/>
    </x:row>
    <x:row r="307">
      <x:c r="A307" s="4"/>
      <x:c r="B307" s="4"/>
      <x:c r="C307" s="4"/>
    </x:row>
    <x:row r="308">
      <x:c r="A308" s="4"/>
      <x:c r="B308" s="4"/>
      <x:c r="C308" s="4"/>
    </x:row>
    <x:row r="309">
      <x:c r="A309" s="4"/>
      <x:c r="B309" s="4"/>
      <x:c r="C309" s="4"/>
    </x:row>
    <x:row r="310">
      <x:c r="A310" s="4"/>
      <x:c r="B310" s="4"/>
      <x:c r="C310" s="4"/>
    </x:row>
    <x:row r="311">
      <x:c r="A311" s="4"/>
      <x:c r="B311" s="4"/>
      <x:c r="C311" s="4"/>
    </x:row>
    <x:row r="312">
      <x:c r="A312" s="4"/>
      <x:c r="B312" s="4"/>
      <x:c r="C312" s="4"/>
    </x:row>
    <x:row r="313">
      <x:c r="A313" s="4"/>
      <x:c r="B313" s="4"/>
      <x:c r="C313" s="4"/>
    </x:row>
    <x:row r="314">
      <x:c r="A314" s="4"/>
      <x:c r="B314" s="4"/>
      <x:c r="C314" s="4"/>
    </x:row>
    <x:row r="315">
      <x:c r="A315" s="4"/>
      <x:c r="B315" s="4"/>
      <x:c r="C315" s="4"/>
    </x:row>
    <x:row r="316">
      <x:c r="A316" s="4"/>
      <x:c r="B316" s="4"/>
      <x:c r="C316" s="4"/>
    </x:row>
    <x:row r="317">
      <x:c r="A317" s="4"/>
      <x:c r="B317" s="4"/>
      <x:c r="C317" s="4"/>
    </x:row>
    <x:row r="318">
      <x:c r="A318" s="4"/>
      <x:c r="B318" s="4"/>
      <x:c r="C318" s="4"/>
    </x:row>
    <x:row r="319">
      <x:c r="A319" s="4"/>
      <x:c r="B319" s="4"/>
      <x:c r="C319" s="4"/>
    </x:row>
    <x:row r="320">
      <x:c r="A320" s="4"/>
      <x:c r="B320" s="4"/>
      <x:c r="C320" s="4"/>
    </x:row>
    <x:row r="321">
      <x:c r="A321" s="4"/>
      <x:c r="B321" s="4"/>
      <x:c r="C321" s="4"/>
    </x:row>
    <x:row r="322">
      <x:c r="A322" s="4"/>
      <x:c r="B322" s="4"/>
      <x:c r="C322" s="4"/>
    </x:row>
    <x:row r="323">
      <x:c r="A323" s="4"/>
      <x:c r="B323" s="4"/>
      <x:c r="C323" s="4"/>
    </x:row>
    <x:row r="324">
      <x:c r="A324" s="4"/>
      <x:c r="B324" s="4"/>
      <x:c r="C324" s="4"/>
    </x:row>
    <x:row r="325">
      <x:c r="A325" s="4"/>
      <x:c r="B325" s="4"/>
      <x:c r="C325" s="4"/>
    </x:row>
    <x:row r="326">
      <x:c r="A326" s="4"/>
      <x:c r="B326" s="4"/>
      <x:c r="C326" s="4"/>
    </x:row>
    <x:row r="327">
      <x:c r="A327" s="4"/>
      <x:c r="B327" s="4"/>
      <x:c r="C327" s="4"/>
    </x:row>
    <x:row r="328">
      <x:c r="A328" s="4"/>
      <x:c r="B328" s="4"/>
      <x:c r="C328" s="4"/>
    </x:row>
    <x:row r="329">
      <x:c r="A329" s="4"/>
      <x:c r="B329" s="4"/>
      <x:c r="C329" s="4"/>
    </x:row>
    <x:row r="330">
      <x:c r="A330" s="4"/>
      <x:c r="B330" s="4"/>
      <x:c r="C330" s="4"/>
    </x:row>
    <x:row r="331">
      <x:c r="A331" s="4"/>
      <x:c r="B331" s="4"/>
      <x:c r="C331" s="4"/>
    </x:row>
    <x:row r="332">
      <x:c r="A332" s="4"/>
      <x:c r="B332" s="4"/>
      <x:c r="C332" s="4"/>
    </x:row>
    <x:row r="333">
      <x:c r="A333" s="4"/>
      <x:c r="B333" s="4"/>
      <x:c r="C333" s="4"/>
    </x:row>
    <x:row r="334">
      <x:c r="A334" s="4"/>
      <x:c r="B334" s="4"/>
      <x:c r="C334" s="4"/>
    </x:row>
    <x:row r="335">
      <x:c r="A335" s="4"/>
      <x:c r="B335" s="4"/>
      <x:c r="C335" s="4"/>
    </x:row>
    <x:row r="336">
      <x:c r="A336" s="4"/>
      <x:c r="B336" s="4"/>
      <x:c r="C336" s="4"/>
    </x:row>
    <x:row r="337">
      <x:c r="A337" s="4"/>
      <x:c r="B337" s="4"/>
      <x:c r="C337" s="4"/>
    </x:row>
    <x:row r="338">
      <x:c r="A338" s="4"/>
      <x:c r="B338" s="4"/>
      <x:c r="C338" s="4"/>
    </x:row>
    <x:row r="339">
      <x:c r="A339" s="4"/>
      <x:c r="B339" s="4"/>
      <x:c r="C339" s="4"/>
    </x:row>
    <x:row r="340">
      <x:c r="A340" s="4"/>
      <x:c r="B340" s="4"/>
      <x:c r="C340" s="4"/>
    </x:row>
    <x:row r="341">
      <x:c r="A341" s="4"/>
      <x:c r="B341" s="4"/>
      <x:c r="C341" s="4"/>
    </x:row>
    <x:row r="342">
      <x:c r="A342" s="4"/>
      <x:c r="B342" s="4"/>
      <x:c r="C342" s="4"/>
    </x:row>
    <x:row r="343">
      <x:c r="A343" s="4"/>
      <x:c r="B343" s="4"/>
      <x:c r="C343" s="4"/>
    </x:row>
    <x:row r="344">
      <x:c r="A344" s="4"/>
      <x:c r="B344" s="4"/>
      <x:c r="C344" s="4"/>
    </x:row>
    <x:row r="345">
      <x:c r="A345" s="4"/>
      <x:c r="B345" s="4"/>
      <x:c r="C345" s="4"/>
    </x:row>
    <x:row r="346">
      <x:c r="A346" s="4"/>
      <x:c r="B346" s="4"/>
      <x:c r="C346" s="4"/>
    </x:row>
    <x:row r="347">
      <x:c r="A347" s="4"/>
      <x:c r="B347" s="4"/>
      <x:c r="C347" s="4"/>
    </x:row>
    <x:row r="348">
      <x:c r="A348" s="4"/>
      <x:c r="B348" s="4"/>
      <x:c r="C348" s="4"/>
    </x:row>
    <x:row r="349">
      <x:c r="A349" s="4"/>
      <x:c r="B349" s="4"/>
      <x:c r="C349" s="4"/>
    </x:row>
    <x:row r="350">
      <x:c r="A350" s="4"/>
      <x:c r="B350" s="4"/>
      <x:c r="C350" s="4"/>
    </x:row>
    <x:row r="351">
      <x:c r="A351" s="4"/>
      <x:c r="B351" s="4"/>
      <x:c r="C351" s="4"/>
    </x:row>
    <x:row r="352">
      <x:c r="A352" s="4"/>
      <x:c r="B352" s="4"/>
      <x:c r="C352" s="4"/>
    </x:row>
    <x:row r="353">
      <x:c r="A353" s="4"/>
      <x:c r="B353" s="4"/>
      <x:c r="C353" s="4"/>
    </x:row>
    <x:row r="354">
      <x:c r="A354" s="4"/>
      <x:c r="B354" s="4"/>
      <x:c r="C354" s="4"/>
    </x:row>
    <x:row r="355">
      <x:c r="A355" s="4"/>
      <x:c r="B355" s="4"/>
      <x:c r="C355" s="4"/>
    </x:row>
    <x:row r="356">
      <x:c r="A356" s="4"/>
      <x:c r="B356" s="4"/>
      <x:c r="C356" s="4"/>
    </x:row>
    <x:row r="357">
      <x:c r="A357" s="4"/>
      <x:c r="B357" s="4"/>
      <x:c r="C357" s="4"/>
    </x:row>
    <x:row r="358">
      <x:c r="A358" s="4"/>
      <x:c r="B358" s="4"/>
      <x:c r="C358" s="4"/>
    </x:row>
    <x:row r="359">
      <x:c r="A359" s="4"/>
      <x:c r="B359" s="4"/>
      <x:c r="C359" s="4"/>
    </x:row>
    <x:row r="360">
      <x:c r="A360" s="4"/>
      <x:c r="B360" s="4"/>
      <x:c r="C360" s="4"/>
    </x:row>
    <x:row r="361">
      <x:c r="A361" s="4"/>
      <x:c r="B361" s="4"/>
      <x:c r="C361" s="4"/>
    </x:row>
    <x:row r="362">
      <x:c r="A362" s="4"/>
      <x:c r="B362" s="4"/>
      <x:c r="C362" s="4"/>
    </x:row>
    <x:row r="363">
      <x:c r="A363" s="4"/>
      <x:c r="B363" s="4"/>
      <x:c r="C363" s="4"/>
    </x:row>
    <x:row r="364">
      <x:c r="A364" s="4"/>
      <x:c r="B364" s="4"/>
      <x:c r="C364" s="4"/>
    </x:row>
    <x:row r="365">
      <x:c r="A365" s="4"/>
      <x:c r="B365" s="4"/>
      <x:c r="C365" s="4"/>
    </x:row>
    <x:row r="366">
      <x:c r="A366" s="4"/>
      <x:c r="B366" s="4"/>
      <x:c r="C366" s="4"/>
    </x:row>
    <x:row r="367">
      <x:c r="A367" s="4"/>
      <x:c r="B367" s="4"/>
      <x:c r="C367" s="4"/>
    </x:row>
    <x:row r="368">
      <x:c r="A368" s="4"/>
      <x:c r="B368" s="4"/>
      <x:c r="C368" s="4"/>
    </x:row>
    <x:row r="369">
      <x:c r="A369" s="4"/>
      <x:c r="B369" s="4"/>
      <x:c r="C369" s="4"/>
    </x:row>
    <x:row r="370">
      <x:c r="A370" s="4"/>
      <x:c r="B370" s="4"/>
      <x:c r="C370" s="4"/>
    </x:row>
    <x:row r="371">
      <x:c r="A371" s="4"/>
      <x:c r="B371" s="4"/>
      <x:c r="C371" s="4"/>
    </x:row>
    <x:row r="372">
      <x:c r="A372" s="4"/>
      <x:c r="B372" s="4"/>
      <x:c r="C372" s="4"/>
    </x:row>
    <x:row r="373">
      <x:c r="A373" s="4"/>
      <x:c r="B373" s="4"/>
      <x:c r="C373" s="4"/>
    </x:row>
    <x:row r="374">
      <x:c r="A374" s="4"/>
      <x:c r="B374" s="4"/>
      <x:c r="C374" s="4"/>
    </x:row>
    <x:row r="375">
      <x:c r="A375" s="4"/>
      <x:c r="B375" s="4"/>
      <x:c r="C375" s="4"/>
    </x:row>
    <x:row r="376">
      <x:c r="A376" s="4"/>
      <x:c r="B376" s="4"/>
      <x:c r="C376" s="4"/>
    </x:row>
    <x:row r="377">
      <x:c r="A377" s="4"/>
      <x:c r="B377" s="4"/>
      <x:c r="C377" s="4"/>
    </x:row>
    <x:row r="378">
      <x:c r="A378" s="4"/>
      <x:c r="B378" s="4"/>
      <x:c r="C378" s="4"/>
    </x:row>
    <x:row r="379">
      <x:c r="A379" s="4"/>
      <x:c r="B379" s="4"/>
      <x:c r="C379" s="4"/>
    </x:row>
    <x:row r="380">
      <x:c r="A380" s="4"/>
      <x:c r="B380" s="4"/>
      <x:c r="C380" s="4"/>
    </x:row>
    <x:row r="381">
      <x:c r="A381" s="4"/>
      <x:c r="B381" s="4"/>
      <x:c r="C381" s="4"/>
    </x:row>
    <x:row r="382">
      <x:c r="A382" s="4"/>
      <x:c r="B382" s="4"/>
      <x:c r="C382" s="4"/>
    </x:row>
    <x:row r="383">
      <x:c r="A383" s="4"/>
      <x:c r="B383" s="4"/>
      <x:c r="C383" s="4"/>
    </x:row>
    <x:row r="384">
      <x:c r="A384" s="4"/>
      <x:c r="B384" s="4"/>
      <x:c r="C384" s="4"/>
    </x:row>
    <x:row r="385">
      <x:c r="A385" s="4"/>
      <x:c r="B385" s="4"/>
      <x:c r="C385" s="4"/>
    </x:row>
    <x:row r="386">
      <x:c r="A386" s="4"/>
      <x:c r="B386" s="4"/>
      <x:c r="C386" s="4"/>
    </x:row>
    <x:row r="387">
      <x:c r="A387" s="4"/>
      <x:c r="B387" s="4"/>
      <x:c r="C387" s="4"/>
    </x:row>
    <x:row r="388">
      <x:c r="A388" s="4"/>
      <x:c r="B388" s="4"/>
      <x:c r="C388" s="4"/>
    </x:row>
    <x:row r="389">
      <x:c r="A389" s="4"/>
      <x:c r="B389" s="4"/>
      <x:c r="C389" s="4"/>
    </x:row>
    <x:row r="390">
      <x:c r="A390" s="4"/>
      <x:c r="B390" s="4"/>
      <x:c r="C390" s="4"/>
    </x:row>
    <x:row r="391">
      <x:c r="A391" s="4"/>
      <x:c r="B391" s="4"/>
      <x:c r="C391" s="4"/>
    </x:row>
    <x:row r="392">
      <x:c r="A392" s="4"/>
      <x:c r="B392" s="4"/>
      <x:c r="C392" s="4"/>
    </x:row>
    <x:row r="393">
      <x:c r="A393" s="4"/>
      <x:c r="B393" s="4"/>
      <x:c r="C393" s="4"/>
    </x:row>
    <x:row r="394">
      <x:c r="A394" s="4"/>
      <x:c r="B394" s="4"/>
      <x:c r="C394" s="4"/>
    </x:row>
    <x:row r="395">
      <x:c r="A395" s="4"/>
      <x:c r="B395" s="4"/>
      <x:c r="C395" s="4"/>
    </x:row>
    <x:row r="396">
      <x:c r="A396" s="4"/>
      <x:c r="B396" s="4"/>
      <x:c r="C396" s="4"/>
    </x:row>
    <x:row r="397">
      <x:c r="A397" s="4"/>
      <x:c r="B397" s="4"/>
      <x:c r="C397" s="4"/>
    </x:row>
    <x:row r="398">
      <x:c r="A398" s="4"/>
      <x:c r="B398" s="4"/>
      <x:c r="C398" s="4"/>
    </x:row>
    <x:row r="399">
      <x:c r="A399" s="4"/>
      <x:c r="B399" s="4"/>
      <x:c r="C399" s="4"/>
    </x:row>
    <x:row r="400">
      <x:c r="A400" s="4"/>
      <x:c r="B400" s="4"/>
      <x:c r="C400" s="4"/>
    </x:row>
    <x:row r="401">
      <x:c r="A401" s="4"/>
      <x:c r="B401" s="4"/>
      <x:c r="C401" s="4"/>
    </x:row>
    <x:row r="402">
      <x:c r="A402" s="4"/>
      <x:c r="B402" s="4"/>
      <x:c r="C402" s="4"/>
    </x:row>
    <x:row r="403">
      <x:c r="A403" s="4"/>
      <x:c r="B403" s="4"/>
      <x:c r="C403" s="4"/>
    </x:row>
    <x:row r="404">
      <x:c r="A404" s="4"/>
      <x:c r="B404" s="4"/>
      <x:c r="C404" s="4"/>
    </x:row>
    <x:row r="405">
      <x:c r="A405" s="4"/>
      <x:c r="B405" s="4"/>
      <x:c r="C405" s="4"/>
    </x:row>
    <x:row r="406">
      <x:c r="A406" s="4"/>
      <x:c r="B406" s="4"/>
      <x:c r="C406" s="4"/>
    </x:row>
    <x:row r="407">
      <x:c r="A407" s="4"/>
      <x:c r="B407" s="4"/>
      <x:c r="C407" s="4"/>
    </x:row>
    <x:row r="408">
      <x:c r="A408" s="4"/>
      <x:c r="B408" s="4"/>
      <x:c r="C408" s="4"/>
    </x:row>
    <x:row r="409">
      <x:c r="A409" s="4"/>
      <x:c r="B409" s="4"/>
      <x:c r="C409" s="4"/>
    </x:row>
    <x:row r="410">
      <x:c r="A410" s="4"/>
      <x:c r="B410" s="4"/>
      <x:c r="C410" s="4"/>
    </x:row>
    <x:row r="411">
      <x:c r="A411" s="4"/>
      <x:c r="B411" s="4"/>
      <x:c r="C411" s="4"/>
    </x:row>
    <x:row r="412">
      <x:c r="A412" s="4"/>
      <x:c r="B412" s="4"/>
      <x:c r="C412" s="4"/>
    </x:row>
    <x:row r="413">
      <x:c r="A413" s="4"/>
      <x:c r="B413" s="4"/>
      <x:c r="C413" s="4"/>
    </x:row>
    <x:row r="414">
      <x:c r="A414" s="4"/>
      <x:c r="B414" s="4"/>
      <x:c r="C414" s="4"/>
    </x:row>
    <x:row r="415">
      <x:c r="A415" s="4"/>
      <x:c r="B415" s="4"/>
      <x:c r="C415" s="4"/>
    </x:row>
    <x:row r="416">
      <x:c r="A416" s="4"/>
      <x:c r="B416" s="4"/>
      <x:c r="C416" s="4"/>
    </x:row>
    <x:row r="417">
      <x:c r="A417" s="4"/>
      <x:c r="B417" s="4"/>
      <x:c r="C417" s="4"/>
    </x:row>
    <x:row r="418">
      <x:c r="A418" s="4"/>
      <x:c r="B418" s="4"/>
      <x:c r="C418" s="4"/>
    </x:row>
    <x:row r="419">
      <x:c r="A419" s="4"/>
      <x:c r="B419" s="4"/>
      <x:c r="C419" s="4"/>
    </x:row>
    <x:row r="420">
      <x:c r="A420" s="4"/>
      <x:c r="B420" s="4"/>
      <x:c r="C420" s="4"/>
    </x:row>
    <x:row r="421">
      <x:c r="A421" s="4"/>
      <x:c r="B421" s="4"/>
      <x:c r="C421" s="4"/>
    </x:row>
    <x:row r="422">
      <x:c r="A422" s="4"/>
      <x:c r="B422" s="4"/>
      <x:c r="C422" s="4"/>
    </x:row>
    <x:row r="423">
      <x:c r="A423" s="4"/>
      <x:c r="B423" s="4"/>
      <x:c r="C423" s="4"/>
    </x:row>
    <x:row r="424">
      <x:c r="A424" s="4"/>
      <x:c r="B424" s="4"/>
      <x:c r="C424" s="4"/>
    </x:row>
    <x:row r="425">
      <x:c r="A425" s="4"/>
      <x:c r="B425" s="4"/>
      <x:c r="C425" s="4"/>
    </x:row>
    <x:row r="426">
      <x:c r="A426" s="4"/>
      <x:c r="B426" s="4"/>
      <x:c r="C426" s="4"/>
    </x:row>
    <x:row r="427">
      <x:c r="A427" s="4"/>
      <x:c r="B427" s="4"/>
      <x:c r="C427" s="4"/>
    </x:row>
    <x:row r="428">
      <x:c r="A428" s="4"/>
      <x:c r="B428" s="4"/>
      <x:c r="C428" s="4"/>
    </x:row>
    <x:row r="429">
      <x:c r="A429" s="4"/>
      <x:c r="B429" s="4"/>
      <x:c r="C429" s="4"/>
    </x:row>
    <x:row r="430">
      <x:c r="A430" s="4"/>
      <x:c r="B430" s="4"/>
      <x:c r="C430" s="4"/>
    </x:row>
    <x:row r="431">
      <x:c r="A431" s="4"/>
      <x:c r="B431" s="4"/>
      <x:c r="C431" s="4"/>
    </x:row>
    <x:row r="432">
      <x:c r="A432" s="4"/>
      <x:c r="B432" s="4"/>
      <x:c r="C432" s="4"/>
    </x:row>
    <x:row r="433">
      <x:c r="A433" s="4"/>
      <x:c r="B433" s="4"/>
      <x:c r="C433" s="4"/>
    </x:row>
    <x:row r="434">
      <x:c r="A434" s="4"/>
      <x:c r="B434" s="4"/>
      <x:c r="C434" s="4"/>
    </x:row>
    <x:row r="435">
      <x:c r="A435" s="4"/>
      <x:c r="B435" s="4"/>
      <x:c r="C435" s="4"/>
    </x:row>
    <x:row r="436">
      <x:c r="A436" s="4"/>
      <x:c r="B436" s="4"/>
      <x:c r="C436" s="4"/>
    </x:row>
    <x:row r="437">
      <x:c r="A437" s="4"/>
      <x:c r="B437" s="4"/>
      <x:c r="C437" s="4"/>
    </x:row>
    <x:row r="438">
      <x:c r="A438" s="4"/>
      <x:c r="B438" s="4"/>
      <x:c r="C438" s="4"/>
    </x:row>
    <x:row r="439">
      <x:c r="A439" s="4"/>
      <x:c r="B439" s="4"/>
      <x:c r="C439" s="4"/>
    </x:row>
    <x:row r="440">
      <x:c r="A440" s="4"/>
      <x:c r="B440" s="4"/>
      <x:c r="C440" s="4"/>
    </x:row>
    <x:row r="441">
      <x:c r="A441" s="4"/>
      <x:c r="B441" s="4"/>
      <x:c r="C441" s="4"/>
    </x:row>
    <x:row r="442">
      <x:c r="A442" s="4"/>
      <x:c r="B442" s="4"/>
      <x:c r="C442" s="4"/>
    </x:row>
    <x:row r="443">
      <x:c r="A443" s="4"/>
      <x:c r="B443" s="4"/>
      <x:c r="C443" s="4"/>
    </x:row>
    <x:row r="444">
      <x:c r="A444" s="4"/>
      <x:c r="B444" s="4"/>
      <x:c r="C444" s="4"/>
    </x:row>
    <x:row r="445">
      <x:c r="A445" s="4"/>
      <x:c r="B445" s="4"/>
      <x:c r="C445" s="4"/>
    </x:row>
    <x:row r="446">
      <x:c r="A446" s="4"/>
      <x:c r="B446" s="4"/>
      <x:c r="C446" s="4"/>
    </x:row>
    <x:row r="447">
      <x:c r="A447" s="4"/>
      <x:c r="B447" s="4"/>
      <x:c r="C447" s="4"/>
    </x:row>
    <x:row r="448">
      <x:c r="A448" s="4"/>
      <x:c r="B448" s="4"/>
      <x:c r="C448" s="4"/>
    </x:row>
    <x:row r="449">
      <x:c r="A449" s="4"/>
      <x:c r="B449" s="4"/>
      <x:c r="C449" s="4"/>
    </x:row>
    <x:row r="450">
      <x:c r="A450" s="4"/>
      <x:c r="B450" s="4"/>
      <x:c r="C450" s="4"/>
    </x:row>
    <x:row r="451">
      <x:c r="A451" s="4"/>
      <x:c r="B451" s="4"/>
      <x:c r="C451" s="4"/>
    </x:row>
    <x:row r="452">
      <x:c r="A452" s="4"/>
      <x:c r="B452" s="4"/>
      <x:c r="C452" s="4"/>
    </x:row>
    <x:row r="453">
      <x:c r="A453" s="4"/>
      <x:c r="B453" s="4"/>
      <x:c r="C453" s="4"/>
    </x:row>
    <x:row r="454">
      <x:c r="A454" s="4"/>
      <x:c r="B454" s="4"/>
      <x:c r="C454" s="4"/>
    </x:row>
    <x:row r="455">
      <x:c r="A455" s="4"/>
      <x:c r="B455" s="4"/>
      <x:c r="C455" s="4"/>
    </x:row>
    <x:row r="456">
      <x:c r="A456" s="4"/>
      <x:c r="B456" s="4"/>
      <x:c r="C456" s="4"/>
    </x:row>
    <x:row r="457">
      <x:c r="A457" s="4"/>
      <x:c r="B457" s="4"/>
      <x:c r="C457" s="4"/>
    </x:row>
    <x:row r="458">
      <x:c r="A458" s="4"/>
      <x:c r="B458" s="4"/>
      <x:c r="C458" s="4"/>
    </x:row>
    <x:row r="459">
      <x:c r="A459" s="4"/>
      <x:c r="B459" s="4"/>
      <x:c r="C459" s="4"/>
    </x:row>
    <x:row r="460">
      <x:c r="A460" s="4"/>
      <x:c r="B460" s="4"/>
      <x:c r="C460" s="4"/>
    </x:row>
    <x:row r="461">
      <x:c r="A461" s="4"/>
      <x:c r="B461" s="4"/>
      <x:c r="C461" s="4"/>
    </x:row>
    <x:row r="462">
      <x:c r="A462" s="4"/>
      <x:c r="B462" s="4"/>
      <x:c r="C462" s="4"/>
    </x:row>
    <x:row r="463">
      <x:c r="A463" s="4"/>
      <x:c r="B463" s="4"/>
      <x:c r="C463" s="4"/>
    </x:row>
    <x:row r="464">
      <x:c r="A464" s="4"/>
      <x:c r="B464" s="4"/>
      <x:c r="C464" s="4"/>
    </x:row>
    <x:row r="465">
      <x:c r="A465" s="4"/>
      <x:c r="B465" s="4"/>
      <x:c r="C465" s="4"/>
    </x:row>
    <x:row r="466">
      <x:c r="A466" s="4"/>
      <x:c r="B466" s="4"/>
      <x:c r="C466" s="4"/>
    </x:row>
    <x:row r="467">
      <x:c r="A467" s="4"/>
      <x:c r="B467" s="4"/>
      <x:c r="C467" s="4"/>
    </x:row>
    <x:row r="468">
      <x:c r="A468" s="4"/>
      <x:c r="B468" s="4"/>
      <x:c r="C468" s="4"/>
    </x:row>
    <x:row r="469">
      <x:c r="A469" s="4"/>
      <x:c r="B469" s="4"/>
      <x:c r="C469" s="4"/>
    </x:row>
    <x:row r="470">
      <x:c r="A470" s="4"/>
      <x:c r="B470" s="4"/>
      <x:c r="C470" s="4"/>
    </x:row>
    <x:row r="471">
      <x:c r="A471" s="4"/>
      <x:c r="B471" s="4"/>
      <x:c r="C471" s="4"/>
    </x:row>
    <x:row r="472">
      <x:c r="A472" s="4"/>
      <x:c r="B472" s="4"/>
      <x:c r="C472" s="4"/>
    </x:row>
    <x:row r="473">
      <x:c r="A473" s="4"/>
      <x:c r="B473" s="4"/>
      <x:c r="C473" s="4"/>
    </x:row>
    <x:row r="474">
      <x:c r="A474" s="4"/>
      <x:c r="B474" s="4"/>
      <x:c r="C474" s="4"/>
    </x:row>
    <x:row r="475">
      <x:c r="A475" s="4"/>
      <x:c r="B475" s="4"/>
      <x:c r="C475" s="4"/>
    </x:row>
    <x:row r="476">
      <x:c r="A476" s="4"/>
      <x:c r="B476" s="4"/>
      <x:c r="C476" s="4"/>
    </x:row>
    <x:row r="477">
      <x:c r="A477" s="4"/>
      <x:c r="B477" s="4"/>
      <x:c r="C477" s="4"/>
    </x:row>
    <x:row r="478">
      <x:c r="A478" s="4"/>
      <x:c r="B478" s="4"/>
      <x:c r="C478" s="4"/>
    </x:row>
    <x:row r="479">
      <x:c r="A479" s="4"/>
      <x:c r="B479" s="4"/>
      <x:c r="C479" s="4"/>
    </x:row>
    <x:row r="480">
      <x:c r="A480" s="4"/>
      <x:c r="B480" s="4"/>
      <x:c r="C480" s="4"/>
    </x:row>
    <x:row r="481">
      <x:c r="A481" s="4"/>
      <x:c r="B481" s="4"/>
      <x:c r="C481" s="4"/>
    </x:row>
    <x:row r="482">
      <x:c r="A482" s="4"/>
      <x:c r="B482" s="4"/>
      <x:c r="C482" s="4"/>
    </x:row>
    <x:row r="483">
      <x:c r="A483" s="4"/>
      <x:c r="B483" s="4"/>
      <x:c r="C483" s="4"/>
    </x:row>
    <x:row r="484">
      <x:c r="A484" s="4"/>
      <x:c r="B484" s="4"/>
      <x:c r="C484" s="4"/>
    </x:row>
    <x:row r="485">
      <x:c r="A485" s="4"/>
      <x:c r="B485" s="4"/>
      <x:c r="C485" s="4"/>
    </x:row>
    <x:row r="486">
      <x:c r="A486" s="4"/>
      <x:c r="B486" s="4"/>
      <x:c r="C486" s="4"/>
    </x:row>
    <x:row r="487">
      <x:c r="A487" s="4"/>
      <x:c r="B487" s="4"/>
      <x:c r="C487" s="4"/>
    </x:row>
    <x:row r="488">
      <x:c r="A488" s="4"/>
      <x:c r="B488" s="4"/>
      <x:c r="C488" s="4"/>
    </x:row>
    <x:row r="489">
      <x:c r="A489" s="4"/>
      <x:c r="B489" s="4"/>
      <x:c r="C489" s="4"/>
    </x:row>
    <x:row r="490">
      <x:c r="A490" s="4"/>
      <x:c r="B490" s="4"/>
      <x:c r="C490" s="4"/>
    </x:row>
    <x:row r="491">
      <x:c r="A491" s="4"/>
      <x:c r="B491" s="4"/>
      <x:c r="C491" s="4"/>
    </x:row>
    <x:row r="492">
      <x:c r="A492" s="4"/>
      <x:c r="B492" s="4"/>
      <x:c r="C492" s="4"/>
    </x:row>
    <x:row r="493">
      <x:c r="A493" s="4"/>
      <x:c r="B493" s="4"/>
      <x:c r="C493" s="4"/>
    </x:row>
    <x:row r="494">
      <x:c r="A494" s="4"/>
      <x:c r="B494" s="4"/>
      <x:c r="C494" s="4"/>
    </x:row>
    <x:row r="495">
      <x:c r="A495" s="4"/>
      <x:c r="B495" s="4"/>
      <x:c r="C495" s="4"/>
    </x:row>
    <x:row r="496">
      <x:c r="A496" s="4"/>
      <x:c r="B496" s="4"/>
      <x:c r="C496" s="4"/>
    </x:row>
    <x:row r="497">
      <x:c r="A497" s="4"/>
      <x:c r="B497" s="4"/>
      <x:c r="C497" s="4"/>
    </x:row>
    <x:row r="498">
      <x:c r="A498" s="4"/>
      <x:c r="B498" s="4"/>
      <x:c r="C498" s="4"/>
    </x:row>
    <x:row r="499">
      <x:c r="A499" s="4"/>
      <x:c r="B499" s="4"/>
      <x:c r="C499" s="4"/>
    </x:row>
    <x:row r="500">
      <x:c r="A500" s="4"/>
      <x:c r="B500" s="4"/>
      <x:c r="C500" s="4"/>
    </x:row>
  </x:sheetData>
  <x:dataValidations count="1">
    <x:dataValidation type="list" sqref="D2:D500">
      <x:formula1>"SÍ,NO"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5.5600004196167" hidden="0" customWidth="1"/>
    <x:col min="3" max="3" width="13.329999923706055" hidden="0" customWidth="1"/>
    <x:col min="4" max="4" width="16.110000610351562" hidden="0" customWidth="1"/>
    <x:col min="5" max="5" width="24.440000534057617" hidden="0" customWidth="1"/>
    <x:col min="6" max="6" width="13.890000343322754" hidden="0" customWidth="1"/>
    <x:col min="7" max="7" width="36.66999816894531" hidden="0" customWidth="1"/>
    <x:col min="8" max="8" width="13.890000343322754" hidden="0" customWidth="1"/>
    <x:col min="9" max="9" width="15" hidden="0" customWidth="1"/>
    <x:col min="10" max="10" width="12.779999732971191" hidden="0" customWidth="1"/>
    <x:col min="11" max="11" width="12.220000267028809" hidden="0" customWidth="1"/>
    <x:col min="12" max="12" width="24.440000534057617" hidden="0" customWidth="1"/>
    <x:col min="13" max="13" width="16.110000610351562" hidden="0" customWidth="1"/>
    <x:col min="14" max="14" width="12.220000267028809" hidden="0" customWidth="1"/>
    <x:col min="15" max="15" width="14.4399995803833" hidden="0" customWidth="1"/>
    <x:col min="16" max="16" width="13.890000343322754" hidden="0" customWidth="1"/>
    <x:col min="17" max="17" width="28.889999389648438" hidden="0" customWidth="1"/>
    <x:col min="18" max="18" width="24.440000534057617" hidden="0" customWidth="1"/>
  </x:cols>
  <x:sheetData>
    <x:row r="1" ht="42" customHeight="1">
      <x:c r="A1" s="11" t="str">
        <x:v>ID conteo</x:v>
      </x:c>
      <x:c r="B1" s="11" t="str">
        <x:v>Fecha y hora</x:v>
      </x:c>
      <x:c r="C1" s="11" t="str">
        <x:v>Usuario</x:v>
      </x:c>
      <x:c r="D1" s="11" t="str">
        <x:v>Tipo identificación</x:v>
      </x:c>
      <x:c r="E1" s="11" t="str">
        <x:v>Texto OCR o código leído</x:v>
      </x:c>
      <x:c r="F1" s="11" t="str">
        <x:v>Referencia interna</x:v>
      </x:c>
      <x:c r="G1" s="11" t="str">
        <x:v>Producto</x:v>
      </x:c>
      <x:c r="H1" s="11" t="str">
        <x:v>Lote</x:v>
      </x:c>
      <x:c r="I1" s="11" t="str">
        <x:v>Fecha de vencimiento</x:v>
      </x:c>
      <x:c r="J1" s="11" t="str">
        <x:v>Unidad de medida</x:v>
      </x:c>
      <x:c r="K1" s="11" t="str">
        <x:v>Stock sistema</x:v>
      </x:c>
      <x:c r="L1" s="11" t="str">
        <x:v>Ubicación física</x:v>
      </x:c>
      <x:c r="M1" s="11" t="str">
        <x:v>Código ubicación</x:v>
      </x:c>
      <x:c r="N1" s="11" t="str">
        <x:v>Cantidad física</x:v>
      </x:c>
      <x:c r="O1" s="11" t="str">
        <x:v>Diferencia acumulada</x:v>
      </x:c>
      <x:c r="P1" s="11" t="str">
        <x:v>Estado</x:v>
      </x:c>
      <x:c r="Q1" s="11" t="str">
        <x:v>Observación</x:v>
      </x:c>
      <x:c r="R1" s="11" t="str">
        <x:v>Foto etiqueta</x:v>
      </x:c>
    </x:row>
    <x:row r="2">
      <x:c r="B2" s="26"/>
      <x:c r="I2" s="27"/>
      <x:c r="K2" s="28"/>
      <x:c r="L2" s="28"/>
      <x:c r="M2" s="28"/>
      <x:c r="N2" s="28"/>
      <x:c r="O2" s="28"/>
    </x:row>
    <x:row r="3">
      <x:c r="B3" s="26"/>
      <x:c r="I3" s="27"/>
      <x:c r="K3" s="28"/>
      <x:c r="L3" s="28"/>
      <x:c r="M3" s="28"/>
      <x:c r="N3" s="28"/>
      <x:c r="O3" s="28"/>
    </x:row>
    <x:row r="4">
      <x:c r="B4" s="26"/>
      <x:c r="I4" s="27"/>
      <x:c r="K4" s="28"/>
      <x:c r="L4" s="28"/>
      <x:c r="M4" s="28"/>
      <x:c r="N4" s="28"/>
      <x:c r="O4" s="28"/>
    </x:row>
    <x:row r="5">
      <x:c r="B5" s="26"/>
      <x:c r="I5" s="27"/>
      <x:c r="K5" s="28"/>
      <x:c r="L5" s="28"/>
      <x:c r="M5" s="28"/>
      <x:c r="N5" s="28"/>
      <x:c r="O5" s="28"/>
    </x:row>
    <x:row r="6">
      <x:c r="B6" s="26"/>
      <x:c r="I6" s="27"/>
      <x:c r="K6" s="28"/>
      <x:c r="L6" s="28"/>
      <x:c r="M6" s="28"/>
      <x:c r="N6" s="28"/>
      <x:c r="O6" s="28"/>
    </x:row>
    <x:row r="7">
      <x:c r="B7" s="26"/>
      <x:c r="I7" s="27"/>
      <x:c r="K7" s="28"/>
      <x:c r="L7" s="28"/>
      <x:c r="M7" s="28"/>
      <x:c r="N7" s="28"/>
      <x:c r="O7" s="28"/>
    </x:row>
    <x:row r="8">
      <x:c r="B8" s="26"/>
      <x:c r="I8" s="27"/>
      <x:c r="K8" s="28"/>
      <x:c r="L8" s="28"/>
      <x:c r="M8" s="28"/>
      <x:c r="N8" s="28"/>
      <x:c r="O8" s="28"/>
    </x:row>
    <x:row r="9">
      <x:c r="B9" s="26"/>
      <x:c r="I9" s="27"/>
      <x:c r="K9" s="28"/>
      <x:c r="L9" s="28"/>
      <x:c r="M9" s="28"/>
      <x:c r="N9" s="28"/>
      <x:c r="O9" s="28"/>
    </x:row>
    <x:row r="10">
      <x:c r="B10" s="26"/>
      <x:c r="I10" s="27"/>
      <x:c r="K10" s="28"/>
      <x:c r="L10" s="28"/>
      <x:c r="M10" s="28"/>
      <x:c r="N10" s="28"/>
      <x:c r="O10" s="28"/>
    </x:row>
    <x:row r="11">
      <x:c r="B11" s="26"/>
      <x:c r="I11" s="27"/>
      <x:c r="K11" s="28"/>
      <x:c r="L11" s="28"/>
      <x:c r="M11" s="28"/>
      <x:c r="N11" s="28"/>
      <x:c r="O11" s="28"/>
    </x:row>
    <x:row r="12">
      <x:c r="B12" s="26"/>
      <x:c r="I12" s="27"/>
      <x:c r="K12" s="28"/>
      <x:c r="L12" s="28"/>
      <x:c r="M12" s="28"/>
      <x:c r="N12" s="28"/>
      <x:c r="O12" s="28"/>
    </x:row>
    <x:row r="13">
      <x:c r="B13" s="26"/>
      <x:c r="I13" s="27"/>
      <x:c r="K13" s="28"/>
      <x:c r="L13" s="28"/>
      <x:c r="M13" s="28"/>
      <x:c r="N13" s="28"/>
      <x:c r="O13" s="28"/>
    </x:row>
    <x:row r="14">
      <x:c r="B14" s="26"/>
      <x:c r="I14" s="27"/>
      <x:c r="K14" s="28"/>
      <x:c r="L14" s="28"/>
      <x:c r="M14" s="28"/>
      <x:c r="N14" s="28"/>
      <x:c r="O14" s="28"/>
    </x:row>
    <x:row r="15">
      <x:c r="B15" s="26"/>
      <x:c r="I15" s="27"/>
      <x:c r="K15" s="28"/>
      <x:c r="L15" s="28"/>
      <x:c r="M15" s="28"/>
      <x:c r="N15" s="28"/>
      <x:c r="O15" s="28"/>
    </x:row>
    <x:row r="16">
      <x:c r="B16" s="26"/>
      <x:c r="I16" s="27"/>
      <x:c r="K16" s="28"/>
      <x:c r="L16" s="28"/>
      <x:c r="M16" s="28"/>
      <x:c r="N16" s="28"/>
      <x:c r="O16" s="28"/>
    </x:row>
    <x:row r="17">
      <x:c r="B17" s="26"/>
      <x:c r="I17" s="27"/>
      <x:c r="K17" s="28"/>
      <x:c r="L17" s="28"/>
      <x:c r="M17" s="28"/>
      <x:c r="N17" s="28"/>
      <x:c r="O17" s="28"/>
    </x:row>
    <x:row r="18">
      <x:c r="B18" s="26"/>
      <x:c r="I18" s="27"/>
      <x:c r="K18" s="28"/>
      <x:c r="L18" s="28"/>
      <x:c r="M18" s="28"/>
      <x:c r="N18" s="28"/>
      <x:c r="O18" s="28"/>
    </x:row>
    <x:row r="19">
      <x:c r="B19" s="26"/>
      <x:c r="I19" s="27"/>
      <x:c r="K19" s="28"/>
      <x:c r="L19" s="28"/>
      <x:c r="M19" s="28"/>
      <x:c r="N19" s="28"/>
      <x:c r="O19" s="28"/>
    </x:row>
    <x:row r="20">
      <x:c r="B20" s="26"/>
      <x:c r="I20" s="27"/>
      <x:c r="K20" s="28"/>
      <x:c r="L20" s="28"/>
      <x:c r="M20" s="28"/>
      <x:c r="N20" s="28"/>
      <x:c r="O20" s="28"/>
    </x:row>
    <x:row r="21">
      <x:c r="B21" s="26"/>
      <x:c r="I21" s="27"/>
      <x:c r="K21" s="28"/>
      <x:c r="L21" s="28"/>
      <x:c r="M21" s="28"/>
      <x:c r="N21" s="28"/>
      <x:c r="O21" s="28"/>
    </x:row>
    <x:row r="22">
      <x:c r="B22" s="26"/>
      <x:c r="I22" s="27"/>
      <x:c r="K22" s="28"/>
      <x:c r="L22" s="28"/>
      <x:c r="M22" s="28"/>
      <x:c r="N22" s="28"/>
      <x:c r="O22" s="28"/>
    </x:row>
    <x:row r="23">
      <x:c r="B23" s="26"/>
      <x:c r="I23" s="27"/>
      <x:c r="K23" s="28"/>
      <x:c r="L23" s="28"/>
      <x:c r="M23" s="28"/>
      <x:c r="N23" s="28"/>
      <x:c r="O23" s="28"/>
    </x:row>
    <x:row r="24">
      <x:c r="B24" s="26"/>
      <x:c r="I24" s="27"/>
      <x:c r="K24" s="28"/>
      <x:c r="L24" s="28"/>
      <x:c r="M24" s="28"/>
      <x:c r="N24" s="28"/>
      <x:c r="O24" s="28"/>
    </x:row>
    <x:row r="25">
      <x:c r="B25" s="26"/>
      <x:c r="I25" s="27"/>
      <x:c r="K25" s="28"/>
      <x:c r="L25" s="28"/>
      <x:c r="M25" s="28"/>
      <x:c r="N25" s="28"/>
      <x:c r="O25" s="28"/>
    </x:row>
    <x:row r="26">
      <x:c r="B26" s="26"/>
      <x:c r="I26" s="27"/>
      <x:c r="K26" s="28"/>
      <x:c r="L26" s="28"/>
      <x:c r="M26" s="28"/>
      <x:c r="N26" s="28"/>
      <x:c r="O26" s="28"/>
    </x:row>
    <x:row r="27">
      <x:c r="B27" s="26"/>
      <x:c r="I27" s="27"/>
      <x:c r="K27" s="28"/>
      <x:c r="L27" s="28"/>
      <x:c r="M27" s="28"/>
      <x:c r="N27" s="28"/>
      <x:c r="O27" s="28"/>
    </x:row>
    <x:row r="28">
      <x:c r="B28" s="26"/>
      <x:c r="I28" s="27"/>
      <x:c r="K28" s="28"/>
      <x:c r="L28" s="28"/>
      <x:c r="M28" s="28"/>
      <x:c r="N28" s="28"/>
      <x:c r="O28" s="28"/>
    </x:row>
    <x:row r="29">
      <x:c r="B29" s="26"/>
      <x:c r="I29" s="27"/>
      <x:c r="K29" s="28"/>
      <x:c r="L29" s="28"/>
      <x:c r="M29" s="28"/>
      <x:c r="N29" s="28"/>
      <x:c r="O29" s="28"/>
    </x:row>
    <x:row r="30">
      <x:c r="B30" s="26"/>
      <x:c r="I30" s="27"/>
      <x:c r="K30" s="28"/>
      <x:c r="L30" s="28"/>
      <x:c r="M30" s="28"/>
      <x:c r="N30" s="28"/>
      <x:c r="O30" s="28"/>
    </x:row>
    <x:row r="31">
      <x:c r="B31" s="26"/>
      <x:c r="I31" s="27"/>
      <x:c r="K31" s="28"/>
      <x:c r="L31" s="28"/>
      <x:c r="M31" s="28"/>
      <x:c r="N31" s="28"/>
      <x:c r="O31" s="28"/>
    </x:row>
    <x:row r="32">
      <x:c r="B32" s="26"/>
      <x:c r="I32" s="27"/>
      <x:c r="K32" s="28"/>
      <x:c r="L32" s="28"/>
      <x:c r="M32" s="28"/>
      <x:c r="N32" s="28"/>
      <x:c r="O32" s="28"/>
    </x:row>
    <x:row r="33">
      <x:c r="B33" s="26"/>
      <x:c r="I33" s="27"/>
      <x:c r="K33" s="28"/>
      <x:c r="L33" s="28"/>
      <x:c r="M33" s="28"/>
      <x:c r="N33" s="28"/>
      <x:c r="O33" s="28"/>
    </x:row>
    <x:row r="34">
      <x:c r="B34" s="26"/>
      <x:c r="I34" s="27"/>
      <x:c r="K34" s="28"/>
      <x:c r="L34" s="28"/>
      <x:c r="M34" s="28"/>
      <x:c r="N34" s="28"/>
      <x:c r="O34" s="28"/>
    </x:row>
    <x:row r="35">
      <x:c r="B35" s="26"/>
      <x:c r="I35" s="27"/>
      <x:c r="K35" s="28"/>
      <x:c r="L35" s="28"/>
      <x:c r="M35" s="28"/>
      <x:c r="N35" s="28"/>
      <x:c r="O35" s="28"/>
    </x:row>
    <x:row r="36">
      <x:c r="B36" s="26"/>
      <x:c r="I36" s="27"/>
      <x:c r="K36" s="28"/>
      <x:c r="L36" s="28"/>
      <x:c r="M36" s="28"/>
      <x:c r="N36" s="28"/>
      <x:c r="O36" s="28"/>
    </x:row>
    <x:row r="37">
      <x:c r="B37" s="26"/>
      <x:c r="I37" s="27"/>
      <x:c r="K37" s="28"/>
      <x:c r="L37" s="28"/>
      <x:c r="M37" s="28"/>
      <x:c r="N37" s="28"/>
      <x:c r="O37" s="28"/>
    </x:row>
    <x:row r="38">
      <x:c r="B38" s="26"/>
      <x:c r="I38" s="27"/>
      <x:c r="K38" s="28"/>
      <x:c r="L38" s="28"/>
      <x:c r="M38" s="28"/>
      <x:c r="N38" s="28"/>
      <x:c r="O38" s="28"/>
    </x:row>
    <x:row r="39">
      <x:c r="B39" s="26"/>
      <x:c r="I39" s="27"/>
      <x:c r="K39" s="28"/>
      <x:c r="L39" s="28"/>
      <x:c r="M39" s="28"/>
      <x:c r="N39" s="28"/>
      <x:c r="O39" s="28"/>
    </x:row>
    <x:row r="40">
      <x:c r="B40" s="26"/>
      <x:c r="I40" s="27"/>
      <x:c r="K40" s="28"/>
      <x:c r="L40" s="28"/>
      <x:c r="M40" s="28"/>
      <x:c r="N40" s="28"/>
      <x:c r="O40" s="28"/>
    </x:row>
    <x:row r="41">
      <x:c r="B41" s="26"/>
      <x:c r="I41" s="27"/>
      <x:c r="K41" s="28"/>
      <x:c r="L41" s="28"/>
      <x:c r="M41" s="28"/>
      <x:c r="N41" s="28"/>
      <x:c r="O41" s="28"/>
    </x:row>
    <x:row r="42">
      <x:c r="B42" s="26"/>
      <x:c r="I42" s="27"/>
      <x:c r="K42" s="28"/>
      <x:c r="L42" s="28"/>
      <x:c r="M42" s="28"/>
      <x:c r="N42" s="28"/>
      <x:c r="O42" s="28"/>
    </x:row>
    <x:row r="43">
      <x:c r="B43" s="26"/>
      <x:c r="I43" s="27"/>
      <x:c r="K43" s="28"/>
      <x:c r="L43" s="28"/>
      <x:c r="M43" s="28"/>
      <x:c r="N43" s="28"/>
      <x:c r="O43" s="28"/>
    </x:row>
    <x:row r="44">
      <x:c r="B44" s="26"/>
      <x:c r="I44" s="27"/>
      <x:c r="K44" s="28"/>
      <x:c r="L44" s="28"/>
      <x:c r="M44" s="28"/>
      <x:c r="N44" s="28"/>
      <x:c r="O44" s="28"/>
    </x:row>
    <x:row r="45">
      <x:c r="B45" s="26"/>
      <x:c r="I45" s="27"/>
      <x:c r="K45" s="28"/>
      <x:c r="L45" s="28"/>
      <x:c r="M45" s="28"/>
      <x:c r="N45" s="28"/>
      <x:c r="O45" s="28"/>
    </x:row>
    <x:row r="46">
      <x:c r="B46" s="26"/>
      <x:c r="I46" s="27"/>
      <x:c r="K46" s="28"/>
      <x:c r="L46" s="28"/>
      <x:c r="M46" s="28"/>
      <x:c r="N46" s="28"/>
      <x:c r="O46" s="28"/>
    </x:row>
    <x:row r="47">
      <x:c r="B47" s="26"/>
      <x:c r="I47" s="27"/>
      <x:c r="K47" s="28"/>
      <x:c r="L47" s="28"/>
      <x:c r="M47" s="28"/>
      <x:c r="N47" s="28"/>
      <x:c r="O47" s="28"/>
    </x:row>
    <x:row r="48">
      <x:c r="B48" s="26"/>
      <x:c r="I48" s="27"/>
      <x:c r="K48" s="28"/>
      <x:c r="L48" s="28"/>
      <x:c r="M48" s="28"/>
      <x:c r="N48" s="28"/>
      <x:c r="O48" s="28"/>
    </x:row>
    <x:row r="49">
      <x:c r="B49" s="26"/>
      <x:c r="I49" s="27"/>
      <x:c r="K49" s="28"/>
      <x:c r="L49" s="28"/>
      <x:c r="M49" s="28"/>
      <x:c r="N49" s="28"/>
      <x:c r="O49" s="28"/>
    </x:row>
    <x:row r="50">
      <x:c r="B50" s="26"/>
      <x:c r="I50" s="27"/>
      <x:c r="K50" s="28"/>
      <x:c r="L50" s="28"/>
      <x:c r="M50" s="28"/>
      <x:c r="N50" s="28"/>
      <x:c r="O50" s="28"/>
    </x:row>
    <x:row r="51">
      <x:c r="B51" s="26"/>
      <x:c r="I51" s="27"/>
      <x:c r="K51" s="28"/>
      <x:c r="L51" s="28"/>
      <x:c r="M51" s="28"/>
      <x:c r="N51" s="28"/>
      <x:c r="O51" s="28"/>
    </x:row>
    <x:row r="52">
      <x:c r="B52" s="26"/>
      <x:c r="I52" s="27"/>
      <x:c r="K52" s="28"/>
      <x:c r="L52" s="28"/>
      <x:c r="M52" s="28"/>
      <x:c r="N52" s="28"/>
      <x:c r="O52" s="28"/>
    </x:row>
    <x:row r="53">
      <x:c r="B53" s="26"/>
      <x:c r="I53" s="27"/>
      <x:c r="K53" s="28"/>
      <x:c r="L53" s="28"/>
      <x:c r="M53" s="28"/>
      <x:c r="N53" s="28"/>
      <x:c r="O53" s="28"/>
    </x:row>
    <x:row r="54">
      <x:c r="B54" s="26"/>
      <x:c r="I54" s="27"/>
      <x:c r="K54" s="28"/>
      <x:c r="L54" s="28"/>
      <x:c r="M54" s="28"/>
      <x:c r="N54" s="28"/>
      <x:c r="O54" s="28"/>
    </x:row>
    <x:row r="55">
      <x:c r="B55" s="26"/>
      <x:c r="I55" s="27"/>
      <x:c r="K55" s="28"/>
      <x:c r="L55" s="28"/>
      <x:c r="M55" s="28"/>
      <x:c r="N55" s="28"/>
      <x:c r="O55" s="28"/>
    </x:row>
    <x:row r="56">
      <x:c r="B56" s="26"/>
      <x:c r="I56" s="27"/>
      <x:c r="K56" s="28"/>
      <x:c r="L56" s="28"/>
      <x:c r="M56" s="28"/>
      <x:c r="N56" s="28"/>
      <x:c r="O56" s="28"/>
    </x:row>
    <x:row r="57">
      <x:c r="B57" s="26"/>
      <x:c r="I57" s="27"/>
      <x:c r="K57" s="28"/>
      <x:c r="L57" s="28"/>
      <x:c r="M57" s="28"/>
      <x:c r="N57" s="28"/>
      <x:c r="O57" s="28"/>
    </x:row>
    <x:row r="58">
      <x:c r="B58" s="26"/>
      <x:c r="I58" s="27"/>
      <x:c r="K58" s="28"/>
      <x:c r="L58" s="28"/>
      <x:c r="M58" s="28"/>
      <x:c r="N58" s="28"/>
      <x:c r="O58" s="28"/>
    </x:row>
    <x:row r="59">
      <x:c r="B59" s="26"/>
      <x:c r="I59" s="27"/>
      <x:c r="K59" s="28"/>
      <x:c r="L59" s="28"/>
      <x:c r="M59" s="28"/>
      <x:c r="N59" s="28"/>
      <x:c r="O59" s="28"/>
    </x:row>
    <x:row r="60">
      <x:c r="B60" s="26"/>
      <x:c r="I60" s="27"/>
      <x:c r="K60" s="28"/>
      <x:c r="L60" s="28"/>
      <x:c r="M60" s="28"/>
      <x:c r="N60" s="28"/>
      <x:c r="O60" s="28"/>
    </x:row>
    <x:row r="61">
      <x:c r="B61" s="26"/>
      <x:c r="I61" s="27"/>
      <x:c r="K61" s="28"/>
      <x:c r="L61" s="28"/>
      <x:c r="M61" s="28"/>
      <x:c r="N61" s="28"/>
      <x:c r="O61" s="28"/>
    </x:row>
    <x:row r="62">
      <x:c r="B62" s="26"/>
      <x:c r="I62" s="27"/>
      <x:c r="K62" s="28"/>
      <x:c r="L62" s="28"/>
      <x:c r="M62" s="28"/>
      <x:c r="N62" s="28"/>
      <x:c r="O62" s="28"/>
    </x:row>
    <x:row r="63">
      <x:c r="B63" s="26"/>
      <x:c r="I63" s="27"/>
      <x:c r="K63" s="28"/>
      <x:c r="L63" s="28"/>
      <x:c r="M63" s="28"/>
      <x:c r="N63" s="28"/>
      <x:c r="O63" s="28"/>
    </x:row>
    <x:row r="64">
      <x:c r="B64" s="26"/>
      <x:c r="I64" s="27"/>
      <x:c r="K64" s="28"/>
      <x:c r="L64" s="28"/>
      <x:c r="M64" s="28"/>
      <x:c r="N64" s="28"/>
      <x:c r="O64" s="28"/>
    </x:row>
    <x:row r="65">
      <x:c r="B65" s="26"/>
      <x:c r="I65" s="27"/>
      <x:c r="K65" s="28"/>
      <x:c r="L65" s="28"/>
      <x:c r="M65" s="28"/>
      <x:c r="N65" s="28"/>
      <x:c r="O65" s="28"/>
    </x:row>
    <x:row r="66">
      <x:c r="B66" s="26"/>
      <x:c r="I66" s="27"/>
      <x:c r="K66" s="28"/>
      <x:c r="L66" s="28"/>
      <x:c r="M66" s="28"/>
      <x:c r="N66" s="28"/>
      <x:c r="O66" s="28"/>
    </x:row>
    <x:row r="67">
      <x:c r="B67" s="26"/>
      <x:c r="I67" s="27"/>
      <x:c r="K67" s="28"/>
      <x:c r="L67" s="28"/>
      <x:c r="M67" s="28"/>
      <x:c r="N67" s="28"/>
      <x:c r="O67" s="28"/>
    </x:row>
    <x:row r="68">
      <x:c r="B68" s="26"/>
      <x:c r="I68" s="27"/>
      <x:c r="K68" s="28"/>
      <x:c r="L68" s="28"/>
      <x:c r="M68" s="28"/>
      <x:c r="N68" s="28"/>
      <x:c r="O68" s="28"/>
    </x:row>
    <x:row r="69">
      <x:c r="B69" s="26"/>
      <x:c r="I69" s="27"/>
      <x:c r="K69" s="28"/>
      <x:c r="L69" s="28"/>
      <x:c r="M69" s="28"/>
      <x:c r="N69" s="28"/>
      <x:c r="O69" s="28"/>
    </x:row>
    <x:row r="70">
      <x:c r="B70" s="26"/>
      <x:c r="I70" s="27"/>
      <x:c r="K70" s="28"/>
      <x:c r="L70" s="28"/>
      <x:c r="M70" s="28"/>
      <x:c r="N70" s="28"/>
      <x:c r="O70" s="28"/>
    </x:row>
    <x:row r="71">
      <x:c r="B71" s="26"/>
      <x:c r="I71" s="27"/>
      <x:c r="K71" s="28"/>
      <x:c r="L71" s="28"/>
      <x:c r="M71" s="28"/>
      <x:c r="N71" s="28"/>
      <x:c r="O71" s="28"/>
    </x:row>
    <x:row r="72">
      <x:c r="B72" s="26"/>
      <x:c r="I72" s="27"/>
      <x:c r="K72" s="28"/>
      <x:c r="L72" s="28"/>
      <x:c r="M72" s="28"/>
      <x:c r="N72" s="28"/>
      <x:c r="O72" s="28"/>
    </x:row>
    <x:row r="73">
      <x:c r="B73" s="26"/>
      <x:c r="I73" s="27"/>
      <x:c r="K73" s="28"/>
      <x:c r="L73" s="28"/>
      <x:c r="M73" s="28"/>
      <x:c r="N73" s="28"/>
      <x:c r="O73" s="28"/>
    </x:row>
    <x:row r="74">
      <x:c r="B74" s="26"/>
      <x:c r="I74" s="27"/>
      <x:c r="K74" s="28"/>
      <x:c r="L74" s="28"/>
      <x:c r="M74" s="28"/>
      <x:c r="N74" s="28"/>
      <x:c r="O74" s="28"/>
    </x:row>
    <x:row r="75">
      <x:c r="B75" s="26"/>
      <x:c r="I75" s="27"/>
      <x:c r="K75" s="28"/>
      <x:c r="L75" s="28"/>
      <x:c r="M75" s="28"/>
      <x:c r="N75" s="28"/>
      <x:c r="O75" s="28"/>
    </x:row>
    <x:row r="76">
      <x:c r="B76" s="26"/>
      <x:c r="I76" s="27"/>
      <x:c r="K76" s="28"/>
      <x:c r="L76" s="28"/>
      <x:c r="M76" s="28"/>
      <x:c r="N76" s="28"/>
      <x:c r="O76" s="28"/>
    </x:row>
    <x:row r="77">
      <x:c r="B77" s="26"/>
      <x:c r="I77" s="27"/>
      <x:c r="K77" s="28"/>
      <x:c r="L77" s="28"/>
      <x:c r="M77" s="28"/>
      <x:c r="N77" s="28"/>
      <x:c r="O77" s="28"/>
    </x:row>
    <x:row r="78">
      <x:c r="B78" s="26"/>
      <x:c r="I78" s="27"/>
      <x:c r="K78" s="28"/>
      <x:c r="L78" s="28"/>
      <x:c r="M78" s="28"/>
      <x:c r="N78" s="28"/>
      <x:c r="O78" s="28"/>
    </x:row>
    <x:row r="79">
      <x:c r="B79" s="26"/>
      <x:c r="I79" s="27"/>
      <x:c r="K79" s="28"/>
      <x:c r="L79" s="28"/>
      <x:c r="M79" s="28"/>
      <x:c r="N79" s="28"/>
      <x:c r="O79" s="28"/>
    </x:row>
    <x:row r="80">
      <x:c r="B80" s="26"/>
      <x:c r="I80" s="27"/>
      <x:c r="K80" s="28"/>
      <x:c r="L80" s="28"/>
      <x:c r="M80" s="28"/>
      <x:c r="N80" s="28"/>
      <x:c r="O80" s="28"/>
    </x:row>
    <x:row r="81">
      <x:c r="B81" s="26"/>
      <x:c r="I81" s="27"/>
      <x:c r="K81" s="28"/>
      <x:c r="L81" s="28"/>
      <x:c r="M81" s="28"/>
      <x:c r="N81" s="28"/>
      <x:c r="O81" s="28"/>
    </x:row>
    <x:row r="82">
      <x:c r="B82" s="26"/>
      <x:c r="I82" s="27"/>
      <x:c r="K82" s="28"/>
      <x:c r="L82" s="28"/>
      <x:c r="M82" s="28"/>
      <x:c r="N82" s="28"/>
      <x:c r="O82" s="28"/>
    </x:row>
    <x:row r="83">
      <x:c r="B83" s="26"/>
      <x:c r="I83" s="27"/>
      <x:c r="K83" s="28"/>
      <x:c r="L83" s="28"/>
      <x:c r="M83" s="28"/>
      <x:c r="N83" s="28"/>
      <x:c r="O83" s="28"/>
    </x:row>
    <x:row r="84">
      <x:c r="B84" s="26"/>
      <x:c r="I84" s="27"/>
      <x:c r="K84" s="28"/>
      <x:c r="L84" s="28"/>
      <x:c r="M84" s="28"/>
      <x:c r="N84" s="28"/>
      <x:c r="O84" s="28"/>
    </x:row>
    <x:row r="85">
      <x:c r="B85" s="26"/>
      <x:c r="I85" s="27"/>
      <x:c r="K85" s="28"/>
      <x:c r="L85" s="28"/>
      <x:c r="M85" s="28"/>
      <x:c r="N85" s="28"/>
      <x:c r="O85" s="28"/>
    </x:row>
    <x:row r="86">
      <x:c r="B86" s="26"/>
      <x:c r="I86" s="27"/>
      <x:c r="K86" s="28"/>
      <x:c r="L86" s="28"/>
      <x:c r="M86" s="28"/>
      <x:c r="N86" s="28"/>
      <x:c r="O86" s="28"/>
    </x:row>
    <x:row r="87">
      <x:c r="B87" s="26"/>
      <x:c r="I87" s="27"/>
      <x:c r="K87" s="28"/>
      <x:c r="L87" s="28"/>
      <x:c r="M87" s="28"/>
      <x:c r="N87" s="28"/>
      <x:c r="O87" s="28"/>
    </x:row>
    <x:row r="88">
      <x:c r="B88" s="26"/>
      <x:c r="I88" s="27"/>
      <x:c r="K88" s="28"/>
      <x:c r="L88" s="28"/>
      <x:c r="M88" s="28"/>
      <x:c r="N88" s="28"/>
      <x:c r="O88" s="28"/>
    </x:row>
    <x:row r="89">
      <x:c r="B89" s="26"/>
      <x:c r="I89" s="27"/>
      <x:c r="K89" s="28"/>
      <x:c r="L89" s="28"/>
      <x:c r="M89" s="28"/>
      <x:c r="N89" s="28"/>
      <x:c r="O89" s="28"/>
    </x:row>
    <x:row r="90">
      <x:c r="B90" s="26"/>
      <x:c r="I90" s="27"/>
      <x:c r="K90" s="28"/>
      <x:c r="L90" s="28"/>
      <x:c r="M90" s="28"/>
      <x:c r="N90" s="28"/>
      <x:c r="O90" s="28"/>
    </x:row>
    <x:row r="91">
      <x:c r="B91" s="26"/>
      <x:c r="I91" s="27"/>
      <x:c r="K91" s="28"/>
      <x:c r="L91" s="28"/>
      <x:c r="M91" s="28"/>
      <x:c r="N91" s="28"/>
      <x:c r="O91" s="28"/>
    </x:row>
    <x:row r="92">
      <x:c r="B92" s="26"/>
      <x:c r="I92" s="27"/>
      <x:c r="K92" s="28"/>
      <x:c r="L92" s="28"/>
      <x:c r="M92" s="28"/>
      <x:c r="N92" s="28"/>
      <x:c r="O92" s="28"/>
    </x:row>
    <x:row r="93">
      <x:c r="B93" s="26"/>
      <x:c r="I93" s="27"/>
      <x:c r="K93" s="28"/>
      <x:c r="L93" s="28"/>
      <x:c r="M93" s="28"/>
      <x:c r="N93" s="28"/>
      <x:c r="O93" s="28"/>
    </x:row>
    <x:row r="94">
      <x:c r="B94" s="26"/>
      <x:c r="I94" s="27"/>
      <x:c r="K94" s="28"/>
      <x:c r="L94" s="28"/>
      <x:c r="M94" s="28"/>
      <x:c r="N94" s="28"/>
      <x:c r="O94" s="28"/>
    </x:row>
    <x:row r="95">
      <x:c r="B95" s="26"/>
      <x:c r="I95" s="27"/>
      <x:c r="K95" s="28"/>
      <x:c r="L95" s="28"/>
      <x:c r="M95" s="28"/>
      <x:c r="N95" s="28"/>
      <x:c r="O95" s="28"/>
    </x:row>
    <x:row r="96">
      <x:c r="B96" s="26"/>
      <x:c r="I96" s="27"/>
      <x:c r="K96" s="28"/>
      <x:c r="L96" s="28"/>
      <x:c r="M96" s="28"/>
      <x:c r="N96" s="28"/>
      <x:c r="O96" s="28"/>
    </x:row>
    <x:row r="97">
      <x:c r="B97" s="26"/>
      <x:c r="I97" s="27"/>
      <x:c r="K97" s="28"/>
      <x:c r="L97" s="28"/>
      <x:c r="M97" s="28"/>
      <x:c r="N97" s="28"/>
      <x:c r="O97" s="28"/>
    </x:row>
    <x:row r="98">
      <x:c r="B98" s="26"/>
      <x:c r="I98" s="27"/>
      <x:c r="K98" s="28"/>
      <x:c r="L98" s="28"/>
      <x:c r="M98" s="28"/>
      <x:c r="N98" s="28"/>
      <x:c r="O98" s="28"/>
    </x:row>
    <x:row r="99">
      <x:c r="B99" s="26"/>
      <x:c r="I99" s="27"/>
      <x:c r="K99" s="28"/>
      <x:c r="L99" s="28"/>
      <x:c r="M99" s="28"/>
      <x:c r="N99" s="28"/>
      <x:c r="O99" s="28"/>
    </x:row>
    <x:row r="100">
      <x:c r="B100" s="26"/>
      <x:c r="I100" s="27"/>
      <x:c r="K100" s="28"/>
      <x:c r="L100" s="28"/>
      <x:c r="M100" s="28"/>
      <x:c r="N100" s="28"/>
      <x:c r="O100" s="28"/>
    </x:row>
    <x:row r="101">
      <x:c r="B101" s="26"/>
      <x:c r="I101" s="27"/>
      <x:c r="K101" s="28"/>
      <x:c r="L101" s="28"/>
      <x:c r="M101" s="28"/>
      <x:c r="N101" s="28"/>
      <x:c r="O101" s="28"/>
    </x:row>
    <x:row r="102">
      <x:c r="B102" s="26"/>
      <x:c r="I102" s="27"/>
      <x:c r="K102" s="28"/>
      <x:c r="L102" s="28"/>
      <x:c r="M102" s="28"/>
      <x:c r="N102" s="28"/>
      <x:c r="O102" s="28"/>
    </x:row>
    <x:row r="103">
      <x:c r="B103" s="26"/>
      <x:c r="I103" s="27"/>
      <x:c r="K103" s="28"/>
      <x:c r="L103" s="28"/>
      <x:c r="M103" s="28"/>
      <x:c r="N103" s="28"/>
      <x:c r="O103" s="28"/>
    </x:row>
    <x:row r="104">
      <x:c r="B104" s="26"/>
      <x:c r="I104" s="27"/>
      <x:c r="K104" s="28"/>
      <x:c r="L104" s="28"/>
      <x:c r="M104" s="28"/>
      <x:c r="N104" s="28"/>
      <x:c r="O104" s="28"/>
    </x:row>
    <x:row r="105">
      <x:c r="B105" s="26"/>
      <x:c r="I105" s="27"/>
      <x:c r="K105" s="28"/>
      <x:c r="L105" s="28"/>
      <x:c r="M105" s="28"/>
      <x:c r="N105" s="28"/>
      <x:c r="O105" s="28"/>
    </x:row>
    <x:row r="106">
      <x:c r="B106" s="26"/>
      <x:c r="I106" s="27"/>
      <x:c r="K106" s="28"/>
      <x:c r="L106" s="28"/>
      <x:c r="M106" s="28"/>
      <x:c r="N106" s="28"/>
      <x:c r="O106" s="28"/>
    </x:row>
    <x:row r="107">
      <x:c r="B107" s="26"/>
      <x:c r="I107" s="27"/>
      <x:c r="K107" s="28"/>
      <x:c r="L107" s="28"/>
      <x:c r="M107" s="28"/>
      <x:c r="N107" s="28"/>
      <x:c r="O107" s="28"/>
    </x:row>
    <x:row r="108">
      <x:c r="B108" s="26"/>
      <x:c r="I108" s="27"/>
      <x:c r="K108" s="28"/>
      <x:c r="L108" s="28"/>
      <x:c r="M108" s="28"/>
      <x:c r="N108" s="28"/>
      <x:c r="O108" s="28"/>
    </x:row>
    <x:row r="109">
      <x:c r="B109" s="26"/>
      <x:c r="I109" s="27"/>
      <x:c r="K109" s="28"/>
      <x:c r="L109" s="28"/>
      <x:c r="M109" s="28"/>
      <x:c r="N109" s="28"/>
      <x:c r="O109" s="28"/>
    </x:row>
    <x:row r="110">
      <x:c r="B110" s="26"/>
      <x:c r="I110" s="27"/>
      <x:c r="K110" s="28"/>
      <x:c r="L110" s="28"/>
      <x:c r="M110" s="28"/>
      <x:c r="N110" s="28"/>
      <x:c r="O110" s="28"/>
    </x:row>
    <x:row r="111">
      <x:c r="B111" s="26"/>
      <x:c r="I111" s="27"/>
      <x:c r="K111" s="28"/>
      <x:c r="L111" s="28"/>
      <x:c r="M111" s="28"/>
      <x:c r="N111" s="28"/>
      <x:c r="O111" s="28"/>
    </x:row>
    <x:row r="112">
      <x:c r="B112" s="26"/>
      <x:c r="I112" s="27"/>
      <x:c r="K112" s="28"/>
      <x:c r="L112" s="28"/>
      <x:c r="M112" s="28"/>
      <x:c r="N112" s="28"/>
      <x:c r="O112" s="28"/>
    </x:row>
    <x:row r="113">
      <x:c r="B113" s="26"/>
      <x:c r="I113" s="27"/>
      <x:c r="K113" s="28"/>
      <x:c r="L113" s="28"/>
      <x:c r="M113" s="28"/>
      <x:c r="N113" s="28"/>
      <x:c r="O113" s="28"/>
    </x:row>
    <x:row r="114">
      <x:c r="B114" s="26"/>
      <x:c r="I114" s="27"/>
      <x:c r="K114" s="28"/>
      <x:c r="L114" s="28"/>
      <x:c r="M114" s="28"/>
      <x:c r="N114" s="28"/>
      <x:c r="O114" s="28"/>
    </x:row>
    <x:row r="115">
      <x:c r="B115" s="26"/>
      <x:c r="I115" s="27"/>
      <x:c r="K115" s="28"/>
      <x:c r="L115" s="28"/>
      <x:c r="M115" s="28"/>
      <x:c r="N115" s="28"/>
      <x:c r="O115" s="28"/>
    </x:row>
    <x:row r="116">
      <x:c r="B116" s="26"/>
      <x:c r="I116" s="27"/>
      <x:c r="K116" s="28"/>
      <x:c r="L116" s="28"/>
      <x:c r="M116" s="28"/>
      <x:c r="N116" s="28"/>
      <x:c r="O116" s="28"/>
    </x:row>
    <x:row r="117">
      <x:c r="B117" s="26"/>
      <x:c r="I117" s="27"/>
      <x:c r="K117" s="28"/>
      <x:c r="L117" s="28"/>
      <x:c r="M117" s="28"/>
      <x:c r="N117" s="28"/>
      <x:c r="O117" s="28"/>
    </x:row>
    <x:row r="118">
      <x:c r="B118" s="26"/>
      <x:c r="I118" s="27"/>
      <x:c r="K118" s="28"/>
      <x:c r="L118" s="28"/>
      <x:c r="M118" s="28"/>
      <x:c r="N118" s="28"/>
      <x:c r="O118" s="28"/>
    </x:row>
    <x:row r="119">
      <x:c r="B119" s="26"/>
      <x:c r="I119" s="27"/>
      <x:c r="K119" s="28"/>
      <x:c r="L119" s="28"/>
      <x:c r="M119" s="28"/>
      <x:c r="N119" s="28"/>
      <x:c r="O119" s="28"/>
    </x:row>
    <x:row r="120">
      <x:c r="B120" s="26"/>
      <x:c r="I120" s="27"/>
      <x:c r="K120" s="28"/>
      <x:c r="L120" s="28"/>
      <x:c r="M120" s="28"/>
      <x:c r="N120" s="28"/>
      <x:c r="O120" s="28"/>
    </x:row>
    <x:row r="121">
      <x:c r="B121" s="26"/>
      <x:c r="I121" s="27"/>
      <x:c r="K121" s="28"/>
      <x:c r="L121" s="28"/>
      <x:c r="M121" s="28"/>
      <x:c r="N121" s="28"/>
      <x:c r="O121" s="28"/>
    </x:row>
    <x:row r="122">
      <x:c r="B122" s="26"/>
      <x:c r="I122" s="27"/>
      <x:c r="K122" s="28"/>
      <x:c r="L122" s="28"/>
      <x:c r="M122" s="28"/>
      <x:c r="N122" s="28"/>
      <x:c r="O122" s="28"/>
    </x:row>
    <x:row r="123">
      <x:c r="B123" s="26"/>
      <x:c r="I123" s="27"/>
      <x:c r="K123" s="28"/>
      <x:c r="L123" s="28"/>
      <x:c r="M123" s="28"/>
      <x:c r="N123" s="28"/>
      <x:c r="O123" s="28"/>
    </x:row>
    <x:row r="124">
      <x:c r="B124" s="26"/>
      <x:c r="I124" s="27"/>
      <x:c r="K124" s="28"/>
      <x:c r="L124" s="28"/>
      <x:c r="M124" s="28"/>
      <x:c r="N124" s="28"/>
      <x:c r="O124" s="28"/>
    </x:row>
    <x:row r="125">
      <x:c r="B125" s="26"/>
      <x:c r="I125" s="27"/>
      <x:c r="K125" s="28"/>
      <x:c r="L125" s="28"/>
      <x:c r="M125" s="28"/>
      <x:c r="N125" s="28"/>
      <x:c r="O125" s="28"/>
    </x:row>
    <x:row r="126">
      <x:c r="B126" s="26"/>
      <x:c r="I126" s="27"/>
      <x:c r="K126" s="28"/>
      <x:c r="L126" s="28"/>
      <x:c r="M126" s="28"/>
      <x:c r="N126" s="28"/>
      <x:c r="O126" s="28"/>
    </x:row>
    <x:row r="127">
      <x:c r="B127" s="26"/>
      <x:c r="I127" s="27"/>
      <x:c r="K127" s="28"/>
      <x:c r="L127" s="28"/>
      <x:c r="M127" s="28"/>
      <x:c r="N127" s="28"/>
      <x:c r="O127" s="28"/>
    </x:row>
    <x:row r="128">
      <x:c r="B128" s="26"/>
      <x:c r="I128" s="27"/>
      <x:c r="K128" s="28"/>
      <x:c r="L128" s="28"/>
      <x:c r="M128" s="28"/>
      <x:c r="N128" s="28"/>
      <x:c r="O128" s="28"/>
    </x:row>
    <x:row r="129">
      <x:c r="B129" s="26"/>
      <x:c r="I129" s="27"/>
      <x:c r="K129" s="28"/>
      <x:c r="L129" s="28"/>
      <x:c r="M129" s="28"/>
      <x:c r="N129" s="28"/>
      <x:c r="O129" s="28"/>
    </x:row>
    <x:row r="130">
      <x:c r="B130" s="26"/>
      <x:c r="I130" s="27"/>
      <x:c r="K130" s="28"/>
      <x:c r="L130" s="28"/>
      <x:c r="M130" s="28"/>
      <x:c r="N130" s="28"/>
      <x:c r="O130" s="28"/>
    </x:row>
    <x:row r="131">
      <x:c r="B131" s="26"/>
      <x:c r="I131" s="27"/>
      <x:c r="K131" s="28"/>
      <x:c r="L131" s="28"/>
      <x:c r="M131" s="28"/>
      <x:c r="N131" s="28"/>
      <x:c r="O131" s="28"/>
    </x:row>
    <x:row r="132">
      <x:c r="B132" s="26"/>
      <x:c r="I132" s="27"/>
      <x:c r="K132" s="28"/>
      <x:c r="L132" s="28"/>
      <x:c r="M132" s="28"/>
      <x:c r="N132" s="28"/>
      <x:c r="O132" s="28"/>
    </x:row>
    <x:row r="133">
      <x:c r="B133" s="26"/>
      <x:c r="I133" s="27"/>
      <x:c r="K133" s="28"/>
      <x:c r="L133" s="28"/>
      <x:c r="M133" s="28"/>
      <x:c r="N133" s="28"/>
      <x:c r="O133" s="28"/>
    </x:row>
    <x:row r="134">
      <x:c r="B134" s="26"/>
      <x:c r="I134" s="27"/>
      <x:c r="K134" s="28"/>
      <x:c r="L134" s="28"/>
      <x:c r="M134" s="28"/>
      <x:c r="N134" s="28"/>
      <x:c r="O134" s="28"/>
    </x:row>
    <x:row r="135">
      <x:c r="B135" s="26"/>
      <x:c r="I135" s="27"/>
      <x:c r="K135" s="28"/>
      <x:c r="L135" s="28"/>
      <x:c r="M135" s="28"/>
      <x:c r="N135" s="28"/>
      <x:c r="O135" s="28"/>
    </x:row>
    <x:row r="136">
      <x:c r="B136" s="26"/>
      <x:c r="I136" s="27"/>
      <x:c r="K136" s="28"/>
      <x:c r="L136" s="28"/>
      <x:c r="M136" s="28"/>
      <x:c r="N136" s="28"/>
      <x:c r="O136" s="28"/>
    </x:row>
    <x:row r="137">
      <x:c r="B137" s="26"/>
      <x:c r="I137" s="27"/>
      <x:c r="K137" s="28"/>
      <x:c r="L137" s="28"/>
      <x:c r="M137" s="28"/>
      <x:c r="N137" s="28"/>
      <x:c r="O137" s="28"/>
    </x:row>
    <x:row r="138">
      <x:c r="B138" s="26"/>
      <x:c r="I138" s="27"/>
      <x:c r="K138" s="28"/>
      <x:c r="L138" s="28"/>
      <x:c r="M138" s="28"/>
      <x:c r="N138" s="28"/>
      <x:c r="O138" s="28"/>
    </x:row>
    <x:row r="139">
      <x:c r="B139" s="26"/>
      <x:c r="I139" s="27"/>
      <x:c r="K139" s="28"/>
      <x:c r="L139" s="28"/>
      <x:c r="M139" s="28"/>
      <x:c r="N139" s="28"/>
      <x:c r="O139" s="28"/>
    </x:row>
    <x:row r="140">
      <x:c r="B140" s="26"/>
      <x:c r="I140" s="27"/>
      <x:c r="K140" s="28"/>
      <x:c r="L140" s="28"/>
      <x:c r="M140" s="28"/>
      <x:c r="N140" s="28"/>
      <x:c r="O140" s="28"/>
    </x:row>
    <x:row r="141">
      <x:c r="B141" s="26"/>
      <x:c r="I141" s="27"/>
      <x:c r="K141" s="28"/>
      <x:c r="L141" s="28"/>
      <x:c r="M141" s="28"/>
      <x:c r="N141" s="28"/>
      <x:c r="O141" s="28"/>
    </x:row>
    <x:row r="142">
      <x:c r="B142" s="26"/>
      <x:c r="I142" s="27"/>
      <x:c r="K142" s="28"/>
      <x:c r="L142" s="28"/>
      <x:c r="M142" s="28"/>
      <x:c r="N142" s="28"/>
      <x:c r="O142" s="28"/>
    </x:row>
    <x:row r="143">
      <x:c r="B143" s="26"/>
      <x:c r="I143" s="27"/>
      <x:c r="K143" s="28"/>
      <x:c r="L143" s="28"/>
      <x:c r="M143" s="28"/>
      <x:c r="N143" s="28"/>
      <x:c r="O143" s="28"/>
    </x:row>
    <x:row r="144">
      <x:c r="B144" s="26"/>
      <x:c r="I144" s="27"/>
      <x:c r="K144" s="28"/>
      <x:c r="L144" s="28"/>
      <x:c r="M144" s="28"/>
      <x:c r="N144" s="28"/>
      <x:c r="O144" s="28"/>
    </x:row>
    <x:row r="145">
      <x:c r="B145" s="26"/>
      <x:c r="I145" s="27"/>
      <x:c r="K145" s="28"/>
      <x:c r="L145" s="28"/>
      <x:c r="M145" s="28"/>
      <x:c r="N145" s="28"/>
      <x:c r="O145" s="28"/>
    </x:row>
    <x:row r="146">
      <x:c r="B146" s="26"/>
      <x:c r="I146" s="27"/>
      <x:c r="K146" s="28"/>
      <x:c r="L146" s="28"/>
      <x:c r="M146" s="28"/>
      <x:c r="N146" s="28"/>
      <x:c r="O146" s="28"/>
    </x:row>
    <x:row r="147">
      <x:c r="B147" s="26"/>
      <x:c r="I147" s="27"/>
      <x:c r="K147" s="28"/>
      <x:c r="L147" s="28"/>
      <x:c r="M147" s="28"/>
      <x:c r="N147" s="28"/>
      <x:c r="O147" s="28"/>
    </x:row>
    <x:row r="148">
      <x:c r="B148" s="26"/>
      <x:c r="I148" s="27"/>
      <x:c r="K148" s="28"/>
      <x:c r="L148" s="28"/>
      <x:c r="M148" s="28"/>
      <x:c r="N148" s="28"/>
      <x:c r="O148" s="28"/>
    </x:row>
    <x:row r="149">
      <x:c r="B149" s="26"/>
      <x:c r="I149" s="27"/>
      <x:c r="K149" s="28"/>
      <x:c r="L149" s="28"/>
      <x:c r="M149" s="28"/>
      <x:c r="N149" s="28"/>
      <x:c r="O149" s="28"/>
    </x:row>
    <x:row r="150">
      <x:c r="B150" s="26"/>
      <x:c r="I150" s="27"/>
      <x:c r="K150" s="28"/>
      <x:c r="L150" s="28"/>
      <x:c r="M150" s="28"/>
      <x:c r="N150" s="28"/>
      <x:c r="O150" s="28"/>
    </x:row>
    <x:row r="151">
      <x:c r="B151" s="26"/>
      <x:c r="I151" s="27"/>
      <x:c r="K151" s="28"/>
      <x:c r="L151" s="28"/>
      <x:c r="M151" s="28"/>
      <x:c r="N151" s="28"/>
      <x:c r="O151" s="28"/>
    </x:row>
    <x:row r="152">
      <x:c r="B152" s="26"/>
      <x:c r="I152" s="27"/>
      <x:c r="K152" s="28"/>
      <x:c r="L152" s="28"/>
      <x:c r="M152" s="28"/>
      <x:c r="N152" s="28"/>
      <x:c r="O152" s="28"/>
    </x:row>
    <x:row r="153">
      <x:c r="B153" s="26"/>
      <x:c r="I153" s="27"/>
      <x:c r="K153" s="28"/>
      <x:c r="L153" s="28"/>
      <x:c r="M153" s="28"/>
      <x:c r="N153" s="28"/>
      <x:c r="O153" s="28"/>
    </x:row>
    <x:row r="154">
      <x:c r="B154" s="26"/>
      <x:c r="I154" s="27"/>
      <x:c r="K154" s="28"/>
      <x:c r="L154" s="28"/>
      <x:c r="M154" s="28"/>
      <x:c r="N154" s="28"/>
      <x:c r="O154" s="28"/>
    </x:row>
    <x:row r="155">
      <x:c r="B155" s="26"/>
      <x:c r="I155" s="27"/>
      <x:c r="K155" s="28"/>
      <x:c r="L155" s="28"/>
      <x:c r="M155" s="28"/>
      <x:c r="N155" s="28"/>
      <x:c r="O155" s="28"/>
    </x:row>
    <x:row r="156">
      <x:c r="B156" s="26"/>
      <x:c r="I156" s="27"/>
      <x:c r="K156" s="28"/>
      <x:c r="L156" s="28"/>
      <x:c r="M156" s="28"/>
      <x:c r="N156" s="28"/>
      <x:c r="O156" s="28"/>
    </x:row>
    <x:row r="157">
      <x:c r="B157" s="26"/>
      <x:c r="I157" s="27"/>
      <x:c r="K157" s="28"/>
      <x:c r="L157" s="28"/>
      <x:c r="M157" s="28"/>
      <x:c r="N157" s="28"/>
      <x:c r="O157" s="28"/>
    </x:row>
    <x:row r="158">
      <x:c r="B158" s="26"/>
      <x:c r="I158" s="27"/>
      <x:c r="K158" s="28"/>
      <x:c r="L158" s="28"/>
      <x:c r="M158" s="28"/>
      <x:c r="N158" s="28"/>
      <x:c r="O158" s="28"/>
    </x:row>
    <x:row r="159">
      <x:c r="B159" s="26"/>
      <x:c r="I159" s="27"/>
      <x:c r="K159" s="28"/>
      <x:c r="L159" s="28"/>
      <x:c r="M159" s="28"/>
      <x:c r="N159" s="28"/>
      <x:c r="O159" s="28"/>
    </x:row>
    <x:row r="160">
      <x:c r="B160" s="26"/>
      <x:c r="I160" s="27"/>
      <x:c r="K160" s="28"/>
      <x:c r="L160" s="28"/>
      <x:c r="M160" s="28"/>
      <x:c r="N160" s="28"/>
      <x:c r="O160" s="28"/>
    </x:row>
    <x:row r="161">
      <x:c r="B161" s="26"/>
      <x:c r="I161" s="27"/>
      <x:c r="K161" s="28"/>
      <x:c r="L161" s="28"/>
      <x:c r="M161" s="28"/>
      <x:c r="N161" s="28"/>
      <x:c r="O161" s="28"/>
    </x:row>
    <x:row r="162">
      <x:c r="B162" s="26"/>
      <x:c r="I162" s="27"/>
      <x:c r="K162" s="28"/>
      <x:c r="L162" s="28"/>
      <x:c r="M162" s="28"/>
      <x:c r="N162" s="28"/>
      <x:c r="O162" s="28"/>
    </x:row>
    <x:row r="163">
      <x:c r="B163" s="26"/>
      <x:c r="I163" s="27"/>
      <x:c r="K163" s="28"/>
      <x:c r="L163" s="28"/>
      <x:c r="M163" s="28"/>
      <x:c r="N163" s="28"/>
      <x:c r="O163" s="28"/>
    </x:row>
    <x:row r="164">
      <x:c r="B164" s="26"/>
      <x:c r="I164" s="27"/>
      <x:c r="K164" s="28"/>
      <x:c r="L164" s="28"/>
      <x:c r="M164" s="28"/>
      <x:c r="N164" s="28"/>
      <x:c r="O164" s="28"/>
    </x:row>
    <x:row r="165">
      <x:c r="B165" s="26"/>
      <x:c r="I165" s="27"/>
      <x:c r="K165" s="28"/>
      <x:c r="L165" s="28"/>
      <x:c r="M165" s="28"/>
      <x:c r="N165" s="28"/>
      <x:c r="O165" s="28"/>
    </x:row>
    <x:row r="166">
      <x:c r="B166" s="26"/>
      <x:c r="I166" s="27"/>
      <x:c r="K166" s="28"/>
      <x:c r="L166" s="28"/>
      <x:c r="M166" s="28"/>
      <x:c r="N166" s="28"/>
      <x:c r="O166" s="28"/>
    </x:row>
    <x:row r="167">
      <x:c r="B167" s="26"/>
      <x:c r="I167" s="27"/>
      <x:c r="K167" s="28"/>
      <x:c r="L167" s="28"/>
      <x:c r="M167" s="28"/>
      <x:c r="N167" s="28"/>
      <x:c r="O167" s="28"/>
    </x:row>
    <x:row r="168">
      <x:c r="B168" s="26"/>
      <x:c r="I168" s="27"/>
      <x:c r="K168" s="28"/>
      <x:c r="L168" s="28"/>
      <x:c r="M168" s="28"/>
      <x:c r="N168" s="28"/>
      <x:c r="O168" s="28"/>
    </x:row>
    <x:row r="169">
      <x:c r="B169" s="26"/>
      <x:c r="I169" s="27"/>
      <x:c r="K169" s="28"/>
      <x:c r="L169" s="28"/>
      <x:c r="M169" s="28"/>
      <x:c r="N169" s="28"/>
      <x:c r="O169" s="28"/>
    </x:row>
    <x:row r="170">
      <x:c r="B170" s="26"/>
      <x:c r="I170" s="27"/>
      <x:c r="K170" s="28"/>
      <x:c r="L170" s="28"/>
      <x:c r="M170" s="28"/>
      <x:c r="N170" s="28"/>
      <x:c r="O170" s="28"/>
    </x:row>
    <x:row r="171">
      <x:c r="B171" s="26"/>
      <x:c r="I171" s="27"/>
      <x:c r="K171" s="28"/>
      <x:c r="L171" s="28"/>
      <x:c r="M171" s="28"/>
      <x:c r="N171" s="28"/>
      <x:c r="O171" s="28"/>
    </x:row>
    <x:row r="172">
      <x:c r="B172" s="26"/>
      <x:c r="I172" s="27"/>
      <x:c r="K172" s="28"/>
      <x:c r="L172" s="28"/>
      <x:c r="M172" s="28"/>
      <x:c r="N172" s="28"/>
      <x:c r="O172" s="28"/>
    </x:row>
    <x:row r="173">
      <x:c r="B173" s="26"/>
      <x:c r="I173" s="27"/>
      <x:c r="K173" s="28"/>
      <x:c r="L173" s="28"/>
      <x:c r="M173" s="28"/>
      <x:c r="N173" s="28"/>
      <x:c r="O173" s="28"/>
    </x:row>
    <x:row r="174">
      <x:c r="B174" s="26"/>
      <x:c r="I174" s="27"/>
      <x:c r="K174" s="28"/>
      <x:c r="L174" s="28"/>
      <x:c r="M174" s="28"/>
      <x:c r="N174" s="28"/>
      <x:c r="O174" s="28"/>
    </x:row>
    <x:row r="175">
      <x:c r="B175" s="26"/>
      <x:c r="I175" s="27"/>
      <x:c r="K175" s="28"/>
      <x:c r="L175" s="28"/>
      <x:c r="M175" s="28"/>
      <x:c r="N175" s="28"/>
      <x:c r="O175" s="28"/>
    </x:row>
    <x:row r="176">
      <x:c r="B176" s="26"/>
      <x:c r="I176" s="27"/>
      <x:c r="K176" s="28"/>
      <x:c r="L176" s="28"/>
      <x:c r="M176" s="28"/>
      <x:c r="N176" s="28"/>
      <x:c r="O176" s="28"/>
    </x:row>
    <x:row r="177">
      <x:c r="B177" s="26"/>
      <x:c r="I177" s="27"/>
      <x:c r="K177" s="28"/>
      <x:c r="L177" s="28"/>
      <x:c r="M177" s="28"/>
      <x:c r="N177" s="28"/>
      <x:c r="O177" s="28"/>
    </x:row>
    <x:row r="178">
      <x:c r="B178" s="26"/>
      <x:c r="I178" s="27"/>
      <x:c r="K178" s="28"/>
      <x:c r="L178" s="28"/>
      <x:c r="M178" s="28"/>
      <x:c r="N178" s="28"/>
      <x:c r="O178" s="28"/>
    </x:row>
    <x:row r="179">
      <x:c r="B179" s="26"/>
      <x:c r="I179" s="27"/>
      <x:c r="K179" s="28"/>
      <x:c r="L179" s="28"/>
      <x:c r="M179" s="28"/>
      <x:c r="N179" s="28"/>
      <x:c r="O179" s="28"/>
    </x:row>
    <x:row r="180">
      <x:c r="B180" s="26"/>
      <x:c r="I180" s="27"/>
      <x:c r="K180" s="28"/>
      <x:c r="L180" s="28"/>
      <x:c r="M180" s="28"/>
      <x:c r="N180" s="28"/>
      <x:c r="O180" s="28"/>
    </x:row>
    <x:row r="181">
      <x:c r="B181" s="26"/>
      <x:c r="I181" s="27"/>
      <x:c r="K181" s="28"/>
      <x:c r="L181" s="28"/>
      <x:c r="M181" s="28"/>
      <x:c r="N181" s="28"/>
      <x:c r="O181" s="28"/>
    </x:row>
    <x:row r="182">
      <x:c r="B182" s="26"/>
      <x:c r="I182" s="27"/>
      <x:c r="K182" s="28"/>
      <x:c r="L182" s="28"/>
      <x:c r="M182" s="28"/>
      <x:c r="N182" s="28"/>
      <x:c r="O182" s="28"/>
    </x:row>
    <x:row r="183">
      <x:c r="B183" s="26"/>
      <x:c r="I183" s="27"/>
      <x:c r="K183" s="28"/>
      <x:c r="L183" s="28"/>
      <x:c r="M183" s="28"/>
      <x:c r="N183" s="28"/>
      <x:c r="O183" s="28"/>
    </x:row>
    <x:row r="184">
      <x:c r="B184" s="26"/>
      <x:c r="I184" s="27"/>
      <x:c r="K184" s="28"/>
      <x:c r="L184" s="28"/>
      <x:c r="M184" s="28"/>
      <x:c r="N184" s="28"/>
      <x:c r="O184" s="28"/>
    </x:row>
    <x:row r="185">
      <x:c r="B185" s="26"/>
      <x:c r="I185" s="27"/>
      <x:c r="K185" s="28"/>
      <x:c r="L185" s="28"/>
      <x:c r="M185" s="28"/>
      <x:c r="N185" s="28"/>
      <x:c r="O185" s="28"/>
    </x:row>
    <x:row r="186">
      <x:c r="B186" s="26"/>
      <x:c r="I186" s="27"/>
      <x:c r="K186" s="28"/>
      <x:c r="L186" s="28"/>
      <x:c r="M186" s="28"/>
      <x:c r="N186" s="28"/>
      <x:c r="O186" s="28"/>
    </x:row>
    <x:row r="187">
      <x:c r="B187" s="26"/>
      <x:c r="I187" s="27"/>
      <x:c r="K187" s="28"/>
      <x:c r="L187" s="28"/>
      <x:c r="M187" s="28"/>
      <x:c r="N187" s="28"/>
      <x:c r="O187" s="28"/>
    </x:row>
    <x:row r="188">
      <x:c r="B188" s="26"/>
      <x:c r="I188" s="27"/>
      <x:c r="K188" s="28"/>
      <x:c r="L188" s="28"/>
      <x:c r="M188" s="28"/>
      <x:c r="N188" s="28"/>
      <x:c r="O188" s="28"/>
    </x:row>
    <x:row r="189">
      <x:c r="B189" s="26"/>
      <x:c r="I189" s="27"/>
      <x:c r="K189" s="28"/>
      <x:c r="L189" s="28"/>
      <x:c r="M189" s="28"/>
      <x:c r="N189" s="28"/>
      <x:c r="O189" s="28"/>
    </x:row>
    <x:row r="190">
      <x:c r="B190" s="26"/>
      <x:c r="I190" s="27"/>
      <x:c r="K190" s="28"/>
      <x:c r="L190" s="28"/>
      <x:c r="M190" s="28"/>
      <x:c r="N190" s="28"/>
      <x:c r="O190" s="28"/>
    </x:row>
    <x:row r="191">
      <x:c r="B191" s="26"/>
      <x:c r="I191" s="27"/>
      <x:c r="K191" s="28"/>
      <x:c r="L191" s="28"/>
      <x:c r="M191" s="28"/>
      <x:c r="N191" s="28"/>
      <x:c r="O191" s="28"/>
    </x:row>
    <x:row r="192">
      <x:c r="B192" s="26"/>
      <x:c r="I192" s="27"/>
      <x:c r="K192" s="28"/>
      <x:c r="L192" s="28"/>
      <x:c r="M192" s="28"/>
      <x:c r="N192" s="28"/>
      <x:c r="O192" s="28"/>
    </x:row>
    <x:row r="193">
      <x:c r="B193" s="26"/>
      <x:c r="I193" s="27"/>
      <x:c r="K193" s="28"/>
      <x:c r="L193" s="28"/>
      <x:c r="M193" s="28"/>
      <x:c r="N193" s="28"/>
      <x:c r="O193" s="28"/>
    </x:row>
    <x:row r="194">
      <x:c r="B194" s="26"/>
      <x:c r="I194" s="27"/>
      <x:c r="K194" s="28"/>
      <x:c r="L194" s="28"/>
      <x:c r="M194" s="28"/>
      <x:c r="N194" s="28"/>
      <x:c r="O194" s="28"/>
    </x:row>
    <x:row r="195">
      <x:c r="B195" s="26"/>
      <x:c r="I195" s="27"/>
      <x:c r="K195" s="28"/>
      <x:c r="L195" s="28"/>
      <x:c r="M195" s="28"/>
      <x:c r="N195" s="28"/>
      <x:c r="O195" s="28"/>
    </x:row>
    <x:row r="196">
      <x:c r="B196" s="26"/>
      <x:c r="I196" s="27"/>
      <x:c r="K196" s="28"/>
      <x:c r="L196" s="28"/>
      <x:c r="M196" s="28"/>
      <x:c r="N196" s="28"/>
      <x:c r="O196" s="28"/>
    </x:row>
    <x:row r="197">
      <x:c r="B197" s="26"/>
      <x:c r="I197" s="27"/>
      <x:c r="K197" s="28"/>
      <x:c r="L197" s="28"/>
      <x:c r="M197" s="28"/>
      <x:c r="N197" s="28"/>
      <x:c r="O197" s="28"/>
    </x:row>
    <x:row r="198">
      <x:c r="B198" s="26"/>
      <x:c r="I198" s="27"/>
      <x:c r="K198" s="28"/>
      <x:c r="L198" s="28"/>
      <x:c r="M198" s="28"/>
      <x:c r="N198" s="28"/>
      <x:c r="O198" s="28"/>
    </x:row>
    <x:row r="199">
      <x:c r="B199" s="26"/>
      <x:c r="I199" s="27"/>
      <x:c r="K199" s="28"/>
      <x:c r="L199" s="28"/>
      <x:c r="M199" s="28"/>
      <x:c r="N199" s="28"/>
      <x:c r="O199" s="28"/>
    </x:row>
    <x:row r="200">
      <x:c r="B200" s="26"/>
      <x:c r="I200" s="27"/>
      <x:c r="K200" s="28"/>
      <x:c r="L200" s="28"/>
      <x:c r="M200" s="28"/>
      <x:c r="N200" s="28"/>
      <x:c r="O200" s="28"/>
    </x:row>
    <x:row r="201">
      <x:c r="B201" s="26"/>
      <x:c r="I201" s="27"/>
      <x:c r="K201" s="28"/>
      <x:c r="L201" s="28"/>
      <x:c r="M201" s="28"/>
      <x:c r="N201" s="28"/>
      <x:c r="O201" s="28"/>
    </x:row>
    <x:row r="202">
      <x:c r="B202" s="26"/>
      <x:c r="I202" s="27"/>
      <x:c r="K202" s="28"/>
      <x:c r="L202" s="28"/>
      <x:c r="M202" s="28"/>
      <x:c r="N202" s="28"/>
      <x:c r="O202" s="28"/>
    </x:row>
    <x:row r="203">
      <x:c r="B203" s="26"/>
      <x:c r="I203" s="27"/>
      <x:c r="K203" s="28"/>
      <x:c r="L203" s="28"/>
      <x:c r="M203" s="28"/>
      <x:c r="N203" s="28"/>
      <x:c r="O203" s="28"/>
    </x:row>
    <x:row r="204">
      <x:c r="B204" s="26"/>
      <x:c r="I204" s="27"/>
      <x:c r="K204" s="28"/>
      <x:c r="L204" s="28"/>
      <x:c r="M204" s="28"/>
      <x:c r="N204" s="28"/>
      <x:c r="O204" s="28"/>
    </x:row>
    <x:row r="205">
      <x:c r="B205" s="26"/>
      <x:c r="I205" s="27"/>
      <x:c r="K205" s="28"/>
      <x:c r="L205" s="28"/>
      <x:c r="M205" s="28"/>
      <x:c r="N205" s="28"/>
      <x:c r="O205" s="28"/>
    </x:row>
    <x:row r="206">
      <x:c r="B206" s="26"/>
      <x:c r="I206" s="27"/>
      <x:c r="K206" s="28"/>
      <x:c r="L206" s="28"/>
      <x:c r="M206" s="28"/>
      <x:c r="N206" s="28"/>
      <x:c r="O206" s="28"/>
    </x:row>
    <x:row r="207">
      <x:c r="B207" s="26"/>
      <x:c r="I207" s="27"/>
      <x:c r="K207" s="28"/>
      <x:c r="L207" s="28"/>
      <x:c r="M207" s="28"/>
      <x:c r="N207" s="28"/>
      <x:c r="O207" s="28"/>
    </x:row>
    <x:row r="208">
      <x:c r="B208" s="26"/>
      <x:c r="I208" s="27"/>
      <x:c r="K208" s="28"/>
      <x:c r="L208" s="28"/>
      <x:c r="M208" s="28"/>
      <x:c r="N208" s="28"/>
      <x:c r="O208" s="28"/>
    </x:row>
    <x:row r="209">
      <x:c r="B209" s="26"/>
      <x:c r="I209" s="27"/>
      <x:c r="K209" s="28"/>
      <x:c r="L209" s="28"/>
      <x:c r="M209" s="28"/>
      <x:c r="N209" s="28"/>
      <x:c r="O209" s="28"/>
    </x:row>
    <x:row r="210">
      <x:c r="B210" s="26"/>
      <x:c r="I210" s="27"/>
      <x:c r="K210" s="28"/>
      <x:c r="L210" s="28"/>
      <x:c r="M210" s="28"/>
      <x:c r="N210" s="28"/>
      <x:c r="O210" s="28"/>
    </x:row>
    <x:row r="211">
      <x:c r="B211" s="26"/>
      <x:c r="I211" s="27"/>
      <x:c r="K211" s="28"/>
      <x:c r="L211" s="28"/>
      <x:c r="M211" s="28"/>
      <x:c r="N211" s="28"/>
      <x:c r="O211" s="28"/>
    </x:row>
    <x:row r="212">
      <x:c r="B212" s="26"/>
      <x:c r="I212" s="27"/>
      <x:c r="K212" s="28"/>
      <x:c r="L212" s="28"/>
      <x:c r="M212" s="28"/>
      <x:c r="N212" s="28"/>
      <x:c r="O212" s="28"/>
    </x:row>
    <x:row r="213">
      <x:c r="B213" s="26"/>
      <x:c r="I213" s="27"/>
      <x:c r="K213" s="28"/>
      <x:c r="L213" s="28"/>
      <x:c r="M213" s="28"/>
      <x:c r="N213" s="28"/>
      <x:c r="O213" s="28"/>
    </x:row>
    <x:row r="214">
      <x:c r="B214" s="26"/>
      <x:c r="I214" s="27"/>
      <x:c r="K214" s="28"/>
      <x:c r="L214" s="28"/>
      <x:c r="M214" s="28"/>
      <x:c r="N214" s="28"/>
      <x:c r="O214" s="28"/>
    </x:row>
    <x:row r="215">
      <x:c r="B215" s="26"/>
      <x:c r="I215" s="27"/>
      <x:c r="K215" s="28"/>
      <x:c r="L215" s="28"/>
      <x:c r="M215" s="28"/>
      <x:c r="N215" s="28"/>
      <x:c r="O215" s="28"/>
    </x:row>
    <x:row r="216">
      <x:c r="B216" s="26"/>
      <x:c r="I216" s="27"/>
      <x:c r="K216" s="28"/>
      <x:c r="L216" s="28"/>
      <x:c r="M216" s="28"/>
      <x:c r="N216" s="28"/>
      <x:c r="O216" s="28"/>
    </x:row>
    <x:row r="217">
      <x:c r="B217" s="26"/>
      <x:c r="I217" s="27"/>
      <x:c r="K217" s="28"/>
      <x:c r="L217" s="28"/>
      <x:c r="M217" s="28"/>
      <x:c r="N217" s="28"/>
      <x:c r="O217" s="28"/>
    </x:row>
    <x:row r="218">
      <x:c r="B218" s="26"/>
      <x:c r="I218" s="27"/>
      <x:c r="K218" s="28"/>
      <x:c r="L218" s="28"/>
      <x:c r="M218" s="28"/>
      <x:c r="N218" s="28"/>
      <x:c r="O218" s="28"/>
    </x:row>
    <x:row r="219">
      <x:c r="B219" s="26"/>
      <x:c r="I219" s="27"/>
      <x:c r="K219" s="28"/>
      <x:c r="L219" s="28"/>
      <x:c r="M219" s="28"/>
      <x:c r="N219" s="28"/>
      <x:c r="O219" s="28"/>
    </x:row>
    <x:row r="220">
      <x:c r="B220" s="26"/>
      <x:c r="I220" s="27"/>
      <x:c r="K220" s="28"/>
      <x:c r="L220" s="28"/>
      <x:c r="M220" s="28"/>
      <x:c r="N220" s="28"/>
      <x:c r="O220" s="28"/>
    </x:row>
    <x:row r="221">
      <x:c r="B221" s="26"/>
      <x:c r="I221" s="27"/>
      <x:c r="K221" s="28"/>
      <x:c r="L221" s="28"/>
      <x:c r="M221" s="28"/>
      <x:c r="N221" s="28"/>
      <x:c r="O221" s="28"/>
    </x:row>
    <x:row r="222">
      <x:c r="B222" s="26"/>
      <x:c r="I222" s="27"/>
      <x:c r="K222" s="28"/>
      <x:c r="L222" s="28"/>
      <x:c r="M222" s="28"/>
      <x:c r="N222" s="28"/>
      <x:c r="O222" s="28"/>
    </x:row>
    <x:row r="223">
      <x:c r="B223" s="26"/>
      <x:c r="I223" s="27"/>
      <x:c r="K223" s="28"/>
      <x:c r="L223" s="28"/>
      <x:c r="M223" s="28"/>
      <x:c r="N223" s="28"/>
      <x:c r="O223" s="28"/>
    </x:row>
    <x:row r="224">
      <x:c r="B224" s="26"/>
      <x:c r="I224" s="27"/>
      <x:c r="K224" s="28"/>
      <x:c r="L224" s="28"/>
      <x:c r="M224" s="28"/>
      <x:c r="N224" s="28"/>
      <x:c r="O224" s="28"/>
    </x:row>
    <x:row r="225">
      <x:c r="B225" s="26"/>
      <x:c r="I225" s="27"/>
      <x:c r="K225" s="28"/>
      <x:c r="L225" s="28"/>
      <x:c r="M225" s="28"/>
      <x:c r="N225" s="28"/>
      <x:c r="O225" s="28"/>
    </x:row>
    <x:row r="226">
      <x:c r="B226" s="26"/>
      <x:c r="I226" s="27"/>
      <x:c r="K226" s="28"/>
      <x:c r="L226" s="28"/>
      <x:c r="M226" s="28"/>
      <x:c r="N226" s="28"/>
      <x:c r="O226" s="28"/>
    </x:row>
    <x:row r="227">
      <x:c r="B227" s="26"/>
      <x:c r="I227" s="27"/>
      <x:c r="K227" s="28"/>
      <x:c r="L227" s="28"/>
      <x:c r="M227" s="28"/>
      <x:c r="N227" s="28"/>
      <x:c r="O227" s="28"/>
    </x:row>
    <x:row r="228">
      <x:c r="B228" s="26"/>
      <x:c r="I228" s="27"/>
      <x:c r="K228" s="28"/>
      <x:c r="L228" s="28"/>
      <x:c r="M228" s="28"/>
      <x:c r="N228" s="28"/>
      <x:c r="O228" s="28"/>
    </x:row>
    <x:row r="229">
      <x:c r="B229" s="26"/>
      <x:c r="I229" s="27"/>
      <x:c r="K229" s="28"/>
      <x:c r="L229" s="28"/>
      <x:c r="M229" s="28"/>
      <x:c r="N229" s="28"/>
      <x:c r="O229" s="28"/>
    </x:row>
    <x:row r="230">
      <x:c r="B230" s="26"/>
      <x:c r="I230" s="27"/>
      <x:c r="K230" s="28"/>
      <x:c r="L230" s="28"/>
      <x:c r="M230" s="28"/>
      <x:c r="N230" s="28"/>
      <x:c r="O230" s="28"/>
    </x:row>
    <x:row r="231">
      <x:c r="B231" s="26"/>
      <x:c r="I231" s="27"/>
      <x:c r="K231" s="28"/>
      <x:c r="L231" s="28"/>
      <x:c r="M231" s="28"/>
      <x:c r="N231" s="28"/>
      <x:c r="O231" s="28"/>
    </x:row>
    <x:row r="232">
      <x:c r="B232" s="26"/>
      <x:c r="I232" s="27"/>
      <x:c r="K232" s="28"/>
      <x:c r="L232" s="28"/>
      <x:c r="M232" s="28"/>
      <x:c r="N232" s="28"/>
      <x:c r="O232" s="28"/>
    </x:row>
    <x:row r="233">
      <x:c r="B233" s="26"/>
      <x:c r="I233" s="27"/>
      <x:c r="K233" s="28"/>
      <x:c r="L233" s="28"/>
      <x:c r="M233" s="28"/>
      <x:c r="N233" s="28"/>
      <x:c r="O233" s="28"/>
    </x:row>
    <x:row r="234">
      <x:c r="B234" s="26"/>
      <x:c r="I234" s="27"/>
      <x:c r="K234" s="28"/>
      <x:c r="L234" s="28"/>
      <x:c r="M234" s="28"/>
      <x:c r="N234" s="28"/>
      <x:c r="O234" s="28"/>
    </x:row>
    <x:row r="235">
      <x:c r="B235" s="26"/>
      <x:c r="I235" s="27"/>
      <x:c r="K235" s="28"/>
      <x:c r="L235" s="28"/>
      <x:c r="M235" s="28"/>
      <x:c r="N235" s="28"/>
      <x:c r="O235" s="28"/>
    </x:row>
    <x:row r="236">
      <x:c r="B236" s="26"/>
      <x:c r="I236" s="27"/>
      <x:c r="K236" s="28"/>
      <x:c r="L236" s="28"/>
      <x:c r="M236" s="28"/>
      <x:c r="N236" s="28"/>
      <x:c r="O236" s="28"/>
    </x:row>
    <x:row r="237">
      <x:c r="B237" s="26"/>
      <x:c r="I237" s="27"/>
      <x:c r="K237" s="28"/>
      <x:c r="L237" s="28"/>
      <x:c r="M237" s="28"/>
      <x:c r="N237" s="28"/>
      <x:c r="O237" s="28"/>
    </x:row>
    <x:row r="238">
      <x:c r="B238" s="26"/>
      <x:c r="I238" s="27"/>
      <x:c r="K238" s="28"/>
      <x:c r="L238" s="28"/>
      <x:c r="M238" s="28"/>
      <x:c r="N238" s="28"/>
      <x:c r="O238" s="28"/>
    </x:row>
    <x:row r="239">
      <x:c r="B239" s="26"/>
      <x:c r="I239" s="27"/>
      <x:c r="K239" s="28"/>
      <x:c r="L239" s="28"/>
      <x:c r="M239" s="28"/>
      <x:c r="N239" s="28"/>
      <x:c r="O239" s="28"/>
    </x:row>
    <x:row r="240">
      <x:c r="B240" s="26"/>
      <x:c r="I240" s="27"/>
      <x:c r="K240" s="28"/>
      <x:c r="L240" s="28"/>
      <x:c r="M240" s="28"/>
      <x:c r="N240" s="28"/>
      <x:c r="O240" s="28"/>
    </x:row>
    <x:row r="241">
      <x:c r="B241" s="26"/>
      <x:c r="I241" s="27"/>
      <x:c r="K241" s="28"/>
      <x:c r="L241" s="28"/>
      <x:c r="M241" s="28"/>
      <x:c r="N241" s="28"/>
      <x:c r="O241" s="28"/>
    </x:row>
    <x:row r="242">
      <x:c r="B242" s="26"/>
      <x:c r="I242" s="27"/>
      <x:c r="K242" s="28"/>
      <x:c r="L242" s="28"/>
      <x:c r="M242" s="28"/>
      <x:c r="N242" s="28"/>
      <x:c r="O242" s="28"/>
    </x:row>
    <x:row r="243">
      <x:c r="B243" s="26"/>
      <x:c r="I243" s="27"/>
      <x:c r="K243" s="28"/>
      <x:c r="L243" s="28"/>
      <x:c r="M243" s="28"/>
      <x:c r="N243" s="28"/>
      <x:c r="O243" s="28"/>
    </x:row>
    <x:row r="244">
      <x:c r="B244" s="26"/>
      <x:c r="I244" s="27"/>
      <x:c r="K244" s="28"/>
      <x:c r="L244" s="28"/>
      <x:c r="M244" s="28"/>
      <x:c r="N244" s="28"/>
      <x:c r="O244" s="28"/>
    </x:row>
    <x:row r="245">
      <x:c r="B245" s="26"/>
      <x:c r="I245" s="27"/>
      <x:c r="K245" s="28"/>
      <x:c r="L245" s="28"/>
      <x:c r="M245" s="28"/>
      <x:c r="N245" s="28"/>
      <x:c r="O245" s="28"/>
    </x:row>
    <x:row r="246">
      <x:c r="B246" s="26"/>
      <x:c r="I246" s="27"/>
      <x:c r="K246" s="28"/>
      <x:c r="L246" s="28"/>
      <x:c r="M246" s="28"/>
      <x:c r="N246" s="28"/>
      <x:c r="O246" s="28"/>
    </x:row>
    <x:row r="247">
      <x:c r="B247" s="26"/>
      <x:c r="I247" s="27"/>
      <x:c r="K247" s="28"/>
      <x:c r="L247" s="28"/>
      <x:c r="M247" s="28"/>
      <x:c r="N247" s="28"/>
      <x:c r="O247" s="28"/>
    </x:row>
    <x:row r="248">
      <x:c r="B248" s="26"/>
      <x:c r="I248" s="27"/>
      <x:c r="K248" s="28"/>
      <x:c r="L248" s="28"/>
      <x:c r="M248" s="28"/>
      <x:c r="N248" s="28"/>
      <x:c r="O248" s="28"/>
    </x:row>
    <x:row r="249">
      <x:c r="B249" s="26"/>
      <x:c r="I249" s="27"/>
      <x:c r="K249" s="28"/>
      <x:c r="L249" s="28"/>
      <x:c r="M249" s="28"/>
      <x:c r="N249" s="28"/>
      <x:c r="O249" s="28"/>
    </x:row>
    <x:row r="250">
      <x:c r="B250" s="26"/>
      <x:c r="I250" s="27"/>
      <x:c r="K250" s="28"/>
      <x:c r="L250" s="28"/>
      <x:c r="M250" s="28"/>
      <x:c r="N250" s="28"/>
      <x:c r="O250" s="28"/>
    </x:row>
    <x:row r="251">
      <x:c r="B251" s="26"/>
      <x:c r="I251" s="27"/>
      <x:c r="K251" s="28"/>
      <x:c r="L251" s="28"/>
      <x:c r="M251" s="28"/>
      <x:c r="N251" s="28"/>
      <x:c r="O251" s="28"/>
    </x:row>
    <x:row r="252">
      <x:c r="B252" s="26"/>
      <x:c r="I252" s="27"/>
      <x:c r="K252" s="28"/>
      <x:c r="L252" s="28"/>
      <x:c r="M252" s="28"/>
      <x:c r="N252" s="28"/>
      <x:c r="O252" s="28"/>
    </x:row>
    <x:row r="253">
      <x:c r="B253" s="26"/>
      <x:c r="I253" s="27"/>
      <x:c r="K253" s="28"/>
      <x:c r="L253" s="28"/>
      <x:c r="M253" s="28"/>
      <x:c r="N253" s="28"/>
      <x:c r="O253" s="28"/>
    </x:row>
    <x:row r="254">
      <x:c r="B254" s="26"/>
      <x:c r="I254" s="27"/>
      <x:c r="K254" s="28"/>
      <x:c r="L254" s="28"/>
      <x:c r="M254" s="28"/>
      <x:c r="N254" s="28"/>
      <x:c r="O254" s="28"/>
    </x:row>
    <x:row r="255">
      <x:c r="B255" s="26"/>
      <x:c r="I255" s="27"/>
      <x:c r="K255" s="28"/>
      <x:c r="L255" s="28"/>
      <x:c r="M255" s="28"/>
      <x:c r="N255" s="28"/>
      <x:c r="O255" s="28"/>
    </x:row>
    <x:row r="256">
      <x:c r="B256" s="26"/>
      <x:c r="I256" s="27"/>
      <x:c r="K256" s="28"/>
      <x:c r="L256" s="28"/>
      <x:c r="M256" s="28"/>
      <x:c r="N256" s="28"/>
      <x:c r="O256" s="28"/>
    </x:row>
    <x:row r="257">
      <x:c r="B257" s="26"/>
      <x:c r="I257" s="27"/>
      <x:c r="K257" s="28"/>
      <x:c r="L257" s="28"/>
      <x:c r="M257" s="28"/>
      <x:c r="N257" s="28"/>
      <x:c r="O257" s="28"/>
    </x:row>
    <x:row r="258">
      <x:c r="B258" s="26"/>
      <x:c r="I258" s="27"/>
      <x:c r="K258" s="28"/>
      <x:c r="L258" s="28"/>
      <x:c r="M258" s="28"/>
      <x:c r="N258" s="28"/>
      <x:c r="O258" s="28"/>
    </x:row>
    <x:row r="259">
      <x:c r="B259" s="26"/>
      <x:c r="I259" s="27"/>
      <x:c r="K259" s="28"/>
      <x:c r="L259" s="28"/>
      <x:c r="M259" s="28"/>
      <x:c r="N259" s="28"/>
      <x:c r="O259" s="28"/>
    </x:row>
    <x:row r="260">
      <x:c r="B260" s="26"/>
      <x:c r="I260" s="27"/>
      <x:c r="K260" s="28"/>
      <x:c r="L260" s="28"/>
      <x:c r="M260" s="28"/>
      <x:c r="N260" s="28"/>
      <x:c r="O260" s="28"/>
    </x:row>
    <x:row r="261">
      <x:c r="B261" s="26"/>
      <x:c r="I261" s="27"/>
      <x:c r="K261" s="28"/>
      <x:c r="L261" s="28"/>
      <x:c r="M261" s="28"/>
      <x:c r="N261" s="28"/>
      <x:c r="O261" s="28"/>
    </x:row>
    <x:row r="262">
      <x:c r="B262" s="26"/>
      <x:c r="I262" s="27"/>
      <x:c r="K262" s="28"/>
      <x:c r="L262" s="28"/>
      <x:c r="M262" s="28"/>
      <x:c r="N262" s="28"/>
      <x:c r="O262" s="28"/>
    </x:row>
    <x:row r="263">
      <x:c r="B263" s="26"/>
      <x:c r="I263" s="27"/>
      <x:c r="K263" s="28"/>
      <x:c r="L263" s="28"/>
      <x:c r="M263" s="28"/>
      <x:c r="N263" s="28"/>
      <x:c r="O263" s="28"/>
    </x:row>
    <x:row r="264">
      <x:c r="B264" s="26"/>
      <x:c r="I264" s="27"/>
      <x:c r="K264" s="28"/>
      <x:c r="L264" s="28"/>
      <x:c r="M264" s="28"/>
      <x:c r="N264" s="28"/>
      <x:c r="O264" s="28"/>
    </x:row>
    <x:row r="265">
      <x:c r="B265" s="26"/>
      <x:c r="I265" s="27"/>
      <x:c r="K265" s="28"/>
      <x:c r="L265" s="28"/>
      <x:c r="M265" s="28"/>
      <x:c r="N265" s="28"/>
      <x:c r="O265" s="28"/>
    </x:row>
    <x:row r="266">
      <x:c r="B266" s="26"/>
      <x:c r="I266" s="27"/>
      <x:c r="K266" s="28"/>
      <x:c r="L266" s="28"/>
      <x:c r="M266" s="28"/>
      <x:c r="N266" s="28"/>
      <x:c r="O266" s="28"/>
    </x:row>
    <x:row r="267">
      <x:c r="B267" s="26"/>
      <x:c r="I267" s="27"/>
      <x:c r="K267" s="28"/>
      <x:c r="L267" s="28"/>
      <x:c r="M267" s="28"/>
      <x:c r="N267" s="28"/>
      <x:c r="O267" s="28"/>
    </x:row>
    <x:row r="268">
      <x:c r="B268" s="26"/>
      <x:c r="I268" s="27"/>
      <x:c r="K268" s="28"/>
      <x:c r="L268" s="28"/>
      <x:c r="M268" s="28"/>
      <x:c r="N268" s="28"/>
      <x:c r="O268" s="28"/>
    </x:row>
    <x:row r="269">
      <x:c r="B269" s="26"/>
      <x:c r="I269" s="27"/>
      <x:c r="K269" s="28"/>
      <x:c r="L269" s="28"/>
      <x:c r="M269" s="28"/>
      <x:c r="N269" s="28"/>
      <x:c r="O269" s="28"/>
    </x:row>
    <x:row r="270">
      <x:c r="B270" s="26"/>
      <x:c r="I270" s="27"/>
      <x:c r="K270" s="28"/>
      <x:c r="L270" s="28"/>
      <x:c r="M270" s="28"/>
      <x:c r="N270" s="28"/>
      <x:c r="O270" s="28"/>
    </x:row>
    <x:row r="271">
      <x:c r="B271" s="26"/>
      <x:c r="I271" s="27"/>
      <x:c r="K271" s="28"/>
      <x:c r="L271" s="28"/>
      <x:c r="M271" s="28"/>
      <x:c r="N271" s="28"/>
      <x:c r="O271" s="28"/>
    </x:row>
    <x:row r="272">
      <x:c r="B272" s="26"/>
      <x:c r="I272" s="27"/>
      <x:c r="K272" s="28"/>
      <x:c r="L272" s="28"/>
      <x:c r="M272" s="28"/>
      <x:c r="N272" s="28"/>
      <x:c r="O272" s="28"/>
    </x:row>
    <x:row r="273">
      <x:c r="B273" s="26"/>
      <x:c r="I273" s="27"/>
      <x:c r="K273" s="28"/>
      <x:c r="L273" s="28"/>
      <x:c r="M273" s="28"/>
      <x:c r="N273" s="28"/>
      <x:c r="O273" s="28"/>
    </x:row>
    <x:row r="274">
      <x:c r="B274" s="26"/>
      <x:c r="I274" s="27"/>
      <x:c r="K274" s="28"/>
      <x:c r="L274" s="28"/>
      <x:c r="M274" s="28"/>
      <x:c r="N274" s="28"/>
      <x:c r="O274" s="28"/>
    </x:row>
    <x:row r="275">
      <x:c r="B275" s="26"/>
      <x:c r="I275" s="27"/>
      <x:c r="K275" s="28"/>
      <x:c r="L275" s="28"/>
      <x:c r="M275" s="28"/>
      <x:c r="N275" s="28"/>
      <x:c r="O275" s="28"/>
    </x:row>
    <x:row r="276">
      <x:c r="B276" s="26"/>
      <x:c r="I276" s="27"/>
      <x:c r="K276" s="28"/>
      <x:c r="L276" s="28"/>
      <x:c r="M276" s="28"/>
      <x:c r="N276" s="28"/>
      <x:c r="O276" s="28"/>
    </x:row>
    <x:row r="277">
      <x:c r="B277" s="26"/>
      <x:c r="I277" s="27"/>
      <x:c r="K277" s="28"/>
      <x:c r="L277" s="28"/>
      <x:c r="M277" s="28"/>
      <x:c r="N277" s="28"/>
      <x:c r="O277" s="28"/>
    </x:row>
    <x:row r="278">
      <x:c r="B278" s="26"/>
      <x:c r="I278" s="27"/>
      <x:c r="K278" s="28"/>
      <x:c r="L278" s="28"/>
      <x:c r="M278" s="28"/>
      <x:c r="N278" s="28"/>
      <x:c r="O278" s="28"/>
    </x:row>
    <x:row r="279">
      <x:c r="B279" s="26"/>
      <x:c r="I279" s="27"/>
      <x:c r="K279" s="28"/>
      <x:c r="L279" s="28"/>
      <x:c r="M279" s="28"/>
      <x:c r="N279" s="28"/>
      <x:c r="O279" s="28"/>
    </x:row>
    <x:row r="280">
      <x:c r="B280" s="26"/>
      <x:c r="I280" s="27"/>
      <x:c r="K280" s="28"/>
      <x:c r="L280" s="28"/>
      <x:c r="M280" s="28"/>
      <x:c r="N280" s="28"/>
      <x:c r="O280" s="28"/>
    </x:row>
    <x:row r="281">
      <x:c r="B281" s="26"/>
      <x:c r="I281" s="27"/>
      <x:c r="K281" s="28"/>
      <x:c r="L281" s="28"/>
      <x:c r="M281" s="28"/>
      <x:c r="N281" s="28"/>
      <x:c r="O281" s="28"/>
    </x:row>
    <x:row r="282">
      <x:c r="B282" s="26"/>
      <x:c r="I282" s="27"/>
      <x:c r="K282" s="28"/>
      <x:c r="L282" s="28"/>
      <x:c r="M282" s="28"/>
      <x:c r="N282" s="28"/>
      <x:c r="O282" s="28"/>
    </x:row>
    <x:row r="283">
      <x:c r="B283" s="26"/>
      <x:c r="I283" s="27"/>
      <x:c r="K283" s="28"/>
      <x:c r="L283" s="28"/>
      <x:c r="M283" s="28"/>
      <x:c r="N283" s="28"/>
      <x:c r="O283" s="28"/>
    </x:row>
    <x:row r="284">
      <x:c r="B284" s="26"/>
      <x:c r="I284" s="27"/>
      <x:c r="K284" s="28"/>
      <x:c r="L284" s="28"/>
      <x:c r="M284" s="28"/>
      <x:c r="N284" s="28"/>
      <x:c r="O284" s="28"/>
    </x:row>
    <x:row r="285">
      <x:c r="B285" s="26"/>
      <x:c r="I285" s="27"/>
      <x:c r="K285" s="28"/>
      <x:c r="L285" s="28"/>
      <x:c r="M285" s="28"/>
      <x:c r="N285" s="28"/>
      <x:c r="O285" s="28"/>
    </x:row>
    <x:row r="286">
      <x:c r="B286" s="26"/>
      <x:c r="I286" s="27"/>
      <x:c r="K286" s="28"/>
      <x:c r="L286" s="28"/>
      <x:c r="M286" s="28"/>
      <x:c r="N286" s="28"/>
      <x:c r="O286" s="28"/>
    </x:row>
    <x:row r="287">
      <x:c r="B287" s="26"/>
      <x:c r="I287" s="27"/>
      <x:c r="K287" s="28"/>
      <x:c r="L287" s="28"/>
      <x:c r="M287" s="28"/>
      <x:c r="N287" s="28"/>
      <x:c r="O287" s="28"/>
    </x:row>
    <x:row r="288">
      <x:c r="B288" s="26"/>
      <x:c r="I288" s="27"/>
      <x:c r="K288" s="28"/>
      <x:c r="L288" s="28"/>
      <x:c r="M288" s="28"/>
      <x:c r="N288" s="28"/>
      <x:c r="O288" s="28"/>
    </x:row>
    <x:row r="289">
      <x:c r="B289" s="26"/>
      <x:c r="I289" s="27"/>
      <x:c r="K289" s="28"/>
      <x:c r="L289" s="28"/>
      <x:c r="M289" s="28"/>
      <x:c r="N289" s="28"/>
      <x:c r="O289" s="28"/>
    </x:row>
    <x:row r="290">
      <x:c r="B290" s="26"/>
      <x:c r="I290" s="27"/>
      <x:c r="K290" s="28"/>
      <x:c r="L290" s="28"/>
      <x:c r="M290" s="28"/>
      <x:c r="N290" s="28"/>
      <x:c r="O290" s="28"/>
    </x:row>
    <x:row r="291">
      <x:c r="B291" s="26"/>
      <x:c r="I291" s="27"/>
      <x:c r="K291" s="28"/>
      <x:c r="L291" s="28"/>
      <x:c r="M291" s="28"/>
      <x:c r="N291" s="28"/>
      <x:c r="O291" s="28"/>
    </x:row>
    <x:row r="292">
      <x:c r="B292" s="26"/>
      <x:c r="I292" s="27"/>
      <x:c r="K292" s="28"/>
      <x:c r="L292" s="28"/>
      <x:c r="M292" s="28"/>
      <x:c r="N292" s="28"/>
      <x:c r="O292" s="28"/>
    </x:row>
    <x:row r="293">
      <x:c r="B293" s="26"/>
      <x:c r="I293" s="27"/>
      <x:c r="K293" s="28"/>
      <x:c r="L293" s="28"/>
      <x:c r="M293" s="28"/>
      <x:c r="N293" s="28"/>
      <x:c r="O293" s="28"/>
    </x:row>
    <x:row r="294">
      <x:c r="B294" s="26"/>
      <x:c r="I294" s="27"/>
      <x:c r="K294" s="28"/>
      <x:c r="L294" s="28"/>
      <x:c r="M294" s="28"/>
      <x:c r="N294" s="28"/>
      <x:c r="O294" s="28"/>
    </x:row>
    <x:row r="295">
      <x:c r="B295" s="26"/>
      <x:c r="I295" s="27"/>
      <x:c r="K295" s="28"/>
      <x:c r="L295" s="28"/>
      <x:c r="M295" s="28"/>
      <x:c r="N295" s="28"/>
      <x:c r="O295" s="28"/>
    </x:row>
    <x:row r="296">
      <x:c r="B296" s="26"/>
      <x:c r="I296" s="27"/>
      <x:c r="K296" s="28"/>
      <x:c r="L296" s="28"/>
      <x:c r="M296" s="28"/>
      <x:c r="N296" s="28"/>
      <x:c r="O296" s="28"/>
    </x:row>
    <x:row r="297">
      <x:c r="B297" s="26"/>
      <x:c r="I297" s="27"/>
      <x:c r="K297" s="28"/>
      <x:c r="L297" s="28"/>
      <x:c r="M297" s="28"/>
      <x:c r="N297" s="28"/>
      <x:c r="O297" s="28"/>
    </x:row>
    <x:row r="298">
      <x:c r="B298" s="26"/>
      <x:c r="I298" s="27"/>
      <x:c r="K298" s="28"/>
      <x:c r="L298" s="28"/>
      <x:c r="M298" s="28"/>
      <x:c r="N298" s="28"/>
      <x:c r="O298" s="28"/>
    </x:row>
    <x:row r="299">
      <x:c r="B299" s="26"/>
      <x:c r="I299" s="27"/>
      <x:c r="K299" s="28"/>
      <x:c r="L299" s="28"/>
      <x:c r="M299" s="28"/>
      <x:c r="N299" s="28"/>
      <x:c r="O299" s="28"/>
    </x:row>
    <x:row r="300">
      <x:c r="B300" s="26"/>
      <x:c r="I300" s="27"/>
      <x:c r="K300" s="28"/>
      <x:c r="L300" s="28"/>
      <x:c r="M300" s="28"/>
      <x:c r="N300" s="28"/>
      <x:c r="O300" s="28"/>
    </x:row>
    <x:row r="301">
      <x:c r="B301" s="26"/>
      <x:c r="I301" s="27"/>
      <x:c r="K301" s="28"/>
      <x:c r="L301" s="28"/>
      <x:c r="M301" s="28"/>
      <x:c r="N301" s="28"/>
      <x:c r="O301" s="28"/>
    </x:row>
    <x:row r="302">
      <x:c r="B302" s="26"/>
      <x:c r="I302" s="27"/>
      <x:c r="K302" s="28"/>
      <x:c r="L302" s="28"/>
      <x:c r="M302" s="28"/>
      <x:c r="N302" s="28"/>
      <x:c r="O302" s="28"/>
    </x:row>
    <x:row r="303">
      <x:c r="B303" s="26"/>
      <x:c r="I303" s="27"/>
      <x:c r="K303" s="28"/>
      <x:c r="L303" s="28"/>
      <x:c r="M303" s="28"/>
      <x:c r="N303" s="28"/>
      <x:c r="O303" s="28"/>
    </x:row>
    <x:row r="304">
      <x:c r="B304" s="26"/>
      <x:c r="I304" s="27"/>
      <x:c r="K304" s="28"/>
      <x:c r="L304" s="28"/>
      <x:c r="M304" s="28"/>
      <x:c r="N304" s="28"/>
      <x:c r="O304" s="28"/>
    </x:row>
    <x:row r="305">
      <x:c r="B305" s="26"/>
      <x:c r="I305" s="27"/>
      <x:c r="K305" s="28"/>
      <x:c r="L305" s="28"/>
      <x:c r="M305" s="28"/>
      <x:c r="N305" s="28"/>
      <x:c r="O305" s="28"/>
    </x:row>
    <x:row r="306">
      <x:c r="B306" s="26"/>
      <x:c r="I306" s="27"/>
      <x:c r="K306" s="28"/>
      <x:c r="L306" s="28"/>
      <x:c r="M306" s="28"/>
      <x:c r="N306" s="28"/>
      <x:c r="O306" s="28"/>
    </x:row>
    <x:row r="307">
      <x:c r="B307" s="26"/>
      <x:c r="I307" s="27"/>
      <x:c r="K307" s="28"/>
      <x:c r="L307" s="28"/>
      <x:c r="M307" s="28"/>
      <x:c r="N307" s="28"/>
      <x:c r="O307" s="28"/>
    </x:row>
    <x:row r="308">
      <x:c r="B308" s="26"/>
      <x:c r="I308" s="27"/>
      <x:c r="K308" s="28"/>
      <x:c r="L308" s="28"/>
      <x:c r="M308" s="28"/>
      <x:c r="N308" s="28"/>
      <x:c r="O308" s="28"/>
    </x:row>
    <x:row r="309">
      <x:c r="B309" s="26"/>
      <x:c r="I309" s="27"/>
      <x:c r="K309" s="28"/>
      <x:c r="L309" s="28"/>
      <x:c r="M309" s="28"/>
      <x:c r="N309" s="28"/>
      <x:c r="O309" s="28"/>
    </x:row>
    <x:row r="310">
      <x:c r="B310" s="26"/>
      <x:c r="I310" s="27"/>
      <x:c r="K310" s="28"/>
      <x:c r="L310" s="28"/>
      <x:c r="M310" s="28"/>
      <x:c r="N310" s="28"/>
      <x:c r="O310" s="28"/>
    </x:row>
    <x:row r="311">
      <x:c r="B311" s="26"/>
      <x:c r="I311" s="27"/>
      <x:c r="K311" s="28"/>
      <x:c r="L311" s="28"/>
      <x:c r="M311" s="28"/>
      <x:c r="N311" s="28"/>
      <x:c r="O311" s="28"/>
    </x:row>
    <x:row r="312">
      <x:c r="B312" s="26"/>
      <x:c r="I312" s="27"/>
      <x:c r="K312" s="28"/>
      <x:c r="L312" s="28"/>
      <x:c r="M312" s="28"/>
      <x:c r="N312" s="28"/>
      <x:c r="O312" s="28"/>
    </x:row>
    <x:row r="313">
      <x:c r="B313" s="26"/>
      <x:c r="I313" s="27"/>
      <x:c r="K313" s="28"/>
      <x:c r="L313" s="28"/>
      <x:c r="M313" s="28"/>
      <x:c r="N313" s="28"/>
      <x:c r="O313" s="28"/>
    </x:row>
    <x:row r="314">
      <x:c r="B314" s="26"/>
      <x:c r="I314" s="27"/>
      <x:c r="K314" s="28"/>
      <x:c r="L314" s="28"/>
      <x:c r="M314" s="28"/>
      <x:c r="N314" s="28"/>
      <x:c r="O314" s="28"/>
    </x:row>
    <x:row r="315">
      <x:c r="B315" s="26"/>
      <x:c r="I315" s="27"/>
      <x:c r="K315" s="28"/>
      <x:c r="L315" s="28"/>
      <x:c r="M315" s="28"/>
      <x:c r="N315" s="28"/>
      <x:c r="O315" s="28"/>
    </x:row>
    <x:row r="316">
      <x:c r="B316" s="26"/>
      <x:c r="I316" s="27"/>
      <x:c r="K316" s="28"/>
      <x:c r="L316" s="28"/>
      <x:c r="M316" s="28"/>
      <x:c r="N316" s="28"/>
      <x:c r="O316" s="28"/>
    </x:row>
    <x:row r="317">
      <x:c r="B317" s="26"/>
      <x:c r="I317" s="27"/>
      <x:c r="K317" s="28"/>
      <x:c r="L317" s="28"/>
      <x:c r="M317" s="28"/>
      <x:c r="N317" s="28"/>
      <x:c r="O317" s="28"/>
    </x:row>
    <x:row r="318">
      <x:c r="B318" s="26"/>
      <x:c r="I318" s="27"/>
      <x:c r="K318" s="28"/>
      <x:c r="L318" s="28"/>
      <x:c r="M318" s="28"/>
      <x:c r="N318" s="28"/>
      <x:c r="O318" s="28"/>
    </x:row>
    <x:row r="319">
      <x:c r="B319" s="26"/>
      <x:c r="I319" s="27"/>
      <x:c r="K319" s="28"/>
      <x:c r="L319" s="28"/>
      <x:c r="M319" s="28"/>
      <x:c r="N319" s="28"/>
      <x:c r="O319" s="28"/>
    </x:row>
    <x:row r="320">
      <x:c r="B320" s="26"/>
      <x:c r="I320" s="27"/>
      <x:c r="K320" s="28"/>
      <x:c r="L320" s="28"/>
      <x:c r="M320" s="28"/>
      <x:c r="N320" s="28"/>
      <x:c r="O320" s="28"/>
    </x:row>
    <x:row r="321">
      <x:c r="B321" s="26"/>
      <x:c r="I321" s="27"/>
      <x:c r="K321" s="28"/>
      <x:c r="L321" s="28"/>
      <x:c r="M321" s="28"/>
      <x:c r="N321" s="28"/>
      <x:c r="O321" s="28"/>
    </x:row>
    <x:row r="322">
      <x:c r="B322" s="26"/>
      <x:c r="I322" s="27"/>
      <x:c r="K322" s="28"/>
      <x:c r="L322" s="28"/>
      <x:c r="M322" s="28"/>
      <x:c r="N322" s="28"/>
      <x:c r="O322" s="28"/>
    </x:row>
    <x:row r="323">
      <x:c r="B323" s="26"/>
      <x:c r="I323" s="27"/>
      <x:c r="K323" s="28"/>
      <x:c r="L323" s="28"/>
      <x:c r="M323" s="28"/>
      <x:c r="N323" s="28"/>
      <x:c r="O323" s="28"/>
    </x:row>
    <x:row r="324">
      <x:c r="B324" s="26"/>
      <x:c r="I324" s="27"/>
      <x:c r="K324" s="28"/>
      <x:c r="L324" s="28"/>
      <x:c r="M324" s="28"/>
      <x:c r="N324" s="28"/>
      <x:c r="O324" s="28"/>
    </x:row>
    <x:row r="325">
      <x:c r="B325" s="26"/>
      <x:c r="I325" s="27"/>
      <x:c r="K325" s="28"/>
      <x:c r="L325" s="28"/>
      <x:c r="M325" s="28"/>
      <x:c r="N325" s="28"/>
      <x:c r="O325" s="28"/>
    </x:row>
    <x:row r="326">
      <x:c r="B326" s="26"/>
      <x:c r="I326" s="27"/>
      <x:c r="K326" s="28"/>
      <x:c r="L326" s="28"/>
      <x:c r="M326" s="28"/>
      <x:c r="N326" s="28"/>
      <x:c r="O326" s="28"/>
    </x:row>
    <x:row r="327">
      <x:c r="B327" s="26"/>
      <x:c r="I327" s="27"/>
      <x:c r="K327" s="28"/>
      <x:c r="L327" s="28"/>
      <x:c r="M327" s="28"/>
      <x:c r="N327" s="28"/>
      <x:c r="O327" s="28"/>
    </x:row>
    <x:row r="328">
      <x:c r="B328" s="26"/>
      <x:c r="I328" s="27"/>
      <x:c r="K328" s="28"/>
      <x:c r="L328" s="28"/>
      <x:c r="M328" s="28"/>
      <x:c r="N328" s="28"/>
      <x:c r="O328" s="28"/>
    </x:row>
    <x:row r="329">
      <x:c r="B329" s="26"/>
      <x:c r="I329" s="27"/>
      <x:c r="K329" s="28"/>
      <x:c r="L329" s="28"/>
      <x:c r="M329" s="28"/>
      <x:c r="N329" s="28"/>
      <x:c r="O329" s="28"/>
    </x:row>
    <x:row r="330">
      <x:c r="B330" s="26"/>
      <x:c r="I330" s="27"/>
      <x:c r="K330" s="28"/>
      <x:c r="L330" s="28"/>
      <x:c r="M330" s="28"/>
      <x:c r="N330" s="28"/>
      <x:c r="O330" s="28"/>
    </x:row>
    <x:row r="331">
      <x:c r="B331" s="26"/>
      <x:c r="I331" s="27"/>
      <x:c r="K331" s="28"/>
      <x:c r="L331" s="28"/>
      <x:c r="M331" s="28"/>
      <x:c r="N331" s="28"/>
      <x:c r="O331" s="28"/>
    </x:row>
    <x:row r="332">
      <x:c r="B332" s="26"/>
      <x:c r="I332" s="27"/>
      <x:c r="K332" s="28"/>
      <x:c r="L332" s="28"/>
      <x:c r="M332" s="28"/>
      <x:c r="N332" s="28"/>
      <x:c r="O332" s="28"/>
    </x:row>
    <x:row r="333">
      <x:c r="B333" s="26"/>
      <x:c r="I333" s="27"/>
      <x:c r="K333" s="28"/>
      <x:c r="L333" s="28"/>
      <x:c r="M333" s="28"/>
      <x:c r="N333" s="28"/>
      <x:c r="O333" s="28"/>
    </x:row>
    <x:row r="334">
      <x:c r="B334" s="26"/>
      <x:c r="I334" s="27"/>
      <x:c r="K334" s="28"/>
      <x:c r="L334" s="28"/>
      <x:c r="M334" s="28"/>
      <x:c r="N334" s="28"/>
      <x:c r="O334" s="28"/>
    </x:row>
    <x:row r="335">
      <x:c r="B335" s="26"/>
      <x:c r="I335" s="27"/>
      <x:c r="K335" s="28"/>
      <x:c r="L335" s="28"/>
      <x:c r="M335" s="28"/>
      <x:c r="N335" s="28"/>
      <x:c r="O335" s="28"/>
    </x:row>
    <x:row r="336">
      <x:c r="B336" s="26"/>
      <x:c r="I336" s="27"/>
      <x:c r="K336" s="28"/>
      <x:c r="L336" s="28"/>
      <x:c r="M336" s="28"/>
      <x:c r="N336" s="28"/>
      <x:c r="O336" s="28"/>
    </x:row>
    <x:row r="337">
      <x:c r="B337" s="26"/>
      <x:c r="I337" s="27"/>
      <x:c r="K337" s="28"/>
      <x:c r="L337" s="28"/>
      <x:c r="M337" s="28"/>
      <x:c r="N337" s="28"/>
      <x:c r="O337" s="28"/>
    </x:row>
    <x:row r="338">
      <x:c r="B338" s="26"/>
      <x:c r="I338" s="27"/>
      <x:c r="K338" s="28"/>
      <x:c r="L338" s="28"/>
      <x:c r="M338" s="28"/>
      <x:c r="N338" s="28"/>
      <x:c r="O338" s="28"/>
    </x:row>
    <x:row r="339">
      <x:c r="B339" s="26"/>
      <x:c r="I339" s="27"/>
      <x:c r="K339" s="28"/>
      <x:c r="L339" s="28"/>
      <x:c r="M339" s="28"/>
      <x:c r="N339" s="28"/>
      <x:c r="O339" s="28"/>
    </x:row>
    <x:row r="340">
      <x:c r="B340" s="26"/>
      <x:c r="I340" s="27"/>
      <x:c r="K340" s="28"/>
      <x:c r="L340" s="28"/>
      <x:c r="M340" s="28"/>
      <x:c r="N340" s="28"/>
      <x:c r="O340" s="28"/>
    </x:row>
    <x:row r="341">
      <x:c r="B341" s="26"/>
      <x:c r="I341" s="27"/>
      <x:c r="K341" s="28"/>
      <x:c r="L341" s="28"/>
      <x:c r="M341" s="28"/>
      <x:c r="N341" s="28"/>
      <x:c r="O341" s="28"/>
    </x:row>
    <x:row r="342">
      <x:c r="B342" s="26"/>
      <x:c r="I342" s="27"/>
      <x:c r="K342" s="28"/>
      <x:c r="L342" s="28"/>
      <x:c r="M342" s="28"/>
      <x:c r="N342" s="28"/>
      <x:c r="O342" s="28"/>
    </x:row>
    <x:row r="343">
      <x:c r="B343" s="26"/>
      <x:c r="I343" s="27"/>
      <x:c r="K343" s="28"/>
      <x:c r="L343" s="28"/>
      <x:c r="M343" s="28"/>
      <x:c r="N343" s="28"/>
      <x:c r="O343" s="28"/>
    </x:row>
    <x:row r="344">
      <x:c r="B344" s="26"/>
      <x:c r="I344" s="27"/>
      <x:c r="K344" s="28"/>
      <x:c r="L344" s="28"/>
      <x:c r="M344" s="28"/>
      <x:c r="N344" s="28"/>
      <x:c r="O344" s="28"/>
    </x:row>
    <x:row r="345">
      <x:c r="B345" s="26"/>
      <x:c r="I345" s="27"/>
      <x:c r="K345" s="28"/>
      <x:c r="L345" s="28"/>
      <x:c r="M345" s="28"/>
      <x:c r="N345" s="28"/>
      <x:c r="O345" s="28"/>
    </x:row>
    <x:row r="346">
      <x:c r="B346" s="26"/>
      <x:c r="I346" s="27"/>
      <x:c r="K346" s="28"/>
      <x:c r="L346" s="28"/>
      <x:c r="M346" s="28"/>
      <x:c r="N346" s="28"/>
      <x:c r="O346" s="28"/>
    </x:row>
    <x:row r="347">
      <x:c r="B347" s="26"/>
      <x:c r="I347" s="27"/>
      <x:c r="K347" s="28"/>
      <x:c r="L347" s="28"/>
      <x:c r="M347" s="28"/>
      <x:c r="N347" s="28"/>
      <x:c r="O347" s="28"/>
    </x:row>
    <x:row r="348">
      <x:c r="B348" s="26"/>
      <x:c r="I348" s="27"/>
      <x:c r="K348" s="28"/>
      <x:c r="L348" s="28"/>
      <x:c r="M348" s="28"/>
      <x:c r="N348" s="28"/>
      <x:c r="O348" s="28"/>
    </x:row>
    <x:row r="349">
      <x:c r="B349" s="26"/>
      <x:c r="I349" s="27"/>
      <x:c r="K349" s="28"/>
      <x:c r="L349" s="28"/>
      <x:c r="M349" s="28"/>
      <x:c r="N349" s="28"/>
      <x:c r="O349" s="28"/>
    </x:row>
    <x:row r="350">
      <x:c r="B350" s="26"/>
      <x:c r="I350" s="27"/>
      <x:c r="K350" s="28"/>
      <x:c r="L350" s="28"/>
      <x:c r="M350" s="28"/>
      <x:c r="N350" s="28"/>
      <x:c r="O350" s="28"/>
    </x:row>
    <x:row r="351">
      <x:c r="B351" s="26"/>
      <x:c r="I351" s="27"/>
      <x:c r="K351" s="28"/>
      <x:c r="L351" s="28"/>
      <x:c r="M351" s="28"/>
      <x:c r="N351" s="28"/>
      <x:c r="O351" s="28"/>
    </x:row>
    <x:row r="352">
      <x:c r="B352" s="26"/>
      <x:c r="I352" s="27"/>
      <x:c r="K352" s="28"/>
      <x:c r="L352" s="28"/>
      <x:c r="M352" s="28"/>
      <x:c r="N352" s="28"/>
      <x:c r="O352" s="28"/>
    </x:row>
    <x:row r="353">
      <x:c r="B353" s="26"/>
      <x:c r="I353" s="27"/>
      <x:c r="K353" s="28"/>
      <x:c r="L353" s="28"/>
      <x:c r="M353" s="28"/>
      <x:c r="N353" s="28"/>
      <x:c r="O353" s="28"/>
    </x:row>
    <x:row r="354">
      <x:c r="B354" s="26"/>
      <x:c r="I354" s="27"/>
      <x:c r="K354" s="28"/>
      <x:c r="L354" s="28"/>
      <x:c r="M354" s="28"/>
      <x:c r="N354" s="28"/>
      <x:c r="O354" s="28"/>
    </x:row>
    <x:row r="355">
      <x:c r="B355" s="26"/>
      <x:c r="I355" s="27"/>
      <x:c r="K355" s="28"/>
      <x:c r="L355" s="28"/>
      <x:c r="M355" s="28"/>
      <x:c r="N355" s="28"/>
      <x:c r="O355" s="28"/>
    </x:row>
    <x:row r="356">
      <x:c r="B356" s="26"/>
      <x:c r="I356" s="27"/>
      <x:c r="K356" s="28"/>
      <x:c r="L356" s="28"/>
      <x:c r="M356" s="28"/>
      <x:c r="N356" s="28"/>
      <x:c r="O356" s="28"/>
    </x:row>
    <x:row r="357">
      <x:c r="B357" s="26"/>
      <x:c r="I357" s="27"/>
      <x:c r="K357" s="28"/>
      <x:c r="L357" s="28"/>
      <x:c r="M357" s="28"/>
      <x:c r="N357" s="28"/>
      <x:c r="O357" s="28"/>
    </x:row>
    <x:row r="358">
      <x:c r="B358" s="26"/>
      <x:c r="I358" s="27"/>
      <x:c r="K358" s="28"/>
      <x:c r="L358" s="28"/>
      <x:c r="M358" s="28"/>
      <x:c r="N358" s="28"/>
      <x:c r="O358" s="28"/>
    </x:row>
    <x:row r="359">
      <x:c r="B359" s="26"/>
      <x:c r="I359" s="27"/>
      <x:c r="K359" s="28"/>
      <x:c r="L359" s="28"/>
      <x:c r="M359" s="28"/>
      <x:c r="N359" s="28"/>
      <x:c r="O359" s="28"/>
    </x:row>
    <x:row r="360">
      <x:c r="B360" s="26"/>
      <x:c r="I360" s="27"/>
      <x:c r="K360" s="28"/>
      <x:c r="L360" s="28"/>
      <x:c r="M360" s="28"/>
      <x:c r="N360" s="28"/>
      <x:c r="O360" s="28"/>
    </x:row>
    <x:row r="361">
      <x:c r="B361" s="26"/>
      <x:c r="I361" s="27"/>
      <x:c r="K361" s="28"/>
      <x:c r="L361" s="28"/>
      <x:c r="M361" s="28"/>
      <x:c r="N361" s="28"/>
      <x:c r="O361" s="28"/>
    </x:row>
    <x:row r="362">
      <x:c r="B362" s="26"/>
      <x:c r="I362" s="27"/>
      <x:c r="K362" s="28"/>
      <x:c r="L362" s="28"/>
      <x:c r="M362" s="28"/>
      <x:c r="N362" s="28"/>
      <x:c r="O362" s="28"/>
    </x:row>
    <x:row r="363">
      <x:c r="B363" s="26"/>
      <x:c r="I363" s="27"/>
      <x:c r="K363" s="28"/>
      <x:c r="L363" s="28"/>
      <x:c r="M363" s="28"/>
      <x:c r="N363" s="28"/>
      <x:c r="O363" s="28"/>
    </x:row>
    <x:row r="364">
      <x:c r="B364" s="26"/>
      <x:c r="I364" s="27"/>
      <x:c r="K364" s="28"/>
      <x:c r="L364" s="28"/>
      <x:c r="M364" s="28"/>
      <x:c r="N364" s="28"/>
      <x:c r="O364" s="28"/>
    </x:row>
    <x:row r="365">
      <x:c r="B365" s="26"/>
      <x:c r="I365" s="27"/>
      <x:c r="K365" s="28"/>
      <x:c r="L365" s="28"/>
      <x:c r="M365" s="28"/>
      <x:c r="N365" s="28"/>
      <x:c r="O365" s="28"/>
    </x:row>
    <x:row r="366">
      <x:c r="B366" s="26"/>
      <x:c r="I366" s="27"/>
      <x:c r="K366" s="28"/>
      <x:c r="L366" s="28"/>
      <x:c r="M366" s="28"/>
      <x:c r="N366" s="28"/>
      <x:c r="O366" s="28"/>
    </x:row>
    <x:row r="367">
      <x:c r="B367" s="26"/>
      <x:c r="I367" s="27"/>
      <x:c r="K367" s="28"/>
      <x:c r="L367" s="28"/>
      <x:c r="M367" s="28"/>
      <x:c r="N367" s="28"/>
      <x:c r="O367" s="28"/>
    </x:row>
    <x:row r="368">
      <x:c r="B368" s="26"/>
      <x:c r="I368" s="27"/>
      <x:c r="K368" s="28"/>
      <x:c r="L368" s="28"/>
      <x:c r="M368" s="28"/>
      <x:c r="N368" s="28"/>
      <x:c r="O368" s="28"/>
    </x:row>
    <x:row r="369">
      <x:c r="B369" s="26"/>
      <x:c r="I369" s="27"/>
      <x:c r="K369" s="28"/>
      <x:c r="L369" s="28"/>
      <x:c r="M369" s="28"/>
      <x:c r="N369" s="28"/>
      <x:c r="O369" s="28"/>
    </x:row>
    <x:row r="370">
      <x:c r="B370" s="26"/>
      <x:c r="I370" s="27"/>
      <x:c r="K370" s="28"/>
      <x:c r="L370" s="28"/>
      <x:c r="M370" s="28"/>
      <x:c r="N370" s="28"/>
      <x:c r="O370" s="28"/>
    </x:row>
    <x:row r="371">
      <x:c r="B371" s="26"/>
      <x:c r="I371" s="27"/>
      <x:c r="K371" s="28"/>
      <x:c r="L371" s="28"/>
      <x:c r="M371" s="28"/>
      <x:c r="N371" s="28"/>
      <x:c r="O371" s="28"/>
    </x:row>
    <x:row r="372">
      <x:c r="B372" s="26"/>
      <x:c r="I372" s="27"/>
      <x:c r="K372" s="28"/>
      <x:c r="L372" s="28"/>
      <x:c r="M372" s="28"/>
      <x:c r="N372" s="28"/>
      <x:c r="O372" s="28"/>
    </x:row>
    <x:row r="373">
      <x:c r="B373" s="26"/>
      <x:c r="I373" s="27"/>
      <x:c r="K373" s="28"/>
      <x:c r="L373" s="28"/>
      <x:c r="M373" s="28"/>
      <x:c r="N373" s="28"/>
      <x:c r="O373" s="28"/>
    </x:row>
    <x:row r="374">
      <x:c r="B374" s="26"/>
      <x:c r="I374" s="27"/>
      <x:c r="K374" s="28"/>
      <x:c r="L374" s="28"/>
      <x:c r="M374" s="28"/>
      <x:c r="N374" s="28"/>
      <x:c r="O374" s="28"/>
    </x:row>
    <x:row r="375">
      <x:c r="B375" s="26"/>
      <x:c r="I375" s="27"/>
      <x:c r="K375" s="28"/>
      <x:c r="L375" s="28"/>
      <x:c r="M375" s="28"/>
      <x:c r="N375" s="28"/>
      <x:c r="O375" s="28"/>
    </x:row>
    <x:row r="376">
      <x:c r="B376" s="26"/>
      <x:c r="I376" s="27"/>
      <x:c r="K376" s="28"/>
      <x:c r="L376" s="28"/>
      <x:c r="M376" s="28"/>
      <x:c r="N376" s="28"/>
      <x:c r="O376" s="28"/>
    </x:row>
    <x:row r="377">
      <x:c r="B377" s="26"/>
      <x:c r="I377" s="27"/>
      <x:c r="K377" s="28"/>
      <x:c r="L377" s="28"/>
      <x:c r="M377" s="28"/>
      <x:c r="N377" s="28"/>
      <x:c r="O377" s="28"/>
    </x:row>
    <x:row r="378">
      <x:c r="B378" s="26"/>
      <x:c r="I378" s="27"/>
      <x:c r="K378" s="28"/>
      <x:c r="L378" s="28"/>
      <x:c r="M378" s="28"/>
      <x:c r="N378" s="28"/>
      <x:c r="O378" s="28"/>
    </x:row>
    <x:row r="379">
      <x:c r="B379" s="26"/>
      <x:c r="I379" s="27"/>
      <x:c r="K379" s="28"/>
      <x:c r="L379" s="28"/>
      <x:c r="M379" s="28"/>
      <x:c r="N379" s="28"/>
      <x:c r="O379" s="28"/>
    </x:row>
    <x:row r="380">
      <x:c r="B380" s="26"/>
      <x:c r="I380" s="27"/>
      <x:c r="K380" s="28"/>
      <x:c r="L380" s="28"/>
      <x:c r="M380" s="28"/>
      <x:c r="N380" s="28"/>
      <x:c r="O380" s="28"/>
    </x:row>
    <x:row r="381">
      <x:c r="B381" s="26"/>
      <x:c r="I381" s="27"/>
      <x:c r="K381" s="28"/>
      <x:c r="L381" s="28"/>
      <x:c r="M381" s="28"/>
      <x:c r="N381" s="28"/>
      <x:c r="O381" s="28"/>
    </x:row>
    <x:row r="382">
      <x:c r="B382" s="26"/>
      <x:c r="I382" s="27"/>
      <x:c r="K382" s="28"/>
      <x:c r="L382" s="28"/>
      <x:c r="M382" s="28"/>
      <x:c r="N382" s="28"/>
      <x:c r="O382" s="28"/>
    </x:row>
    <x:row r="383">
      <x:c r="B383" s="26"/>
      <x:c r="I383" s="27"/>
      <x:c r="K383" s="28"/>
      <x:c r="L383" s="28"/>
      <x:c r="M383" s="28"/>
      <x:c r="N383" s="28"/>
      <x:c r="O383" s="28"/>
    </x:row>
    <x:row r="384">
      <x:c r="B384" s="26"/>
      <x:c r="I384" s="27"/>
      <x:c r="K384" s="28"/>
      <x:c r="L384" s="28"/>
      <x:c r="M384" s="28"/>
      <x:c r="N384" s="28"/>
      <x:c r="O384" s="28"/>
    </x:row>
    <x:row r="385">
      <x:c r="B385" s="26"/>
      <x:c r="I385" s="27"/>
      <x:c r="K385" s="28"/>
      <x:c r="L385" s="28"/>
      <x:c r="M385" s="28"/>
      <x:c r="N385" s="28"/>
      <x:c r="O385" s="28"/>
    </x:row>
    <x:row r="386">
      <x:c r="B386" s="26"/>
      <x:c r="I386" s="27"/>
      <x:c r="K386" s="28"/>
      <x:c r="L386" s="28"/>
      <x:c r="M386" s="28"/>
      <x:c r="N386" s="28"/>
      <x:c r="O386" s="28"/>
    </x:row>
    <x:row r="387">
      <x:c r="B387" s="26"/>
      <x:c r="I387" s="27"/>
      <x:c r="K387" s="28"/>
      <x:c r="L387" s="28"/>
      <x:c r="M387" s="28"/>
      <x:c r="N387" s="28"/>
      <x:c r="O387" s="28"/>
    </x:row>
    <x:row r="388">
      <x:c r="B388" s="26"/>
      <x:c r="I388" s="27"/>
      <x:c r="K388" s="28"/>
      <x:c r="L388" s="28"/>
      <x:c r="M388" s="28"/>
      <x:c r="N388" s="28"/>
      <x:c r="O388" s="28"/>
    </x:row>
    <x:row r="389">
      <x:c r="B389" s="26"/>
      <x:c r="I389" s="27"/>
      <x:c r="K389" s="28"/>
      <x:c r="L389" s="28"/>
      <x:c r="M389" s="28"/>
      <x:c r="N389" s="28"/>
      <x:c r="O389" s="28"/>
    </x:row>
    <x:row r="390">
      <x:c r="B390" s="26"/>
      <x:c r="I390" s="27"/>
      <x:c r="K390" s="28"/>
      <x:c r="L390" s="28"/>
      <x:c r="M390" s="28"/>
      <x:c r="N390" s="28"/>
      <x:c r="O390" s="28"/>
    </x:row>
    <x:row r="391">
      <x:c r="B391" s="26"/>
      <x:c r="I391" s="27"/>
      <x:c r="K391" s="28"/>
      <x:c r="L391" s="28"/>
      <x:c r="M391" s="28"/>
      <x:c r="N391" s="28"/>
      <x:c r="O391" s="28"/>
    </x:row>
    <x:row r="392">
      <x:c r="B392" s="26"/>
      <x:c r="I392" s="27"/>
      <x:c r="K392" s="28"/>
      <x:c r="L392" s="28"/>
      <x:c r="M392" s="28"/>
      <x:c r="N392" s="28"/>
      <x:c r="O392" s="28"/>
    </x:row>
    <x:row r="393">
      <x:c r="B393" s="26"/>
      <x:c r="I393" s="27"/>
      <x:c r="K393" s="28"/>
      <x:c r="L393" s="28"/>
      <x:c r="M393" s="28"/>
      <x:c r="N393" s="28"/>
      <x:c r="O393" s="28"/>
    </x:row>
    <x:row r="394">
      <x:c r="B394" s="26"/>
      <x:c r="I394" s="27"/>
      <x:c r="K394" s="28"/>
      <x:c r="L394" s="28"/>
      <x:c r="M394" s="28"/>
      <x:c r="N394" s="28"/>
      <x:c r="O394" s="28"/>
    </x:row>
    <x:row r="395">
      <x:c r="B395" s="26"/>
      <x:c r="I395" s="27"/>
      <x:c r="K395" s="28"/>
      <x:c r="L395" s="28"/>
      <x:c r="M395" s="28"/>
      <x:c r="N395" s="28"/>
      <x:c r="O395" s="28"/>
    </x:row>
    <x:row r="396">
      <x:c r="B396" s="26"/>
      <x:c r="I396" s="27"/>
      <x:c r="K396" s="28"/>
      <x:c r="L396" s="28"/>
      <x:c r="M396" s="28"/>
      <x:c r="N396" s="28"/>
      <x:c r="O396" s="28"/>
    </x:row>
    <x:row r="397">
      <x:c r="B397" s="26"/>
      <x:c r="I397" s="27"/>
      <x:c r="K397" s="28"/>
      <x:c r="L397" s="28"/>
      <x:c r="M397" s="28"/>
      <x:c r="N397" s="28"/>
      <x:c r="O397" s="28"/>
    </x:row>
    <x:row r="398">
      <x:c r="B398" s="26"/>
      <x:c r="I398" s="27"/>
      <x:c r="K398" s="28"/>
      <x:c r="L398" s="28"/>
      <x:c r="M398" s="28"/>
      <x:c r="N398" s="28"/>
      <x:c r="O398" s="28"/>
    </x:row>
    <x:row r="399">
      <x:c r="B399" s="26"/>
      <x:c r="I399" s="27"/>
      <x:c r="K399" s="28"/>
      <x:c r="L399" s="28"/>
      <x:c r="M399" s="28"/>
      <x:c r="N399" s="28"/>
      <x:c r="O399" s="28"/>
    </x:row>
    <x:row r="400">
      <x:c r="B400" s="26"/>
      <x:c r="I400" s="27"/>
      <x:c r="K400" s="28"/>
      <x:c r="L400" s="28"/>
      <x:c r="M400" s="28"/>
      <x:c r="N400" s="28"/>
      <x:c r="O400" s="28"/>
    </x:row>
    <x:row r="401">
      <x:c r="B401" s="26"/>
      <x:c r="I401" s="27"/>
      <x:c r="K401" s="28"/>
      <x:c r="L401" s="28"/>
      <x:c r="M401" s="28"/>
      <x:c r="N401" s="28"/>
      <x:c r="O401" s="28"/>
    </x:row>
    <x:row r="402">
      <x:c r="B402" s="26"/>
      <x:c r="I402" s="27"/>
      <x:c r="K402" s="28"/>
      <x:c r="L402" s="28"/>
      <x:c r="M402" s="28"/>
      <x:c r="N402" s="28"/>
      <x:c r="O402" s="28"/>
    </x:row>
    <x:row r="403">
      <x:c r="B403" s="26"/>
      <x:c r="I403" s="27"/>
      <x:c r="K403" s="28"/>
      <x:c r="L403" s="28"/>
      <x:c r="M403" s="28"/>
      <x:c r="N403" s="28"/>
      <x:c r="O403" s="28"/>
    </x:row>
    <x:row r="404">
      <x:c r="B404" s="26"/>
      <x:c r="I404" s="27"/>
      <x:c r="K404" s="28"/>
      <x:c r="L404" s="28"/>
      <x:c r="M404" s="28"/>
      <x:c r="N404" s="28"/>
      <x:c r="O404" s="28"/>
    </x:row>
    <x:row r="405">
      <x:c r="B405" s="26"/>
      <x:c r="I405" s="27"/>
      <x:c r="K405" s="28"/>
      <x:c r="L405" s="28"/>
      <x:c r="M405" s="28"/>
      <x:c r="N405" s="28"/>
      <x:c r="O405" s="28"/>
    </x:row>
    <x:row r="406">
      <x:c r="B406" s="26"/>
      <x:c r="I406" s="27"/>
      <x:c r="K406" s="28"/>
      <x:c r="L406" s="28"/>
      <x:c r="M406" s="28"/>
      <x:c r="N406" s="28"/>
      <x:c r="O406" s="28"/>
    </x:row>
    <x:row r="407">
      <x:c r="B407" s="26"/>
      <x:c r="I407" s="27"/>
      <x:c r="K407" s="28"/>
      <x:c r="L407" s="28"/>
      <x:c r="M407" s="28"/>
      <x:c r="N407" s="28"/>
      <x:c r="O407" s="28"/>
    </x:row>
    <x:row r="408">
      <x:c r="B408" s="26"/>
      <x:c r="I408" s="27"/>
      <x:c r="K408" s="28"/>
      <x:c r="L408" s="28"/>
      <x:c r="M408" s="28"/>
      <x:c r="N408" s="28"/>
      <x:c r="O408" s="28"/>
    </x:row>
    <x:row r="409">
      <x:c r="B409" s="26"/>
      <x:c r="I409" s="27"/>
      <x:c r="K409" s="28"/>
      <x:c r="L409" s="28"/>
      <x:c r="M409" s="28"/>
      <x:c r="N409" s="28"/>
      <x:c r="O409" s="28"/>
    </x:row>
    <x:row r="410">
      <x:c r="B410" s="26"/>
      <x:c r="I410" s="27"/>
      <x:c r="K410" s="28"/>
      <x:c r="L410" s="28"/>
      <x:c r="M410" s="28"/>
      <x:c r="N410" s="28"/>
      <x:c r="O410" s="28"/>
    </x:row>
    <x:row r="411">
      <x:c r="B411" s="26"/>
      <x:c r="I411" s="27"/>
      <x:c r="K411" s="28"/>
      <x:c r="L411" s="28"/>
      <x:c r="M411" s="28"/>
      <x:c r="N411" s="28"/>
      <x:c r="O411" s="28"/>
    </x:row>
    <x:row r="412">
      <x:c r="B412" s="26"/>
      <x:c r="I412" s="27"/>
      <x:c r="K412" s="28"/>
      <x:c r="L412" s="28"/>
      <x:c r="M412" s="28"/>
      <x:c r="N412" s="28"/>
      <x:c r="O412" s="28"/>
    </x:row>
    <x:row r="413">
      <x:c r="B413" s="26"/>
      <x:c r="I413" s="27"/>
      <x:c r="K413" s="28"/>
      <x:c r="L413" s="28"/>
      <x:c r="M413" s="28"/>
      <x:c r="N413" s="28"/>
      <x:c r="O413" s="28"/>
    </x:row>
    <x:row r="414">
      <x:c r="B414" s="26"/>
      <x:c r="I414" s="27"/>
      <x:c r="K414" s="28"/>
      <x:c r="L414" s="28"/>
      <x:c r="M414" s="28"/>
      <x:c r="N414" s="28"/>
      <x:c r="O414" s="28"/>
    </x:row>
    <x:row r="415">
      <x:c r="B415" s="26"/>
      <x:c r="I415" s="27"/>
      <x:c r="K415" s="28"/>
      <x:c r="L415" s="28"/>
      <x:c r="M415" s="28"/>
      <x:c r="N415" s="28"/>
      <x:c r="O415" s="28"/>
    </x:row>
    <x:row r="416">
      <x:c r="B416" s="26"/>
      <x:c r="I416" s="27"/>
      <x:c r="K416" s="28"/>
      <x:c r="L416" s="28"/>
      <x:c r="M416" s="28"/>
      <x:c r="N416" s="28"/>
      <x:c r="O416" s="28"/>
    </x:row>
    <x:row r="417">
      <x:c r="B417" s="26"/>
      <x:c r="I417" s="27"/>
      <x:c r="K417" s="28"/>
      <x:c r="L417" s="28"/>
      <x:c r="M417" s="28"/>
      <x:c r="N417" s="28"/>
      <x:c r="O417" s="28"/>
    </x:row>
    <x:row r="418">
      <x:c r="B418" s="26"/>
      <x:c r="I418" s="27"/>
      <x:c r="K418" s="28"/>
      <x:c r="L418" s="28"/>
      <x:c r="M418" s="28"/>
      <x:c r="N418" s="28"/>
      <x:c r="O418" s="28"/>
    </x:row>
    <x:row r="419">
      <x:c r="B419" s="26"/>
      <x:c r="I419" s="27"/>
      <x:c r="K419" s="28"/>
      <x:c r="L419" s="28"/>
      <x:c r="M419" s="28"/>
      <x:c r="N419" s="28"/>
      <x:c r="O419" s="28"/>
    </x:row>
    <x:row r="420">
      <x:c r="B420" s="26"/>
      <x:c r="I420" s="27"/>
      <x:c r="K420" s="28"/>
      <x:c r="L420" s="28"/>
      <x:c r="M420" s="28"/>
      <x:c r="N420" s="28"/>
      <x:c r="O420" s="28"/>
    </x:row>
    <x:row r="421">
      <x:c r="B421" s="26"/>
      <x:c r="I421" s="27"/>
      <x:c r="K421" s="28"/>
      <x:c r="L421" s="28"/>
      <x:c r="M421" s="28"/>
      <x:c r="N421" s="28"/>
      <x:c r="O421" s="28"/>
    </x:row>
    <x:row r="422">
      <x:c r="B422" s="26"/>
      <x:c r="I422" s="27"/>
      <x:c r="K422" s="28"/>
      <x:c r="L422" s="28"/>
      <x:c r="M422" s="28"/>
      <x:c r="N422" s="28"/>
      <x:c r="O422" s="28"/>
    </x:row>
    <x:row r="423">
      <x:c r="B423" s="26"/>
      <x:c r="I423" s="27"/>
      <x:c r="K423" s="28"/>
      <x:c r="L423" s="28"/>
      <x:c r="M423" s="28"/>
      <x:c r="N423" s="28"/>
      <x:c r="O423" s="28"/>
    </x:row>
    <x:row r="424">
      <x:c r="B424" s="26"/>
      <x:c r="I424" s="27"/>
      <x:c r="K424" s="28"/>
      <x:c r="L424" s="28"/>
      <x:c r="M424" s="28"/>
      <x:c r="N424" s="28"/>
      <x:c r="O424" s="28"/>
    </x:row>
    <x:row r="425">
      <x:c r="B425" s="26"/>
      <x:c r="I425" s="27"/>
      <x:c r="K425" s="28"/>
      <x:c r="L425" s="28"/>
      <x:c r="M425" s="28"/>
      <x:c r="N425" s="28"/>
      <x:c r="O425" s="28"/>
    </x:row>
    <x:row r="426">
      <x:c r="B426" s="26"/>
      <x:c r="I426" s="27"/>
      <x:c r="K426" s="28"/>
      <x:c r="L426" s="28"/>
      <x:c r="M426" s="28"/>
      <x:c r="N426" s="28"/>
      <x:c r="O426" s="28"/>
    </x:row>
    <x:row r="427">
      <x:c r="B427" s="26"/>
      <x:c r="I427" s="27"/>
      <x:c r="K427" s="28"/>
      <x:c r="L427" s="28"/>
      <x:c r="M427" s="28"/>
      <x:c r="N427" s="28"/>
      <x:c r="O427" s="28"/>
    </x:row>
    <x:row r="428">
      <x:c r="B428" s="26"/>
      <x:c r="I428" s="27"/>
      <x:c r="K428" s="28"/>
      <x:c r="L428" s="28"/>
      <x:c r="M428" s="28"/>
      <x:c r="N428" s="28"/>
      <x:c r="O428" s="28"/>
    </x:row>
    <x:row r="429">
      <x:c r="B429" s="26"/>
      <x:c r="I429" s="27"/>
      <x:c r="K429" s="28"/>
      <x:c r="L429" s="28"/>
      <x:c r="M429" s="28"/>
      <x:c r="N429" s="28"/>
      <x:c r="O429" s="28"/>
    </x:row>
    <x:row r="430">
      <x:c r="B430" s="26"/>
      <x:c r="I430" s="27"/>
      <x:c r="K430" s="28"/>
      <x:c r="L430" s="28"/>
      <x:c r="M430" s="28"/>
      <x:c r="N430" s="28"/>
      <x:c r="O430" s="28"/>
    </x:row>
    <x:row r="431">
      <x:c r="B431" s="26"/>
      <x:c r="I431" s="27"/>
      <x:c r="K431" s="28"/>
      <x:c r="L431" s="28"/>
      <x:c r="M431" s="28"/>
      <x:c r="N431" s="28"/>
      <x:c r="O431" s="28"/>
    </x:row>
    <x:row r="432">
      <x:c r="B432" s="26"/>
      <x:c r="I432" s="27"/>
      <x:c r="K432" s="28"/>
      <x:c r="L432" s="28"/>
      <x:c r="M432" s="28"/>
      <x:c r="N432" s="28"/>
      <x:c r="O432" s="28"/>
    </x:row>
    <x:row r="433">
      <x:c r="B433" s="26"/>
      <x:c r="I433" s="27"/>
      <x:c r="K433" s="28"/>
      <x:c r="L433" s="28"/>
      <x:c r="M433" s="28"/>
      <x:c r="N433" s="28"/>
      <x:c r="O433" s="28"/>
    </x:row>
    <x:row r="434">
      <x:c r="B434" s="26"/>
      <x:c r="I434" s="27"/>
      <x:c r="K434" s="28"/>
      <x:c r="L434" s="28"/>
      <x:c r="M434" s="28"/>
      <x:c r="N434" s="28"/>
      <x:c r="O434" s="28"/>
    </x:row>
    <x:row r="435">
      <x:c r="B435" s="26"/>
      <x:c r="I435" s="27"/>
      <x:c r="K435" s="28"/>
      <x:c r="L435" s="28"/>
      <x:c r="M435" s="28"/>
      <x:c r="N435" s="28"/>
      <x:c r="O435" s="28"/>
    </x:row>
    <x:row r="436">
      <x:c r="B436" s="26"/>
      <x:c r="I436" s="27"/>
      <x:c r="K436" s="28"/>
      <x:c r="L436" s="28"/>
      <x:c r="M436" s="28"/>
      <x:c r="N436" s="28"/>
      <x:c r="O436" s="28"/>
    </x:row>
    <x:row r="437">
      <x:c r="B437" s="26"/>
      <x:c r="I437" s="27"/>
      <x:c r="K437" s="28"/>
      <x:c r="L437" s="28"/>
      <x:c r="M437" s="28"/>
      <x:c r="N437" s="28"/>
      <x:c r="O437" s="28"/>
    </x:row>
    <x:row r="438">
      <x:c r="B438" s="26"/>
      <x:c r="I438" s="27"/>
      <x:c r="K438" s="28"/>
      <x:c r="L438" s="28"/>
      <x:c r="M438" s="28"/>
      <x:c r="N438" s="28"/>
      <x:c r="O438" s="28"/>
    </x:row>
    <x:row r="439">
      <x:c r="B439" s="26"/>
      <x:c r="I439" s="27"/>
      <x:c r="K439" s="28"/>
      <x:c r="L439" s="28"/>
      <x:c r="M439" s="28"/>
      <x:c r="N439" s="28"/>
      <x:c r="O439" s="28"/>
    </x:row>
    <x:row r="440">
      <x:c r="B440" s="26"/>
      <x:c r="I440" s="27"/>
      <x:c r="K440" s="28"/>
      <x:c r="L440" s="28"/>
      <x:c r="M440" s="28"/>
      <x:c r="N440" s="28"/>
      <x:c r="O440" s="28"/>
    </x:row>
    <x:row r="441">
      <x:c r="B441" s="26"/>
      <x:c r="I441" s="27"/>
      <x:c r="K441" s="28"/>
      <x:c r="L441" s="28"/>
      <x:c r="M441" s="28"/>
      <x:c r="N441" s="28"/>
      <x:c r="O441" s="28"/>
    </x:row>
    <x:row r="442">
      <x:c r="B442" s="26"/>
      <x:c r="I442" s="27"/>
      <x:c r="K442" s="28"/>
      <x:c r="L442" s="28"/>
      <x:c r="M442" s="28"/>
      <x:c r="N442" s="28"/>
      <x:c r="O442" s="28"/>
    </x:row>
    <x:row r="443">
      <x:c r="B443" s="26"/>
      <x:c r="I443" s="27"/>
      <x:c r="K443" s="28"/>
      <x:c r="L443" s="28"/>
      <x:c r="M443" s="28"/>
      <x:c r="N443" s="28"/>
      <x:c r="O443" s="28"/>
    </x:row>
    <x:row r="444">
      <x:c r="B444" s="26"/>
      <x:c r="I444" s="27"/>
      <x:c r="K444" s="28"/>
      <x:c r="L444" s="28"/>
      <x:c r="M444" s="28"/>
      <x:c r="N444" s="28"/>
      <x:c r="O444" s="28"/>
    </x:row>
    <x:row r="445">
      <x:c r="B445" s="26"/>
      <x:c r="I445" s="27"/>
      <x:c r="K445" s="28"/>
      <x:c r="L445" s="28"/>
      <x:c r="M445" s="28"/>
      <x:c r="N445" s="28"/>
      <x:c r="O445" s="28"/>
    </x:row>
    <x:row r="446">
      <x:c r="B446" s="26"/>
      <x:c r="I446" s="27"/>
      <x:c r="K446" s="28"/>
      <x:c r="L446" s="28"/>
      <x:c r="M446" s="28"/>
      <x:c r="N446" s="28"/>
      <x:c r="O446" s="28"/>
    </x:row>
    <x:row r="447">
      <x:c r="B447" s="26"/>
      <x:c r="I447" s="27"/>
      <x:c r="K447" s="28"/>
      <x:c r="L447" s="28"/>
      <x:c r="M447" s="28"/>
      <x:c r="N447" s="28"/>
      <x:c r="O447" s="28"/>
    </x:row>
    <x:row r="448">
      <x:c r="B448" s="26"/>
      <x:c r="I448" s="27"/>
      <x:c r="K448" s="28"/>
      <x:c r="L448" s="28"/>
      <x:c r="M448" s="28"/>
      <x:c r="N448" s="28"/>
      <x:c r="O448" s="28"/>
    </x:row>
    <x:row r="449">
      <x:c r="B449" s="26"/>
      <x:c r="I449" s="27"/>
      <x:c r="K449" s="28"/>
      <x:c r="L449" s="28"/>
      <x:c r="M449" s="28"/>
      <x:c r="N449" s="28"/>
      <x:c r="O449" s="28"/>
    </x:row>
    <x:row r="450">
      <x:c r="B450" s="26"/>
      <x:c r="I450" s="27"/>
      <x:c r="K450" s="28"/>
      <x:c r="L450" s="28"/>
      <x:c r="M450" s="28"/>
      <x:c r="N450" s="28"/>
      <x:c r="O450" s="28"/>
    </x:row>
    <x:row r="451">
      <x:c r="B451" s="26"/>
      <x:c r="I451" s="27"/>
      <x:c r="K451" s="28"/>
      <x:c r="L451" s="28"/>
      <x:c r="M451" s="28"/>
      <x:c r="N451" s="28"/>
      <x:c r="O451" s="28"/>
    </x:row>
    <x:row r="452">
      <x:c r="B452" s="26"/>
      <x:c r="I452" s="27"/>
      <x:c r="K452" s="28"/>
      <x:c r="L452" s="28"/>
      <x:c r="M452" s="28"/>
      <x:c r="N452" s="28"/>
      <x:c r="O452" s="28"/>
    </x:row>
    <x:row r="453">
      <x:c r="B453" s="26"/>
      <x:c r="I453" s="27"/>
      <x:c r="K453" s="28"/>
      <x:c r="L453" s="28"/>
      <x:c r="M453" s="28"/>
      <x:c r="N453" s="28"/>
      <x:c r="O453" s="28"/>
    </x:row>
    <x:row r="454">
      <x:c r="B454" s="26"/>
      <x:c r="I454" s="27"/>
      <x:c r="K454" s="28"/>
      <x:c r="L454" s="28"/>
      <x:c r="M454" s="28"/>
      <x:c r="N454" s="28"/>
      <x:c r="O454" s="28"/>
    </x:row>
    <x:row r="455">
      <x:c r="B455" s="26"/>
      <x:c r="I455" s="27"/>
      <x:c r="K455" s="28"/>
      <x:c r="L455" s="28"/>
      <x:c r="M455" s="28"/>
      <x:c r="N455" s="28"/>
      <x:c r="O455" s="28"/>
    </x:row>
    <x:row r="456">
      <x:c r="B456" s="26"/>
      <x:c r="I456" s="27"/>
      <x:c r="K456" s="28"/>
      <x:c r="L456" s="28"/>
      <x:c r="M456" s="28"/>
      <x:c r="N456" s="28"/>
      <x:c r="O456" s="28"/>
    </x:row>
    <x:row r="457">
      <x:c r="B457" s="26"/>
      <x:c r="I457" s="27"/>
      <x:c r="K457" s="28"/>
      <x:c r="L457" s="28"/>
      <x:c r="M457" s="28"/>
      <x:c r="N457" s="28"/>
      <x:c r="O457" s="28"/>
    </x:row>
    <x:row r="458">
      <x:c r="B458" s="26"/>
      <x:c r="I458" s="27"/>
      <x:c r="K458" s="28"/>
      <x:c r="L458" s="28"/>
      <x:c r="M458" s="28"/>
      <x:c r="N458" s="28"/>
      <x:c r="O458" s="28"/>
    </x:row>
    <x:row r="459">
      <x:c r="B459" s="26"/>
      <x:c r="I459" s="27"/>
      <x:c r="K459" s="28"/>
      <x:c r="L459" s="28"/>
      <x:c r="M459" s="28"/>
      <x:c r="N459" s="28"/>
      <x:c r="O459" s="28"/>
    </x:row>
    <x:row r="460">
      <x:c r="B460" s="26"/>
      <x:c r="I460" s="27"/>
      <x:c r="K460" s="28"/>
      <x:c r="L460" s="28"/>
      <x:c r="M460" s="28"/>
      <x:c r="N460" s="28"/>
      <x:c r="O460" s="28"/>
    </x:row>
    <x:row r="461">
      <x:c r="B461" s="26"/>
      <x:c r="I461" s="27"/>
      <x:c r="K461" s="28"/>
      <x:c r="L461" s="28"/>
      <x:c r="M461" s="28"/>
      <x:c r="N461" s="28"/>
      <x:c r="O461" s="28"/>
    </x:row>
    <x:row r="462">
      <x:c r="B462" s="26"/>
      <x:c r="I462" s="27"/>
      <x:c r="K462" s="28"/>
      <x:c r="L462" s="28"/>
      <x:c r="M462" s="28"/>
      <x:c r="N462" s="28"/>
      <x:c r="O462" s="28"/>
    </x:row>
    <x:row r="463">
      <x:c r="B463" s="26"/>
      <x:c r="I463" s="27"/>
      <x:c r="K463" s="28"/>
      <x:c r="L463" s="28"/>
      <x:c r="M463" s="28"/>
      <x:c r="N463" s="28"/>
      <x:c r="O463" s="28"/>
    </x:row>
    <x:row r="464">
      <x:c r="B464" s="26"/>
      <x:c r="I464" s="27"/>
      <x:c r="K464" s="28"/>
      <x:c r="L464" s="28"/>
      <x:c r="M464" s="28"/>
      <x:c r="N464" s="28"/>
      <x:c r="O464" s="28"/>
    </x:row>
    <x:row r="465">
      <x:c r="B465" s="26"/>
      <x:c r="I465" s="27"/>
      <x:c r="K465" s="28"/>
      <x:c r="L465" s="28"/>
      <x:c r="M465" s="28"/>
      <x:c r="N465" s="28"/>
      <x:c r="O465" s="28"/>
    </x:row>
    <x:row r="466">
      <x:c r="B466" s="26"/>
      <x:c r="I466" s="27"/>
      <x:c r="K466" s="28"/>
      <x:c r="L466" s="28"/>
      <x:c r="M466" s="28"/>
      <x:c r="N466" s="28"/>
      <x:c r="O466" s="28"/>
    </x:row>
    <x:row r="467">
      <x:c r="B467" s="26"/>
      <x:c r="I467" s="27"/>
      <x:c r="K467" s="28"/>
      <x:c r="L467" s="28"/>
      <x:c r="M467" s="28"/>
      <x:c r="N467" s="28"/>
      <x:c r="O467" s="28"/>
    </x:row>
    <x:row r="468">
      <x:c r="B468" s="26"/>
      <x:c r="I468" s="27"/>
      <x:c r="K468" s="28"/>
      <x:c r="L468" s="28"/>
      <x:c r="M468" s="28"/>
      <x:c r="N468" s="28"/>
      <x:c r="O468" s="28"/>
    </x:row>
    <x:row r="469">
      <x:c r="B469" s="26"/>
      <x:c r="I469" s="27"/>
      <x:c r="K469" s="28"/>
      <x:c r="L469" s="28"/>
      <x:c r="M469" s="28"/>
      <x:c r="N469" s="28"/>
      <x:c r="O469" s="28"/>
    </x:row>
    <x:row r="470">
      <x:c r="B470" s="26"/>
      <x:c r="I470" s="27"/>
      <x:c r="K470" s="28"/>
      <x:c r="L470" s="28"/>
      <x:c r="M470" s="28"/>
      <x:c r="N470" s="28"/>
      <x:c r="O470" s="28"/>
    </x:row>
    <x:row r="471">
      <x:c r="B471" s="26"/>
      <x:c r="I471" s="27"/>
      <x:c r="K471" s="28"/>
      <x:c r="L471" s="28"/>
      <x:c r="M471" s="28"/>
      <x:c r="N471" s="28"/>
      <x:c r="O471" s="28"/>
    </x:row>
    <x:row r="472">
      <x:c r="B472" s="26"/>
      <x:c r="I472" s="27"/>
      <x:c r="K472" s="28"/>
      <x:c r="L472" s="28"/>
      <x:c r="M472" s="28"/>
      <x:c r="N472" s="28"/>
      <x:c r="O472" s="28"/>
    </x:row>
    <x:row r="473">
      <x:c r="B473" s="26"/>
      <x:c r="I473" s="27"/>
      <x:c r="K473" s="28"/>
      <x:c r="L473" s="28"/>
      <x:c r="M473" s="28"/>
      <x:c r="N473" s="28"/>
      <x:c r="O473" s="28"/>
    </x:row>
    <x:row r="474">
      <x:c r="B474" s="26"/>
      <x:c r="I474" s="27"/>
      <x:c r="K474" s="28"/>
      <x:c r="L474" s="28"/>
      <x:c r="M474" s="28"/>
      <x:c r="N474" s="28"/>
      <x:c r="O474" s="28"/>
    </x:row>
    <x:row r="475">
      <x:c r="B475" s="26"/>
      <x:c r="I475" s="27"/>
      <x:c r="K475" s="28"/>
      <x:c r="L475" s="28"/>
      <x:c r="M475" s="28"/>
      <x:c r="N475" s="28"/>
      <x:c r="O475" s="28"/>
    </x:row>
    <x:row r="476">
      <x:c r="B476" s="26"/>
      <x:c r="I476" s="27"/>
      <x:c r="K476" s="28"/>
      <x:c r="L476" s="28"/>
      <x:c r="M476" s="28"/>
      <x:c r="N476" s="28"/>
      <x:c r="O476" s="28"/>
    </x:row>
    <x:row r="477">
      <x:c r="B477" s="26"/>
      <x:c r="I477" s="27"/>
      <x:c r="K477" s="28"/>
      <x:c r="L477" s="28"/>
      <x:c r="M477" s="28"/>
      <x:c r="N477" s="28"/>
      <x:c r="O477" s="28"/>
    </x:row>
    <x:row r="478">
      <x:c r="B478" s="26"/>
      <x:c r="I478" s="27"/>
      <x:c r="K478" s="28"/>
      <x:c r="L478" s="28"/>
      <x:c r="M478" s="28"/>
      <x:c r="N478" s="28"/>
      <x:c r="O478" s="28"/>
    </x:row>
    <x:row r="479">
      <x:c r="B479" s="26"/>
      <x:c r="I479" s="27"/>
      <x:c r="K479" s="28"/>
      <x:c r="L479" s="28"/>
      <x:c r="M479" s="28"/>
      <x:c r="N479" s="28"/>
      <x:c r="O479" s="28"/>
    </x:row>
    <x:row r="480">
      <x:c r="B480" s="26"/>
      <x:c r="I480" s="27"/>
      <x:c r="K480" s="28"/>
      <x:c r="L480" s="28"/>
      <x:c r="M480" s="28"/>
      <x:c r="N480" s="28"/>
      <x:c r="O480" s="28"/>
    </x:row>
    <x:row r="481">
      <x:c r="B481" s="26"/>
      <x:c r="I481" s="27"/>
      <x:c r="K481" s="28"/>
      <x:c r="L481" s="28"/>
      <x:c r="M481" s="28"/>
      <x:c r="N481" s="28"/>
      <x:c r="O481" s="28"/>
    </x:row>
    <x:row r="482">
      <x:c r="B482" s="26"/>
      <x:c r="I482" s="27"/>
      <x:c r="K482" s="28"/>
      <x:c r="L482" s="28"/>
      <x:c r="M482" s="28"/>
      <x:c r="N482" s="28"/>
      <x:c r="O482" s="28"/>
    </x:row>
    <x:row r="483">
      <x:c r="B483" s="26"/>
      <x:c r="I483" s="27"/>
      <x:c r="K483" s="28"/>
      <x:c r="L483" s="28"/>
      <x:c r="M483" s="28"/>
      <x:c r="N483" s="28"/>
      <x:c r="O483" s="28"/>
    </x:row>
    <x:row r="484">
      <x:c r="B484" s="26"/>
      <x:c r="I484" s="27"/>
      <x:c r="K484" s="28"/>
      <x:c r="L484" s="28"/>
      <x:c r="M484" s="28"/>
      <x:c r="N484" s="28"/>
      <x:c r="O484" s="28"/>
    </x:row>
    <x:row r="485">
      <x:c r="B485" s="26"/>
      <x:c r="I485" s="27"/>
      <x:c r="K485" s="28"/>
      <x:c r="L485" s="28"/>
      <x:c r="M485" s="28"/>
      <x:c r="N485" s="28"/>
      <x:c r="O485" s="28"/>
    </x:row>
    <x:row r="486">
      <x:c r="B486" s="26"/>
      <x:c r="I486" s="27"/>
      <x:c r="K486" s="28"/>
      <x:c r="L486" s="28"/>
      <x:c r="M486" s="28"/>
      <x:c r="N486" s="28"/>
      <x:c r="O486" s="28"/>
    </x:row>
    <x:row r="487">
      <x:c r="B487" s="26"/>
      <x:c r="I487" s="27"/>
      <x:c r="K487" s="28"/>
      <x:c r="L487" s="28"/>
      <x:c r="M487" s="28"/>
      <x:c r="N487" s="28"/>
      <x:c r="O487" s="28"/>
    </x:row>
    <x:row r="488">
      <x:c r="B488" s="26"/>
      <x:c r="I488" s="27"/>
      <x:c r="K488" s="28"/>
      <x:c r="L488" s="28"/>
      <x:c r="M488" s="28"/>
      <x:c r="N488" s="28"/>
      <x:c r="O488" s="28"/>
    </x:row>
    <x:row r="489">
      <x:c r="B489" s="26"/>
      <x:c r="I489" s="27"/>
      <x:c r="K489" s="28"/>
      <x:c r="L489" s="28"/>
      <x:c r="M489" s="28"/>
      <x:c r="N489" s="28"/>
      <x:c r="O489" s="28"/>
    </x:row>
    <x:row r="490">
      <x:c r="B490" s="26"/>
      <x:c r="I490" s="27"/>
      <x:c r="K490" s="28"/>
      <x:c r="L490" s="28"/>
      <x:c r="M490" s="28"/>
      <x:c r="N490" s="28"/>
      <x:c r="O490" s="28"/>
    </x:row>
    <x:row r="491">
      <x:c r="B491" s="26"/>
      <x:c r="I491" s="27"/>
      <x:c r="K491" s="28"/>
      <x:c r="L491" s="28"/>
      <x:c r="M491" s="28"/>
      <x:c r="N491" s="28"/>
      <x:c r="O491" s="28"/>
    </x:row>
    <x:row r="492">
      <x:c r="B492" s="26"/>
      <x:c r="I492" s="27"/>
      <x:c r="K492" s="28"/>
      <x:c r="L492" s="28"/>
      <x:c r="M492" s="28"/>
      <x:c r="N492" s="28"/>
      <x:c r="O492" s="28"/>
    </x:row>
    <x:row r="493">
      <x:c r="B493" s="26"/>
      <x:c r="I493" s="27"/>
      <x:c r="K493" s="28"/>
      <x:c r="L493" s="28"/>
      <x:c r="M493" s="28"/>
      <x:c r="N493" s="28"/>
      <x:c r="O493" s="28"/>
    </x:row>
    <x:row r="494">
      <x:c r="B494" s="26"/>
      <x:c r="I494" s="27"/>
      <x:c r="K494" s="28"/>
      <x:c r="L494" s="28"/>
      <x:c r="M494" s="28"/>
      <x:c r="N494" s="28"/>
      <x:c r="O494" s="28"/>
    </x:row>
    <x:row r="495">
      <x:c r="B495" s="26"/>
      <x:c r="I495" s="27"/>
      <x:c r="K495" s="28"/>
      <x:c r="L495" s="28"/>
      <x:c r="M495" s="28"/>
      <x:c r="N495" s="28"/>
      <x:c r="O495" s="28"/>
    </x:row>
    <x:row r="496">
      <x:c r="B496" s="26"/>
      <x:c r="I496" s="27"/>
      <x:c r="K496" s="28"/>
      <x:c r="L496" s="28"/>
      <x:c r="M496" s="28"/>
      <x:c r="N496" s="28"/>
      <x:c r="O496" s="28"/>
    </x:row>
    <x:row r="497">
      <x:c r="B497" s="26"/>
      <x:c r="I497" s="27"/>
      <x:c r="K497" s="28"/>
      <x:c r="L497" s="28"/>
      <x:c r="M497" s="28"/>
      <x:c r="N497" s="28"/>
      <x:c r="O497" s="28"/>
    </x:row>
    <x:row r="498">
      <x:c r="B498" s="26"/>
      <x:c r="I498" s="27"/>
      <x:c r="K498" s="28"/>
      <x:c r="L498" s="28"/>
      <x:c r="M498" s="28"/>
      <x:c r="N498" s="28"/>
      <x:c r="O498" s="28"/>
    </x:row>
    <x:row r="499">
      <x:c r="B499" s="26"/>
      <x:c r="I499" s="27"/>
      <x:c r="K499" s="28"/>
      <x:c r="L499" s="28"/>
      <x:c r="M499" s="28"/>
      <x:c r="N499" s="28"/>
      <x:c r="O499" s="28"/>
    </x:row>
    <x:row r="500">
      <x:c r="B500" s="26"/>
      <x:c r="I500" s="27"/>
      <x:c r="K500" s="28"/>
      <x:c r="L500" s="28"/>
      <x:c r="M500" s="28"/>
      <x:c r="N500" s="28"/>
      <x:c r="O500" s="28"/>
    </x:row>
    <x:row r="501">
      <x:c r="B501" s="26"/>
      <x:c r="I501" s="27"/>
      <x:c r="K501" s="28"/>
      <x:c r="L501" s="28"/>
      <x:c r="M501" s="28"/>
      <x:c r="N501" s="28"/>
      <x:c r="O501" s="28"/>
    </x:row>
    <x:row r="502">
      <x:c r="B502" s="26"/>
      <x:c r="I502" s="27"/>
      <x:c r="K502" s="28"/>
      <x:c r="L502" s="28"/>
      <x:c r="M502" s="28"/>
      <x:c r="N502" s="28"/>
      <x:c r="O502" s="28"/>
    </x:row>
    <x:row r="503">
      <x:c r="B503" s="26"/>
      <x:c r="I503" s="27"/>
      <x:c r="K503" s="28"/>
      <x:c r="L503" s="28"/>
      <x:c r="M503" s="28"/>
      <x:c r="N503" s="28"/>
      <x:c r="O503" s="28"/>
    </x:row>
    <x:row r="504">
      <x:c r="B504" s="26"/>
      <x:c r="I504" s="27"/>
      <x:c r="K504" s="28"/>
      <x:c r="L504" s="28"/>
      <x:c r="M504" s="28"/>
      <x:c r="N504" s="28"/>
      <x:c r="O504" s="28"/>
    </x:row>
    <x:row r="505">
      <x:c r="B505" s="26"/>
      <x:c r="I505" s="27"/>
      <x:c r="K505" s="28"/>
      <x:c r="L505" s="28"/>
      <x:c r="M505" s="28"/>
      <x:c r="N505" s="28"/>
      <x:c r="O505" s="28"/>
    </x:row>
    <x:row r="506">
      <x:c r="B506" s="26"/>
      <x:c r="I506" s="27"/>
      <x:c r="K506" s="28"/>
      <x:c r="L506" s="28"/>
      <x:c r="M506" s="28"/>
      <x:c r="N506" s="28"/>
      <x:c r="O506" s="28"/>
    </x:row>
    <x:row r="507">
      <x:c r="B507" s="26"/>
      <x:c r="I507" s="27"/>
      <x:c r="K507" s="28"/>
      <x:c r="L507" s="28"/>
      <x:c r="M507" s="28"/>
      <x:c r="N507" s="28"/>
      <x:c r="O507" s="28"/>
    </x:row>
    <x:row r="508">
      <x:c r="B508" s="26"/>
      <x:c r="I508" s="27"/>
      <x:c r="K508" s="28"/>
      <x:c r="L508" s="28"/>
      <x:c r="M508" s="28"/>
      <x:c r="N508" s="28"/>
      <x:c r="O508" s="28"/>
    </x:row>
    <x:row r="509">
      <x:c r="B509" s="26"/>
      <x:c r="I509" s="27"/>
      <x:c r="K509" s="28"/>
      <x:c r="L509" s="28"/>
      <x:c r="M509" s="28"/>
      <x:c r="N509" s="28"/>
      <x:c r="O509" s="28"/>
    </x:row>
    <x:row r="510">
      <x:c r="B510" s="26"/>
      <x:c r="I510" s="27"/>
      <x:c r="K510" s="28"/>
      <x:c r="L510" s="28"/>
      <x:c r="M510" s="28"/>
      <x:c r="N510" s="28"/>
      <x:c r="O510" s="28"/>
    </x:row>
    <x:row r="511">
      <x:c r="B511" s="26"/>
      <x:c r="I511" s="27"/>
      <x:c r="K511" s="28"/>
      <x:c r="L511" s="28"/>
      <x:c r="M511" s="28"/>
      <x:c r="N511" s="28"/>
      <x:c r="O511" s="28"/>
    </x:row>
    <x:row r="512">
      <x:c r="B512" s="26"/>
      <x:c r="I512" s="27"/>
      <x:c r="K512" s="28"/>
      <x:c r="L512" s="28"/>
      <x:c r="M512" s="28"/>
      <x:c r="N512" s="28"/>
      <x:c r="O512" s="28"/>
    </x:row>
    <x:row r="513">
      <x:c r="B513" s="26"/>
      <x:c r="I513" s="27"/>
      <x:c r="K513" s="28"/>
      <x:c r="L513" s="28"/>
      <x:c r="M513" s="28"/>
      <x:c r="N513" s="28"/>
      <x:c r="O513" s="28"/>
    </x:row>
    <x:row r="514">
      <x:c r="B514" s="26"/>
      <x:c r="I514" s="27"/>
      <x:c r="K514" s="28"/>
      <x:c r="L514" s="28"/>
      <x:c r="M514" s="28"/>
      <x:c r="N514" s="28"/>
      <x:c r="O514" s="28"/>
    </x:row>
    <x:row r="515">
      <x:c r="B515" s="26"/>
      <x:c r="I515" s="27"/>
      <x:c r="K515" s="28"/>
      <x:c r="L515" s="28"/>
      <x:c r="M515" s="28"/>
      <x:c r="N515" s="28"/>
      <x:c r="O515" s="28"/>
    </x:row>
    <x:row r="516">
      <x:c r="B516" s="26"/>
      <x:c r="I516" s="27"/>
      <x:c r="K516" s="28"/>
      <x:c r="L516" s="28"/>
      <x:c r="M516" s="28"/>
      <x:c r="N516" s="28"/>
      <x:c r="O516" s="28"/>
    </x:row>
    <x:row r="517">
      <x:c r="B517" s="26"/>
      <x:c r="I517" s="27"/>
      <x:c r="K517" s="28"/>
      <x:c r="L517" s="28"/>
      <x:c r="M517" s="28"/>
      <x:c r="N517" s="28"/>
      <x:c r="O517" s="28"/>
    </x:row>
    <x:row r="518">
      <x:c r="B518" s="26"/>
      <x:c r="I518" s="27"/>
      <x:c r="K518" s="28"/>
      <x:c r="L518" s="28"/>
      <x:c r="M518" s="28"/>
      <x:c r="N518" s="28"/>
      <x:c r="O518" s="28"/>
    </x:row>
    <x:row r="519">
      <x:c r="B519" s="26"/>
      <x:c r="I519" s="27"/>
      <x:c r="K519" s="28"/>
      <x:c r="L519" s="28"/>
      <x:c r="M519" s="28"/>
      <x:c r="N519" s="28"/>
      <x:c r="O519" s="28"/>
    </x:row>
    <x:row r="520">
      <x:c r="B520" s="26"/>
      <x:c r="I520" s="27"/>
      <x:c r="K520" s="28"/>
      <x:c r="L520" s="28"/>
      <x:c r="M520" s="28"/>
      <x:c r="N520" s="28"/>
      <x:c r="O520" s="28"/>
    </x:row>
    <x:row r="521">
      <x:c r="B521" s="26"/>
      <x:c r="I521" s="27"/>
      <x:c r="K521" s="28"/>
      <x:c r="L521" s="28"/>
      <x:c r="M521" s="28"/>
      <x:c r="N521" s="28"/>
      <x:c r="O521" s="28"/>
    </x:row>
    <x:row r="522">
      <x:c r="B522" s="26"/>
      <x:c r="I522" s="27"/>
      <x:c r="K522" s="28"/>
      <x:c r="L522" s="28"/>
      <x:c r="M522" s="28"/>
      <x:c r="N522" s="28"/>
      <x:c r="O522" s="28"/>
    </x:row>
    <x:row r="523">
      <x:c r="B523" s="26"/>
      <x:c r="I523" s="27"/>
      <x:c r="K523" s="28"/>
      <x:c r="L523" s="28"/>
      <x:c r="M523" s="28"/>
      <x:c r="N523" s="28"/>
      <x:c r="O523" s="28"/>
    </x:row>
    <x:row r="524">
      <x:c r="B524" s="26"/>
      <x:c r="I524" s="27"/>
      <x:c r="K524" s="28"/>
      <x:c r="L524" s="28"/>
      <x:c r="M524" s="28"/>
      <x:c r="N524" s="28"/>
      <x:c r="O524" s="28"/>
    </x:row>
    <x:row r="525">
      <x:c r="B525" s="26"/>
      <x:c r="I525" s="27"/>
      <x:c r="K525" s="28"/>
      <x:c r="L525" s="28"/>
      <x:c r="M525" s="28"/>
      <x:c r="N525" s="28"/>
      <x:c r="O525" s="28"/>
    </x:row>
    <x:row r="526">
      <x:c r="B526" s="26"/>
      <x:c r="I526" s="27"/>
      <x:c r="K526" s="28"/>
      <x:c r="L526" s="28"/>
      <x:c r="M526" s="28"/>
      <x:c r="N526" s="28"/>
      <x:c r="O526" s="28"/>
    </x:row>
    <x:row r="527">
      <x:c r="B527" s="26"/>
      <x:c r="I527" s="27"/>
      <x:c r="K527" s="28"/>
      <x:c r="L527" s="28"/>
      <x:c r="M527" s="28"/>
      <x:c r="N527" s="28"/>
      <x:c r="O527" s="28"/>
    </x:row>
    <x:row r="528">
      <x:c r="B528" s="26"/>
      <x:c r="I528" s="27"/>
      <x:c r="K528" s="28"/>
      <x:c r="L528" s="28"/>
      <x:c r="M528" s="28"/>
      <x:c r="N528" s="28"/>
      <x:c r="O528" s="28"/>
    </x:row>
    <x:row r="529">
      <x:c r="B529" s="26"/>
      <x:c r="I529" s="27"/>
      <x:c r="K529" s="28"/>
      <x:c r="L529" s="28"/>
      <x:c r="M529" s="28"/>
      <x:c r="N529" s="28"/>
      <x:c r="O529" s="28"/>
    </x:row>
    <x:row r="530">
      <x:c r="B530" s="26"/>
      <x:c r="I530" s="27"/>
      <x:c r="K530" s="28"/>
      <x:c r="L530" s="28"/>
      <x:c r="M530" s="28"/>
      <x:c r="N530" s="28"/>
      <x:c r="O530" s="28"/>
    </x:row>
    <x:row r="531">
      <x:c r="B531" s="26"/>
      <x:c r="I531" s="27"/>
      <x:c r="K531" s="28"/>
      <x:c r="L531" s="28"/>
      <x:c r="M531" s="28"/>
      <x:c r="N531" s="28"/>
      <x:c r="O531" s="28"/>
    </x:row>
    <x:row r="532">
      <x:c r="B532" s="26"/>
      <x:c r="I532" s="27"/>
      <x:c r="K532" s="28"/>
      <x:c r="L532" s="28"/>
      <x:c r="M532" s="28"/>
      <x:c r="N532" s="28"/>
      <x:c r="O532" s="28"/>
    </x:row>
    <x:row r="533">
      <x:c r="B533" s="26"/>
      <x:c r="I533" s="27"/>
      <x:c r="K533" s="28"/>
      <x:c r="L533" s="28"/>
      <x:c r="M533" s="28"/>
      <x:c r="N533" s="28"/>
      <x:c r="O533" s="28"/>
    </x:row>
    <x:row r="534">
      <x:c r="B534" s="26"/>
      <x:c r="I534" s="27"/>
      <x:c r="K534" s="28"/>
      <x:c r="L534" s="28"/>
      <x:c r="M534" s="28"/>
      <x:c r="N534" s="28"/>
      <x:c r="O534" s="28"/>
    </x:row>
    <x:row r="535">
      <x:c r="B535" s="26"/>
      <x:c r="I535" s="27"/>
      <x:c r="K535" s="28"/>
      <x:c r="L535" s="28"/>
      <x:c r="M535" s="28"/>
      <x:c r="N535" s="28"/>
      <x:c r="O535" s="28"/>
    </x:row>
    <x:row r="536">
      <x:c r="B536" s="26"/>
      <x:c r="I536" s="27"/>
      <x:c r="K536" s="28"/>
      <x:c r="L536" s="28"/>
      <x:c r="M536" s="28"/>
      <x:c r="N536" s="28"/>
      <x:c r="O536" s="28"/>
    </x:row>
    <x:row r="537">
      <x:c r="B537" s="26"/>
      <x:c r="I537" s="27"/>
      <x:c r="K537" s="28"/>
      <x:c r="L537" s="28"/>
      <x:c r="M537" s="28"/>
      <x:c r="N537" s="28"/>
      <x:c r="O537" s="28"/>
    </x:row>
    <x:row r="538">
      <x:c r="B538" s="26"/>
      <x:c r="I538" s="27"/>
      <x:c r="K538" s="28"/>
      <x:c r="L538" s="28"/>
      <x:c r="M538" s="28"/>
      <x:c r="N538" s="28"/>
      <x:c r="O538" s="28"/>
    </x:row>
    <x:row r="539">
      <x:c r="B539" s="26"/>
      <x:c r="I539" s="27"/>
      <x:c r="K539" s="28"/>
      <x:c r="L539" s="28"/>
      <x:c r="M539" s="28"/>
      <x:c r="N539" s="28"/>
      <x:c r="O539" s="28"/>
    </x:row>
    <x:row r="540">
      <x:c r="B540" s="26"/>
      <x:c r="I540" s="27"/>
      <x:c r="K540" s="28"/>
      <x:c r="L540" s="28"/>
      <x:c r="M540" s="28"/>
      <x:c r="N540" s="28"/>
      <x:c r="O540" s="28"/>
    </x:row>
    <x:row r="541">
      <x:c r="B541" s="26"/>
      <x:c r="I541" s="27"/>
      <x:c r="K541" s="28"/>
      <x:c r="L541" s="28"/>
      <x:c r="M541" s="28"/>
      <x:c r="N541" s="28"/>
      <x:c r="O541" s="28"/>
    </x:row>
    <x:row r="542">
      <x:c r="B542" s="26"/>
      <x:c r="I542" s="27"/>
      <x:c r="K542" s="28"/>
      <x:c r="L542" s="28"/>
      <x:c r="M542" s="28"/>
      <x:c r="N542" s="28"/>
      <x:c r="O542" s="28"/>
    </x:row>
    <x:row r="543">
      <x:c r="B543" s="26"/>
      <x:c r="I543" s="27"/>
      <x:c r="K543" s="28"/>
      <x:c r="L543" s="28"/>
      <x:c r="M543" s="28"/>
      <x:c r="N543" s="28"/>
      <x:c r="O543" s="28"/>
    </x:row>
    <x:row r="544">
      <x:c r="B544" s="26"/>
      <x:c r="I544" s="27"/>
      <x:c r="K544" s="28"/>
      <x:c r="L544" s="28"/>
      <x:c r="M544" s="28"/>
      <x:c r="N544" s="28"/>
      <x:c r="O544" s="28"/>
    </x:row>
    <x:row r="545">
      <x:c r="B545" s="26"/>
      <x:c r="I545" s="27"/>
      <x:c r="K545" s="28"/>
      <x:c r="L545" s="28"/>
      <x:c r="M545" s="28"/>
      <x:c r="N545" s="28"/>
      <x:c r="O545" s="28"/>
    </x:row>
    <x:row r="546">
      <x:c r="B546" s="26"/>
      <x:c r="I546" s="27"/>
      <x:c r="K546" s="28"/>
      <x:c r="L546" s="28"/>
      <x:c r="M546" s="28"/>
      <x:c r="N546" s="28"/>
      <x:c r="O546" s="28"/>
    </x:row>
    <x:row r="547">
      <x:c r="B547" s="26"/>
      <x:c r="I547" s="27"/>
      <x:c r="K547" s="28"/>
      <x:c r="L547" s="28"/>
      <x:c r="M547" s="28"/>
      <x:c r="N547" s="28"/>
      <x:c r="O547" s="28"/>
    </x:row>
    <x:row r="548">
      <x:c r="B548" s="26"/>
      <x:c r="I548" s="27"/>
      <x:c r="K548" s="28"/>
      <x:c r="L548" s="28"/>
      <x:c r="M548" s="28"/>
      <x:c r="N548" s="28"/>
      <x:c r="O548" s="28"/>
    </x:row>
    <x:row r="549">
      <x:c r="B549" s="26"/>
      <x:c r="I549" s="27"/>
      <x:c r="K549" s="28"/>
      <x:c r="L549" s="28"/>
      <x:c r="M549" s="28"/>
      <x:c r="N549" s="28"/>
      <x:c r="O549" s="28"/>
    </x:row>
    <x:row r="550">
      <x:c r="B550" s="26"/>
      <x:c r="I550" s="27"/>
      <x:c r="K550" s="28"/>
      <x:c r="L550" s="28"/>
      <x:c r="M550" s="28"/>
      <x:c r="N550" s="28"/>
      <x:c r="O550" s="28"/>
    </x:row>
    <x:row r="551">
      <x:c r="B551" s="26"/>
      <x:c r="I551" s="27"/>
      <x:c r="K551" s="28"/>
      <x:c r="L551" s="28"/>
      <x:c r="M551" s="28"/>
      <x:c r="N551" s="28"/>
      <x:c r="O551" s="28"/>
    </x:row>
    <x:row r="552">
      <x:c r="B552" s="26"/>
      <x:c r="I552" s="27"/>
      <x:c r="K552" s="28"/>
      <x:c r="L552" s="28"/>
      <x:c r="M552" s="28"/>
      <x:c r="N552" s="28"/>
      <x:c r="O552" s="28"/>
    </x:row>
    <x:row r="553">
      <x:c r="B553" s="26"/>
      <x:c r="I553" s="27"/>
      <x:c r="K553" s="28"/>
      <x:c r="L553" s="28"/>
      <x:c r="M553" s="28"/>
      <x:c r="N553" s="28"/>
      <x:c r="O553" s="28"/>
    </x:row>
    <x:row r="554">
      <x:c r="B554" s="26"/>
      <x:c r="I554" s="27"/>
      <x:c r="K554" s="28"/>
      <x:c r="L554" s="28"/>
      <x:c r="M554" s="28"/>
      <x:c r="N554" s="28"/>
      <x:c r="O554" s="28"/>
    </x:row>
    <x:row r="555">
      <x:c r="B555" s="26"/>
      <x:c r="I555" s="27"/>
      <x:c r="K555" s="28"/>
      <x:c r="L555" s="28"/>
      <x:c r="M555" s="28"/>
      <x:c r="N555" s="28"/>
      <x:c r="O555" s="28"/>
    </x:row>
    <x:row r="556">
      <x:c r="B556" s="26"/>
      <x:c r="I556" s="27"/>
      <x:c r="K556" s="28"/>
      <x:c r="L556" s="28"/>
      <x:c r="M556" s="28"/>
      <x:c r="N556" s="28"/>
      <x:c r="O556" s="28"/>
    </x:row>
    <x:row r="557">
      <x:c r="B557" s="26"/>
      <x:c r="I557" s="27"/>
      <x:c r="K557" s="28"/>
      <x:c r="L557" s="28"/>
      <x:c r="M557" s="28"/>
      <x:c r="N557" s="28"/>
      <x:c r="O557" s="28"/>
    </x:row>
    <x:row r="558">
      <x:c r="B558" s="26"/>
      <x:c r="I558" s="27"/>
      <x:c r="K558" s="28"/>
      <x:c r="L558" s="28"/>
      <x:c r="M558" s="28"/>
      <x:c r="N558" s="28"/>
      <x:c r="O558" s="28"/>
    </x:row>
    <x:row r="559">
      <x:c r="B559" s="26"/>
      <x:c r="I559" s="27"/>
      <x:c r="K559" s="28"/>
      <x:c r="L559" s="28"/>
      <x:c r="M559" s="28"/>
      <x:c r="N559" s="28"/>
      <x:c r="O559" s="28"/>
    </x:row>
    <x:row r="560">
      <x:c r="B560" s="26"/>
      <x:c r="I560" s="27"/>
      <x:c r="K560" s="28"/>
      <x:c r="L560" s="28"/>
      <x:c r="M560" s="28"/>
      <x:c r="N560" s="28"/>
      <x:c r="O560" s="28"/>
    </x:row>
    <x:row r="561">
      <x:c r="B561" s="26"/>
      <x:c r="I561" s="27"/>
      <x:c r="K561" s="28"/>
      <x:c r="L561" s="28"/>
      <x:c r="M561" s="28"/>
      <x:c r="N561" s="28"/>
      <x:c r="O561" s="28"/>
    </x:row>
    <x:row r="562">
      <x:c r="B562" s="26"/>
      <x:c r="I562" s="27"/>
      <x:c r="K562" s="28"/>
      <x:c r="L562" s="28"/>
      <x:c r="M562" s="28"/>
      <x:c r="N562" s="28"/>
      <x:c r="O562" s="28"/>
    </x:row>
    <x:row r="563">
      <x:c r="B563" s="26"/>
      <x:c r="I563" s="27"/>
      <x:c r="K563" s="28"/>
      <x:c r="L563" s="28"/>
      <x:c r="M563" s="28"/>
      <x:c r="N563" s="28"/>
      <x:c r="O563" s="28"/>
    </x:row>
    <x:row r="564">
      <x:c r="B564" s="26"/>
      <x:c r="I564" s="27"/>
      <x:c r="K564" s="28"/>
      <x:c r="L564" s="28"/>
      <x:c r="M564" s="28"/>
      <x:c r="N564" s="28"/>
      <x:c r="O564" s="28"/>
    </x:row>
    <x:row r="565">
      <x:c r="B565" s="26"/>
      <x:c r="I565" s="27"/>
      <x:c r="K565" s="28"/>
      <x:c r="L565" s="28"/>
      <x:c r="M565" s="28"/>
      <x:c r="N565" s="28"/>
      <x:c r="O565" s="28"/>
    </x:row>
    <x:row r="566">
      <x:c r="B566" s="26"/>
      <x:c r="I566" s="27"/>
      <x:c r="K566" s="28"/>
      <x:c r="L566" s="28"/>
      <x:c r="M566" s="28"/>
      <x:c r="N566" s="28"/>
      <x:c r="O566" s="28"/>
    </x:row>
    <x:row r="567">
      <x:c r="B567" s="26"/>
      <x:c r="I567" s="27"/>
      <x:c r="K567" s="28"/>
      <x:c r="L567" s="28"/>
      <x:c r="M567" s="28"/>
      <x:c r="N567" s="28"/>
      <x:c r="O567" s="28"/>
    </x:row>
    <x:row r="568">
      <x:c r="B568" s="26"/>
      <x:c r="I568" s="27"/>
      <x:c r="K568" s="28"/>
      <x:c r="L568" s="28"/>
      <x:c r="M568" s="28"/>
      <x:c r="N568" s="28"/>
      <x:c r="O568" s="28"/>
    </x:row>
    <x:row r="569">
      <x:c r="B569" s="26"/>
      <x:c r="I569" s="27"/>
      <x:c r="K569" s="28"/>
      <x:c r="L569" s="28"/>
      <x:c r="M569" s="28"/>
      <x:c r="N569" s="28"/>
      <x:c r="O569" s="28"/>
    </x:row>
    <x:row r="570">
      <x:c r="B570" s="26"/>
      <x:c r="I570" s="27"/>
      <x:c r="K570" s="28"/>
      <x:c r="L570" s="28"/>
      <x:c r="M570" s="28"/>
      <x:c r="N570" s="28"/>
      <x:c r="O570" s="28"/>
    </x:row>
    <x:row r="571">
      <x:c r="B571" s="26"/>
      <x:c r="I571" s="27"/>
      <x:c r="K571" s="28"/>
      <x:c r="L571" s="28"/>
      <x:c r="M571" s="28"/>
      <x:c r="N571" s="28"/>
      <x:c r="O571" s="28"/>
    </x:row>
    <x:row r="572">
      <x:c r="B572" s="26"/>
      <x:c r="I572" s="27"/>
      <x:c r="K572" s="28"/>
      <x:c r="L572" s="28"/>
      <x:c r="M572" s="28"/>
      <x:c r="N572" s="28"/>
      <x:c r="O572" s="28"/>
    </x:row>
    <x:row r="573">
      <x:c r="B573" s="26"/>
      <x:c r="I573" s="27"/>
      <x:c r="K573" s="28"/>
      <x:c r="L573" s="28"/>
      <x:c r="M573" s="28"/>
      <x:c r="N573" s="28"/>
      <x:c r="O573" s="28"/>
    </x:row>
    <x:row r="574">
      <x:c r="B574" s="26"/>
      <x:c r="I574" s="27"/>
      <x:c r="K574" s="28"/>
      <x:c r="L574" s="28"/>
      <x:c r="M574" s="28"/>
      <x:c r="N574" s="28"/>
      <x:c r="O574" s="28"/>
    </x:row>
    <x:row r="575">
      <x:c r="B575" s="26"/>
      <x:c r="I575" s="27"/>
      <x:c r="K575" s="28"/>
      <x:c r="L575" s="28"/>
      <x:c r="M575" s="28"/>
      <x:c r="N575" s="28"/>
      <x:c r="O575" s="28"/>
    </x:row>
    <x:row r="576">
      <x:c r="B576" s="26"/>
      <x:c r="I576" s="27"/>
      <x:c r="K576" s="28"/>
      <x:c r="L576" s="28"/>
      <x:c r="M576" s="28"/>
      <x:c r="N576" s="28"/>
      <x:c r="O576" s="28"/>
    </x:row>
    <x:row r="577">
      <x:c r="B577" s="26"/>
      <x:c r="I577" s="27"/>
      <x:c r="K577" s="28"/>
      <x:c r="L577" s="28"/>
      <x:c r="M577" s="28"/>
      <x:c r="N577" s="28"/>
      <x:c r="O577" s="28"/>
    </x:row>
    <x:row r="578">
      <x:c r="B578" s="26"/>
      <x:c r="I578" s="27"/>
      <x:c r="K578" s="28"/>
      <x:c r="L578" s="28"/>
      <x:c r="M578" s="28"/>
      <x:c r="N578" s="28"/>
      <x:c r="O578" s="28"/>
    </x:row>
    <x:row r="579">
      <x:c r="B579" s="26"/>
      <x:c r="I579" s="27"/>
      <x:c r="K579" s="28"/>
      <x:c r="L579" s="28"/>
      <x:c r="M579" s="28"/>
      <x:c r="N579" s="28"/>
      <x:c r="O579" s="28"/>
    </x:row>
    <x:row r="580">
      <x:c r="B580" s="26"/>
      <x:c r="I580" s="27"/>
      <x:c r="K580" s="28"/>
      <x:c r="L580" s="28"/>
      <x:c r="M580" s="28"/>
      <x:c r="N580" s="28"/>
      <x:c r="O580" s="28"/>
    </x:row>
    <x:row r="581">
      <x:c r="B581" s="26"/>
      <x:c r="I581" s="27"/>
      <x:c r="K581" s="28"/>
      <x:c r="L581" s="28"/>
      <x:c r="M581" s="28"/>
      <x:c r="N581" s="28"/>
      <x:c r="O581" s="28"/>
    </x:row>
    <x:row r="582">
      <x:c r="B582" s="26"/>
      <x:c r="I582" s="27"/>
      <x:c r="K582" s="28"/>
      <x:c r="L582" s="28"/>
      <x:c r="M582" s="28"/>
      <x:c r="N582" s="28"/>
      <x:c r="O582" s="28"/>
    </x:row>
    <x:row r="583">
      <x:c r="B583" s="26"/>
      <x:c r="I583" s="27"/>
      <x:c r="K583" s="28"/>
      <x:c r="L583" s="28"/>
      <x:c r="M583" s="28"/>
      <x:c r="N583" s="28"/>
      <x:c r="O583" s="28"/>
    </x:row>
    <x:row r="584">
      <x:c r="B584" s="26"/>
      <x:c r="I584" s="27"/>
      <x:c r="K584" s="28"/>
      <x:c r="L584" s="28"/>
      <x:c r="M584" s="28"/>
      <x:c r="N584" s="28"/>
      <x:c r="O584" s="28"/>
    </x:row>
    <x:row r="585">
      <x:c r="B585" s="26"/>
      <x:c r="I585" s="27"/>
      <x:c r="K585" s="28"/>
      <x:c r="L585" s="28"/>
      <x:c r="M585" s="28"/>
      <x:c r="N585" s="28"/>
      <x:c r="O585" s="28"/>
    </x:row>
    <x:row r="586">
      <x:c r="B586" s="26"/>
      <x:c r="I586" s="27"/>
      <x:c r="K586" s="28"/>
      <x:c r="L586" s="28"/>
      <x:c r="M586" s="28"/>
      <x:c r="N586" s="28"/>
      <x:c r="O586" s="28"/>
    </x:row>
    <x:row r="587">
      <x:c r="B587" s="26"/>
      <x:c r="I587" s="27"/>
      <x:c r="K587" s="28"/>
      <x:c r="L587" s="28"/>
      <x:c r="M587" s="28"/>
      <x:c r="N587" s="28"/>
      <x:c r="O587" s="28"/>
    </x:row>
    <x:row r="588">
      <x:c r="B588" s="26"/>
      <x:c r="I588" s="27"/>
      <x:c r="K588" s="28"/>
      <x:c r="L588" s="28"/>
      <x:c r="M588" s="28"/>
      <x:c r="N588" s="28"/>
      <x:c r="O588" s="28"/>
    </x:row>
    <x:row r="589">
      <x:c r="B589" s="26"/>
      <x:c r="I589" s="27"/>
      <x:c r="K589" s="28"/>
      <x:c r="L589" s="28"/>
      <x:c r="M589" s="28"/>
      <x:c r="N589" s="28"/>
      <x:c r="O589" s="28"/>
    </x:row>
    <x:row r="590">
      <x:c r="B590" s="26"/>
      <x:c r="I590" s="27"/>
      <x:c r="K590" s="28"/>
      <x:c r="L590" s="28"/>
      <x:c r="M590" s="28"/>
      <x:c r="N590" s="28"/>
      <x:c r="O590" s="28"/>
    </x:row>
    <x:row r="591">
      <x:c r="B591" s="26"/>
      <x:c r="I591" s="27"/>
      <x:c r="K591" s="28"/>
      <x:c r="L591" s="28"/>
      <x:c r="M591" s="28"/>
      <x:c r="N591" s="28"/>
      <x:c r="O591" s="28"/>
    </x:row>
    <x:row r="592">
      <x:c r="B592" s="26"/>
      <x:c r="I592" s="27"/>
      <x:c r="K592" s="28"/>
      <x:c r="L592" s="28"/>
      <x:c r="M592" s="28"/>
      <x:c r="N592" s="28"/>
      <x:c r="O592" s="28"/>
    </x:row>
    <x:row r="593">
      <x:c r="B593" s="26"/>
      <x:c r="I593" s="27"/>
      <x:c r="K593" s="28"/>
      <x:c r="L593" s="28"/>
      <x:c r="M593" s="28"/>
      <x:c r="N593" s="28"/>
      <x:c r="O593" s="28"/>
    </x:row>
    <x:row r="594">
      <x:c r="B594" s="26"/>
      <x:c r="I594" s="27"/>
      <x:c r="K594" s="28"/>
      <x:c r="L594" s="28"/>
      <x:c r="M594" s="28"/>
      <x:c r="N594" s="28"/>
      <x:c r="O594" s="28"/>
    </x:row>
    <x:row r="595">
      <x:c r="B595" s="26"/>
      <x:c r="I595" s="27"/>
      <x:c r="K595" s="28"/>
      <x:c r="L595" s="28"/>
      <x:c r="M595" s="28"/>
      <x:c r="N595" s="28"/>
      <x:c r="O595" s="28"/>
    </x:row>
    <x:row r="596">
      <x:c r="B596" s="26"/>
      <x:c r="I596" s="27"/>
      <x:c r="K596" s="28"/>
      <x:c r="L596" s="28"/>
      <x:c r="M596" s="28"/>
      <x:c r="N596" s="28"/>
      <x:c r="O596" s="28"/>
    </x:row>
    <x:row r="597">
      <x:c r="B597" s="26"/>
      <x:c r="I597" s="27"/>
      <x:c r="K597" s="28"/>
      <x:c r="L597" s="28"/>
      <x:c r="M597" s="28"/>
      <x:c r="N597" s="28"/>
      <x:c r="O597" s="28"/>
    </x:row>
    <x:row r="598">
      <x:c r="B598" s="26"/>
      <x:c r="I598" s="27"/>
      <x:c r="K598" s="28"/>
      <x:c r="L598" s="28"/>
      <x:c r="M598" s="28"/>
      <x:c r="N598" s="28"/>
      <x:c r="O598" s="28"/>
    </x:row>
    <x:row r="599">
      <x:c r="B599" s="26"/>
      <x:c r="I599" s="27"/>
      <x:c r="K599" s="28"/>
      <x:c r="L599" s="28"/>
      <x:c r="M599" s="28"/>
      <x:c r="N599" s="28"/>
      <x:c r="O599" s="28"/>
    </x:row>
    <x:row r="600">
      <x:c r="B600" s="26"/>
      <x:c r="I600" s="27"/>
      <x:c r="K600" s="28"/>
      <x:c r="L600" s="28"/>
      <x:c r="M600" s="28"/>
      <x:c r="N600" s="28"/>
      <x:c r="O600" s="28"/>
    </x:row>
    <x:row r="601">
      <x:c r="B601" s="26"/>
      <x:c r="I601" s="27"/>
      <x:c r="K601" s="28"/>
      <x:c r="L601" s="28"/>
      <x:c r="M601" s="28"/>
      <x:c r="N601" s="28"/>
      <x:c r="O601" s="28"/>
    </x:row>
    <x:row r="602">
      <x:c r="B602" s="26"/>
      <x:c r="I602" s="27"/>
      <x:c r="K602" s="28"/>
      <x:c r="L602" s="28"/>
      <x:c r="M602" s="28"/>
      <x:c r="N602" s="28"/>
      <x:c r="O602" s="28"/>
    </x:row>
    <x:row r="603">
      <x:c r="B603" s="26"/>
      <x:c r="I603" s="27"/>
      <x:c r="K603" s="28"/>
      <x:c r="L603" s="28"/>
      <x:c r="M603" s="28"/>
      <x:c r="N603" s="28"/>
      <x:c r="O603" s="28"/>
    </x:row>
    <x:row r="604">
      <x:c r="B604" s="26"/>
      <x:c r="I604" s="27"/>
      <x:c r="K604" s="28"/>
      <x:c r="L604" s="28"/>
      <x:c r="M604" s="28"/>
      <x:c r="N604" s="28"/>
      <x:c r="O604" s="28"/>
    </x:row>
    <x:row r="605">
      <x:c r="B605" s="26"/>
      <x:c r="I605" s="27"/>
      <x:c r="K605" s="28"/>
      <x:c r="L605" s="28"/>
      <x:c r="M605" s="28"/>
      <x:c r="N605" s="28"/>
      <x:c r="O605" s="28"/>
    </x:row>
    <x:row r="606">
      <x:c r="B606" s="26"/>
      <x:c r="I606" s="27"/>
      <x:c r="K606" s="28"/>
      <x:c r="L606" s="28"/>
      <x:c r="M606" s="28"/>
      <x:c r="N606" s="28"/>
      <x:c r="O606" s="28"/>
    </x:row>
    <x:row r="607">
      <x:c r="B607" s="26"/>
      <x:c r="I607" s="27"/>
      <x:c r="K607" s="28"/>
      <x:c r="L607" s="28"/>
      <x:c r="M607" s="28"/>
      <x:c r="N607" s="28"/>
      <x:c r="O607" s="28"/>
    </x:row>
    <x:row r="608">
      <x:c r="B608" s="26"/>
      <x:c r="I608" s="27"/>
      <x:c r="K608" s="28"/>
      <x:c r="L608" s="28"/>
      <x:c r="M608" s="28"/>
      <x:c r="N608" s="28"/>
      <x:c r="O608" s="28"/>
    </x:row>
    <x:row r="609">
      <x:c r="B609" s="26"/>
      <x:c r="I609" s="27"/>
      <x:c r="K609" s="28"/>
      <x:c r="L609" s="28"/>
      <x:c r="M609" s="28"/>
      <x:c r="N609" s="28"/>
      <x:c r="O609" s="28"/>
    </x:row>
    <x:row r="610">
      <x:c r="B610" s="26"/>
      <x:c r="I610" s="27"/>
      <x:c r="K610" s="28"/>
      <x:c r="L610" s="28"/>
      <x:c r="M610" s="28"/>
      <x:c r="N610" s="28"/>
      <x:c r="O610" s="28"/>
    </x:row>
    <x:row r="611">
      <x:c r="B611" s="26"/>
      <x:c r="I611" s="27"/>
      <x:c r="K611" s="28"/>
      <x:c r="L611" s="28"/>
      <x:c r="M611" s="28"/>
      <x:c r="N611" s="28"/>
      <x:c r="O611" s="28"/>
    </x:row>
    <x:row r="612">
      <x:c r="B612" s="26"/>
      <x:c r="I612" s="27"/>
      <x:c r="K612" s="28"/>
      <x:c r="L612" s="28"/>
      <x:c r="M612" s="28"/>
      <x:c r="N612" s="28"/>
      <x:c r="O612" s="28"/>
    </x:row>
    <x:row r="613">
      <x:c r="B613" s="26"/>
      <x:c r="I613" s="27"/>
      <x:c r="K613" s="28"/>
      <x:c r="L613" s="28"/>
      <x:c r="M613" s="28"/>
      <x:c r="N613" s="28"/>
      <x:c r="O613" s="28"/>
    </x:row>
    <x:row r="614">
      <x:c r="B614" s="26"/>
      <x:c r="I614" s="27"/>
      <x:c r="K614" s="28"/>
      <x:c r="L614" s="28"/>
      <x:c r="M614" s="28"/>
      <x:c r="N614" s="28"/>
      <x:c r="O614" s="28"/>
    </x:row>
    <x:row r="615">
      <x:c r="B615" s="26"/>
      <x:c r="I615" s="27"/>
      <x:c r="K615" s="28"/>
      <x:c r="L615" s="28"/>
      <x:c r="M615" s="28"/>
      <x:c r="N615" s="28"/>
      <x:c r="O615" s="28"/>
    </x:row>
    <x:row r="616">
      <x:c r="B616" s="26"/>
      <x:c r="I616" s="27"/>
      <x:c r="K616" s="28"/>
      <x:c r="L616" s="28"/>
      <x:c r="M616" s="28"/>
      <x:c r="N616" s="28"/>
      <x:c r="O616" s="28"/>
    </x:row>
    <x:row r="617">
      <x:c r="B617" s="26"/>
      <x:c r="I617" s="27"/>
      <x:c r="K617" s="28"/>
      <x:c r="L617" s="28"/>
      <x:c r="M617" s="28"/>
      <x:c r="N617" s="28"/>
      <x:c r="O617" s="28"/>
    </x:row>
    <x:row r="618">
      <x:c r="B618" s="26"/>
      <x:c r="I618" s="27"/>
      <x:c r="K618" s="28"/>
      <x:c r="L618" s="28"/>
      <x:c r="M618" s="28"/>
      <x:c r="N618" s="28"/>
      <x:c r="O618" s="28"/>
    </x:row>
    <x:row r="619">
      <x:c r="B619" s="26"/>
      <x:c r="I619" s="27"/>
      <x:c r="K619" s="28"/>
      <x:c r="L619" s="28"/>
      <x:c r="M619" s="28"/>
      <x:c r="N619" s="28"/>
      <x:c r="O619" s="28"/>
    </x:row>
    <x:row r="620">
      <x:c r="B620" s="26"/>
      <x:c r="I620" s="27"/>
      <x:c r="K620" s="28"/>
      <x:c r="L620" s="28"/>
      <x:c r="M620" s="28"/>
      <x:c r="N620" s="28"/>
      <x:c r="O620" s="28"/>
    </x:row>
    <x:row r="621">
      <x:c r="B621" s="26"/>
      <x:c r="I621" s="27"/>
      <x:c r="K621" s="28"/>
      <x:c r="L621" s="28"/>
      <x:c r="M621" s="28"/>
      <x:c r="N621" s="28"/>
      <x:c r="O621" s="28"/>
    </x:row>
    <x:row r="622">
      <x:c r="B622" s="26"/>
      <x:c r="I622" s="27"/>
      <x:c r="K622" s="28"/>
      <x:c r="L622" s="28"/>
      <x:c r="M622" s="28"/>
      <x:c r="N622" s="28"/>
      <x:c r="O622" s="28"/>
    </x:row>
    <x:row r="623">
      <x:c r="B623" s="26"/>
      <x:c r="I623" s="27"/>
      <x:c r="K623" s="28"/>
      <x:c r="L623" s="28"/>
      <x:c r="M623" s="28"/>
      <x:c r="N623" s="28"/>
      <x:c r="O623" s="28"/>
    </x:row>
    <x:row r="624">
      <x:c r="B624" s="26"/>
      <x:c r="I624" s="27"/>
      <x:c r="K624" s="28"/>
      <x:c r="L624" s="28"/>
      <x:c r="M624" s="28"/>
      <x:c r="N624" s="28"/>
      <x:c r="O624" s="28"/>
    </x:row>
    <x:row r="625">
      <x:c r="B625" s="26"/>
      <x:c r="I625" s="27"/>
      <x:c r="K625" s="28"/>
      <x:c r="L625" s="28"/>
      <x:c r="M625" s="28"/>
      <x:c r="N625" s="28"/>
      <x:c r="O625" s="28"/>
    </x:row>
    <x:row r="626">
      <x:c r="B626" s="26"/>
      <x:c r="I626" s="27"/>
      <x:c r="K626" s="28"/>
      <x:c r="L626" s="28"/>
      <x:c r="M626" s="28"/>
      <x:c r="N626" s="28"/>
      <x:c r="O626" s="28"/>
    </x:row>
    <x:row r="627">
      <x:c r="B627" s="26"/>
      <x:c r="I627" s="27"/>
      <x:c r="K627" s="28"/>
      <x:c r="L627" s="28"/>
      <x:c r="M627" s="28"/>
      <x:c r="N627" s="28"/>
      <x:c r="O627" s="28"/>
    </x:row>
    <x:row r="628">
      <x:c r="B628" s="26"/>
      <x:c r="I628" s="27"/>
      <x:c r="K628" s="28"/>
      <x:c r="L628" s="28"/>
      <x:c r="M628" s="28"/>
      <x:c r="N628" s="28"/>
      <x:c r="O628" s="28"/>
    </x:row>
    <x:row r="629">
      <x:c r="B629" s="26"/>
      <x:c r="I629" s="27"/>
      <x:c r="K629" s="28"/>
      <x:c r="L629" s="28"/>
      <x:c r="M629" s="28"/>
      <x:c r="N629" s="28"/>
      <x:c r="O629" s="28"/>
    </x:row>
    <x:row r="630">
      <x:c r="B630" s="26"/>
      <x:c r="I630" s="27"/>
      <x:c r="K630" s="28"/>
      <x:c r="L630" s="28"/>
      <x:c r="M630" s="28"/>
      <x:c r="N630" s="28"/>
      <x:c r="O630" s="28"/>
    </x:row>
    <x:row r="631">
      <x:c r="B631" s="26"/>
      <x:c r="I631" s="27"/>
      <x:c r="K631" s="28"/>
      <x:c r="L631" s="28"/>
      <x:c r="M631" s="28"/>
      <x:c r="N631" s="28"/>
      <x:c r="O631" s="28"/>
    </x:row>
    <x:row r="632">
      <x:c r="B632" s="26"/>
      <x:c r="I632" s="27"/>
      <x:c r="K632" s="28"/>
      <x:c r="L632" s="28"/>
      <x:c r="M632" s="28"/>
      <x:c r="N632" s="28"/>
      <x:c r="O632" s="28"/>
    </x:row>
    <x:row r="633">
      <x:c r="B633" s="26"/>
      <x:c r="I633" s="27"/>
      <x:c r="K633" s="28"/>
      <x:c r="L633" s="28"/>
      <x:c r="M633" s="28"/>
      <x:c r="N633" s="28"/>
      <x:c r="O633" s="28"/>
    </x:row>
    <x:row r="634">
      <x:c r="B634" s="26"/>
      <x:c r="I634" s="27"/>
      <x:c r="K634" s="28"/>
      <x:c r="L634" s="28"/>
      <x:c r="M634" s="28"/>
      <x:c r="N634" s="28"/>
      <x:c r="O634" s="28"/>
    </x:row>
    <x:row r="635">
      <x:c r="B635" s="26"/>
      <x:c r="I635" s="27"/>
      <x:c r="K635" s="28"/>
      <x:c r="L635" s="28"/>
      <x:c r="M635" s="28"/>
      <x:c r="N635" s="28"/>
      <x:c r="O635" s="28"/>
    </x:row>
    <x:row r="636">
      <x:c r="B636" s="26"/>
      <x:c r="I636" s="27"/>
      <x:c r="K636" s="28"/>
      <x:c r="L636" s="28"/>
      <x:c r="M636" s="28"/>
      <x:c r="N636" s="28"/>
      <x:c r="O636" s="28"/>
    </x:row>
    <x:row r="637">
      <x:c r="B637" s="26"/>
      <x:c r="I637" s="27"/>
      <x:c r="K637" s="28"/>
      <x:c r="L637" s="28"/>
      <x:c r="M637" s="28"/>
      <x:c r="N637" s="28"/>
      <x:c r="O637" s="28"/>
    </x:row>
    <x:row r="638">
      <x:c r="B638" s="26"/>
      <x:c r="I638" s="27"/>
      <x:c r="K638" s="28"/>
      <x:c r="L638" s="28"/>
      <x:c r="M638" s="28"/>
      <x:c r="N638" s="28"/>
      <x:c r="O638" s="28"/>
    </x:row>
    <x:row r="639">
      <x:c r="B639" s="26"/>
      <x:c r="I639" s="27"/>
      <x:c r="K639" s="28"/>
      <x:c r="L639" s="28"/>
      <x:c r="M639" s="28"/>
      <x:c r="N639" s="28"/>
      <x:c r="O639" s="28"/>
    </x:row>
    <x:row r="640">
      <x:c r="B640" s="26"/>
      <x:c r="I640" s="27"/>
      <x:c r="K640" s="28"/>
      <x:c r="L640" s="28"/>
      <x:c r="M640" s="28"/>
      <x:c r="N640" s="28"/>
      <x:c r="O640" s="28"/>
    </x:row>
    <x:row r="641">
      <x:c r="B641" s="26"/>
      <x:c r="I641" s="27"/>
      <x:c r="K641" s="28"/>
      <x:c r="L641" s="28"/>
      <x:c r="M641" s="28"/>
      <x:c r="N641" s="28"/>
      <x:c r="O641" s="28"/>
    </x:row>
    <x:row r="642">
      <x:c r="B642" s="26"/>
      <x:c r="I642" s="27"/>
      <x:c r="K642" s="28"/>
      <x:c r="L642" s="28"/>
      <x:c r="M642" s="28"/>
      <x:c r="N642" s="28"/>
      <x:c r="O642" s="28"/>
    </x:row>
    <x:row r="643">
      <x:c r="B643" s="26"/>
      <x:c r="I643" s="27"/>
      <x:c r="K643" s="28"/>
      <x:c r="L643" s="28"/>
      <x:c r="M643" s="28"/>
      <x:c r="N643" s="28"/>
      <x:c r="O643" s="28"/>
    </x:row>
    <x:row r="644">
      <x:c r="B644" s="26"/>
      <x:c r="I644" s="27"/>
      <x:c r="K644" s="28"/>
      <x:c r="L644" s="28"/>
      <x:c r="M644" s="28"/>
      <x:c r="N644" s="28"/>
      <x:c r="O644" s="28"/>
    </x:row>
    <x:row r="645">
      <x:c r="B645" s="26"/>
      <x:c r="I645" s="27"/>
      <x:c r="K645" s="28"/>
      <x:c r="L645" s="28"/>
      <x:c r="M645" s="28"/>
      <x:c r="N645" s="28"/>
      <x:c r="O645" s="28"/>
    </x:row>
    <x:row r="646">
      <x:c r="B646" s="26"/>
      <x:c r="I646" s="27"/>
      <x:c r="K646" s="28"/>
      <x:c r="L646" s="28"/>
      <x:c r="M646" s="28"/>
      <x:c r="N646" s="28"/>
      <x:c r="O646" s="28"/>
    </x:row>
    <x:row r="647">
      <x:c r="B647" s="26"/>
      <x:c r="I647" s="27"/>
      <x:c r="K647" s="28"/>
      <x:c r="L647" s="28"/>
      <x:c r="M647" s="28"/>
      <x:c r="N647" s="28"/>
      <x:c r="O647" s="28"/>
    </x:row>
    <x:row r="648">
      <x:c r="B648" s="26"/>
      <x:c r="I648" s="27"/>
      <x:c r="K648" s="28"/>
      <x:c r="L648" s="28"/>
      <x:c r="M648" s="28"/>
      <x:c r="N648" s="28"/>
      <x:c r="O648" s="28"/>
    </x:row>
    <x:row r="649">
      <x:c r="B649" s="26"/>
      <x:c r="I649" s="27"/>
      <x:c r="K649" s="28"/>
      <x:c r="L649" s="28"/>
      <x:c r="M649" s="28"/>
      <x:c r="N649" s="28"/>
      <x:c r="O649" s="28"/>
    </x:row>
    <x:row r="650">
      <x:c r="B650" s="26"/>
      <x:c r="I650" s="27"/>
      <x:c r="K650" s="28"/>
      <x:c r="L650" s="28"/>
      <x:c r="M650" s="28"/>
      <x:c r="N650" s="28"/>
      <x:c r="O650" s="28"/>
    </x:row>
    <x:row r="651">
      <x:c r="B651" s="26"/>
      <x:c r="I651" s="27"/>
      <x:c r="K651" s="28"/>
      <x:c r="L651" s="28"/>
      <x:c r="M651" s="28"/>
      <x:c r="N651" s="28"/>
      <x:c r="O651" s="28"/>
    </x:row>
    <x:row r="652">
      <x:c r="B652" s="26"/>
      <x:c r="I652" s="27"/>
      <x:c r="K652" s="28"/>
      <x:c r="L652" s="28"/>
      <x:c r="M652" s="28"/>
      <x:c r="N652" s="28"/>
      <x:c r="O652" s="28"/>
    </x:row>
    <x:row r="653">
      <x:c r="B653" s="26"/>
      <x:c r="I653" s="27"/>
      <x:c r="K653" s="28"/>
      <x:c r="L653" s="28"/>
      <x:c r="M653" s="28"/>
      <x:c r="N653" s="28"/>
      <x:c r="O653" s="28"/>
    </x:row>
    <x:row r="654">
      <x:c r="B654" s="26"/>
      <x:c r="I654" s="27"/>
      <x:c r="K654" s="28"/>
      <x:c r="L654" s="28"/>
      <x:c r="M654" s="28"/>
      <x:c r="N654" s="28"/>
      <x:c r="O654" s="28"/>
    </x:row>
    <x:row r="655">
      <x:c r="B655" s="26"/>
      <x:c r="I655" s="27"/>
      <x:c r="K655" s="28"/>
      <x:c r="L655" s="28"/>
      <x:c r="M655" s="28"/>
      <x:c r="N655" s="28"/>
      <x:c r="O655" s="28"/>
    </x:row>
    <x:row r="656">
      <x:c r="B656" s="26"/>
      <x:c r="I656" s="27"/>
      <x:c r="K656" s="28"/>
      <x:c r="L656" s="28"/>
      <x:c r="M656" s="28"/>
      <x:c r="N656" s="28"/>
      <x:c r="O656" s="28"/>
    </x:row>
    <x:row r="657">
      <x:c r="B657" s="26"/>
      <x:c r="I657" s="27"/>
      <x:c r="K657" s="28"/>
      <x:c r="L657" s="28"/>
      <x:c r="M657" s="28"/>
      <x:c r="N657" s="28"/>
      <x:c r="O657" s="28"/>
    </x:row>
    <x:row r="658">
      <x:c r="B658" s="26"/>
      <x:c r="I658" s="27"/>
      <x:c r="K658" s="28"/>
      <x:c r="L658" s="28"/>
      <x:c r="M658" s="28"/>
      <x:c r="N658" s="28"/>
      <x:c r="O658" s="28"/>
    </x:row>
    <x:row r="659">
      <x:c r="B659" s="26"/>
      <x:c r="I659" s="27"/>
      <x:c r="K659" s="28"/>
      <x:c r="L659" s="28"/>
      <x:c r="M659" s="28"/>
      <x:c r="N659" s="28"/>
      <x:c r="O659" s="28"/>
    </x:row>
    <x:row r="660">
      <x:c r="B660" s="26"/>
      <x:c r="I660" s="27"/>
      <x:c r="K660" s="28"/>
      <x:c r="L660" s="28"/>
      <x:c r="M660" s="28"/>
      <x:c r="N660" s="28"/>
      <x:c r="O660" s="28"/>
    </x:row>
    <x:row r="661">
      <x:c r="B661" s="26"/>
      <x:c r="I661" s="27"/>
      <x:c r="K661" s="28"/>
      <x:c r="L661" s="28"/>
      <x:c r="M661" s="28"/>
      <x:c r="N661" s="28"/>
      <x:c r="O661" s="28"/>
    </x:row>
    <x:row r="662">
      <x:c r="B662" s="26"/>
      <x:c r="I662" s="27"/>
      <x:c r="K662" s="28"/>
      <x:c r="L662" s="28"/>
      <x:c r="M662" s="28"/>
      <x:c r="N662" s="28"/>
      <x:c r="O662" s="28"/>
    </x:row>
    <x:row r="663">
      <x:c r="B663" s="26"/>
      <x:c r="I663" s="27"/>
      <x:c r="K663" s="28"/>
      <x:c r="L663" s="28"/>
      <x:c r="M663" s="28"/>
      <x:c r="N663" s="28"/>
      <x:c r="O663" s="28"/>
    </x:row>
    <x:row r="664">
      <x:c r="B664" s="26"/>
      <x:c r="I664" s="27"/>
      <x:c r="K664" s="28"/>
      <x:c r="L664" s="28"/>
      <x:c r="M664" s="28"/>
      <x:c r="N664" s="28"/>
      <x:c r="O664" s="28"/>
    </x:row>
    <x:row r="665">
      <x:c r="B665" s="26"/>
      <x:c r="I665" s="27"/>
      <x:c r="K665" s="28"/>
      <x:c r="L665" s="28"/>
      <x:c r="M665" s="28"/>
      <x:c r="N665" s="28"/>
      <x:c r="O665" s="28"/>
    </x:row>
    <x:row r="666">
      <x:c r="B666" s="26"/>
      <x:c r="I666" s="27"/>
      <x:c r="K666" s="28"/>
      <x:c r="L666" s="28"/>
      <x:c r="M666" s="28"/>
      <x:c r="N666" s="28"/>
      <x:c r="O666" s="28"/>
    </x:row>
    <x:row r="667">
      <x:c r="B667" s="26"/>
      <x:c r="I667" s="27"/>
      <x:c r="K667" s="28"/>
      <x:c r="L667" s="28"/>
      <x:c r="M667" s="28"/>
      <x:c r="N667" s="28"/>
      <x:c r="O667" s="28"/>
    </x:row>
    <x:row r="668">
      <x:c r="B668" s="26"/>
      <x:c r="I668" s="27"/>
      <x:c r="K668" s="28"/>
      <x:c r="L668" s="28"/>
      <x:c r="M668" s="28"/>
      <x:c r="N668" s="28"/>
      <x:c r="O668" s="28"/>
    </x:row>
    <x:row r="669">
      <x:c r="B669" s="26"/>
      <x:c r="I669" s="27"/>
      <x:c r="K669" s="28"/>
      <x:c r="L669" s="28"/>
      <x:c r="M669" s="28"/>
      <x:c r="N669" s="28"/>
      <x:c r="O669" s="28"/>
    </x:row>
    <x:row r="670">
      <x:c r="B670" s="26"/>
      <x:c r="I670" s="27"/>
      <x:c r="K670" s="28"/>
      <x:c r="L670" s="28"/>
      <x:c r="M670" s="28"/>
      <x:c r="N670" s="28"/>
      <x:c r="O670" s="28"/>
    </x:row>
    <x:row r="671">
      <x:c r="B671" s="26"/>
      <x:c r="I671" s="27"/>
      <x:c r="K671" s="28"/>
      <x:c r="L671" s="28"/>
      <x:c r="M671" s="28"/>
      <x:c r="N671" s="28"/>
      <x:c r="O671" s="28"/>
    </x:row>
    <x:row r="672">
      <x:c r="B672" s="26"/>
      <x:c r="I672" s="27"/>
      <x:c r="K672" s="28"/>
      <x:c r="L672" s="28"/>
      <x:c r="M672" s="28"/>
      <x:c r="N672" s="28"/>
      <x:c r="O672" s="28"/>
    </x:row>
    <x:row r="673">
      <x:c r="B673" s="26"/>
      <x:c r="I673" s="27"/>
      <x:c r="K673" s="28"/>
      <x:c r="L673" s="28"/>
      <x:c r="M673" s="28"/>
      <x:c r="N673" s="28"/>
      <x:c r="O673" s="28"/>
    </x:row>
    <x:row r="674">
      <x:c r="B674" s="26"/>
      <x:c r="I674" s="27"/>
      <x:c r="K674" s="28"/>
      <x:c r="L674" s="28"/>
      <x:c r="M674" s="28"/>
      <x:c r="N674" s="28"/>
      <x:c r="O674" s="28"/>
    </x:row>
    <x:row r="675">
      <x:c r="B675" s="26"/>
      <x:c r="I675" s="27"/>
      <x:c r="K675" s="28"/>
      <x:c r="L675" s="28"/>
      <x:c r="M675" s="28"/>
      <x:c r="N675" s="28"/>
      <x:c r="O675" s="28"/>
    </x:row>
    <x:row r="676">
      <x:c r="B676" s="26"/>
      <x:c r="I676" s="27"/>
      <x:c r="K676" s="28"/>
      <x:c r="L676" s="28"/>
      <x:c r="M676" s="28"/>
      <x:c r="N676" s="28"/>
      <x:c r="O676" s="28"/>
    </x:row>
    <x:row r="677">
      <x:c r="B677" s="26"/>
      <x:c r="I677" s="27"/>
      <x:c r="K677" s="28"/>
      <x:c r="L677" s="28"/>
      <x:c r="M677" s="28"/>
      <x:c r="N677" s="28"/>
      <x:c r="O677" s="28"/>
    </x:row>
    <x:row r="678">
      <x:c r="B678" s="26"/>
      <x:c r="I678" s="27"/>
      <x:c r="K678" s="28"/>
      <x:c r="L678" s="28"/>
      <x:c r="M678" s="28"/>
      <x:c r="N678" s="28"/>
      <x:c r="O678" s="28"/>
    </x:row>
    <x:row r="679">
      <x:c r="B679" s="26"/>
      <x:c r="I679" s="27"/>
      <x:c r="K679" s="28"/>
      <x:c r="L679" s="28"/>
      <x:c r="M679" s="28"/>
      <x:c r="N679" s="28"/>
      <x:c r="O679" s="28"/>
    </x:row>
    <x:row r="680">
      <x:c r="B680" s="26"/>
      <x:c r="I680" s="27"/>
      <x:c r="K680" s="28"/>
      <x:c r="L680" s="28"/>
      <x:c r="M680" s="28"/>
      <x:c r="N680" s="28"/>
      <x:c r="O680" s="28"/>
    </x:row>
    <x:row r="681">
      <x:c r="B681" s="26"/>
      <x:c r="I681" s="27"/>
      <x:c r="K681" s="28"/>
      <x:c r="L681" s="28"/>
      <x:c r="M681" s="28"/>
      <x:c r="N681" s="28"/>
      <x:c r="O681" s="28"/>
    </x:row>
    <x:row r="682">
      <x:c r="B682" s="26"/>
      <x:c r="I682" s="27"/>
      <x:c r="K682" s="28"/>
      <x:c r="L682" s="28"/>
      <x:c r="M682" s="28"/>
      <x:c r="N682" s="28"/>
      <x:c r="O682" s="28"/>
    </x:row>
    <x:row r="683">
      <x:c r="B683" s="26"/>
      <x:c r="I683" s="27"/>
      <x:c r="K683" s="28"/>
      <x:c r="L683" s="28"/>
      <x:c r="M683" s="28"/>
      <x:c r="N683" s="28"/>
      <x:c r="O683" s="28"/>
    </x:row>
    <x:row r="684">
      <x:c r="B684" s="26"/>
      <x:c r="I684" s="27"/>
      <x:c r="K684" s="28"/>
      <x:c r="L684" s="28"/>
      <x:c r="M684" s="28"/>
      <x:c r="N684" s="28"/>
      <x:c r="O684" s="28"/>
    </x:row>
    <x:row r="685">
      <x:c r="B685" s="26"/>
      <x:c r="I685" s="27"/>
      <x:c r="K685" s="28"/>
      <x:c r="L685" s="28"/>
      <x:c r="M685" s="28"/>
      <x:c r="N685" s="28"/>
      <x:c r="O685" s="28"/>
    </x:row>
    <x:row r="686">
      <x:c r="B686" s="26"/>
      <x:c r="I686" s="27"/>
      <x:c r="K686" s="28"/>
      <x:c r="L686" s="28"/>
      <x:c r="M686" s="28"/>
      <x:c r="N686" s="28"/>
      <x:c r="O686" s="28"/>
    </x:row>
    <x:row r="687">
      <x:c r="B687" s="26"/>
      <x:c r="I687" s="27"/>
      <x:c r="K687" s="28"/>
      <x:c r="L687" s="28"/>
      <x:c r="M687" s="28"/>
      <x:c r="N687" s="28"/>
      <x:c r="O687" s="28"/>
    </x:row>
    <x:row r="688">
      <x:c r="B688" s="26"/>
      <x:c r="I688" s="27"/>
      <x:c r="K688" s="28"/>
      <x:c r="L688" s="28"/>
      <x:c r="M688" s="28"/>
      <x:c r="N688" s="28"/>
      <x:c r="O688" s="28"/>
    </x:row>
    <x:row r="689">
      <x:c r="B689" s="26"/>
      <x:c r="I689" s="27"/>
      <x:c r="K689" s="28"/>
      <x:c r="L689" s="28"/>
      <x:c r="M689" s="28"/>
      <x:c r="N689" s="28"/>
      <x:c r="O689" s="28"/>
    </x:row>
    <x:row r="690">
      <x:c r="B690" s="26"/>
      <x:c r="I690" s="27"/>
      <x:c r="K690" s="28"/>
      <x:c r="L690" s="28"/>
      <x:c r="M690" s="28"/>
      <x:c r="N690" s="28"/>
      <x:c r="O690" s="28"/>
    </x:row>
    <x:row r="691">
      <x:c r="B691" s="26"/>
      <x:c r="I691" s="27"/>
      <x:c r="K691" s="28"/>
      <x:c r="L691" s="28"/>
      <x:c r="M691" s="28"/>
      <x:c r="N691" s="28"/>
      <x:c r="O691" s="28"/>
    </x:row>
    <x:row r="692">
      <x:c r="B692" s="26"/>
      <x:c r="I692" s="27"/>
      <x:c r="K692" s="28"/>
      <x:c r="L692" s="28"/>
      <x:c r="M692" s="28"/>
      <x:c r="N692" s="28"/>
      <x:c r="O692" s="28"/>
    </x:row>
    <x:row r="693">
      <x:c r="B693" s="26"/>
      <x:c r="I693" s="27"/>
      <x:c r="K693" s="28"/>
      <x:c r="L693" s="28"/>
      <x:c r="M693" s="28"/>
      <x:c r="N693" s="28"/>
      <x:c r="O693" s="28"/>
    </x:row>
    <x:row r="694">
      <x:c r="B694" s="26"/>
      <x:c r="I694" s="27"/>
      <x:c r="K694" s="28"/>
      <x:c r="L694" s="28"/>
      <x:c r="M694" s="28"/>
      <x:c r="N694" s="28"/>
      <x:c r="O694" s="28"/>
    </x:row>
    <x:row r="695">
      <x:c r="B695" s="26"/>
      <x:c r="I695" s="27"/>
      <x:c r="K695" s="28"/>
      <x:c r="L695" s="28"/>
      <x:c r="M695" s="28"/>
      <x:c r="N695" s="28"/>
      <x:c r="O695" s="28"/>
    </x:row>
    <x:row r="696">
      <x:c r="B696" s="26"/>
      <x:c r="I696" s="27"/>
      <x:c r="K696" s="28"/>
      <x:c r="L696" s="28"/>
      <x:c r="M696" s="28"/>
      <x:c r="N696" s="28"/>
      <x:c r="O696" s="28"/>
    </x:row>
    <x:row r="697">
      <x:c r="B697" s="26"/>
      <x:c r="I697" s="27"/>
      <x:c r="K697" s="28"/>
      <x:c r="L697" s="28"/>
      <x:c r="M697" s="28"/>
      <x:c r="N697" s="28"/>
      <x:c r="O697" s="28"/>
    </x:row>
    <x:row r="698">
      <x:c r="B698" s="26"/>
      <x:c r="I698" s="27"/>
      <x:c r="K698" s="28"/>
      <x:c r="L698" s="28"/>
      <x:c r="M698" s="28"/>
      <x:c r="N698" s="28"/>
      <x:c r="O698" s="28"/>
    </x:row>
    <x:row r="699">
      <x:c r="B699" s="26"/>
      <x:c r="I699" s="27"/>
      <x:c r="K699" s="28"/>
      <x:c r="L699" s="28"/>
      <x:c r="M699" s="28"/>
      <x:c r="N699" s="28"/>
      <x:c r="O699" s="28"/>
    </x:row>
    <x:row r="700">
      <x:c r="B700" s="26"/>
      <x:c r="I700" s="27"/>
      <x:c r="K700" s="28"/>
      <x:c r="L700" s="28"/>
      <x:c r="M700" s="28"/>
      <x:c r="N700" s="28"/>
      <x:c r="O700" s="28"/>
    </x:row>
    <x:row r="701">
      <x:c r="B701" s="26"/>
      <x:c r="I701" s="27"/>
      <x:c r="K701" s="28"/>
      <x:c r="L701" s="28"/>
      <x:c r="M701" s="28"/>
      <x:c r="N701" s="28"/>
      <x:c r="O701" s="28"/>
    </x:row>
    <x:row r="702">
      <x:c r="B702" s="26"/>
      <x:c r="I702" s="27"/>
      <x:c r="K702" s="28"/>
      <x:c r="L702" s="28"/>
      <x:c r="M702" s="28"/>
      <x:c r="N702" s="28"/>
      <x:c r="O702" s="28"/>
    </x:row>
    <x:row r="703">
      <x:c r="B703" s="26"/>
      <x:c r="I703" s="27"/>
      <x:c r="K703" s="28"/>
      <x:c r="L703" s="28"/>
      <x:c r="M703" s="28"/>
      <x:c r="N703" s="28"/>
      <x:c r="O703" s="28"/>
    </x:row>
    <x:row r="704">
      <x:c r="B704" s="26"/>
      <x:c r="I704" s="27"/>
      <x:c r="K704" s="28"/>
      <x:c r="L704" s="28"/>
      <x:c r="M704" s="28"/>
      <x:c r="N704" s="28"/>
      <x:c r="O704" s="28"/>
    </x:row>
    <x:row r="705">
      <x:c r="B705" s="26"/>
      <x:c r="I705" s="27"/>
      <x:c r="K705" s="28"/>
      <x:c r="L705" s="28"/>
      <x:c r="M705" s="28"/>
      <x:c r="N705" s="28"/>
      <x:c r="O705" s="28"/>
    </x:row>
    <x:row r="706">
      <x:c r="B706" s="26"/>
      <x:c r="I706" s="27"/>
      <x:c r="K706" s="28"/>
      <x:c r="L706" s="28"/>
      <x:c r="M706" s="28"/>
      <x:c r="N706" s="28"/>
      <x:c r="O706" s="28"/>
    </x:row>
    <x:row r="707">
      <x:c r="B707" s="26"/>
      <x:c r="I707" s="27"/>
      <x:c r="K707" s="28"/>
      <x:c r="L707" s="28"/>
      <x:c r="M707" s="28"/>
      <x:c r="N707" s="28"/>
      <x:c r="O707" s="28"/>
    </x:row>
    <x:row r="708">
      <x:c r="B708" s="26"/>
      <x:c r="I708" s="27"/>
      <x:c r="K708" s="28"/>
      <x:c r="L708" s="28"/>
      <x:c r="M708" s="28"/>
      <x:c r="N708" s="28"/>
      <x:c r="O708" s="28"/>
    </x:row>
    <x:row r="709">
      <x:c r="B709" s="26"/>
      <x:c r="I709" s="27"/>
      <x:c r="K709" s="28"/>
      <x:c r="L709" s="28"/>
      <x:c r="M709" s="28"/>
      <x:c r="N709" s="28"/>
      <x:c r="O709" s="28"/>
    </x:row>
    <x:row r="710">
      <x:c r="B710" s="26"/>
      <x:c r="I710" s="27"/>
      <x:c r="K710" s="28"/>
      <x:c r="L710" s="28"/>
      <x:c r="M710" s="28"/>
      <x:c r="N710" s="28"/>
      <x:c r="O710" s="28"/>
    </x:row>
    <x:row r="711">
      <x:c r="B711" s="26"/>
      <x:c r="I711" s="27"/>
      <x:c r="K711" s="28"/>
      <x:c r="L711" s="28"/>
      <x:c r="M711" s="28"/>
      <x:c r="N711" s="28"/>
      <x:c r="O711" s="28"/>
    </x:row>
    <x:row r="712">
      <x:c r="B712" s="26"/>
      <x:c r="I712" s="27"/>
      <x:c r="K712" s="28"/>
      <x:c r="L712" s="28"/>
      <x:c r="M712" s="28"/>
      <x:c r="N712" s="28"/>
      <x:c r="O712" s="28"/>
    </x:row>
    <x:row r="713">
      <x:c r="B713" s="26"/>
      <x:c r="I713" s="27"/>
      <x:c r="K713" s="28"/>
      <x:c r="L713" s="28"/>
      <x:c r="M713" s="28"/>
      <x:c r="N713" s="28"/>
      <x:c r="O713" s="28"/>
    </x:row>
    <x:row r="714">
      <x:c r="B714" s="26"/>
      <x:c r="I714" s="27"/>
      <x:c r="K714" s="28"/>
      <x:c r="L714" s="28"/>
      <x:c r="M714" s="28"/>
      <x:c r="N714" s="28"/>
      <x:c r="O714" s="28"/>
    </x:row>
    <x:row r="715">
      <x:c r="B715" s="26"/>
      <x:c r="I715" s="27"/>
      <x:c r="K715" s="28"/>
      <x:c r="L715" s="28"/>
      <x:c r="M715" s="28"/>
      <x:c r="N715" s="28"/>
      <x:c r="O715" s="28"/>
    </x:row>
    <x:row r="716">
      <x:c r="B716" s="26"/>
      <x:c r="I716" s="27"/>
      <x:c r="K716" s="28"/>
      <x:c r="L716" s="28"/>
      <x:c r="M716" s="28"/>
      <x:c r="N716" s="28"/>
      <x:c r="O716" s="28"/>
    </x:row>
    <x:row r="717">
      <x:c r="B717" s="26"/>
      <x:c r="I717" s="27"/>
      <x:c r="K717" s="28"/>
      <x:c r="L717" s="28"/>
      <x:c r="M717" s="28"/>
      <x:c r="N717" s="28"/>
      <x:c r="O717" s="28"/>
    </x:row>
    <x:row r="718">
      <x:c r="B718" s="26"/>
      <x:c r="I718" s="27"/>
      <x:c r="K718" s="28"/>
      <x:c r="L718" s="28"/>
      <x:c r="M718" s="28"/>
      <x:c r="N718" s="28"/>
      <x:c r="O718" s="28"/>
    </x:row>
    <x:row r="719">
      <x:c r="B719" s="26"/>
      <x:c r="I719" s="27"/>
      <x:c r="K719" s="28"/>
      <x:c r="L719" s="28"/>
      <x:c r="M719" s="28"/>
      <x:c r="N719" s="28"/>
      <x:c r="O719" s="28"/>
    </x:row>
    <x:row r="720">
      <x:c r="B720" s="26"/>
      <x:c r="I720" s="27"/>
      <x:c r="K720" s="28"/>
      <x:c r="L720" s="28"/>
      <x:c r="M720" s="28"/>
      <x:c r="N720" s="28"/>
      <x:c r="O720" s="28"/>
    </x:row>
    <x:row r="721">
      <x:c r="B721" s="26"/>
      <x:c r="I721" s="27"/>
      <x:c r="K721" s="28"/>
      <x:c r="L721" s="28"/>
      <x:c r="M721" s="28"/>
      <x:c r="N721" s="28"/>
      <x:c r="O721" s="28"/>
    </x:row>
    <x:row r="722">
      <x:c r="B722" s="26"/>
      <x:c r="I722" s="27"/>
      <x:c r="K722" s="28"/>
      <x:c r="L722" s="28"/>
      <x:c r="M722" s="28"/>
      <x:c r="N722" s="28"/>
      <x:c r="O722" s="28"/>
    </x:row>
    <x:row r="723">
      <x:c r="B723" s="26"/>
      <x:c r="I723" s="27"/>
      <x:c r="K723" s="28"/>
      <x:c r="L723" s="28"/>
      <x:c r="M723" s="28"/>
      <x:c r="N723" s="28"/>
      <x:c r="O723" s="28"/>
    </x:row>
    <x:row r="724">
      <x:c r="B724" s="26"/>
      <x:c r="I724" s="27"/>
      <x:c r="K724" s="28"/>
      <x:c r="L724" s="28"/>
      <x:c r="M724" s="28"/>
      <x:c r="N724" s="28"/>
      <x:c r="O724" s="28"/>
    </x:row>
    <x:row r="725">
      <x:c r="B725" s="26"/>
      <x:c r="I725" s="27"/>
      <x:c r="K725" s="28"/>
      <x:c r="L725" s="28"/>
      <x:c r="M725" s="28"/>
      <x:c r="N725" s="28"/>
      <x:c r="O725" s="28"/>
    </x:row>
    <x:row r="726">
      <x:c r="B726" s="26"/>
      <x:c r="I726" s="27"/>
      <x:c r="K726" s="28"/>
      <x:c r="L726" s="28"/>
      <x:c r="M726" s="28"/>
      <x:c r="N726" s="28"/>
      <x:c r="O726" s="28"/>
    </x:row>
    <x:row r="727">
      <x:c r="B727" s="26"/>
      <x:c r="I727" s="27"/>
      <x:c r="K727" s="28"/>
      <x:c r="L727" s="28"/>
      <x:c r="M727" s="28"/>
      <x:c r="N727" s="28"/>
      <x:c r="O727" s="28"/>
    </x:row>
    <x:row r="728">
      <x:c r="B728" s="26"/>
      <x:c r="I728" s="27"/>
      <x:c r="K728" s="28"/>
      <x:c r="L728" s="28"/>
      <x:c r="M728" s="28"/>
      <x:c r="N728" s="28"/>
      <x:c r="O728" s="28"/>
    </x:row>
    <x:row r="729">
      <x:c r="B729" s="26"/>
      <x:c r="I729" s="27"/>
      <x:c r="K729" s="28"/>
      <x:c r="L729" s="28"/>
      <x:c r="M729" s="28"/>
      <x:c r="N729" s="28"/>
      <x:c r="O729" s="28"/>
    </x:row>
    <x:row r="730">
      <x:c r="B730" s="26"/>
      <x:c r="I730" s="27"/>
      <x:c r="K730" s="28"/>
      <x:c r="L730" s="28"/>
      <x:c r="M730" s="28"/>
      <x:c r="N730" s="28"/>
      <x:c r="O730" s="28"/>
    </x:row>
    <x:row r="731">
      <x:c r="B731" s="26"/>
      <x:c r="I731" s="27"/>
      <x:c r="K731" s="28"/>
      <x:c r="L731" s="28"/>
      <x:c r="M731" s="28"/>
      <x:c r="N731" s="28"/>
      <x:c r="O731" s="28"/>
    </x:row>
    <x:row r="732">
      <x:c r="B732" s="26"/>
      <x:c r="I732" s="27"/>
      <x:c r="K732" s="28"/>
      <x:c r="L732" s="28"/>
      <x:c r="M732" s="28"/>
      <x:c r="N732" s="28"/>
      <x:c r="O732" s="28"/>
    </x:row>
    <x:row r="733">
      <x:c r="B733" s="26"/>
      <x:c r="I733" s="27"/>
      <x:c r="K733" s="28"/>
      <x:c r="L733" s="28"/>
      <x:c r="M733" s="28"/>
      <x:c r="N733" s="28"/>
      <x:c r="O733" s="28"/>
    </x:row>
    <x:row r="734">
      <x:c r="B734" s="26"/>
      <x:c r="I734" s="27"/>
      <x:c r="K734" s="28"/>
      <x:c r="L734" s="28"/>
      <x:c r="M734" s="28"/>
      <x:c r="N734" s="28"/>
      <x:c r="O734" s="28"/>
    </x:row>
    <x:row r="735">
      <x:c r="B735" s="26"/>
      <x:c r="I735" s="27"/>
      <x:c r="K735" s="28"/>
      <x:c r="L735" s="28"/>
      <x:c r="M735" s="28"/>
      <x:c r="N735" s="28"/>
      <x:c r="O735" s="28"/>
    </x:row>
    <x:row r="736">
      <x:c r="B736" s="26"/>
      <x:c r="I736" s="27"/>
      <x:c r="K736" s="28"/>
      <x:c r="L736" s="28"/>
      <x:c r="M736" s="28"/>
      <x:c r="N736" s="28"/>
      <x:c r="O736" s="28"/>
    </x:row>
    <x:row r="737">
      <x:c r="B737" s="26"/>
      <x:c r="I737" s="27"/>
      <x:c r="K737" s="28"/>
      <x:c r="L737" s="28"/>
      <x:c r="M737" s="28"/>
      <x:c r="N737" s="28"/>
      <x:c r="O737" s="28"/>
    </x:row>
    <x:row r="738">
      <x:c r="B738" s="26"/>
      <x:c r="I738" s="27"/>
      <x:c r="K738" s="28"/>
      <x:c r="L738" s="28"/>
      <x:c r="M738" s="28"/>
      <x:c r="N738" s="28"/>
      <x:c r="O738" s="28"/>
    </x:row>
    <x:row r="739">
      <x:c r="B739" s="26"/>
      <x:c r="I739" s="27"/>
      <x:c r="K739" s="28"/>
      <x:c r="L739" s="28"/>
      <x:c r="M739" s="28"/>
      <x:c r="N739" s="28"/>
      <x:c r="O739" s="28"/>
    </x:row>
    <x:row r="740">
      <x:c r="B740" s="26"/>
      <x:c r="I740" s="27"/>
      <x:c r="K740" s="28"/>
      <x:c r="L740" s="28"/>
      <x:c r="M740" s="28"/>
      <x:c r="N740" s="28"/>
      <x:c r="O740" s="28"/>
    </x:row>
    <x:row r="741">
      <x:c r="B741" s="26"/>
      <x:c r="I741" s="27"/>
      <x:c r="K741" s="28"/>
      <x:c r="L741" s="28"/>
      <x:c r="M741" s="28"/>
      <x:c r="N741" s="28"/>
      <x:c r="O741" s="28"/>
    </x:row>
    <x:row r="742">
      <x:c r="B742" s="26"/>
      <x:c r="I742" s="27"/>
      <x:c r="K742" s="28"/>
      <x:c r="L742" s="28"/>
      <x:c r="M742" s="28"/>
      <x:c r="N742" s="28"/>
      <x:c r="O742" s="28"/>
    </x:row>
    <x:row r="743">
      <x:c r="B743" s="26"/>
      <x:c r="I743" s="27"/>
      <x:c r="K743" s="28"/>
      <x:c r="L743" s="28"/>
      <x:c r="M743" s="28"/>
      <x:c r="N743" s="28"/>
      <x:c r="O743" s="28"/>
    </x:row>
    <x:row r="744">
      <x:c r="B744" s="26"/>
      <x:c r="I744" s="27"/>
      <x:c r="K744" s="28"/>
      <x:c r="L744" s="28"/>
      <x:c r="M744" s="28"/>
      <x:c r="N744" s="28"/>
      <x:c r="O744" s="28"/>
    </x:row>
    <x:row r="745">
      <x:c r="B745" s="26"/>
      <x:c r="I745" s="27"/>
      <x:c r="K745" s="28"/>
      <x:c r="L745" s="28"/>
      <x:c r="M745" s="28"/>
      <x:c r="N745" s="28"/>
      <x:c r="O745" s="28"/>
    </x:row>
    <x:row r="746">
      <x:c r="B746" s="26"/>
      <x:c r="I746" s="27"/>
      <x:c r="K746" s="28"/>
      <x:c r="L746" s="28"/>
      <x:c r="M746" s="28"/>
      <x:c r="N746" s="28"/>
      <x:c r="O746" s="28"/>
    </x:row>
    <x:row r="747">
      <x:c r="B747" s="26"/>
      <x:c r="I747" s="27"/>
      <x:c r="K747" s="28"/>
      <x:c r="L747" s="28"/>
      <x:c r="M747" s="28"/>
      <x:c r="N747" s="28"/>
      <x:c r="O747" s="28"/>
    </x:row>
    <x:row r="748">
      <x:c r="B748" s="26"/>
      <x:c r="I748" s="27"/>
      <x:c r="K748" s="28"/>
      <x:c r="L748" s="28"/>
      <x:c r="M748" s="28"/>
      <x:c r="N748" s="28"/>
      <x:c r="O748" s="28"/>
    </x:row>
    <x:row r="749">
      <x:c r="B749" s="26"/>
      <x:c r="I749" s="27"/>
      <x:c r="K749" s="28"/>
      <x:c r="L749" s="28"/>
      <x:c r="M749" s="28"/>
      <x:c r="N749" s="28"/>
      <x:c r="O749" s="28"/>
    </x:row>
    <x:row r="750">
      <x:c r="B750" s="26"/>
      <x:c r="I750" s="27"/>
      <x:c r="K750" s="28"/>
      <x:c r="L750" s="28"/>
      <x:c r="M750" s="28"/>
      <x:c r="N750" s="28"/>
      <x:c r="O750" s="28"/>
    </x:row>
    <x:row r="751">
      <x:c r="B751" s="26"/>
      <x:c r="I751" s="27"/>
      <x:c r="K751" s="28"/>
      <x:c r="L751" s="28"/>
      <x:c r="M751" s="28"/>
      <x:c r="N751" s="28"/>
      <x:c r="O751" s="28"/>
    </x:row>
    <x:row r="752">
      <x:c r="B752" s="26"/>
      <x:c r="I752" s="27"/>
      <x:c r="K752" s="28"/>
      <x:c r="L752" s="28"/>
      <x:c r="M752" s="28"/>
      <x:c r="N752" s="28"/>
      <x:c r="O752" s="28"/>
    </x:row>
    <x:row r="753">
      <x:c r="B753" s="26"/>
      <x:c r="I753" s="27"/>
      <x:c r="K753" s="28"/>
      <x:c r="L753" s="28"/>
      <x:c r="M753" s="28"/>
      <x:c r="N753" s="28"/>
      <x:c r="O753" s="28"/>
    </x:row>
    <x:row r="754">
      <x:c r="B754" s="26"/>
      <x:c r="I754" s="27"/>
      <x:c r="K754" s="28"/>
      <x:c r="L754" s="28"/>
      <x:c r="M754" s="28"/>
      <x:c r="N754" s="28"/>
      <x:c r="O754" s="28"/>
    </x:row>
    <x:row r="755">
      <x:c r="B755" s="26"/>
      <x:c r="I755" s="27"/>
      <x:c r="K755" s="28"/>
      <x:c r="L755" s="28"/>
      <x:c r="M755" s="28"/>
      <x:c r="N755" s="28"/>
      <x:c r="O755" s="28"/>
    </x:row>
    <x:row r="756">
      <x:c r="B756" s="26"/>
      <x:c r="I756" s="27"/>
      <x:c r="K756" s="28"/>
      <x:c r="L756" s="28"/>
      <x:c r="M756" s="28"/>
      <x:c r="N756" s="28"/>
      <x:c r="O756" s="28"/>
    </x:row>
    <x:row r="757">
      <x:c r="B757" s="26"/>
      <x:c r="I757" s="27"/>
      <x:c r="K757" s="28"/>
      <x:c r="L757" s="28"/>
      <x:c r="M757" s="28"/>
      <x:c r="N757" s="28"/>
      <x:c r="O757" s="28"/>
    </x:row>
    <x:row r="758">
      <x:c r="B758" s="26"/>
      <x:c r="I758" s="27"/>
      <x:c r="K758" s="28"/>
      <x:c r="L758" s="28"/>
      <x:c r="M758" s="28"/>
      <x:c r="N758" s="28"/>
      <x:c r="O758" s="28"/>
    </x:row>
    <x:row r="759">
      <x:c r="B759" s="26"/>
      <x:c r="I759" s="27"/>
      <x:c r="K759" s="28"/>
      <x:c r="L759" s="28"/>
      <x:c r="M759" s="28"/>
      <x:c r="N759" s="28"/>
      <x:c r="O759" s="28"/>
    </x:row>
    <x:row r="760">
      <x:c r="B760" s="26"/>
      <x:c r="I760" s="27"/>
      <x:c r="K760" s="28"/>
      <x:c r="L760" s="28"/>
      <x:c r="M760" s="28"/>
      <x:c r="N760" s="28"/>
      <x:c r="O760" s="28"/>
    </x:row>
    <x:row r="761">
      <x:c r="B761" s="26"/>
      <x:c r="I761" s="27"/>
      <x:c r="K761" s="28"/>
      <x:c r="L761" s="28"/>
      <x:c r="M761" s="28"/>
      <x:c r="N761" s="28"/>
      <x:c r="O761" s="28"/>
    </x:row>
    <x:row r="762">
      <x:c r="B762" s="26"/>
      <x:c r="I762" s="27"/>
      <x:c r="K762" s="28"/>
      <x:c r="L762" s="28"/>
      <x:c r="M762" s="28"/>
      <x:c r="N762" s="28"/>
      <x:c r="O762" s="28"/>
    </x:row>
    <x:row r="763">
      <x:c r="B763" s="26"/>
      <x:c r="I763" s="27"/>
      <x:c r="K763" s="28"/>
      <x:c r="L763" s="28"/>
      <x:c r="M763" s="28"/>
      <x:c r="N763" s="28"/>
      <x:c r="O763" s="28"/>
    </x:row>
    <x:row r="764">
      <x:c r="B764" s="26"/>
      <x:c r="I764" s="27"/>
      <x:c r="K764" s="28"/>
      <x:c r="L764" s="28"/>
      <x:c r="M764" s="28"/>
      <x:c r="N764" s="28"/>
      <x:c r="O764" s="28"/>
    </x:row>
    <x:row r="765">
      <x:c r="B765" s="26"/>
      <x:c r="I765" s="27"/>
      <x:c r="K765" s="28"/>
      <x:c r="L765" s="28"/>
      <x:c r="M765" s="28"/>
      <x:c r="N765" s="28"/>
      <x:c r="O765" s="28"/>
    </x:row>
    <x:row r="766">
      <x:c r="B766" s="26"/>
      <x:c r="I766" s="27"/>
      <x:c r="K766" s="28"/>
      <x:c r="L766" s="28"/>
      <x:c r="M766" s="28"/>
      <x:c r="N766" s="28"/>
      <x:c r="O766" s="28"/>
    </x:row>
    <x:row r="767">
      <x:c r="B767" s="26"/>
      <x:c r="I767" s="27"/>
      <x:c r="K767" s="28"/>
      <x:c r="L767" s="28"/>
      <x:c r="M767" s="28"/>
      <x:c r="N767" s="28"/>
      <x:c r="O767" s="28"/>
    </x:row>
    <x:row r="768">
      <x:c r="B768" s="26"/>
      <x:c r="I768" s="27"/>
      <x:c r="K768" s="28"/>
      <x:c r="L768" s="28"/>
      <x:c r="M768" s="28"/>
      <x:c r="N768" s="28"/>
      <x:c r="O768" s="28"/>
    </x:row>
    <x:row r="769">
      <x:c r="B769" s="26"/>
      <x:c r="I769" s="27"/>
      <x:c r="K769" s="28"/>
      <x:c r="L769" s="28"/>
      <x:c r="M769" s="28"/>
      <x:c r="N769" s="28"/>
      <x:c r="O769" s="28"/>
    </x:row>
    <x:row r="770">
      <x:c r="B770" s="26"/>
      <x:c r="I770" s="27"/>
      <x:c r="K770" s="28"/>
      <x:c r="L770" s="28"/>
      <x:c r="M770" s="28"/>
      <x:c r="N770" s="28"/>
      <x:c r="O770" s="28"/>
    </x:row>
    <x:row r="771">
      <x:c r="B771" s="26"/>
      <x:c r="I771" s="27"/>
      <x:c r="K771" s="28"/>
      <x:c r="L771" s="28"/>
      <x:c r="M771" s="28"/>
      <x:c r="N771" s="28"/>
      <x:c r="O771" s="28"/>
    </x:row>
    <x:row r="772">
      <x:c r="B772" s="26"/>
      <x:c r="I772" s="27"/>
      <x:c r="K772" s="28"/>
      <x:c r="L772" s="28"/>
      <x:c r="M772" s="28"/>
      <x:c r="N772" s="28"/>
      <x:c r="O772" s="28"/>
    </x:row>
    <x:row r="773">
      <x:c r="B773" s="26"/>
      <x:c r="I773" s="27"/>
      <x:c r="K773" s="28"/>
      <x:c r="L773" s="28"/>
      <x:c r="M773" s="28"/>
      <x:c r="N773" s="28"/>
      <x:c r="O773" s="28"/>
    </x:row>
    <x:row r="774">
      <x:c r="B774" s="26"/>
      <x:c r="I774" s="27"/>
      <x:c r="K774" s="28"/>
      <x:c r="L774" s="28"/>
      <x:c r="M774" s="28"/>
      <x:c r="N774" s="28"/>
      <x:c r="O774" s="28"/>
    </x:row>
    <x:row r="775">
      <x:c r="B775" s="26"/>
      <x:c r="I775" s="27"/>
      <x:c r="K775" s="28"/>
      <x:c r="L775" s="28"/>
      <x:c r="M775" s="28"/>
      <x:c r="N775" s="28"/>
      <x:c r="O775" s="28"/>
    </x:row>
    <x:row r="776">
      <x:c r="B776" s="26"/>
      <x:c r="I776" s="27"/>
      <x:c r="K776" s="28"/>
      <x:c r="L776" s="28"/>
      <x:c r="M776" s="28"/>
      <x:c r="N776" s="28"/>
      <x:c r="O776" s="28"/>
    </x:row>
    <x:row r="777">
      <x:c r="B777" s="26"/>
      <x:c r="I777" s="27"/>
      <x:c r="K777" s="28"/>
      <x:c r="L777" s="28"/>
      <x:c r="M777" s="28"/>
      <x:c r="N777" s="28"/>
      <x:c r="O777" s="28"/>
    </x:row>
    <x:row r="778">
      <x:c r="B778" s="26"/>
      <x:c r="I778" s="27"/>
      <x:c r="K778" s="28"/>
      <x:c r="L778" s="28"/>
      <x:c r="M778" s="28"/>
      <x:c r="N778" s="28"/>
      <x:c r="O778" s="28"/>
    </x:row>
    <x:row r="779">
      <x:c r="B779" s="26"/>
      <x:c r="I779" s="27"/>
      <x:c r="K779" s="28"/>
      <x:c r="L779" s="28"/>
      <x:c r="M779" s="28"/>
      <x:c r="N779" s="28"/>
      <x:c r="O779" s="28"/>
    </x:row>
    <x:row r="780">
      <x:c r="B780" s="26"/>
      <x:c r="I780" s="27"/>
      <x:c r="K780" s="28"/>
      <x:c r="L780" s="28"/>
      <x:c r="M780" s="28"/>
      <x:c r="N780" s="28"/>
      <x:c r="O780" s="28"/>
    </x:row>
    <x:row r="781">
      <x:c r="B781" s="26"/>
      <x:c r="I781" s="27"/>
      <x:c r="K781" s="28"/>
      <x:c r="L781" s="28"/>
      <x:c r="M781" s="28"/>
      <x:c r="N781" s="28"/>
      <x:c r="O781" s="28"/>
    </x:row>
    <x:row r="782">
      <x:c r="B782" s="26"/>
      <x:c r="I782" s="27"/>
      <x:c r="K782" s="28"/>
      <x:c r="L782" s="28"/>
      <x:c r="M782" s="28"/>
      <x:c r="N782" s="28"/>
      <x:c r="O782" s="28"/>
    </x:row>
    <x:row r="783">
      <x:c r="B783" s="26"/>
      <x:c r="I783" s="27"/>
      <x:c r="K783" s="28"/>
      <x:c r="L783" s="28"/>
      <x:c r="M783" s="28"/>
      <x:c r="N783" s="28"/>
      <x:c r="O783" s="28"/>
    </x:row>
    <x:row r="784">
      <x:c r="B784" s="26"/>
      <x:c r="I784" s="27"/>
      <x:c r="K784" s="28"/>
      <x:c r="L784" s="28"/>
      <x:c r="M784" s="28"/>
      <x:c r="N784" s="28"/>
      <x:c r="O784" s="28"/>
    </x:row>
    <x:row r="785">
      <x:c r="B785" s="26"/>
      <x:c r="I785" s="27"/>
      <x:c r="K785" s="28"/>
      <x:c r="L785" s="28"/>
      <x:c r="M785" s="28"/>
      <x:c r="N785" s="28"/>
      <x:c r="O785" s="28"/>
    </x:row>
    <x:row r="786">
      <x:c r="B786" s="26"/>
      <x:c r="I786" s="27"/>
      <x:c r="K786" s="28"/>
      <x:c r="L786" s="28"/>
      <x:c r="M786" s="28"/>
      <x:c r="N786" s="28"/>
      <x:c r="O786" s="28"/>
    </x:row>
    <x:row r="787">
      <x:c r="B787" s="26"/>
      <x:c r="I787" s="27"/>
      <x:c r="K787" s="28"/>
      <x:c r="L787" s="28"/>
      <x:c r="M787" s="28"/>
      <x:c r="N787" s="28"/>
      <x:c r="O787" s="28"/>
    </x:row>
    <x:row r="788">
      <x:c r="B788" s="26"/>
      <x:c r="I788" s="27"/>
      <x:c r="K788" s="28"/>
      <x:c r="L788" s="28"/>
      <x:c r="M788" s="28"/>
      <x:c r="N788" s="28"/>
      <x:c r="O788" s="28"/>
    </x:row>
    <x:row r="789">
      <x:c r="B789" s="26"/>
      <x:c r="I789" s="27"/>
      <x:c r="K789" s="28"/>
      <x:c r="L789" s="28"/>
      <x:c r="M789" s="28"/>
      <x:c r="N789" s="28"/>
      <x:c r="O789" s="28"/>
    </x:row>
    <x:row r="790">
      <x:c r="B790" s="26"/>
      <x:c r="I790" s="27"/>
      <x:c r="K790" s="28"/>
      <x:c r="L790" s="28"/>
      <x:c r="M790" s="28"/>
      <x:c r="N790" s="28"/>
      <x:c r="O790" s="28"/>
    </x:row>
    <x:row r="791">
      <x:c r="B791" s="26"/>
      <x:c r="I791" s="27"/>
      <x:c r="K791" s="28"/>
      <x:c r="L791" s="28"/>
      <x:c r="M791" s="28"/>
      <x:c r="N791" s="28"/>
      <x:c r="O791" s="28"/>
    </x:row>
    <x:row r="792">
      <x:c r="B792" s="26"/>
      <x:c r="I792" s="27"/>
      <x:c r="K792" s="28"/>
      <x:c r="L792" s="28"/>
      <x:c r="M792" s="28"/>
      <x:c r="N792" s="28"/>
      <x:c r="O792" s="28"/>
    </x:row>
    <x:row r="793">
      <x:c r="B793" s="26"/>
      <x:c r="I793" s="27"/>
      <x:c r="K793" s="28"/>
      <x:c r="L793" s="28"/>
      <x:c r="M793" s="28"/>
      <x:c r="N793" s="28"/>
      <x:c r="O793" s="28"/>
    </x:row>
    <x:row r="794">
      <x:c r="B794" s="26"/>
      <x:c r="I794" s="27"/>
      <x:c r="K794" s="28"/>
      <x:c r="L794" s="28"/>
      <x:c r="M794" s="28"/>
      <x:c r="N794" s="28"/>
      <x:c r="O794" s="28"/>
    </x:row>
    <x:row r="795">
      <x:c r="B795" s="26"/>
      <x:c r="I795" s="27"/>
      <x:c r="K795" s="28"/>
      <x:c r="L795" s="28"/>
      <x:c r="M795" s="28"/>
      <x:c r="N795" s="28"/>
      <x:c r="O795" s="28"/>
    </x:row>
    <x:row r="796">
      <x:c r="B796" s="26"/>
      <x:c r="I796" s="27"/>
      <x:c r="K796" s="28"/>
      <x:c r="L796" s="28"/>
      <x:c r="M796" s="28"/>
      <x:c r="N796" s="28"/>
      <x:c r="O796" s="28"/>
    </x:row>
    <x:row r="797">
      <x:c r="B797" s="26"/>
      <x:c r="I797" s="27"/>
      <x:c r="K797" s="28"/>
      <x:c r="L797" s="28"/>
      <x:c r="M797" s="28"/>
      <x:c r="N797" s="28"/>
      <x:c r="O797" s="28"/>
    </x:row>
    <x:row r="798">
      <x:c r="B798" s="26"/>
      <x:c r="I798" s="27"/>
      <x:c r="K798" s="28"/>
      <x:c r="L798" s="28"/>
      <x:c r="M798" s="28"/>
      <x:c r="N798" s="28"/>
      <x:c r="O798" s="28"/>
    </x:row>
    <x:row r="799">
      <x:c r="B799" s="26"/>
      <x:c r="I799" s="27"/>
      <x:c r="K799" s="28"/>
      <x:c r="L799" s="28"/>
      <x:c r="M799" s="28"/>
      <x:c r="N799" s="28"/>
      <x:c r="O799" s="28"/>
    </x:row>
    <x:row r="800">
      <x:c r="B800" s="26"/>
      <x:c r="I800" s="27"/>
      <x:c r="K800" s="28"/>
      <x:c r="L800" s="28"/>
      <x:c r="M800" s="28"/>
      <x:c r="N800" s="28"/>
      <x:c r="O800" s="28"/>
    </x:row>
    <x:row r="801">
      <x:c r="B801" s="26"/>
      <x:c r="I801" s="27"/>
      <x:c r="K801" s="28"/>
      <x:c r="L801" s="28"/>
      <x:c r="M801" s="28"/>
      <x:c r="N801" s="28"/>
      <x:c r="O801" s="28"/>
    </x:row>
    <x:row r="802">
      <x:c r="B802" s="26"/>
      <x:c r="I802" s="27"/>
      <x:c r="K802" s="28"/>
      <x:c r="L802" s="28"/>
      <x:c r="M802" s="28"/>
      <x:c r="N802" s="28"/>
      <x:c r="O802" s="28"/>
    </x:row>
    <x:row r="803">
      <x:c r="B803" s="26"/>
      <x:c r="I803" s="27"/>
      <x:c r="K803" s="28"/>
      <x:c r="L803" s="28"/>
      <x:c r="M803" s="28"/>
      <x:c r="N803" s="28"/>
      <x:c r="O803" s="28"/>
    </x:row>
    <x:row r="804">
      <x:c r="B804" s="26"/>
      <x:c r="I804" s="27"/>
      <x:c r="K804" s="28"/>
      <x:c r="L804" s="28"/>
      <x:c r="M804" s="28"/>
      <x:c r="N804" s="28"/>
      <x:c r="O804" s="28"/>
    </x:row>
    <x:row r="805">
      <x:c r="B805" s="26"/>
      <x:c r="I805" s="27"/>
      <x:c r="K805" s="28"/>
      <x:c r="L805" s="28"/>
      <x:c r="M805" s="28"/>
      <x:c r="N805" s="28"/>
      <x:c r="O805" s="28"/>
    </x:row>
    <x:row r="806">
      <x:c r="B806" s="26"/>
      <x:c r="I806" s="27"/>
      <x:c r="K806" s="28"/>
      <x:c r="L806" s="28"/>
      <x:c r="M806" s="28"/>
      <x:c r="N806" s="28"/>
      <x:c r="O806" s="28"/>
    </x:row>
    <x:row r="807">
      <x:c r="B807" s="26"/>
      <x:c r="I807" s="27"/>
      <x:c r="K807" s="28"/>
      <x:c r="L807" s="28"/>
      <x:c r="M807" s="28"/>
      <x:c r="N807" s="28"/>
      <x:c r="O807" s="28"/>
    </x:row>
    <x:row r="808">
      <x:c r="B808" s="26"/>
      <x:c r="I808" s="27"/>
      <x:c r="K808" s="28"/>
      <x:c r="L808" s="28"/>
      <x:c r="M808" s="28"/>
      <x:c r="N808" s="28"/>
      <x:c r="O808" s="28"/>
    </x:row>
    <x:row r="809">
      <x:c r="B809" s="26"/>
      <x:c r="I809" s="27"/>
      <x:c r="K809" s="28"/>
      <x:c r="L809" s="28"/>
      <x:c r="M809" s="28"/>
      <x:c r="N809" s="28"/>
      <x:c r="O809" s="28"/>
    </x:row>
    <x:row r="810">
      <x:c r="B810" s="26"/>
      <x:c r="I810" s="27"/>
      <x:c r="K810" s="28"/>
      <x:c r="L810" s="28"/>
      <x:c r="M810" s="28"/>
      <x:c r="N810" s="28"/>
      <x:c r="O810" s="28"/>
    </x:row>
    <x:row r="811">
      <x:c r="B811" s="26"/>
      <x:c r="I811" s="27"/>
      <x:c r="K811" s="28"/>
      <x:c r="L811" s="28"/>
      <x:c r="M811" s="28"/>
      <x:c r="N811" s="28"/>
      <x:c r="O811" s="28"/>
    </x:row>
    <x:row r="812">
      <x:c r="B812" s="26"/>
      <x:c r="I812" s="27"/>
      <x:c r="K812" s="28"/>
      <x:c r="L812" s="28"/>
      <x:c r="M812" s="28"/>
      <x:c r="N812" s="28"/>
      <x:c r="O812" s="28"/>
    </x:row>
    <x:row r="813">
      <x:c r="B813" s="26"/>
      <x:c r="I813" s="27"/>
      <x:c r="K813" s="28"/>
      <x:c r="L813" s="28"/>
      <x:c r="M813" s="28"/>
      <x:c r="N813" s="28"/>
      <x:c r="O813" s="28"/>
    </x:row>
    <x:row r="814">
      <x:c r="B814" s="26"/>
      <x:c r="I814" s="27"/>
      <x:c r="K814" s="28"/>
      <x:c r="L814" s="28"/>
      <x:c r="M814" s="28"/>
      <x:c r="N814" s="28"/>
      <x:c r="O814" s="28"/>
    </x:row>
    <x:row r="815">
      <x:c r="B815" s="26"/>
      <x:c r="I815" s="27"/>
      <x:c r="K815" s="28"/>
      <x:c r="L815" s="28"/>
      <x:c r="M815" s="28"/>
      <x:c r="N815" s="28"/>
      <x:c r="O815" s="28"/>
    </x:row>
    <x:row r="816">
      <x:c r="B816" s="26"/>
      <x:c r="I816" s="27"/>
      <x:c r="K816" s="28"/>
      <x:c r="L816" s="28"/>
      <x:c r="M816" s="28"/>
      <x:c r="N816" s="28"/>
      <x:c r="O816" s="28"/>
    </x:row>
    <x:row r="817">
      <x:c r="B817" s="26"/>
      <x:c r="I817" s="27"/>
      <x:c r="K817" s="28"/>
      <x:c r="L817" s="28"/>
      <x:c r="M817" s="28"/>
      <x:c r="N817" s="28"/>
      <x:c r="O817" s="28"/>
    </x:row>
    <x:row r="818">
      <x:c r="B818" s="26"/>
      <x:c r="I818" s="27"/>
      <x:c r="K818" s="28"/>
      <x:c r="L818" s="28"/>
      <x:c r="M818" s="28"/>
      <x:c r="N818" s="28"/>
      <x:c r="O818" s="28"/>
    </x:row>
    <x:row r="819">
      <x:c r="B819" s="26"/>
      <x:c r="I819" s="27"/>
      <x:c r="K819" s="28"/>
      <x:c r="L819" s="28"/>
      <x:c r="M819" s="28"/>
      <x:c r="N819" s="28"/>
      <x:c r="O819" s="28"/>
    </x:row>
    <x:row r="820">
      <x:c r="B820" s="26"/>
      <x:c r="I820" s="27"/>
      <x:c r="K820" s="28"/>
      <x:c r="L820" s="28"/>
      <x:c r="M820" s="28"/>
      <x:c r="N820" s="28"/>
      <x:c r="O820" s="28"/>
    </x:row>
    <x:row r="821">
      <x:c r="B821" s="26"/>
      <x:c r="I821" s="27"/>
      <x:c r="K821" s="28"/>
      <x:c r="L821" s="28"/>
      <x:c r="M821" s="28"/>
      <x:c r="N821" s="28"/>
      <x:c r="O821" s="28"/>
    </x:row>
    <x:row r="822">
      <x:c r="B822" s="26"/>
      <x:c r="I822" s="27"/>
      <x:c r="K822" s="28"/>
      <x:c r="L822" s="28"/>
      <x:c r="M822" s="28"/>
      <x:c r="N822" s="28"/>
      <x:c r="O822" s="28"/>
    </x:row>
    <x:row r="823">
      <x:c r="B823" s="26"/>
      <x:c r="I823" s="27"/>
      <x:c r="K823" s="28"/>
      <x:c r="L823" s="28"/>
      <x:c r="M823" s="28"/>
      <x:c r="N823" s="28"/>
      <x:c r="O823" s="28"/>
    </x:row>
    <x:row r="824">
      <x:c r="B824" s="26"/>
      <x:c r="I824" s="27"/>
      <x:c r="K824" s="28"/>
      <x:c r="L824" s="28"/>
      <x:c r="M824" s="28"/>
      <x:c r="N824" s="28"/>
      <x:c r="O824" s="28"/>
    </x:row>
    <x:row r="825">
      <x:c r="B825" s="26"/>
      <x:c r="I825" s="27"/>
      <x:c r="K825" s="28"/>
      <x:c r="L825" s="28"/>
      <x:c r="M825" s="28"/>
      <x:c r="N825" s="28"/>
      <x:c r="O825" s="28"/>
    </x:row>
    <x:row r="826">
      <x:c r="B826" s="26"/>
      <x:c r="I826" s="27"/>
      <x:c r="K826" s="28"/>
      <x:c r="L826" s="28"/>
      <x:c r="M826" s="28"/>
      <x:c r="N826" s="28"/>
      <x:c r="O826" s="28"/>
    </x:row>
    <x:row r="827">
      <x:c r="B827" s="26"/>
      <x:c r="I827" s="27"/>
      <x:c r="K827" s="28"/>
      <x:c r="L827" s="28"/>
      <x:c r="M827" s="28"/>
      <x:c r="N827" s="28"/>
      <x:c r="O827" s="28"/>
    </x:row>
    <x:row r="828">
      <x:c r="B828" s="26"/>
      <x:c r="I828" s="27"/>
      <x:c r="K828" s="28"/>
      <x:c r="L828" s="28"/>
      <x:c r="M828" s="28"/>
      <x:c r="N828" s="28"/>
      <x:c r="O828" s="28"/>
    </x:row>
    <x:row r="829">
      <x:c r="B829" s="26"/>
      <x:c r="I829" s="27"/>
      <x:c r="K829" s="28"/>
      <x:c r="L829" s="28"/>
      <x:c r="M829" s="28"/>
      <x:c r="N829" s="28"/>
      <x:c r="O829" s="28"/>
    </x:row>
    <x:row r="830">
      <x:c r="B830" s="26"/>
      <x:c r="I830" s="27"/>
      <x:c r="K830" s="28"/>
      <x:c r="L830" s="28"/>
      <x:c r="M830" s="28"/>
      <x:c r="N830" s="28"/>
      <x:c r="O830" s="28"/>
    </x:row>
    <x:row r="831">
      <x:c r="B831" s="26"/>
      <x:c r="I831" s="27"/>
      <x:c r="K831" s="28"/>
      <x:c r="L831" s="28"/>
      <x:c r="M831" s="28"/>
      <x:c r="N831" s="28"/>
      <x:c r="O831" s="28"/>
    </x:row>
    <x:row r="832">
      <x:c r="B832" s="26"/>
      <x:c r="I832" s="27"/>
      <x:c r="K832" s="28"/>
      <x:c r="L832" s="28"/>
      <x:c r="M832" s="28"/>
      <x:c r="N832" s="28"/>
      <x:c r="O832" s="28"/>
    </x:row>
    <x:row r="833">
      <x:c r="B833" s="26"/>
      <x:c r="I833" s="27"/>
      <x:c r="K833" s="28"/>
      <x:c r="L833" s="28"/>
      <x:c r="M833" s="28"/>
      <x:c r="N833" s="28"/>
      <x:c r="O833" s="28"/>
    </x:row>
    <x:row r="834">
      <x:c r="B834" s="26"/>
      <x:c r="I834" s="27"/>
      <x:c r="K834" s="28"/>
      <x:c r="L834" s="28"/>
      <x:c r="M834" s="28"/>
      <x:c r="N834" s="28"/>
      <x:c r="O834" s="28"/>
    </x:row>
    <x:row r="835">
      <x:c r="B835" s="26"/>
      <x:c r="I835" s="27"/>
      <x:c r="K835" s="28"/>
      <x:c r="L835" s="28"/>
      <x:c r="M835" s="28"/>
      <x:c r="N835" s="28"/>
      <x:c r="O835" s="28"/>
    </x:row>
    <x:row r="836">
      <x:c r="B836" s="26"/>
      <x:c r="I836" s="27"/>
      <x:c r="K836" s="28"/>
      <x:c r="L836" s="28"/>
      <x:c r="M836" s="28"/>
      <x:c r="N836" s="28"/>
      <x:c r="O836" s="28"/>
    </x:row>
    <x:row r="837">
      <x:c r="B837" s="26"/>
      <x:c r="I837" s="27"/>
      <x:c r="K837" s="28"/>
      <x:c r="L837" s="28"/>
      <x:c r="M837" s="28"/>
      <x:c r="N837" s="28"/>
      <x:c r="O837" s="28"/>
    </x:row>
    <x:row r="838">
      <x:c r="B838" s="26"/>
      <x:c r="I838" s="27"/>
      <x:c r="K838" s="28"/>
      <x:c r="L838" s="28"/>
      <x:c r="M838" s="28"/>
      <x:c r="N838" s="28"/>
      <x:c r="O838" s="28"/>
    </x:row>
    <x:row r="839">
      <x:c r="B839" s="26"/>
      <x:c r="I839" s="27"/>
      <x:c r="K839" s="28"/>
      <x:c r="L839" s="28"/>
      <x:c r="M839" s="28"/>
      <x:c r="N839" s="28"/>
      <x:c r="O839" s="28"/>
    </x:row>
    <x:row r="840">
      <x:c r="B840" s="26"/>
      <x:c r="I840" s="27"/>
      <x:c r="K840" s="28"/>
      <x:c r="L840" s="28"/>
      <x:c r="M840" s="28"/>
      <x:c r="N840" s="28"/>
      <x:c r="O840" s="28"/>
    </x:row>
    <x:row r="841">
      <x:c r="B841" s="26"/>
      <x:c r="I841" s="27"/>
      <x:c r="K841" s="28"/>
      <x:c r="L841" s="28"/>
      <x:c r="M841" s="28"/>
      <x:c r="N841" s="28"/>
      <x:c r="O841" s="28"/>
    </x:row>
    <x:row r="842">
      <x:c r="B842" s="26"/>
      <x:c r="I842" s="27"/>
      <x:c r="K842" s="28"/>
      <x:c r="L842" s="28"/>
      <x:c r="M842" s="28"/>
      <x:c r="N842" s="28"/>
      <x:c r="O842" s="28"/>
    </x:row>
    <x:row r="843">
      <x:c r="B843" s="26"/>
      <x:c r="I843" s="27"/>
      <x:c r="K843" s="28"/>
      <x:c r="L843" s="28"/>
      <x:c r="M843" s="28"/>
      <x:c r="N843" s="28"/>
      <x:c r="O843" s="28"/>
    </x:row>
    <x:row r="844">
      <x:c r="B844" s="26"/>
      <x:c r="I844" s="27"/>
      <x:c r="K844" s="28"/>
      <x:c r="L844" s="28"/>
      <x:c r="M844" s="28"/>
      <x:c r="N844" s="28"/>
      <x:c r="O844" s="28"/>
    </x:row>
    <x:row r="845">
      <x:c r="B845" s="26"/>
      <x:c r="I845" s="27"/>
      <x:c r="K845" s="28"/>
      <x:c r="L845" s="28"/>
      <x:c r="M845" s="28"/>
      <x:c r="N845" s="28"/>
      <x:c r="O845" s="28"/>
    </x:row>
    <x:row r="846">
      <x:c r="B846" s="26"/>
      <x:c r="I846" s="27"/>
      <x:c r="K846" s="28"/>
      <x:c r="L846" s="28"/>
      <x:c r="M846" s="28"/>
      <x:c r="N846" s="28"/>
      <x:c r="O846" s="28"/>
    </x:row>
    <x:row r="847">
      <x:c r="B847" s="26"/>
      <x:c r="I847" s="27"/>
      <x:c r="K847" s="28"/>
      <x:c r="L847" s="28"/>
      <x:c r="M847" s="28"/>
      <x:c r="N847" s="28"/>
      <x:c r="O847" s="28"/>
    </x:row>
    <x:row r="848">
      <x:c r="B848" s="26"/>
      <x:c r="I848" s="27"/>
      <x:c r="K848" s="28"/>
      <x:c r="L848" s="28"/>
      <x:c r="M848" s="28"/>
      <x:c r="N848" s="28"/>
      <x:c r="O848" s="28"/>
    </x:row>
    <x:row r="849">
      <x:c r="B849" s="26"/>
      <x:c r="I849" s="27"/>
      <x:c r="K849" s="28"/>
      <x:c r="L849" s="28"/>
      <x:c r="M849" s="28"/>
      <x:c r="N849" s="28"/>
      <x:c r="O849" s="28"/>
    </x:row>
    <x:row r="850">
      <x:c r="B850" s="26"/>
      <x:c r="I850" s="27"/>
      <x:c r="K850" s="28"/>
      <x:c r="L850" s="28"/>
      <x:c r="M850" s="28"/>
      <x:c r="N850" s="28"/>
      <x:c r="O850" s="28"/>
    </x:row>
    <x:row r="851">
      <x:c r="B851" s="26"/>
      <x:c r="I851" s="27"/>
      <x:c r="K851" s="28"/>
      <x:c r="L851" s="28"/>
      <x:c r="M851" s="28"/>
      <x:c r="N851" s="28"/>
      <x:c r="O851" s="28"/>
    </x:row>
    <x:row r="852">
      <x:c r="B852" s="26"/>
      <x:c r="I852" s="27"/>
      <x:c r="K852" s="28"/>
      <x:c r="L852" s="28"/>
      <x:c r="M852" s="28"/>
      <x:c r="N852" s="28"/>
      <x:c r="O852" s="28"/>
    </x:row>
    <x:row r="853">
      <x:c r="B853" s="26"/>
      <x:c r="I853" s="27"/>
      <x:c r="K853" s="28"/>
      <x:c r="L853" s="28"/>
      <x:c r="M853" s="28"/>
      <x:c r="N853" s="28"/>
      <x:c r="O853" s="28"/>
    </x:row>
    <x:row r="854">
      <x:c r="B854" s="26"/>
      <x:c r="I854" s="27"/>
      <x:c r="K854" s="28"/>
      <x:c r="L854" s="28"/>
      <x:c r="M854" s="28"/>
      <x:c r="N854" s="28"/>
      <x:c r="O854" s="28"/>
    </x:row>
    <x:row r="855">
      <x:c r="B855" s="26"/>
      <x:c r="I855" s="27"/>
      <x:c r="K855" s="28"/>
      <x:c r="L855" s="28"/>
      <x:c r="M855" s="28"/>
      <x:c r="N855" s="28"/>
      <x:c r="O855" s="28"/>
    </x:row>
    <x:row r="856">
      <x:c r="B856" s="26"/>
      <x:c r="I856" s="27"/>
      <x:c r="K856" s="28"/>
      <x:c r="L856" s="28"/>
      <x:c r="M856" s="28"/>
      <x:c r="N856" s="28"/>
      <x:c r="O856" s="28"/>
    </x:row>
    <x:row r="857">
      <x:c r="B857" s="26"/>
      <x:c r="I857" s="27"/>
      <x:c r="K857" s="28"/>
      <x:c r="L857" s="28"/>
      <x:c r="M857" s="28"/>
      <x:c r="N857" s="28"/>
      <x:c r="O857" s="28"/>
    </x:row>
    <x:row r="858">
      <x:c r="B858" s="26"/>
      <x:c r="I858" s="27"/>
      <x:c r="K858" s="28"/>
      <x:c r="L858" s="28"/>
      <x:c r="M858" s="28"/>
      <x:c r="N858" s="28"/>
      <x:c r="O858" s="28"/>
    </x:row>
    <x:row r="859">
      <x:c r="B859" s="26"/>
      <x:c r="I859" s="27"/>
      <x:c r="K859" s="28"/>
      <x:c r="L859" s="28"/>
      <x:c r="M859" s="28"/>
      <x:c r="N859" s="28"/>
      <x:c r="O859" s="28"/>
    </x:row>
    <x:row r="860">
      <x:c r="B860" s="26"/>
      <x:c r="I860" s="27"/>
      <x:c r="K860" s="28"/>
      <x:c r="L860" s="28"/>
      <x:c r="M860" s="28"/>
      <x:c r="N860" s="28"/>
      <x:c r="O860" s="28"/>
    </x:row>
    <x:row r="861">
      <x:c r="B861" s="26"/>
      <x:c r="I861" s="27"/>
      <x:c r="K861" s="28"/>
      <x:c r="L861" s="28"/>
      <x:c r="M861" s="28"/>
      <x:c r="N861" s="28"/>
      <x:c r="O861" s="28"/>
    </x:row>
    <x:row r="862">
      <x:c r="B862" s="26"/>
      <x:c r="I862" s="27"/>
      <x:c r="K862" s="28"/>
      <x:c r="L862" s="28"/>
      <x:c r="M862" s="28"/>
      <x:c r="N862" s="28"/>
      <x:c r="O862" s="28"/>
    </x:row>
    <x:row r="863">
      <x:c r="B863" s="26"/>
      <x:c r="I863" s="27"/>
      <x:c r="K863" s="28"/>
      <x:c r="L863" s="28"/>
      <x:c r="M863" s="28"/>
      <x:c r="N863" s="28"/>
      <x:c r="O863" s="28"/>
    </x:row>
    <x:row r="864">
      <x:c r="B864" s="26"/>
      <x:c r="I864" s="27"/>
      <x:c r="K864" s="28"/>
      <x:c r="L864" s="28"/>
      <x:c r="M864" s="28"/>
      <x:c r="N864" s="28"/>
      <x:c r="O864" s="28"/>
    </x:row>
    <x:row r="865">
      <x:c r="B865" s="26"/>
      <x:c r="I865" s="27"/>
      <x:c r="K865" s="28"/>
      <x:c r="L865" s="28"/>
      <x:c r="M865" s="28"/>
      <x:c r="N865" s="28"/>
      <x:c r="O865" s="28"/>
    </x:row>
    <x:row r="866">
      <x:c r="B866" s="26"/>
      <x:c r="I866" s="27"/>
      <x:c r="K866" s="28"/>
      <x:c r="L866" s="28"/>
      <x:c r="M866" s="28"/>
      <x:c r="N866" s="28"/>
      <x:c r="O866" s="28"/>
    </x:row>
    <x:row r="867">
      <x:c r="B867" s="26"/>
      <x:c r="I867" s="27"/>
      <x:c r="K867" s="28"/>
      <x:c r="L867" s="28"/>
      <x:c r="M867" s="28"/>
      <x:c r="N867" s="28"/>
      <x:c r="O867" s="28"/>
    </x:row>
    <x:row r="868">
      <x:c r="B868" s="26"/>
      <x:c r="I868" s="27"/>
      <x:c r="K868" s="28"/>
      <x:c r="L868" s="28"/>
      <x:c r="M868" s="28"/>
      <x:c r="N868" s="28"/>
      <x:c r="O868" s="28"/>
    </x:row>
    <x:row r="869">
      <x:c r="B869" s="26"/>
      <x:c r="I869" s="27"/>
      <x:c r="K869" s="28"/>
      <x:c r="L869" s="28"/>
      <x:c r="M869" s="28"/>
      <x:c r="N869" s="28"/>
      <x:c r="O869" s="28"/>
    </x:row>
    <x:row r="870">
      <x:c r="B870" s="26"/>
      <x:c r="I870" s="27"/>
      <x:c r="K870" s="28"/>
      <x:c r="L870" s="28"/>
      <x:c r="M870" s="28"/>
      <x:c r="N870" s="28"/>
      <x:c r="O870" s="28"/>
    </x:row>
    <x:row r="871">
      <x:c r="B871" s="26"/>
      <x:c r="I871" s="27"/>
      <x:c r="K871" s="28"/>
      <x:c r="L871" s="28"/>
      <x:c r="M871" s="28"/>
      <x:c r="N871" s="28"/>
      <x:c r="O871" s="28"/>
    </x:row>
    <x:row r="872">
      <x:c r="B872" s="26"/>
      <x:c r="I872" s="27"/>
      <x:c r="K872" s="28"/>
      <x:c r="L872" s="28"/>
      <x:c r="M872" s="28"/>
      <x:c r="N872" s="28"/>
      <x:c r="O872" s="28"/>
    </x:row>
    <x:row r="873">
      <x:c r="B873" s="26"/>
      <x:c r="I873" s="27"/>
      <x:c r="K873" s="28"/>
      <x:c r="L873" s="28"/>
      <x:c r="M873" s="28"/>
      <x:c r="N873" s="28"/>
      <x:c r="O873" s="28"/>
    </x:row>
    <x:row r="874">
      <x:c r="B874" s="26"/>
      <x:c r="I874" s="27"/>
      <x:c r="K874" s="28"/>
      <x:c r="L874" s="28"/>
      <x:c r="M874" s="28"/>
      <x:c r="N874" s="28"/>
      <x:c r="O874" s="28"/>
    </x:row>
    <x:row r="875">
      <x:c r="B875" s="26"/>
      <x:c r="I875" s="27"/>
      <x:c r="K875" s="28"/>
      <x:c r="L875" s="28"/>
      <x:c r="M875" s="28"/>
      <x:c r="N875" s="28"/>
      <x:c r="O875" s="28"/>
    </x:row>
    <x:row r="876">
      <x:c r="B876" s="26"/>
      <x:c r="I876" s="27"/>
      <x:c r="K876" s="28"/>
      <x:c r="L876" s="28"/>
      <x:c r="M876" s="28"/>
      <x:c r="N876" s="28"/>
      <x:c r="O876" s="28"/>
    </x:row>
    <x:row r="877">
      <x:c r="B877" s="26"/>
      <x:c r="I877" s="27"/>
      <x:c r="K877" s="28"/>
      <x:c r="L877" s="28"/>
      <x:c r="M877" s="28"/>
      <x:c r="N877" s="28"/>
      <x:c r="O877" s="28"/>
    </x:row>
    <x:row r="878">
      <x:c r="B878" s="26"/>
      <x:c r="I878" s="27"/>
      <x:c r="K878" s="28"/>
      <x:c r="L878" s="28"/>
      <x:c r="M878" s="28"/>
      <x:c r="N878" s="28"/>
      <x:c r="O878" s="28"/>
    </x:row>
    <x:row r="879">
      <x:c r="B879" s="26"/>
      <x:c r="I879" s="27"/>
      <x:c r="K879" s="28"/>
      <x:c r="L879" s="28"/>
      <x:c r="M879" s="28"/>
      <x:c r="N879" s="28"/>
      <x:c r="O879" s="28"/>
    </x:row>
    <x:row r="880">
      <x:c r="B880" s="26"/>
      <x:c r="I880" s="27"/>
      <x:c r="K880" s="28"/>
      <x:c r="L880" s="28"/>
      <x:c r="M880" s="28"/>
      <x:c r="N880" s="28"/>
      <x:c r="O880" s="28"/>
    </x:row>
    <x:row r="881">
      <x:c r="B881" s="26"/>
      <x:c r="I881" s="27"/>
      <x:c r="K881" s="28"/>
      <x:c r="L881" s="28"/>
      <x:c r="M881" s="28"/>
      <x:c r="N881" s="28"/>
      <x:c r="O881" s="28"/>
    </x:row>
    <x:row r="882">
      <x:c r="B882" s="26"/>
      <x:c r="I882" s="27"/>
      <x:c r="K882" s="28"/>
      <x:c r="L882" s="28"/>
      <x:c r="M882" s="28"/>
      <x:c r="N882" s="28"/>
      <x:c r="O882" s="28"/>
    </x:row>
    <x:row r="883">
      <x:c r="B883" s="26"/>
      <x:c r="I883" s="27"/>
      <x:c r="K883" s="28"/>
      <x:c r="L883" s="28"/>
      <x:c r="M883" s="28"/>
      <x:c r="N883" s="28"/>
      <x:c r="O883" s="28"/>
    </x:row>
    <x:row r="884">
      <x:c r="B884" s="26"/>
      <x:c r="I884" s="27"/>
      <x:c r="K884" s="28"/>
      <x:c r="L884" s="28"/>
      <x:c r="M884" s="28"/>
      <x:c r="N884" s="28"/>
      <x:c r="O884" s="28"/>
    </x:row>
    <x:row r="885">
      <x:c r="B885" s="26"/>
      <x:c r="I885" s="27"/>
      <x:c r="K885" s="28"/>
      <x:c r="L885" s="28"/>
      <x:c r="M885" s="28"/>
      <x:c r="N885" s="28"/>
      <x:c r="O885" s="28"/>
    </x:row>
    <x:row r="886">
      <x:c r="B886" s="26"/>
      <x:c r="I886" s="27"/>
      <x:c r="K886" s="28"/>
      <x:c r="L886" s="28"/>
      <x:c r="M886" s="28"/>
      <x:c r="N886" s="28"/>
      <x:c r="O886" s="28"/>
    </x:row>
    <x:row r="887">
      <x:c r="B887" s="26"/>
      <x:c r="I887" s="27"/>
      <x:c r="K887" s="28"/>
      <x:c r="L887" s="28"/>
      <x:c r="M887" s="28"/>
      <x:c r="N887" s="28"/>
      <x:c r="O887" s="28"/>
    </x:row>
    <x:row r="888">
      <x:c r="B888" s="26"/>
      <x:c r="I888" s="27"/>
      <x:c r="K888" s="28"/>
      <x:c r="L888" s="28"/>
      <x:c r="M888" s="28"/>
      <x:c r="N888" s="28"/>
      <x:c r="O888" s="28"/>
    </x:row>
    <x:row r="889">
      <x:c r="B889" s="26"/>
      <x:c r="I889" s="27"/>
      <x:c r="K889" s="28"/>
      <x:c r="L889" s="28"/>
      <x:c r="M889" s="28"/>
      <x:c r="N889" s="28"/>
      <x:c r="O889" s="28"/>
    </x:row>
    <x:row r="890">
      <x:c r="B890" s="26"/>
      <x:c r="I890" s="27"/>
      <x:c r="K890" s="28"/>
      <x:c r="L890" s="28"/>
      <x:c r="M890" s="28"/>
      <x:c r="N890" s="28"/>
      <x:c r="O890" s="28"/>
    </x:row>
    <x:row r="891">
      <x:c r="B891" s="26"/>
      <x:c r="I891" s="27"/>
      <x:c r="K891" s="28"/>
      <x:c r="L891" s="28"/>
      <x:c r="M891" s="28"/>
      <x:c r="N891" s="28"/>
      <x:c r="O891" s="28"/>
    </x:row>
    <x:row r="892">
      <x:c r="B892" s="26"/>
      <x:c r="I892" s="27"/>
      <x:c r="K892" s="28"/>
      <x:c r="L892" s="28"/>
      <x:c r="M892" s="28"/>
      <x:c r="N892" s="28"/>
      <x:c r="O892" s="28"/>
    </x:row>
    <x:row r="893">
      <x:c r="B893" s="26"/>
      <x:c r="I893" s="27"/>
      <x:c r="K893" s="28"/>
      <x:c r="L893" s="28"/>
      <x:c r="M893" s="28"/>
      <x:c r="N893" s="28"/>
      <x:c r="O893" s="28"/>
    </x:row>
    <x:row r="894">
      <x:c r="B894" s="26"/>
      <x:c r="I894" s="27"/>
      <x:c r="K894" s="28"/>
      <x:c r="L894" s="28"/>
      <x:c r="M894" s="28"/>
      <x:c r="N894" s="28"/>
      <x:c r="O894" s="28"/>
    </x:row>
    <x:row r="895">
      <x:c r="B895" s="26"/>
      <x:c r="I895" s="27"/>
      <x:c r="K895" s="28"/>
      <x:c r="L895" s="28"/>
      <x:c r="M895" s="28"/>
      <x:c r="N895" s="28"/>
      <x:c r="O895" s="28"/>
    </x:row>
    <x:row r="896">
      <x:c r="B896" s="26"/>
      <x:c r="I896" s="27"/>
      <x:c r="K896" s="28"/>
      <x:c r="L896" s="28"/>
      <x:c r="M896" s="28"/>
      <x:c r="N896" s="28"/>
      <x:c r="O896" s="28"/>
    </x:row>
    <x:row r="897">
      <x:c r="B897" s="26"/>
      <x:c r="I897" s="27"/>
      <x:c r="K897" s="28"/>
      <x:c r="L897" s="28"/>
      <x:c r="M897" s="28"/>
      <x:c r="N897" s="28"/>
      <x:c r="O897" s="28"/>
    </x:row>
    <x:row r="898">
      <x:c r="B898" s="26"/>
      <x:c r="I898" s="27"/>
      <x:c r="K898" s="28"/>
      <x:c r="L898" s="28"/>
      <x:c r="M898" s="28"/>
      <x:c r="N898" s="28"/>
      <x:c r="O898" s="28"/>
    </x:row>
    <x:row r="899">
      <x:c r="B899" s="26"/>
      <x:c r="I899" s="27"/>
      <x:c r="K899" s="28"/>
      <x:c r="L899" s="28"/>
      <x:c r="M899" s="28"/>
      <x:c r="N899" s="28"/>
      <x:c r="O899" s="28"/>
    </x:row>
    <x:row r="900">
      <x:c r="B900" s="26"/>
      <x:c r="I900" s="27"/>
      <x:c r="K900" s="28"/>
      <x:c r="L900" s="28"/>
      <x:c r="M900" s="28"/>
      <x:c r="N900" s="28"/>
      <x:c r="O900" s="28"/>
    </x:row>
    <x:row r="901">
      <x:c r="B901" s="26"/>
      <x:c r="I901" s="27"/>
      <x:c r="K901" s="28"/>
      <x:c r="L901" s="28"/>
      <x:c r="M901" s="28"/>
      <x:c r="N901" s="28"/>
      <x:c r="O901" s="28"/>
    </x:row>
    <x:row r="902">
      <x:c r="B902" s="26"/>
      <x:c r="I902" s="27"/>
      <x:c r="K902" s="28"/>
      <x:c r="L902" s="28"/>
      <x:c r="M902" s="28"/>
      <x:c r="N902" s="28"/>
      <x:c r="O902" s="28"/>
    </x:row>
    <x:row r="903">
      <x:c r="B903" s="26"/>
      <x:c r="I903" s="27"/>
      <x:c r="K903" s="28"/>
      <x:c r="L903" s="28"/>
      <x:c r="M903" s="28"/>
      <x:c r="N903" s="28"/>
      <x:c r="O903" s="28"/>
    </x:row>
    <x:row r="904">
      <x:c r="B904" s="26"/>
      <x:c r="I904" s="27"/>
      <x:c r="K904" s="28"/>
      <x:c r="L904" s="28"/>
      <x:c r="M904" s="28"/>
      <x:c r="N904" s="28"/>
      <x:c r="O904" s="28"/>
    </x:row>
    <x:row r="905">
      <x:c r="B905" s="26"/>
      <x:c r="I905" s="27"/>
      <x:c r="K905" s="28"/>
      <x:c r="L905" s="28"/>
      <x:c r="M905" s="28"/>
      <x:c r="N905" s="28"/>
      <x:c r="O905" s="28"/>
    </x:row>
    <x:row r="906">
      <x:c r="B906" s="26"/>
      <x:c r="I906" s="27"/>
      <x:c r="K906" s="28"/>
      <x:c r="L906" s="28"/>
      <x:c r="M906" s="28"/>
      <x:c r="N906" s="28"/>
      <x:c r="O906" s="28"/>
    </x:row>
    <x:row r="907">
      <x:c r="B907" s="26"/>
      <x:c r="I907" s="27"/>
      <x:c r="K907" s="28"/>
      <x:c r="L907" s="28"/>
      <x:c r="M907" s="28"/>
      <x:c r="N907" s="28"/>
      <x:c r="O907" s="28"/>
    </x:row>
    <x:row r="908">
      <x:c r="B908" s="26"/>
      <x:c r="I908" s="27"/>
      <x:c r="K908" s="28"/>
      <x:c r="L908" s="28"/>
      <x:c r="M908" s="28"/>
      <x:c r="N908" s="28"/>
      <x:c r="O908" s="28"/>
    </x:row>
    <x:row r="909">
      <x:c r="B909" s="26"/>
      <x:c r="I909" s="27"/>
      <x:c r="K909" s="28"/>
      <x:c r="L909" s="28"/>
      <x:c r="M909" s="28"/>
      <x:c r="N909" s="28"/>
      <x:c r="O909" s="28"/>
    </x:row>
    <x:row r="910">
      <x:c r="B910" s="26"/>
      <x:c r="I910" s="27"/>
      <x:c r="K910" s="28"/>
      <x:c r="L910" s="28"/>
      <x:c r="M910" s="28"/>
      <x:c r="N910" s="28"/>
      <x:c r="O910" s="28"/>
    </x:row>
    <x:row r="911">
      <x:c r="B911" s="26"/>
      <x:c r="I911" s="27"/>
      <x:c r="K911" s="28"/>
      <x:c r="L911" s="28"/>
      <x:c r="M911" s="28"/>
      <x:c r="N911" s="28"/>
      <x:c r="O911" s="28"/>
    </x:row>
    <x:row r="912">
      <x:c r="B912" s="26"/>
      <x:c r="I912" s="27"/>
      <x:c r="K912" s="28"/>
      <x:c r="L912" s="28"/>
      <x:c r="M912" s="28"/>
      <x:c r="N912" s="28"/>
      <x:c r="O912" s="28"/>
    </x:row>
    <x:row r="913">
      <x:c r="B913" s="26"/>
      <x:c r="I913" s="27"/>
      <x:c r="K913" s="28"/>
      <x:c r="L913" s="28"/>
      <x:c r="M913" s="28"/>
      <x:c r="N913" s="28"/>
      <x:c r="O913" s="28"/>
    </x:row>
    <x:row r="914">
      <x:c r="B914" s="26"/>
      <x:c r="I914" s="27"/>
      <x:c r="K914" s="28"/>
      <x:c r="L914" s="28"/>
      <x:c r="M914" s="28"/>
      <x:c r="N914" s="28"/>
      <x:c r="O914" s="28"/>
    </x:row>
    <x:row r="915">
      <x:c r="B915" s="26"/>
      <x:c r="I915" s="27"/>
      <x:c r="K915" s="28"/>
      <x:c r="L915" s="28"/>
      <x:c r="M915" s="28"/>
      <x:c r="N915" s="28"/>
      <x:c r="O915" s="28"/>
    </x:row>
    <x:row r="916">
      <x:c r="B916" s="26"/>
      <x:c r="I916" s="27"/>
      <x:c r="K916" s="28"/>
      <x:c r="L916" s="28"/>
      <x:c r="M916" s="28"/>
      <x:c r="N916" s="28"/>
      <x:c r="O916" s="28"/>
    </x:row>
    <x:row r="917">
      <x:c r="B917" s="26"/>
      <x:c r="I917" s="27"/>
      <x:c r="K917" s="28"/>
      <x:c r="L917" s="28"/>
      <x:c r="M917" s="28"/>
      <x:c r="N917" s="28"/>
      <x:c r="O917" s="28"/>
    </x:row>
    <x:row r="918">
      <x:c r="B918" s="26"/>
      <x:c r="I918" s="27"/>
      <x:c r="K918" s="28"/>
      <x:c r="L918" s="28"/>
      <x:c r="M918" s="28"/>
      <x:c r="N918" s="28"/>
      <x:c r="O918" s="28"/>
    </x:row>
    <x:row r="919">
      <x:c r="B919" s="26"/>
      <x:c r="I919" s="27"/>
      <x:c r="K919" s="28"/>
      <x:c r="L919" s="28"/>
      <x:c r="M919" s="28"/>
      <x:c r="N919" s="28"/>
      <x:c r="O919" s="28"/>
    </x:row>
    <x:row r="920">
      <x:c r="B920" s="26"/>
      <x:c r="I920" s="27"/>
      <x:c r="K920" s="28"/>
      <x:c r="L920" s="28"/>
      <x:c r="M920" s="28"/>
      <x:c r="N920" s="28"/>
      <x:c r="O920" s="28"/>
    </x:row>
    <x:row r="921">
      <x:c r="B921" s="26"/>
      <x:c r="I921" s="27"/>
      <x:c r="K921" s="28"/>
      <x:c r="L921" s="28"/>
      <x:c r="M921" s="28"/>
      <x:c r="N921" s="28"/>
      <x:c r="O921" s="28"/>
    </x:row>
    <x:row r="922">
      <x:c r="B922" s="26"/>
      <x:c r="I922" s="27"/>
      <x:c r="K922" s="28"/>
      <x:c r="L922" s="28"/>
      <x:c r="M922" s="28"/>
      <x:c r="N922" s="28"/>
      <x:c r="O922" s="28"/>
    </x:row>
    <x:row r="923">
      <x:c r="B923" s="26"/>
      <x:c r="I923" s="27"/>
      <x:c r="K923" s="28"/>
      <x:c r="L923" s="28"/>
      <x:c r="M923" s="28"/>
      <x:c r="N923" s="28"/>
      <x:c r="O923" s="28"/>
    </x:row>
    <x:row r="924">
      <x:c r="B924" s="26"/>
      <x:c r="I924" s="27"/>
      <x:c r="K924" s="28"/>
      <x:c r="L924" s="28"/>
      <x:c r="M924" s="28"/>
      <x:c r="N924" s="28"/>
      <x:c r="O924" s="28"/>
    </x:row>
    <x:row r="925">
      <x:c r="B925" s="26"/>
      <x:c r="I925" s="27"/>
      <x:c r="K925" s="28"/>
      <x:c r="L925" s="28"/>
      <x:c r="M925" s="28"/>
      <x:c r="N925" s="28"/>
      <x:c r="O925" s="28"/>
    </x:row>
    <x:row r="926">
      <x:c r="B926" s="26"/>
      <x:c r="I926" s="27"/>
      <x:c r="K926" s="28"/>
      <x:c r="L926" s="28"/>
      <x:c r="M926" s="28"/>
      <x:c r="N926" s="28"/>
      <x:c r="O926" s="28"/>
    </x:row>
    <x:row r="927">
      <x:c r="B927" s="26"/>
      <x:c r="I927" s="27"/>
      <x:c r="K927" s="28"/>
      <x:c r="L927" s="28"/>
      <x:c r="M927" s="28"/>
      <x:c r="N927" s="28"/>
      <x:c r="O927" s="28"/>
    </x:row>
    <x:row r="928">
      <x:c r="B928" s="26"/>
      <x:c r="I928" s="27"/>
      <x:c r="K928" s="28"/>
      <x:c r="L928" s="28"/>
      <x:c r="M928" s="28"/>
      <x:c r="N928" s="28"/>
      <x:c r="O928" s="28"/>
    </x:row>
    <x:row r="929">
      <x:c r="B929" s="26"/>
      <x:c r="I929" s="27"/>
      <x:c r="K929" s="28"/>
      <x:c r="L929" s="28"/>
      <x:c r="M929" s="28"/>
      <x:c r="N929" s="28"/>
      <x:c r="O929" s="28"/>
    </x:row>
    <x:row r="930">
      <x:c r="B930" s="26"/>
      <x:c r="I930" s="27"/>
      <x:c r="K930" s="28"/>
      <x:c r="L930" s="28"/>
      <x:c r="M930" s="28"/>
      <x:c r="N930" s="28"/>
      <x:c r="O930" s="28"/>
    </x:row>
    <x:row r="931">
      <x:c r="B931" s="26"/>
      <x:c r="I931" s="27"/>
      <x:c r="K931" s="28"/>
      <x:c r="L931" s="28"/>
      <x:c r="M931" s="28"/>
      <x:c r="N931" s="28"/>
      <x:c r="O931" s="28"/>
    </x:row>
    <x:row r="932">
      <x:c r="B932" s="26"/>
      <x:c r="I932" s="27"/>
      <x:c r="K932" s="28"/>
      <x:c r="L932" s="28"/>
      <x:c r="M932" s="28"/>
      <x:c r="N932" s="28"/>
      <x:c r="O932" s="28"/>
    </x:row>
    <x:row r="933">
      <x:c r="B933" s="26"/>
      <x:c r="I933" s="27"/>
      <x:c r="K933" s="28"/>
      <x:c r="L933" s="28"/>
      <x:c r="M933" s="28"/>
      <x:c r="N933" s="28"/>
      <x:c r="O933" s="28"/>
    </x:row>
    <x:row r="934">
      <x:c r="B934" s="26"/>
      <x:c r="I934" s="27"/>
      <x:c r="K934" s="28"/>
      <x:c r="L934" s="28"/>
      <x:c r="M934" s="28"/>
      <x:c r="N934" s="28"/>
      <x:c r="O934" s="28"/>
    </x:row>
    <x:row r="935">
      <x:c r="B935" s="26"/>
      <x:c r="I935" s="27"/>
      <x:c r="K935" s="28"/>
      <x:c r="L935" s="28"/>
      <x:c r="M935" s="28"/>
      <x:c r="N935" s="28"/>
      <x:c r="O935" s="28"/>
    </x:row>
    <x:row r="936">
      <x:c r="B936" s="26"/>
      <x:c r="I936" s="27"/>
      <x:c r="K936" s="28"/>
      <x:c r="L936" s="28"/>
      <x:c r="M936" s="28"/>
      <x:c r="N936" s="28"/>
      <x:c r="O936" s="28"/>
    </x:row>
    <x:row r="937">
      <x:c r="B937" s="26"/>
      <x:c r="I937" s="27"/>
      <x:c r="K937" s="28"/>
      <x:c r="L937" s="28"/>
      <x:c r="M937" s="28"/>
      <x:c r="N937" s="28"/>
      <x:c r="O937" s="28"/>
    </x:row>
    <x:row r="938">
      <x:c r="B938" s="26"/>
      <x:c r="I938" s="27"/>
      <x:c r="K938" s="28"/>
      <x:c r="L938" s="28"/>
      <x:c r="M938" s="28"/>
      <x:c r="N938" s="28"/>
      <x:c r="O938" s="28"/>
    </x:row>
    <x:row r="939">
      <x:c r="B939" s="26"/>
      <x:c r="I939" s="27"/>
      <x:c r="K939" s="28"/>
      <x:c r="L939" s="28"/>
      <x:c r="M939" s="28"/>
      <x:c r="N939" s="28"/>
      <x:c r="O939" s="28"/>
    </x:row>
    <x:row r="940">
      <x:c r="B940" s="26"/>
      <x:c r="I940" s="27"/>
      <x:c r="K940" s="28"/>
      <x:c r="L940" s="28"/>
      <x:c r="M940" s="28"/>
      <x:c r="N940" s="28"/>
      <x:c r="O940" s="28"/>
    </x:row>
    <x:row r="941">
      <x:c r="B941" s="26"/>
      <x:c r="I941" s="27"/>
      <x:c r="K941" s="28"/>
      <x:c r="L941" s="28"/>
      <x:c r="M941" s="28"/>
      <x:c r="N941" s="28"/>
      <x:c r="O941" s="28"/>
    </x:row>
    <x:row r="942">
      <x:c r="B942" s="26"/>
      <x:c r="I942" s="27"/>
      <x:c r="K942" s="28"/>
      <x:c r="L942" s="28"/>
      <x:c r="M942" s="28"/>
      <x:c r="N942" s="28"/>
      <x:c r="O942" s="28"/>
    </x:row>
    <x:row r="943">
      <x:c r="B943" s="26"/>
      <x:c r="I943" s="27"/>
      <x:c r="K943" s="28"/>
      <x:c r="L943" s="28"/>
      <x:c r="M943" s="28"/>
      <x:c r="N943" s="28"/>
      <x:c r="O943" s="28"/>
    </x:row>
    <x:row r="944">
      <x:c r="B944" s="26"/>
      <x:c r="I944" s="27"/>
      <x:c r="K944" s="28"/>
      <x:c r="L944" s="28"/>
      <x:c r="M944" s="28"/>
      <x:c r="N944" s="28"/>
      <x:c r="O944" s="28"/>
    </x:row>
    <x:row r="945">
      <x:c r="B945" s="26"/>
      <x:c r="I945" s="27"/>
      <x:c r="K945" s="28"/>
      <x:c r="L945" s="28"/>
      <x:c r="M945" s="28"/>
      <x:c r="N945" s="28"/>
      <x:c r="O945" s="28"/>
    </x:row>
    <x:row r="946">
      <x:c r="B946" s="26"/>
      <x:c r="I946" s="27"/>
      <x:c r="K946" s="28"/>
      <x:c r="L946" s="28"/>
      <x:c r="M946" s="28"/>
      <x:c r="N946" s="28"/>
      <x:c r="O946" s="28"/>
    </x:row>
    <x:row r="947">
      <x:c r="B947" s="26"/>
      <x:c r="I947" s="27"/>
      <x:c r="K947" s="28"/>
      <x:c r="L947" s="28"/>
      <x:c r="M947" s="28"/>
      <x:c r="N947" s="28"/>
      <x:c r="O947" s="28"/>
    </x:row>
    <x:row r="948">
      <x:c r="B948" s="26"/>
      <x:c r="I948" s="27"/>
      <x:c r="K948" s="28"/>
      <x:c r="L948" s="28"/>
      <x:c r="M948" s="28"/>
      <x:c r="N948" s="28"/>
      <x:c r="O948" s="28"/>
    </x:row>
    <x:row r="949">
      <x:c r="B949" s="26"/>
      <x:c r="I949" s="27"/>
      <x:c r="K949" s="28"/>
      <x:c r="L949" s="28"/>
      <x:c r="M949" s="28"/>
      <x:c r="N949" s="28"/>
      <x:c r="O949" s="28"/>
    </x:row>
    <x:row r="950">
      <x:c r="B950" s="26"/>
      <x:c r="I950" s="27"/>
      <x:c r="K950" s="28"/>
      <x:c r="L950" s="28"/>
      <x:c r="M950" s="28"/>
      <x:c r="N950" s="28"/>
      <x:c r="O950" s="28"/>
    </x:row>
    <x:row r="951">
      <x:c r="B951" s="26"/>
      <x:c r="I951" s="27"/>
      <x:c r="K951" s="28"/>
      <x:c r="L951" s="28"/>
      <x:c r="M951" s="28"/>
      <x:c r="N951" s="28"/>
      <x:c r="O951" s="28"/>
    </x:row>
    <x:row r="952">
      <x:c r="B952" s="26"/>
      <x:c r="I952" s="27"/>
      <x:c r="K952" s="28"/>
      <x:c r="L952" s="28"/>
      <x:c r="M952" s="28"/>
      <x:c r="N952" s="28"/>
      <x:c r="O952" s="28"/>
    </x:row>
    <x:row r="953">
      <x:c r="B953" s="26"/>
      <x:c r="I953" s="27"/>
      <x:c r="K953" s="28"/>
      <x:c r="L953" s="28"/>
      <x:c r="M953" s="28"/>
      <x:c r="N953" s="28"/>
      <x:c r="O953" s="28"/>
    </x:row>
    <x:row r="954">
      <x:c r="B954" s="26"/>
      <x:c r="I954" s="27"/>
      <x:c r="K954" s="28"/>
      <x:c r="L954" s="28"/>
      <x:c r="M954" s="28"/>
      <x:c r="N954" s="28"/>
      <x:c r="O954" s="28"/>
    </x:row>
    <x:row r="955">
      <x:c r="B955" s="26"/>
      <x:c r="I955" s="27"/>
      <x:c r="K955" s="28"/>
      <x:c r="L955" s="28"/>
      <x:c r="M955" s="28"/>
      <x:c r="N955" s="28"/>
      <x:c r="O955" s="28"/>
    </x:row>
    <x:row r="956">
      <x:c r="B956" s="26"/>
      <x:c r="I956" s="27"/>
      <x:c r="K956" s="28"/>
      <x:c r="L956" s="28"/>
      <x:c r="M956" s="28"/>
      <x:c r="N956" s="28"/>
      <x:c r="O956" s="28"/>
    </x:row>
    <x:row r="957">
      <x:c r="B957" s="26"/>
      <x:c r="I957" s="27"/>
      <x:c r="K957" s="28"/>
      <x:c r="L957" s="28"/>
      <x:c r="M957" s="28"/>
      <x:c r="N957" s="28"/>
      <x:c r="O957" s="28"/>
    </x:row>
    <x:row r="958">
      <x:c r="B958" s="26"/>
      <x:c r="I958" s="27"/>
      <x:c r="K958" s="28"/>
      <x:c r="L958" s="28"/>
      <x:c r="M958" s="28"/>
      <x:c r="N958" s="28"/>
      <x:c r="O958" s="28"/>
    </x:row>
    <x:row r="959">
      <x:c r="B959" s="26"/>
      <x:c r="I959" s="27"/>
      <x:c r="K959" s="28"/>
      <x:c r="L959" s="28"/>
      <x:c r="M959" s="28"/>
      <x:c r="N959" s="28"/>
      <x:c r="O959" s="28"/>
    </x:row>
    <x:row r="960">
      <x:c r="B960" s="26"/>
      <x:c r="I960" s="27"/>
      <x:c r="K960" s="28"/>
      <x:c r="L960" s="28"/>
      <x:c r="M960" s="28"/>
      <x:c r="N960" s="28"/>
      <x:c r="O960" s="28"/>
    </x:row>
    <x:row r="961">
      <x:c r="B961" s="26"/>
      <x:c r="I961" s="27"/>
      <x:c r="K961" s="28"/>
      <x:c r="L961" s="28"/>
      <x:c r="M961" s="28"/>
      <x:c r="N961" s="28"/>
      <x:c r="O961" s="28"/>
    </x:row>
    <x:row r="962">
      <x:c r="B962" s="26"/>
      <x:c r="I962" s="27"/>
      <x:c r="K962" s="28"/>
      <x:c r="L962" s="28"/>
      <x:c r="M962" s="28"/>
      <x:c r="N962" s="28"/>
      <x:c r="O962" s="28"/>
    </x:row>
    <x:row r="963">
      <x:c r="B963" s="26"/>
      <x:c r="I963" s="27"/>
      <x:c r="K963" s="28"/>
      <x:c r="L963" s="28"/>
      <x:c r="M963" s="28"/>
      <x:c r="N963" s="28"/>
      <x:c r="O963" s="28"/>
    </x:row>
    <x:row r="964">
      <x:c r="B964" s="26"/>
      <x:c r="I964" s="27"/>
      <x:c r="K964" s="28"/>
      <x:c r="L964" s="28"/>
      <x:c r="M964" s="28"/>
      <x:c r="N964" s="28"/>
      <x:c r="O964" s="28"/>
    </x:row>
    <x:row r="965">
      <x:c r="B965" s="26"/>
      <x:c r="I965" s="27"/>
      <x:c r="K965" s="28"/>
      <x:c r="L965" s="28"/>
      <x:c r="M965" s="28"/>
      <x:c r="N965" s="28"/>
      <x:c r="O965" s="28"/>
    </x:row>
    <x:row r="966">
      <x:c r="B966" s="26"/>
      <x:c r="I966" s="27"/>
      <x:c r="K966" s="28"/>
      <x:c r="L966" s="28"/>
      <x:c r="M966" s="28"/>
      <x:c r="N966" s="28"/>
      <x:c r="O966" s="28"/>
    </x:row>
    <x:row r="967">
      <x:c r="B967" s="26"/>
      <x:c r="I967" s="27"/>
      <x:c r="K967" s="28"/>
      <x:c r="L967" s="28"/>
      <x:c r="M967" s="28"/>
      <x:c r="N967" s="28"/>
      <x:c r="O967" s="28"/>
    </x:row>
    <x:row r="968">
      <x:c r="B968" s="26"/>
      <x:c r="I968" s="27"/>
      <x:c r="K968" s="28"/>
      <x:c r="L968" s="28"/>
      <x:c r="M968" s="28"/>
      <x:c r="N968" s="28"/>
      <x:c r="O968" s="28"/>
    </x:row>
    <x:row r="969">
      <x:c r="B969" s="26"/>
      <x:c r="I969" s="27"/>
      <x:c r="K969" s="28"/>
      <x:c r="L969" s="28"/>
      <x:c r="M969" s="28"/>
      <x:c r="N969" s="28"/>
      <x:c r="O969" s="28"/>
    </x:row>
    <x:row r="970">
      <x:c r="B970" s="26"/>
      <x:c r="I970" s="27"/>
      <x:c r="K970" s="28"/>
      <x:c r="L970" s="28"/>
      <x:c r="M970" s="28"/>
      <x:c r="N970" s="28"/>
      <x:c r="O970" s="28"/>
    </x:row>
    <x:row r="971">
      <x:c r="B971" s="26"/>
      <x:c r="I971" s="27"/>
      <x:c r="K971" s="28"/>
      <x:c r="L971" s="28"/>
      <x:c r="M971" s="28"/>
      <x:c r="N971" s="28"/>
      <x:c r="O971" s="28"/>
    </x:row>
    <x:row r="972">
      <x:c r="B972" s="26"/>
      <x:c r="I972" s="27"/>
      <x:c r="K972" s="28"/>
      <x:c r="L972" s="28"/>
      <x:c r="M972" s="28"/>
      <x:c r="N972" s="28"/>
      <x:c r="O972" s="28"/>
    </x:row>
    <x:row r="973">
      <x:c r="B973" s="26"/>
      <x:c r="I973" s="27"/>
      <x:c r="K973" s="28"/>
      <x:c r="L973" s="28"/>
      <x:c r="M973" s="28"/>
      <x:c r="N973" s="28"/>
      <x:c r="O973" s="28"/>
    </x:row>
    <x:row r="974">
      <x:c r="B974" s="26"/>
      <x:c r="I974" s="27"/>
      <x:c r="K974" s="28"/>
      <x:c r="L974" s="28"/>
      <x:c r="M974" s="28"/>
      <x:c r="N974" s="28"/>
      <x:c r="O974" s="28"/>
    </x:row>
    <x:row r="975">
      <x:c r="B975" s="26"/>
      <x:c r="I975" s="27"/>
      <x:c r="K975" s="28"/>
      <x:c r="L975" s="28"/>
      <x:c r="M975" s="28"/>
      <x:c r="N975" s="28"/>
      <x:c r="O975" s="28"/>
    </x:row>
    <x:row r="976">
      <x:c r="B976" s="26"/>
      <x:c r="I976" s="27"/>
      <x:c r="K976" s="28"/>
      <x:c r="L976" s="28"/>
      <x:c r="M976" s="28"/>
      <x:c r="N976" s="28"/>
      <x:c r="O976" s="28"/>
    </x:row>
    <x:row r="977">
      <x:c r="B977" s="26"/>
      <x:c r="I977" s="27"/>
      <x:c r="K977" s="28"/>
      <x:c r="L977" s="28"/>
      <x:c r="M977" s="28"/>
      <x:c r="N977" s="28"/>
      <x:c r="O977" s="28"/>
    </x:row>
    <x:row r="978">
      <x:c r="B978" s="26"/>
      <x:c r="I978" s="27"/>
      <x:c r="K978" s="28"/>
      <x:c r="L978" s="28"/>
      <x:c r="M978" s="28"/>
      <x:c r="N978" s="28"/>
      <x:c r="O978" s="28"/>
    </x:row>
    <x:row r="979">
      <x:c r="B979" s="26"/>
      <x:c r="I979" s="27"/>
      <x:c r="K979" s="28"/>
      <x:c r="L979" s="28"/>
      <x:c r="M979" s="28"/>
      <x:c r="N979" s="28"/>
      <x:c r="O979" s="28"/>
    </x:row>
    <x:row r="980">
      <x:c r="B980" s="26"/>
      <x:c r="I980" s="27"/>
      <x:c r="K980" s="28"/>
      <x:c r="L980" s="28"/>
      <x:c r="M980" s="28"/>
      <x:c r="N980" s="28"/>
      <x:c r="O980" s="28"/>
    </x:row>
    <x:row r="981">
      <x:c r="B981" s="26"/>
      <x:c r="I981" s="27"/>
      <x:c r="K981" s="28"/>
      <x:c r="L981" s="28"/>
      <x:c r="M981" s="28"/>
      <x:c r="N981" s="28"/>
      <x:c r="O981" s="28"/>
    </x:row>
    <x:row r="982">
      <x:c r="B982" s="26"/>
      <x:c r="I982" s="27"/>
      <x:c r="K982" s="28"/>
      <x:c r="L982" s="28"/>
      <x:c r="M982" s="28"/>
      <x:c r="N982" s="28"/>
      <x:c r="O982" s="28"/>
    </x:row>
    <x:row r="983">
      <x:c r="B983" s="26"/>
      <x:c r="I983" s="27"/>
      <x:c r="K983" s="28"/>
      <x:c r="L983" s="28"/>
      <x:c r="M983" s="28"/>
      <x:c r="N983" s="28"/>
      <x:c r="O983" s="28"/>
    </x:row>
    <x:row r="984">
      <x:c r="B984" s="26"/>
      <x:c r="I984" s="27"/>
      <x:c r="K984" s="28"/>
      <x:c r="L984" s="28"/>
      <x:c r="M984" s="28"/>
      <x:c r="N984" s="28"/>
      <x:c r="O984" s="28"/>
    </x:row>
    <x:row r="985">
      <x:c r="B985" s="26"/>
      <x:c r="I985" s="27"/>
      <x:c r="K985" s="28"/>
      <x:c r="L985" s="28"/>
      <x:c r="M985" s="28"/>
      <x:c r="N985" s="28"/>
      <x:c r="O985" s="28"/>
    </x:row>
    <x:row r="986">
      <x:c r="B986" s="26"/>
      <x:c r="I986" s="27"/>
      <x:c r="K986" s="28"/>
      <x:c r="L986" s="28"/>
      <x:c r="M986" s="28"/>
      <x:c r="N986" s="28"/>
      <x:c r="O986" s="28"/>
    </x:row>
    <x:row r="987">
      <x:c r="B987" s="26"/>
      <x:c r="I987" s="27"/>
      <x:c r="K987" s="28"/>
      <x:c r="L987" s="28"/>
      <x:c r="M987" s="28"/>
      <x:c r="N987" s="28"/>
      <x:c r="O987" s="28"/>
    </x:row>
    <x:row r="988">
      <x:c r="B988" s="26"/>
      <x:c r="I988" s="27"/>
      <x:c r="K988" s="28"/>
      <x:c r="L988" s="28"/>
      <x:c r="M988" s="28"/>
      <x:c r="N988" s="28"/>
      <x:c r="O988" s="28"/>
    </x:row>
    <x:row r="989">
      <x:c r="B989" s="26"/>
      <x:c r="I989" s="27"/>
      <x:c r="K989" s="28"/>
      <x:c r="L989" s="28"/>
      <x:c r="M989" s="28"/>
      <x:c r="N989" s="28"/>
      <x:c r="O989" s="28"/>
    </x:row>
    <x:row r="990">
      <x:c r="B990" s="26"/>
      <x:c r="I990" s="27"/>
      <x:c r="K990" s="28"/>
      <x:c r="L990" s="28"/>
      <x:c r="M990" s="28"/>
      <x:c r="N990" s="28"/>
      <x:c r="O990" s="28"/>
    </x:row>
    <x:row r="991">
      <x:c r="B991" s="26"/>
      <x:c r="I991" s="27"/>
      <x:c r="K991" s="28"/>
      <x:c r="L991" s="28"/>
      <x:c r="M991" s="28"/>
      <x:c r="N991" s="28"/>
      <x:c r="O991" s="28"/>
    </x:row>
    <x:row r="992">
      <x:c r="B992" s="26"/>
      <x:c r="I992" s="27"/>
      <x:c r="K992" s="28"/>
      <x:c r="L992" s="28"/>
      <x:c r="M992" s="28"/>
      <x:c r="N992" s="28"/>
      <x:c r="O992" s="28"/>
    </x:row>
    <x:row r="993">
      <x:c r="B993" s="26"/>
      <x:c r="I993" s="27"/>
      <x:c r="K993" s="28"/>
      <x:c r="L993" s="28"/>
      <x:c r="M993" s="28"/>
      <x:c r="N993" s="28"/>
      <x:c r="O993" s="28"/>
    </x:row>
    <x:row r="994">
      <x:c r="B994" s="26"/>
      <x:c r="I994" s="27"/>
      <x:c r="K994" s="28"/>
      <x:c r="L994" s="28"/>
      <x:c r="M994" s="28"/>
      <x:c r="N994" s="28"/>
      <x:c r="O994" s="28"/>
    </x:row>
    <x:row r="995">
      <x:c r="B995" s="26"/>
      <x:c r="I995" s="27"/>
      <x:c r="K995" s="28"/>
      <x:c r="L995" s="28"/>
      <x:c r="M995" s="28"/>
      <x:c r="N995" s="28"/>
      <x:c r="O995" s="28"/>
    </x:row>
    <x:row r="996">
      <x:c r="B996" s="26"/>
      <x:c r="I996" s="27"/>
      <x:c r="K996" s="28"/>
      <x:c r="L996" s="28"/>
      <x:c r="M996" s="28"/>
      <x:c r="N996" s="28"/>
      <x:c r="O996" s="28"/>
    </x:row>
    <x:row r="997">
      <x:c r="B997" s="26"/>
      <x:c r="I997" s="27"/>
      <x:c r="K997" s="28"/>
      <x:c r="L997" s="28"/>
      <x:c r="M997" s="28"/>
      <x:c r="N997" s="28"/>
      <x:c r="O997" s="28"/>
    </x:row>
    <x:row r="998">
      <x:c r="B998" s="26"/>
      <x:c r="I998" s="27"/>
      <x:c r="K998" s="28"/>
      <x:c r="L998" s="28"/>
      <x:c r="M998" s="28"/>
      <x:c r="N998" s="28"/>
      <x:c r="O998" s="28"/>
    </x:row>
    <x:row r="999">
      <x:c r="B999" s="26"/>
      <x:c r="I999" s="27"/>
      <x:c r="K999" s="28"/>
      <x:c r="L999" s="28"/>
      <x:c r="M999" s="28"/>
      <x:c r="N999" s="28"/>
      <x:c r="O999" s="28"/>
    </x:row>
    <x:row r="1000">
      <x:c r="B1000" s="26"/>
      <x:c r="I1000" s="27"/>
      <x:c r="K1000" s="28"/>
      <x:c r="L1000" s="28"/>
      <x:c r="M1000" s="28"/>
      <x:c r="N1000" s="28"/>
      <x:c r="O1000" s="28"/>
    </x:row>
    <x:row r="1001">
      <x:c r="B1001" s="26"/>
      <x:c r="I1001" s="27"/>
      <x:c r="K1001" s="28"/>
      <x:c r="L1001" s="28"/>
      <x:c r="M1001" s="28"/>
      <x:c r="N1001" s="28"/>
      <x:c r="O1001" s="28"/>
    </x:row>
    <x:row r="1002">
      <x:c r="B1002" s="26"/>
      <x:c r="I1002" s="27"/>
      <x:c r="K1002" s="28"/>
      <x:c r="L1002" s="28"/>
      <x:c r="M1002" s="28"/>
      <x:c r="N1002" s="28"/>
      <x:c r="O1002" s="28"/>
    </x:row>
    <x:row r="1003">
      <x:c r="B1003" s="26"/>
      <x:c r="I1003" s="27"/>
      <x:c r="K1003" s="28"/>
      <x:c r="L1003" s="28"/>
      <x:c r="M1003" s="28"/>
      <x:c r="N1003" s="28"/>
      <x:c r="O1003" s="28"/>
    </x:row>
    <x:row r="1004">
      <x:c r="B1004" s="26"/>
      <x:c r="I1004" s="27"/>
      <x:c r="K1004" s="28"/>
      <x:c r="L1004" s="28"/>
      <x:c r="M1004" s="28"/>
      <x:c r="N1004" s="28"/>
      <x:c r="O1004" s="28"/>
    </x:row>
    <x:row r="1005">
      <x:c r="B1005" s="26"/>
      <x:c r="I1005" s="27"/>
      <x:c r="K1005" s="28"/>
      <x:c r="L1005" s="28"/>
      <x:c r="M1005" s="28"/>
      <x:c r="N1005" s="28"/>
      <x:c r="O1005" s="28"/>
    </x:row>
    <x:row r="1006">
      <x:c r="B1006" s="26"/>
      <x:c r="I1006" s="27"/>
      <x:c r="K1006" s="28"/>
      <x:c r="L1006" s="28"/>
      <x:c r="M1006" s="28"/>
      <x:c r="N1006" s="28"/>
      <x:c r="O1006" s="28"/>
    </x:row>
    <x:row r="1007">
      <x:c r="B1007" s="26"/>
      <x:c r="I1007" s="27"/>
      <x:c r="K1007" s="28"/>
      <x:c r="L1007" s="28"/>
      <x:c r="M1007" s="28"/>
      <x:c r="N1007" s="28"/>
      <x:c r="O1007" s="28"/>
    </x:row>
    <x:row r="1008">
      <x:c r="B1008" s="26"/>
      <x:c r="I1008" s="27"/>
      <x:c r="K1008" s="28"/>
      <x:c r="L1008" s="28"/>
      <x:c r="M1008" s="28"/>
      <x:c r="N1008" s="28"/>
      <x:c r="O1008" s="28"/>
    </x:row>
    <x:row r="1009">
      <x:c r="B1009" s="26"/>
      <x:c r="I1009" s="27"/>
      <x:c r="K1009" s="28"/>
      <x:c r="L1009" s="28"/>
      <x:c r="M1009" s="28"/>
      <x:c r="N1009" s="28"/>
      <x:c r="O1009" s="28"/>
    </x:row>
    <x:row r="1010">
      <x:c r="B1010" s="26"/>
      <x:c r="I1010" s="27"/>
      <x:c r="K1010" s="28"/>
      <x:c r="L1010" s="28"/>
      <x:c r="M1010" s="28"/>
      <x:c r="N1010" s="28"/>
      <x:c r="O1010" s="28"/>
    </x:row>
    <x:row r="1011">
      <x:c r="B1011" s="26"/>
      <x:c r="I1011" s="27"/>
      <x:c r="K1011" s="28"/>
      <x:c r="L1011" s="28"/>
      <x:c r="M1011" s="28"/>
      <x:c r="N1011" s="28"/>
      <x:c r="O1011" s="28"/>
    </x:row>
    <x:row r="1012">
      <x:c r="B1012" s="26"/>
      <x:c r="I1012" s="27"/>
      <x:c r="K1012" s="28"/>
      <x:c r="L1012" s="28"/>
      <x:c r="M1012" s="28"/>
      <x:c r="N1012" s="28"/>
      <x:c r="O1012" s="28"/>
    </x:row>
    <x:row r="1013">
      <x:c r="B1013" s="26"/>
      <x:c r="I1013" s="27"/>
      <x:c r="K1013" s="28"/>
      <x:c r="L1013" s="28"/>
      <x:c r="M1013" s="28"/>
      <x:c r="N1013" s="28"/>
      <x:c r="O1013" s="28"/>
    </x:row>
    <x:row r="1014">
      <x:c r="B1014" s="26"/>
      <x:c r="I1014" s="27"/>
      <x:c r="K1014" s="28"/>
      <x:c r="L1014" s="28"/>
      <x:c r="M1014" s="28"/>
      <x:c r="N1014" s="28"/>
      <x:c r="O1014" s="28"/>
    </x:row>
    <x:row r="1015">
      <x:c r="B1015" s="26"/>
      <x:c r="I1015" s="27"/>
      <x:c r="K1015" s="28"/>
      <x:c r="L1015" s="28"/>
      <x:c r="M1015" s="28"/>
      <x:c r="N1015" s="28"/>
      <x:c r="O1015" s="28"/>
    </x:row>
    <x:row r="1016">
      <x:c r="B1016" s="26"/>
      <x:c r="I1016" s="27"/>
      <x:c r="K1016" s="28"/>
      <x:c r="L1016" s="28"/>
      <x:c r="M1016" s="28"/>
      <x:c r="N1016" s="28"/>
      <x:c r="O1016" s="28"/>
    </x:row>
    <x:row r="1017">
      <x:c r="B1017" s="26"/>
      <x:c r="I1017" s="27"/>
      <x:c r="K1017" s="28"/>
      <x:c r="L1017" s="28"/>
      <x:c r="M1017" s="28"/>
      <x:c r="N1017" s="28"/>
      <x:c r="O1017" s="28"/>
    </x:row>
    <x:row r="1018">
      <x:c r="B1018" s="26"/>
      <x:c r="I1018" s="27"/>
      <x:c r="K1018" s="28"/>
      <x:c r="L1018" s="28"/>
      <x:c r="M1018" s="28"/>
      <x:c r="N1018" s="28"/>
      <x:c r="O1018" s="28"/>
    </x:row>
    <x:row r="1019">
      <x:c r="B1019" s="26"/>
      <x:c r="I1019" s="27"/>
      <x:c r="K1019" s="28"/>
      <x:c r="L1019" s="28"/>
      <x:c r="M1019" s="28"/>
      <x:c r="N1019" s="28"/>
      <x:c r="O1019" s="28"/>
    </x:row>
    <x:row r="1020">
      <x:c r="B1020" s="26"/>
      <x:c r="I1020" s="27"/>
      <x:c r="K1020" s="28"/>
      <x:c r="L1020" s="28"/>
      <x:c r="M1020" s="28"/>
      <x:c r="N1020" s="28"/>
      <x:c r="O1020" s="28"/>
    </x:row>
    <x:row r="1021">
      <x:c r="B1021" s="26"/>
      <x:c r="I1021" s="27"/>
      <x:c r="K1021" s="28"/>
      <x:c r="L1021" s="28"/>
      <x:c r="M1021" s="28"/>
      <x:c r="N1021" s="28"/>
      <x:c r="O1021" s="28"/>
    </x:row>
    <x:row r="1022">
      <x:c r="B1022" s="26"/>
      <x:c r="I1022" s="27"/>
      <x:c r="K1022" s="28"/>
      <x:c r="L1022" s="28"/>
      <x:c r="M1022" s="28"/>
      <x:c r="N1022" s="28"/>
      <x:c r="O1022" s="28"/>
    </x:row>
    <x:row r="1023">
      <x:c r="B1023" s="26"/>
      <x:c r="I1023" s="27"/>
      <x:c r="K1023" s="28"/>
      <x:c r="L1023" s="28"/>
      <x:c r="M1023" s="28"/>
      <x:c r="N1023" s="28"/>
      <x:c r="O1023" s="28"/>
    </x:row>
    <x:row r="1024">
      <x:c r="B1024" s="26"/>
      <x:c r="I1024" s="27"/>
      <x:c r="K1024" s="28"/>
      <x:c r="L1024" s="28"/>
      <x:c r="M1024" s="28"/>
      <x:c r="N1024" s="28"/>
      <x:c r="O1024" s="28"/>
    </x:row>
    <x:row r="1025">
      <x:c r="B1025" s="26"/>
      <x:c r="I1025" s="27"/>
      <x:c r="K1025" s="28"/>
      <x:c r="L1025" s="28"/>
      <x:c r="M1025" s="28"/>
      <x:c r="N1025" s="28"/>
      <x:c r="O1025" s="28"/>
    </x:row>
    <x:row r="1026">
      <x:c r="B1026" s="26"/>
      <x:c r="I1026" s="27"/>
      <x:c r="K1026" s="28"/>
      <x:c r="L1026" s="28"/>
      <x:c r="M1026" s="28"/>
      <x:c r="N1026" s="28"/>
      <x:c r="O1026" s="28"/>
    </x:row>
    <x:row r="1027">
      <x:c r="B1027" s="26"/>
      <x:c r="I1027" s="27"/>
      <x:c r="K1027" s="28"/>
      <x:c r="L1027" s="28"/>
      <x:c r="M1027" s="28"/>
      <x:c r="N1027" s="28"/>
      <x:c r="O1027" s="28"/>
    </x:row>
    <x:row r="1028">
      <x:c r="B1028" s="26"/>
      <x:c r="I1028" s="27"/>
      <x:c r="K1028" s="28"/>
      <x:c r="L1028" s="28"/>
      <x:c r="M1028" s="28"/>
      <x:c r="N1028" s="28"/>
      <x:c r="O1028" s="28"/>
    </x:row>
    <x:row r="1029">
      <x:c r="B1029" s="26"/>
      <x:c r="I1029" s="27"/>
      <x:c r="K1029" s="28"/>
      <x:c r="L1029" s="28"/>
      <x:c r="M1029" s="28"/>
      <x:c r="N1029" s="28"/>
      <x:c r="O1029" s="28"/>
    </x:row>
    <x:row r="1030">
      <x:c r="B1030" s="26"/>
      <x:c r="I1030" s="27"/>
      <x:c r="K1030" s="28"/>
      <x:c r="L1030" s="28"/>
      <x:c r="M1030" s="28"/>
      <x:c r="N1030" s="28"/>
      <x:c r="O1030" s="28"/>
    </x:row>
    <x:row r="1031">
      <x:c r="B1031" s="26"/>
      <x:c r="I1031" s="27"/>
      <x:c r="K1031" s="28"/>
      <x:c r="L1031" s="28"/>
      <x:c r="M1031" s="28"/>
      <x:c r="N1031" s="28"/>
      <x:c r="O1031" s="28"/>
    </x:row>
    <x:row r="1032">
      <x:c r="B1032" s="26"/>
      <x:c r="I1032" s="27"/>
      <x:c r="K1032" s="28"/>
      <x:c r="L1032" s="28"/>
      <x:c r="M1032" s="28"/>
      <x:c r="N1032" s="28"/>
      <x:c r="O1032" s="28"/>
    </x:row>
    <x:row r="1033">
      <x:c r="B1033" s="26"/>
      <x:c r="I1033" s="27"/>
      <x:c r="K1033" s="28"/>
      <x:c r="L1033" s="28"/>
      <x:c r="M1033" s="28"/>
      <x:c r="N1033" s="28"/>
      <x:c r="O1033" s="28"/>
    </x:row>
    <x:row r="1034">
      <x:c r="B1034" s="26"/>
      <x:c r="I1034" s="27"/>
      <x:c r="K1034" s="28"/>
      <x:c r="L1034" s="28"/>
      <x:c r="M1034" s="28"/>
      <x:c r="N1034" s="28"/>
      <x:c r="O1034" s="28"/>
    </x:row>
    <x:row r="1035">
      <x:c r="B1035" s="26"/>
      <x:c r="I1035" s="27"/>
      <x:c r="K1035" s="28"/>
      <x:c r="L1035" s="28"/>
      <x:c r="M1035" s="28"/>
      <x:c r="N1035" s="28"/>
      <x:c r="O1035" s="28"/>
    </x:row>
    <x:row r="1036">
      <x:c r="B1036" s="26"/>
      <x:c r="I1036" s="27"/>
      <x:c r="K1036" s="28"/>
      <x:c r="L1036" s="28"/>
      <x:c r="M1036" s="28"/>
      <x:c r="N1036" s="28"/>
      <x:c r="O1036" s="28"/>
    </x:row>
    <x:row r="1037">
      <x:c r="B1037" s="26"/>
      <x:c r="I1037" s="27"/>
      <x:c r="K1037" s="28"/>
      <x:c r="L1037" s="28"/>
      <x:c r="M1037" s="28"/>
      <x:c r="N1037" s="28"/>
      <x:c r="O1037" s="28"/>
    </x:row>
    <x:row r="1038">
      <x:c r="B1038" s="26"/>
      <x:c r="I1038" s="27"/>
      <x:c r="K1038" s="28"/>
      <x:c r="L1038" s="28"/>
      <x:c r="M1038" s="28"/>
      <x:c r="N1038" s="28"/>
      <x:c r="O1038" s="28"/>
    </x:row>
    <x:row r="1039">
      <x:c r="B1039" s="26"/>
      <x:c r="I1039" s="27"/>
      <x:c r="K1039" s="28"/>
      <x:c r="L1039" s="28"/>
      <x:c r="M1039" s="28"/>
      <x:c r="N1039" s="28"/>
      <x:c r="O1039" s="28"/>
    </x:row>
    <x:row r="1040">
      <x:c r="B1040" s="26"/>
      <x:c r="I1040" s="27"/>
      <x:c r="K1040" s="28"/>
      <x:c r="L1040" s="28"/>
      <x:c r="M1040" s="28"/>
      <x:c r="N1040" s="28"/>
      <x:c r="O1040" s="28"/>
    </x:row>
    <x:row r="1041">
      <x:c r="B1041" s="26"/>
      <x:c r="I1041" s="27"/>
      <x:c r="K1041" s="28"/>
      <x:c r="L1041" s="28"/>
      <x:c r="M1041" s="28"/>
      <x:c r="N1041" s="28"/>
      <x:c r="O1041" s="28"/>
    </x:row>
    <x:row r="1042">
      <x:c r="B1042" s="26"/>
      <x:c r="I1042" s="27"/>
      <x:c r="K1042" s="28"/>
      <x:c r="L1042" s="28"/>
      <x:c r="M1042" s="28"/>
      <x:c r="N1042" s="28"/>
      <x:c r="O1042" s="28"/>
    </x:row>
    <x:row r="1043">
      <x:c r="B1043" s="26"/>
      <x:c r="I1043" s="27"/>
      <x:c r="K1043" s="28"/>
      <x:c r="L1043" s="28"/>
      <x:c r="M1043" s="28"/>
      <x:c r="N1043" s="28"/>
      <x:c r="O1043" s="28"/>
    </x:row>
    <x:row r="1044">
      <x:c r="B1044" s="26"/>
      <x:c r="I1044" s="27"/>
      <x:c r="K1044" s="28"/>
      <x:c r="L1044" s="28"/>
      <x:c r="M1044" s="28"/>
      <x:c r="N1044" s="28"/>
      <x:c r="O1044" s="28"/>
    </x:row>
    <x:row r="1045">
      <x:c r="B1045" s="26"/>
      <x:c r="I1045" s="27"/>
      <x:c r="K1045" s="28"/>
      <x:c r="L1045" s="28"/>
      <x:c r="M1045" s="28"/>
      <x:c r="N1045" s="28"/>
      <x:c r="O1045" s="28"/>
    </x:row>
    <x:row r="1046">
      <x:c r="B1046" s="26"/>
      <x:c r="I1046" s="27"/>
      <x:c r="K1046" s="28"/>
      <x:c r="L1046" s="28"/>
      <x:c r="M1046" s="28"/>
      <x:c r="N1046" s="28"/>
      <x:c r="O1046" s="28"/>
    </x:row>
    <x:row r="1047">
      <x:c r="B1047" s="26"/>
      <x:c r="I1047" s="27"/>
      <x:c r="K1047" s="28"/>
      <x:c r="L1047" s="28"/>
      <x:c r="M1047" s="28"/>
      <x:c r="N1047" s="28"/>
      <x:c r="O1047" s="28"/>
    </x:row>
    <x:row r="1048">
      <x:c r="B1048" s="26"/>
      <x:c r="I1048" s="27"/>
      <x:c r="K1048" s="28"/>
      <x:c r="L1048" s="28"/>
      <x:c r="M1048" s="28"/>
      <x:c r="N1048" s="28"/>
      <x:c r="O1048" s="28"/>
    </x:row>
    <x:row r="1049">
      <x:c r="B1049" s="26"/>
      <x:c r="I1049" s="27"/>
      <x:c r="K1049" s="28"/>
      <x:c r="L1049" s="28"/>
      <x:c r="M1049" s="28"/>
      <x:c r="N1049" s="28"/>
      <x:c r="O1049" s="28"/>
    </x:row>
    <x:row r="1050">
      <x:c r="B1050" s="26"/>
      <x:c r="I1050" s="27"/>
      <x:c r="K1050" s="28"/>
      <x:c r="L1050" s="28"/>
      <x:c r="M1050" s="28"/>
      <x:c r="N1050" s="28"/>
      <x:c r="O1050" s="28"/>
    </x:row>
    <x:row r="1051">
      <x:c r="B1051" s="26"/>
      <x:c r="I1051" s="27"/>
      <x:c r="K1051" s="28"/>
      <x:c r="L1051" s="28"/>
      <x:c r="M1051" s="28"/>
      <x:c r="N1051" s="28"/>
      <x:c r="O1051" s="28"/>
    </x:row>
    <x:row r="1052">
      <x:c r="B1052" s="26"/>
      <x:c r="I1052" s="27"/>
      <x:c r="K1052" s="28"/>
      <x:c r="L1052" s="28"/>
      <x:c r="M1052" s="28"/>
      <x:c r="N1052" s="28"/>
      <x:c r="O1052" s="28"/>
    </x:row>
    <x:row r="1053">
      <x:c r="B1053" s="26"/>
      <x:c r="I1053" s="27"/>
      <x:c r="K1053" s="28"/>
      <x:c r="L1053" s="28"/>
      <x:c r="M1053" s="28"/>
      <x:c r="N1053" s="28"/>
      <x:c r="O1053" s="28"/>
    </x:row>
    <x:row r="1054">
      <x:c r="B1054" s="26"/>
      <x:c r="I1054" s="27"/>
      <x:c r="K1054" s="28"/>
      <x:c r="L1054" s="28"/>
      <x:c r="M1054" s="28"/>
      <x:c r="N1054" s="28"/>
      <x:c r="O1054" s="28"/>
    </x:row>
    <x:row r="1055">
      <x:c r="B1055" s="26"/>
      <x:c r="I1055" s="27"/>
      <x:c r="K1055" s="28"/>
      <x:c r="L1055" s="28"/>
      <x:c r="M1055" s="28"/>
      <x:c r="N1055" s="28"/>
      <x:c r="O1055" s="28"/>
    </x:row>
    <x:row r="1056">
      <x:c r="B1056" s="26"/>
      <x:c r="I1056" s="27"/>
      <x:c r="K1056" s="28"/>
      <x:c r="L1056" s="28"/>
      <x:c r="M1056" s="28"/>
      <x:c r="N1056" s="28"/>
      <x:c r="O1056" s="28"/>
    </x:row>
    <x:row r="1057">
      <x:c r="B1057" s="26"/>
      <x:c r="I1057" s="27"/>
      <x:c r="K1057" s="28"/>
      <x:c r="L1057" s="28"/>
      <x:c r="M1057" s="28"/>
      <x:c r="N1057" s="28"/>
      <x:c r="O1057" s="28"/>
    </x:row>
    <x:row r="1058">
      <x:c r="B1058" s="26"/>
      <x:c r="I1058" s="27"/>
      <x:c r="K1058" s="28"/>
      <x:c r="L1058" s="28"/>
      <x:c r="M1058" s="28"/>
      <x:c r="N1058" s="28"/>
      <x:c r="O1058" s="28"/>
    </x:row>
    <x:row r="1059">
      <x:c r="B1059" s="26"/>
      <x:c r="I1059" s="27"/>
      <x:c r="K1059" s="28"/>
      <x:c r="L1059" s="28"/>
      <x:c r="M1059" s="28"/>
      <x:c r="N1059" s="28"/>
      <x:c r="O1059" s="28"/>
    </x:row>
    <x:row r="1060">
      <x:c r="B1060" s="26"/>
      <x:c r="I1060" s="27"/>
      <x:c r="K1060" s="28"/>
      <x:c r="L1060" s="28"/>
      <x:c r="M1060" s="28"/>
      <x:c r="N1060" s="28"/>
      <x:c r="O1060" s="28"/>
    </x:row>
    <x:row r="1061">
      <x:c r="B1061" s="26"/>
      <x:c r="I1061" s="27"/>
      <x:c r="K1061" s="28"/>
      <x:c r="L1061" s="28"/>
      <x:c r="M1061" s="28"/>
      <x:c r="N1061" s="28"/>
      <x:c r="O1061" s="28"/>
    </x:row>
    <x:row r="1062">
      <x:c r="B1062" s="26"/>
      <x:c r="I1062" s="27"/>
      <x:c r="K1062" s="28"/>
      <x:c r="L1062" s="28"/>
      <x:c r="M1062" s="28"/>
      <x:c r="N1062" s="28"/>
      <x:c r="O1062" s="28"/>
    </x:row>
    <x:row r="1063">
      <x:c r="B1063" s="26"/>
      <x:c r="I1063" s="27"/>
      <x:c r="K1063" s="28"/>
      <x:c r="L1063" s="28"/>
      <x:c r="M1063" s="28"/>
      <x:c r="N1063" s="28"/>
      <x:c r="O1063" s="28"/>
    </x:row>
    <x:row r="1064">
      <x:c r="B1064" s="26"/>
      <x:c r="I1064" s="27"/>
      <x:c r="K1064" s="28"/>
      <x:c r="L1064" s="28"/>
      <x:c r="M1064" s="28"/>
      <x:c r="N1064" s="28"/>
      <x:c r="O1064" s="28"/>
    </x:row>
    <x:row r="1065">
      <x:c r="B1065" s="26"/>
      <x:c r="I1065" s="27"/>
      <x:c r="K1065" s="28"/>
      <x:c r="L1065" s="28"/>
      <x:c r="M1065" s="28"/>
      <x:c r="N1065" s="28"/>
      <x:c r="O1065" s="28"/>
    </x:row>
    <x:row r="1066">
      <x:c r="B1066" s="26"/>
      <x:c r="I1066" s="27"/>
      <x:c r="K1066" s="28"/>
      <x:c r="L1066" s="28"/>
      <x:c r="M1066" s="28"/>
      <x:c r="N1066" s="28"/>
      <x:c r="O1066" s="28"/>
    </x:row>
    <x:row r="1067">
      <x:c r="B1067" s="26"/>
      <x:c r="I1067" s="27"/>
      <x:c r="K1067" s="28"/>
      <x:c r="L1067" s="28"/>
      <x:c r="M1067" s="28"/>
      <x:c r="N1067" s="28"/>
      <x:c r="O1067" s="28"/>
    </x:row>
    <x:row r="1068">
      <x:c r="B1068" s="26"/>
      <x:c r="I1068" s="27"/>
      <x:c r="K1068" s="28"/>
      <x:c r="L1068" s="28"/>
      <x:c r="M1068" s="28"/>
      <x:c r="N1068" s="28"/>
      <x:c r="O1068" s="28"/>
    </x:row>
    <x:row r="1069">
      <x:c r="B1069" s="26"/>
      <x:c r="I1069" s="27"/>
      <x:c r="K1069" s="28"/>
      <x:c r="L1069" s="28"/>
      <x:c r="M1069" s="28"/>
      <x:c r="N1069" s="28"/>
      <x:c r="O1069" s="28"/>
    </x:row>
    <x:row r="1070">
      <x:c r="B1070" s="26"/>
      <x:c r="I1070" s="27"/>
      <x:c r="K1070" s="28"/>
      <x:c r="L1070" s="28"/>
      <x:c r="M1070" s="28"/>
      <x:c r="N1070" s="28"/>
      <x:c r="O1070" s="28"/>
    </x:row>
    <x:row r="1071">
      <x:c r="B1071" s="26"/>
      <x:c r="I1071" s="27"/>
      <x:c r="K1071" s="28"/>
      <x:c r="L1071" s="28"/>
      <x:c r="M1071" s="28"/>
      <x:c r="N1071" s="28"/>
      <x:c r="O1071" s="28"/>
    </x:row>
    <x:row r="1072">
      <x:c r="B1072" s="26"/>
      <x:c r="I1072" s="27"/>
      <x:c r="K1072" s="28"/>
      <x:c r="L1072" s="28"/>
      <x:c r="M1072" s="28"/>
      <x:c r="N1072" s="28"/>
      <x:c r="O1072" s="28"/>
    </x:row>
    <x:row r="1073">
      <x:c r="B1073" s="26"/>
      <x:c r="I1073" s="27"/>
      <x:c r="K1073" s="28"/>
      <x:c r="L1073" s="28"/>
      <x:c r="M1073" s="28"/>
      <x:c r="N1073" s="28"/>
      <x:c r="O1073" s="28"/>
    </x:row>
    <x:row r="1074">
      <x:c r="B1074" s="26"/>
      <x:c r="I1074" s="27"/>
      <x:c r="K1074" s="28"/>
      <x:c r="L1074" s="28"/>
      <x:c r="M1074" s="28"/>
      <x:c r="N1074" s="28"/>
      <x:c r="O1074" s="28"/>
    </x:row>
    <x:row r="1075">
      <x:c r="B1075" s="26"/>
      <x:c r="I1075" s="27"/>
      <x:c r="K1075" s="28"/>
      <x:c r="L1075" s="28"/>
      <x:c r="M1075" s="28"/>
      <x:c r="N1075" s="28"/>
      <x:c r="O1075" s="28"/>
    </x:row>
    <x:row r="1076">
      <x:c r="B1076" s="26"/>
      <x:c r="I1076" s="27"/>
      <x:c r="K1076" s="28"/>
      <x:c r="L1076" s="28"/>
      <x:c r="M1076" s="28"/>
      <x:c r="N1076" s="28"/>
      <x:c r="O1076" s="28"/>
    </x:row>
    <x:row r="1077">
      <x:c r="B1077" s="26"/>
      <x:c r="I1077" s="27"/>
      <x:c r="K1077" s="28"/>
      <x:c r="L1077" s="28"/>
      <x:c r="M1077" s="28"/>
      <x:c r="N1077" s="28"/>
      <x:c r="O1077" s="28"/>
    </x:row>
    <x:row r="1078">
      <x:c r="B1078" s="26"/>
      <x:c r="I1078" s="27"/>
      <x:c r="K1078" s="28"/>
      <x:c r="L1078" s="28"/>
      <x:c r="M1078" s="28"/>
      <x:c r="N1078" s="28"/>
      <x:c r="O1078" s="28"/>
    </x:row>
    <x:row r="1079">
      <x:c r="B1079" s="26"/>
      <x:c r="I1079" s="27"/>
      <x:c r="K1079" s="28"/>
      <x:c r="L1079" s="28"/>
      <x:c r="M1079" s="28"/>
      <x:c r="N1079" s="28"/>
      <x:c r="O1079" s="28"/>
    </x:row>
    <x:row r="1080">
      <x:c r="B1080" s="26"/>
      <x:c r="I1080" s="27"/>
      <x:c r="K1080" s="28"/>
      <x:c r="L1080" s="28"/>
      <x:c r="M1080" s="28"/>
      <x:c r="N1080" s="28"/>
      <x:c r="O1080" s="28"/>
    </x:row>
    <x:row r="1081">
      <x:c r="B1081" s="26"/>
      <x:c r="I1081" s="27"/>
      <x:c r="K1081" s="28"/>
      <x:c r="L1081" s="28"/>
      <x:c r="M1081" s="28"/>
      <x:c r="N1081" s="28"/>
      <x:c r="O1081" s="28"/>
    </x:row>
    <x:row r="1082">
      <x:c r="B1082" s="26"/>
      <x:c r="I1082" s="27"/>
      <x:c r="K1082" s="28"/>
      <x:c r="L1082" s="28"/>
      <x:c r="M1082" s="28"/>
      <x:c r="N1082" s="28"/>
      <x:c r="O1082" s="28"/>
    </x:row>
    <x:row r="1083">
      <x:c r="B1083" s="26"/>
      <x:c r="I1083" s="27"/>
      <x:c r="K1083" s="28"/>
      <x:c r="L1083" s="28"/>
      <x:c r="M1083" s="28"/>
      <x:c r="N1083" s="28"/>
      <x:c r="O1083" s="28"/>
    </x:row>
    <x:row r="1084">
      <x:c r="B1084" s="26"/>
      <x:c r="I1084" s="27"/>
      <x:c r="K1084" s="28"/>
      <x:c r="L1084" s="28"/>
      <x:c r="M1084" s="28"/>
      <x:c r="N1084" s="28"/>
      <x:c r="O1084" s="28"/>
    </x:row>
    <x:row r="1085">
      <x:c r="B1085" s="26"/>
      <x:c r="I1085" s="27"/>
      <x:c r="K1085" s="28"/>
      <x:c r="L1085" s="28"/>
      <x:c r="M1085" s="28"/>
      <x:c r="N1085" s="28"/>
      <x:c r="O1085" s="28"/>
    </x:row>
    <x:row r="1086">
      <x:c r="B1086" s="26"/>
      <x:c r="I1086" s="27"/>
      <x:c r="K1086" s="28"/>
      <x:c r="L1086" s="28"/>
      <x:c r="M1086" s="28"/>
      <x:c r="N1086" s="28"/>
      <x:c r="O1086" s="28"/>
    </x:row>
    <x:row r="1087">
      <x:c r="B1087" s="26"/>
      <x:c r="I1087" s="27"/>
      <x:c r="K1087" s="28"/>
      <x:c r="L1087" s="28"/>
      <x:c r="M1087" s="28"/>
      <x:c r="N1087" s="28"/>
      <x:c r="O1087" s="28"/>
    </x:row>
    <x:row r="1088">
      <x:c r="B1088" s="26"/>
      <x:c r="I1088" s="27"/>
      <x:c r="K1088" s="28"/>
      <x:c r="L1088" s="28"/>
      <x:c r="M1088" s="28"/>
      <x:c r="N1088" s="28"/>
      <x:c r="O1088" s="28"/>
    </x:row>
    <x:row r="1089">
      <x:c r="B1089" s="26"/>
      <x:c r="I1089" s="27"/>
      <x:c r="K1089" s="28"/>
      <x:c r="L1089" s="28"/>
      <x:c r="M1089" s="28"/>
      <x:c r="N1089" s="28"/>
      <x:c r="O1089" s="28"/>
    </x:row>
    <x:row r="1090">
      <x:c r="B1090" s="26"/>
      <x:c r="I1090" s="27"/>
      <x:c r="K1090" s="28"/>
      <x:c r="L1090" s="28"/>
      <x:c r="M1090" s="28"/>
      <x:c r="N1090" s="28"/>
      <x:c r="O1090" s="28"/>
    </x:row>
    <x:row r="1091">
      <x:c r="B1091" s="26"/>
      <x:c r="I1091" s="27"/>
      <x:c r="K1091" s="28"/>
      <x:c r="L1091" s="28"/>
      <x:c r="M1091" s="28"/>
      <x:c r="N1091" s="28"/>
      <x:c r="O1091" s="28"/>
    </x:row>
    <x:row r="1092">
      <x:c r="B1092" s="26"/>
      <x:c r="I1092" s="27"/>
      <x:c r="K1092" s="28"/>
      <x:c r="L1092" s="28"/>
      <x:c r="M1092" s="28"/>
      <x:c r="N1092" s="28"/>
      <x:c r="O1092" s="28"/>
    </x:row>
    <x:row r="1093">
      <x:c r="B1093" s="26"/>
      <x:c r="I1093" s="27"/>
      <x:c r="K1093" s="28"/>
      <x:c r="L1093" s="28"/>
      <x:c r="M1093" s="28"/>
      <x:c r="N1093" s="28"/>
      <x:c r="O1093" s="28"/>
    </x:row>
    <x:row r="1094">
      <x:c r="B1094" s="26"/>
      <x:c r="I1094" s="27"/>
      <x:c r="K1094" s="28"/>
      <x:c r="L1094" s="28"/>
      <x:c r="M1094" s="28"/>
      <x:c r="N1094" s="28"/>
      <x:c r="O1094" s="28"/>
    </x:row>
    <x:row r="1095">
      <x:c r="B1095" s="26"/>
      <x:c r="I1095" s="27"/>
      <x:c r="K1095" s="28"/>
      <x:c r="L1095" s="28"/>
      <x:c r="M1095" s="28"/>
      <x:c r="N1095" s="28"/>
      <x:c r="O1095" s="28"/>
    </x:row>
    <x:row r="1096">
      <x:c r="B1096" s="26"/>
      <x:c r="I1096" s="27"/>
      <x:c r="K1096" s="28"/>
      <x:c r="L1096" s="28"/>
      <x:c r="M1096" s="28"/>
      <x:c r="N1096" s="28"/>
      <x:c r="O1096" s="28"/>
    </x:row>
    <x:row r="1097">
      <x:c r="B1097" s="26"/>
      <x:c r="I1097" s="27"/>
      <x:c r="K1097" s="28"/>
      <x:c r="L1097" s="28"/>
      <x:c r="M1097" s="28"/>
      <x:c r="N1097" s="28"/>
      <x:c r="O1097" s="28"/>
    </x:row>
    <x:row r="1098">
      <x:c r="B1098" s="26"/>
      <x:c r="I1098" s="27"/>
      <x:c r="K1098" s="28"/>
      <x:c r="L1098" s="28"/>
      <x:c r="M1098" s="28"/>
      <x:c r="N1098" s="28"/>
      <x:c r="O1098" s="28"/>
    </x:row>
    <x:row r="1099">
      <x:c r="B1099" s="26"/>
      <x:c r="I1099" s="27"/>
      <x:c r="K1099" s="28"/>
      <x:c r="L1099" s="28"/>
      <x:c r="M1099" s="28"/>
      <x:c r="N1099" s="28"/>
      <x:c r="O1099" s="28"/>
    </x:row>
    <x:row r="1100">
      <x:c r="B1100" s="26"/>
      <x:c r="I1100" s="27"/>
      <x:c r="K1100" s="28"/>
      <x:c r="L1100" s="28"/>
      <x:c r="M1100" s="28"/>
      <x:c r="N1100" s="28"/>
      <x:c r="O1100" s="28"/>
    </x:row>
    <x:row r="1101">
      <x:c r="B1101" s="26"/>
      <x:c r="I1101" s="27"/>
      <x:c r="K1101" s="28"/>
      <x:c r="L1101" s="28"/>
      <x:c r="M1101" s="28"/>
      <x:c r="N1101" s="28"/>
      <x:c r="O1101" s="28"/>
    </x:row>
    <x:row r="1102">
      <x:c r="B1102" s="26"/>
      <x:c r="I1102" s="27"/>
      <x:c r="K1102" s="28"/>
      <x:c r="L1102" s="28"/>
      <x:c r="M1102" s="28"/>
      <x:c r="N1102" s="28"/>
      <x:c r="O1102" s="28"/>
    </x:row>
    <x:row r="1103">
      <x:c r="B1103" s="26"/>
      <x:c r="I1103" s="27"/>
      <x:c r="K1103" s="28"/>
      <x:c r="L1103" s="28"/>
      <x:c r="M1103" s="28"/>
      <x:c r="N1103" s="28"/>
      <x:c r="O1103" s="28"/>
    </x:row>
    <x:row r="1104">
      <x:c r="B1104" s="26"/>
      <x:c r="I1104" s="27"/>
      <x:c r="K1104" s="28"/>
      <x:c r="L1104" s="28"/>
      <x:c r="M1104" s="28"/>
      <x:c r="N1104" s="28"/>
      <x:c r="O1104" s="28"/>
    </x:row>
    <x:row r="1105">
      <x:c r="B1105" s="26"/>
      <x:c r="I1105" s="27"/>
      <x:c r="K1105" s="28"/>
      <x:c r="L1105" s="28"/>
      <x:c r="M1105" s="28"/>
      <x:c r="N1105" s="28"/>
      <x:c r="O1105" s="28"/>
    </x:row>
    <x:row r="1106">
      <x:c r="B1106" s="26"/>
      <x:c r="I1106" s="27"/>
      <x:c r="K1106" s="28"/>
      <x:c r="L1106" s="28"/>
      <x:c r="M1106" s="28"/>
      <x:c r="N1106" s="28"/>
      <x:c r="O1106" s="28"/>
    </x:row>
    <x:row r="1107">
      <x:c r="B1107" s="26"/>
      <x:c r="I1107" s="27"/>
      <x:c r="K1107" s="28"/>
      <x:c r="L1107" s="28"/>
      <x:c r="M1107" s="28"/>
      <x:c r="N1107" s="28"/>
      <x:c r="O1107" s="28"/>
    </x:row>
    <x:row r="1108">
      <x:c r="B1108" s="26"/>
      <x:c r="I1108" s="27"/>
      <x:c r="K1108" s="28"/>
      <x:c r="L1108" s="28"/>
      <x:c r="M1108" s="28"/>
      <x:c r="N1108" s="28"/>
      <x:c r="O1108" s="28"/>
    </x:row>
    <x:row r="1109">
      <x:c r="B1109" s="26"/>
      <x:c r="I1109" s="27"/>
      <x:c r="K1109" s="28"/>
      <x:c r="L1109" s="28"/>
      <x:c r="M1109" s="28"/>
      <x:c r="N1109" s="28"/>
      <x:c r="O1109" s="28"/>
    </x:row>
    <x:row r="1110">
      <x:c r="B1110" s="26"/>
      <x:c r="I1110" s="27"/>
      <x:c r="K1110" s="28"/>
      <x:c r="L1110" s="28"/>
      <x:c r="M1110" s="28"/>
      <x:c r="N1110" s="28"/>
      <x:c r="O1110" s="28"/>
    </x:row>
    <x:row r="1111">
      <x:c r="B1111" s="26"/>
      <x:c r="I1111" s="27"/>
      <x:c r="K1111" s="28"/>
      <x:c r="L1111" s="28"/>
      <x:c r="M1111" s="28"/>
      <x:c r="N1111" s="28"/>
      <x:c r="O1111" s="28"/>
    </x:row>
    <x:row r="1112">
      <x:c r="B1112" s="26"/>
      <x:c r="I1112" s="27"/>
      <x:c r="K1112" s="28"/>
      <x:c r="L1112" s="28"/>
      <x:c r="M1112" s="28"/>
      <x:c r="N1112" s="28"/>
      <x:c r="O1112" s="28"/>
    </x:row>
    <x:row r="1113">
      <x:c r="B1113" s="26"/>
      <x:c r="I1113" s="27"/>
      <x:c r="K1113" s="28"/>
      <x:c r="L1113" s="28"/>
      <x:c r="M1113" s="28"/>
      <x:c r="N1113" s="28"/>
      <x:c r="O1113" s="28"/>
    </x:row>
    <x:row r="1114">
      <x:c r="B1114" s="26"/>
      <x:c r="I1114" s="27"/>
      <x:c r="K1114" s="28"/>
      <x:c r="L1114" s="28"/>
      <x:c r="M1114" s="28"/>
      <x:c r="N1114" s="28"/>
      <x:c r="O1114" s="28"/>
    </x:row>
    <x:row r="1115">
      <x:c r="B1115" s="26"/>
      <x:c r="I1115" s="27"/>
      <x:c r="K1115" s="28"/>
      <x:c r="L1115" s="28"/>
      <x:c r="M1115" s="28"/>
      <x:c r="N1115" s="28"/>
      <x:c r="O1115" s="28"/>
    </x:row>
    <x:row r="1116">
      <x:c r="B1116" s="26"/>
      <x:c r="I1116" s="27"/>
      <x:c r="K1116" s="28"/>
      <x:c r="L1116" s="28"/>
      <x:c r="M1116" s="28"/>
      <x:c r="N1116" s="28"/>
      <x:c r="O1116" s="28"/>
    </x:row>
    <x:row r="1117">
      <x:c r="B1117" s="26"/>
      <x:c r="I1117" s="27"/>
      <x:c r="K1117" s="28"/>
      <x:c r="L1117" s="28"/>
      <x:c r="M1117" s="28"/>
      <x:c r="N1117" s="28"/>
      <x:c r="O1117" s="28"/>
    </x:row>
    <x:row r="1118">
      <x:c r="B1118" s="26"/>
      <x:c r="I1118" s="27"/>
      <x:c r="K1118" s="28"/>
      <x:c r="L1118" s="28"/>
      <x:c r="M1118" s="28"/>
      <x:c r="N1118" s="28"/>
      <x:c r="O1118" s="28"/>
    </x:row>
    <x:row r="1119">
      <x:c r="B1119" s="26"/>
      <x:c r="I1119" s="27"/>
      <x:c r="K1119" s="28"/>
      <x:c r="L1119" s="28"/>
      <x:c r="M1119" s="28"/>
      <x:c r="N1119" s="28"/>
      <x:c r="O1119" s="28"/>
    </x:row>
    <x:row r="1120">
      <x:c r="B1120" s="26"/>
      <x:c r="I1120" s="27"/>
      <x:c r="K1120" s="28"/>
      <x:c r="L1120" s="28"/>
      <x:c r="M1120" s="28"/>
      <x:c r="N1120" s="28"/>
      <x:c r="O1120" s="28"/>
    </x:row>
    <x:row r="1121">
      <x:c r="B1121" s="26"/>
      <x:c r="I1121" s="27"/>
      <x:c r="K1121" s="28"/>
      <x:c r="L1121" s="28"/>
      <x:c r="M1121" s="28"/>
      <x:c r="N1121" s="28"/>
      <x:c r="O1121" s="28"/>
    </x:row>
    <x:row r="1122">
      <x:c r="B1122" s="26"/>
      <x:c r="I1122" s="27"/>
      <x:c r="K1122" s="28"/>
      <x:c r="L1122" s="28"/>
      <x:c r="M1122" s="28"/>
      <x:c r="N1122" s="28"/>
      <x:c r="O1122" s="28"/>
    </x:row>
    <x:row r="1123">
      <x:c r="B1123" s="26"/>
      <x:c r="I1123" s="27"/>
      <x:c r="K1123" s="28"/>
      <x:c r="L1123" s="28"/>
      <x:c r="M1123" s="28"/>
      <x:c r="N1123" s="28"/>
      <x:c r="O1123" s="28"/>
    </x:row>
    <x:row r="1124">
      <x:c r="B1124" s="26"/>
      <x:c r="I1124" s="27"/>
      <x:c r="K1124" s="28"/>
      <x:c r="L1124" s="28"/>
      <x:c r="M1124" s="28"/>
      <x:c r="N1124" s="28"/>
      <x:c r="O1124" s="28"/>
    </x:row>
    <x:row r="1125">
      <x:c r="B1125" s="26"/>
      <x:c r="I1125" s="27"/>
      <x:c r="K1125" s="28"/>
      <x:c r="L1125" s="28"/>
      <x:c r="M1125" s="28"/>
      <x:c r="N1125" s="28"/>
      <x:c r="O1125" s="28"/>
    </x:row>
    <x:row r="1126">
      <x:c r="B1126" s="26"/>
      <x:c r="I1126" s="27"/>
      <x:c r="K1126" s="28"/>
      <x:c r="L1126" s="28"/>
      <x:c r="M1126" s="28"/>
      <x:c r="N1126" s="28"/>
      <x:c r="O1126" s="28"/>
    </x:row>
    <x:row r="1127">
      <x:c r="B1127" s="26"/>
      <x:c r="I1127" s="27"/>
      <x:c r="K1127" s="28"/>
      <x:c r="L1127" s="28"/>
      <x:c r="M1127" s="28"/>
      <x:c r="N1127" s="28"/>
      <x:c r="O1127" s="28"/>
    </x:row>
    <x:row r="1128">
      <x:c r="B1128" s="26"/>
      <x:c r="I1128" s="27"/>
      <x:c r="K1128" s="28"/>
      <x:c r="L1128" s="28"/>
      <x:c r="M1128" s="28"/>
      <x:c r="N1128" s="28"/>
      <x:c r="O1128" s="28"/>
    </x:row>
    <x:row r="1129">
      <x:c r="B1129" s="26"/>
      <x:c r="I1129" s="27"/>
      <x:c r="K1129" s="28"/>
      <x:c r="L1129" s="28"/>
      <x:c r="M1129" s="28"/>
      <x:c r="N1129" s="28"/>
      <x:c r="O1129" s="28"/>
    </x:row>
    <x:row r="1130">
      <x:c r="B1130" s="26"/>
      <x:c r="I1130" s="27"/>
      <x:c r="K1130" s="28"/>
      <x:c r="L1130" s="28"/>
      <x:c r="M1130" s="28"/>
      <x:c r="N1130" s="28"/>
      <x:c r="O1130" s="28"/>
    </x:row>
    <x:row r="1131">
      <x:c r="B1131" s="26"/>
      <x:c r="I1131" s="27"/>
      <x:c r="K1131" s="28"/>
      <x:c r="L1131" s="28"/>
      <x:c r="M1131" s="28"/>
      <x:c r="N1131" s="28"/>
      <x:c r="O1131" s="28"/>
    </x:row>
    <x:row r="1132">
      <x:c r="B1132" s="26"/>
      <x:c r="I1132" s="27"/>
      <x:c r="K1132" s="28"/>
      <x:c r="L1132" s="28"/>
      <x:c r="M1132" s="28"/>
      <x:c r="N1132" s="28"/>
      <x:c r="O1132" s="28"/>
    </x:row>
    <x:row r="1133">
      <x:c r="B1133" s="26"/>
      <x:c r="I1133" s="27"/>
      <x:c r="K1133" s="28"/>
      <x:c r="L1133" s="28"/>
      <x:c r="M1133" s="28"/>
      <x:c r="N1133" s="28"/>
      <x:c r="O1133" s="28"/>
    </x:row>
    <x:row r="1134">
      <x:c r="B1134" s="26"/>
      <x:c r="I1134" s="27"/>
      <x:c r="K1134" s="28"/>
      <x:c r="L1134" s="28"/>
      <x:c r="M1134" s="28"/>
      <x:c r="N1134" s="28"/>
      <x:c r="O1134" s="28"/>
    </x:row>
    <x:row r="1135">
      <x:c r="B1135" s="26"/>
      <x:c r="I1135" s="27"/>
      <x:c r="K1135" s="28"/>
      <x:c r="L1135" s="28"/>
      <x:c r="M1135" s="28"/>
      <x:c r="N1135" s="28"/>
      <x:c r="O1135" s="28"/>
    </x:row>
    <x:row r="1136">
      <x:c r="B1136" s="26"/>
      <x:c r="I1136" s="27"/>
      <x:c r="K1136" s="28"/>
      <x:c r="L1136" s="28"/>
      <x:c r="M1136" s="28"/>
      <x:c r="N1136" s="28"/>
      <x:c r="O1136" s="28"/>
    </x:row>
    <x:row r="1137">
      <x:c r="B1137" s="26"/>
      <x:c r="I1137" s="27"/>
      <x:c r="K1137" s="28"/>
      <x:c r="L1137" s="28"/>
      <x:c r="M1137" s="28"/>
      <x:c r="N1137" s="28"/>
      <x:c r="O1137" s="28"/>
    </x:row>
    <x:row r="1138">
      <x:c r="B1138" s="26"/>
      <x:c r="I1138" s="27"/>
      <x:c r="K1138" s="28"/>
      <x:c r="L1138" s="28"/>
      <x:c r="M1138" s="28"/>
      <x:c r="N1138" s="28"/>
      <x:c r="O1138" s="28"/>
    </x:row>
    <x:row r="1139">
      <x:c r="B1139" s="26"/>
      <x:c r="I1139" s="27"/>
      <x:c r="K1139" s="28"/>
      <x:c r="L1139" s="28"/>
      <x:c r="M1139" s="28"/>
      <x:c r="N1139" s="28"/>
      <x:c r="O1139" s="28"/>
    </x:row>
    <x:row r="1140">
      <x:c r="B1140" s="26"/>
      <x:c r="I1140" s="27"/>
      <x:c r="K1140" s="28"/>
      <x:c r="L1140" s="28"/>
      <x:c r="M1140" s="28"/>
      <x:c r="N1140" s="28"/>
      <x:c r="O1140" s="28"/>
    </x:row>
    <x:row r="1141">
      <x:c r="B1141" s="26"/>
      <x:c r="I1141" s="27"/>
      <x:c r="K1141" s="28"/>
      <x:c r="L1141" s="28"/>
      <x:c r="M1141" s="28"/>
      <x:c r="N1141" s="28"/>
      <x:c r="O1141" s="28"/>
    </x:row>
    <x:row r="1142">
      <x:c r="B1142" s="26"/>
      <x:c r="I1142" s="27"/>
      <x:c r="K1142" s="28"/>
      <x:c r="L1142" s="28"/>
      <x:c r="M1142" s="28"/>
      <x:c r="N1142" s="28"/>
      <x:c r="O1142" s="28"/>
    </x:row>
    <x:row r="1143">
      <x:c r="B1143" s="26"/>
      <x:c r="I1143" s="27"/>
      <x:c r="K1143" s="28"/>
      <x:c r="L1143" s="28"/>
      <x:c r="M1143" s="28"/>
      <x:c r="N1143" s="28"/>
      <x:c r="O1143" s="28"/>
    </x:row>
    <x:row r="1144">
      <x:c r="B1144" s="26"/>
      <x:c r="I1144" s="27"/>
      <x:c r="K1144" s="28"/>
      <x:c r="L1144" s="28"/>
      <x:c r="M1144" s="28"/>
      <x:c r="N1144" s="28"/>
      <x:c r="O1144" s="28"/>
    </x:row>
    <x:row r="1145">
      <x:c r="B1145" s="26"/>
      <x:c r="I1145" s="27"/>
      <x:c r="K1145" s="28"/>
      <x:c r="L1145" s="28"/>
      <x:c r="M1145" s="28"/>
      <x:c r="N1145" s="28"/>
      <x:c r="O1145" s="28"/>
    </x:row>
    <x:row r="1146">
      <x:c r="B1146" s="26"/>
      <x:c r="I1146" s="27"/>
      <x:c r="K1146" s="28"/>
      <x:c r="L1146" s="28"/>
      <x:c r="M1146" s="28"/>
      <x:c r="N1146" s="28"/>
      <x:c r="O1146" s="28"/>
    </x:row>
    <x:row r="1147">
      <x:c r="B1147" s="26"/>
      <x:c r="I1147" s="27"/>
      <x:c r="K1147" s="28"/>
      <x:c r="L1147" s="28"/>
      <x:c r="M1147" s="28"/>
      <x:c r="N1147" s="28"/>
      <x:c r="O1147" s="28"/>
    </x:row>
    <x:row r="1148">
      <x:c r="B1148" s="26"/>
      <x:c r="I1148" s="27"/>
      <x:c r="K1148" s="28"/>
      <x:c r="L1148" s="28"/>
      <x:c r="M1148" s="28"/>
      <x:c r="N1148" s="28"/>
      <x:c r="O1148" s="28"/>
    </x:row>
    <x:row r="1149">
      <x:c r="B1149" s="26"/>
      <x:c r="I1149" s="27"/>
      <x:c r="K1149" s="28"/>
      <x:c r="L1149" s="28"/>
      <x:c r="M1149" s="28"/>
      <x:c r="N1149" s="28"/>
      <x:c r="O1149" s="28"/>
    </x:row>
    <x:row r="1150">
      <x:c r="B1150" s="26"/>
      <x:c r="I1150" s="27"/>
      <x:c r="K1150" s="28"/>
      <x:c r="L1150" s="28"/>
      <x:c r="M1150" s="28"/>
      <x:c r="N1150" s="28"/>
      <x:c r="O1150" s="28"/>
    </x:row>
    <x:row r="1151">
      <x:c r="B1151" s="26"/>
      <x:c r="I1151" s="27"/>
      <x:c r="K1151" s="28"/>
      <x:c r="L1151" s="28"/>
      <x:c r="M1151" s="28"/>
      <x:c r="N1151" s="28"/>
      <x:c r="O1151" s="28"/>
    </x:row>
    <x:row r="1152">
      <x:c r="B1152" s="26"/>
      <x:c r="I1152" s="27"/>
      <x:c r="K1152" s="28"/>
      <x:c r="L1152" s="28"/>
      <x:c r="M1152" s="28"/>
      <x:c r="N1152" s="28"/>
      <x:c r="O1152" s="28"/>
    </x:row>
    <x:row r="1153">
      <x:c r="B1153" s="26"/>
      <x:c r="I1153" s="27"/>
      <x:c r="K1153" s="28"/>
      <x:c r="L1153" s="28"/>
      <x:c r="M1153" s="28"/>
      <x:c r="N1153" s="28"/>
      <x:c r="O1153" s="28"/>
    </x:row>
    <x:row r="1154">
      <x:c r="B1154" s="26"/>
      <x:c r="I1154" s="27"/>
      <x:c r="K1154" s="28"/>
      <x:c r="L1154" s="28"/>
      <x:c r="M1154" s="28"/>
      <x:c r="N1154" s="28"/>
      <x:c r="O1154" s="28"/>
    </x:row>
    <x:row r="1155">
      <x:c r="B1155" s="26"/>
      <x:c r="I1155" s="27"/>
      <x:c r="K1155" s="28"/>
      <x:c r="L1155" s="28"/>
      <x:c r="M1155" s="28"/>
      <x:c r="N1155" s="28"/>
      <x:c r="O1155" s="28"/>
    </x:row>
    <x:row r="1156">
      <x:c r="B1156" s="26"/>
      <x:c r="I1156" s="27"/>
      <x:c r="K1156" s="28"/>
      <x:c r="L1156" s="28"/>
      <x:c r="M1156" s="28"/>
      <x:c r="N1156" s="28"/>
      <x:c r="O1156" s="28"/>
    </x:row>
    <x:row r="1157">
      <x:c r="B1157" s="26"/>
      <x:c r="I1157" s="27"/>
      <x:c r="K1157" s="28"/>
      <x:c r="L1157" s="28"/>
      <x:c r="M1157" s="28"/>
      <x:c r="N1157" s="28"/>
      <x:c r="O1157" s="28"/>
    </x:row>
    <x:row r="1158">
      <x:c r="B1158" s="26"/>
      <x:c r="I1158" s="27"/>
      <x:c r="K1158" s="28"/>
      <x:c r="L1158" s="28"/>
      <x:c r="M1158" s="28"/>
      <x:c r="N1158" s="28"/>
      <x:c r="O1158" s="28"/>
    </x:row>
    <x:row r="1159">
      <x:c r="B1159" s="26"/>
      <x:c r="I1159" s="27"/>
      <x:c r="K1159" s="28"/>
      <x:c r="L1159" s="28"/>
      <x:c r="M1159" s="28"/>
      <x:c r="N1159" s="28"/>
      <x:c r="O1159" s="28"/>
    </x:row>
    <x:row r="1160">
      <x:c r="B1160" s="26"/>
      <x:c r="I1160" s="27"/>
      <x:c r="K1160" s="28"/>
      <x:c r="L1160" s="28"/>
      <x:c r="M1160" s="28"/>
      <x:c r="N1160" s="28"/>
      <x:c r="O1160" s="28"/>
    </x:row>
    <x:row r="1161">
      <x:c r="B1161" s="26"/>
      <x:c r="I1161" s="27"/>
      <x:c r="K1161" s="28"/>
      <x:c r="L1161" s="28"/>
      <x:c r="M1161" s="28"/>
      <x:c r="N1161" s="28"/>
      <x:c r="O1161" s="28"/>
    </x:row>
    <x:row r="1162">
      <x:c r="B1162" s="26"/>
      <x:c r="I1162" s="27"/>
      <x:c r="K1162" s="28"/>
      <x:c r="L1162" s="28"/>
      <x:c r="M1162" s="28"/>
      <x:c r="N1162" s="28"/>
      <x:c r="O1162" s="28"/>
    </x:row>
    <x:row r="1163">
      <x:c r="B1163" s="26"/>
      <x:c r="I1163" s="27"/>
      <x:c r="K1163" s="28"/>
      <x:c r="L1163" s="28"/>
      <x:c r="M1163" s="28"/>
      <x:c r="N1163" s="28"/>
      <x:c r="O1163" s="28"/>
    </x:row>
    <x:row r="1164">
      <x:c r="B1164" s="26"/>
      <x:c r="I1164" s="27"/>
      <x:c r="K1164" s="28"/>
      <x:c r="L1164" s="28"/>
      <x:c r="M1164" s="28"/>
      <x:c r="N1164" s="28"/>
      <x:c r="O1164" s="28"/>
    </x:row>
    <x:row r="1165">
      <x:c r="B1165" s="26"/>
      <x:c r="I1165" s="27"/>
      <x:c r="K1165" s="28"/>
      <x:c r="L1165" s="28"/>
      <x:c r="M1165" s="28"/>
      <x:c r="N1165" s="28"/>
      <x:c r="O1165" s="28"/>
    </x:row>
    <x:row r="1166">
      <x:c r="B1166" s="26"/>
      <x:c r="I1166" s="27"/>
      <x:c r="K1166" s="28"/>
      <x:c r="L1166" s="28"/>
      <x:c r="M1166" s="28"/>
      <x:c r="N1166" s="28"/>
      <x:c r="O1166" s="28"/>
    </x:row>
    <x:row r="1167">
      <x:c r="B1167" s="26"/>
      <x:c r="I1167" s="27"/>
      <x:c r="K1167" s="28"/>
      <x:c r="L1167" s="28"/>
      <x:c r="M1167" s="28"/>
      <x:c r="N1167" s="28"/>
      <x:c r="O1167" s="28"/>
    </x:row>
    <x:row r="1168">
      <x:c r="B1168" s="26"/>
      <x:c r="I1168" s="27"/>
      <x:c r="K1168" s="28"/>
      <x:c r="L1168" s="28"/>
      <x:c r="M1168" s="28"/>
      <x:c r="N1168" s="28"/>
      <x:c r="O1168" s="28"/>
    </x:row>
    <x:row r="1169">
      <x:c r="B1169" s="26"/>
      <x:c r="I1169" s="27"/>
      <x:c r="K1169" s="28"/>
      <x:c r="L1169" s="28"/>
      <x:c r="M1169" s="28"/>
      <x:c r="N1169" s="28"/>
      <x:c r="O1169" s="28"/>
    </x:row>
    <x:row r="1170">
      <x:c r="B1170" s="26"/>
      <x:c r="I1170" s="27"/>
      <x:c r="K1170" s="28"/>
      <x:c r="L1170" s="28"/>
      <x:c r="M1170" s="28"/>
      <x:c r="N1170" s="28"/>
      <x:c r="O1170" s="28"/>
    </x:row>
    <x:row r="1171">
      <x:c r="B1171" s="26"/>
      <x:c r="I1171" s="27"/>
      <x:c r="K1171" s="28"/>
      <x:c r="L1171" s="28"/>
      <x:c r="M1171" s="28"/>
      <x:c r="N1171" s="28"/>
      <x:c r="O1171" s="28"/>
    </x:row>
    <x:row r="1172">
      <x:c r="B1172" s="26"/>
      <x:c r="I1172" s="27"/>
      <x:c r="K1172" s="28"/>
      <x:c r="L1172" s="28"/>
      <x:c r="M1172" s="28"/>
      <x:c r="N1172" s="28"/>
      <x:c r="O1172" s="28"/>
    </x:row>
    <x:row r="1173">
      <x:c r="B1173" s="26"/>
      <x:c r="I1173" s="27"/>
      <x:c r="K1173" s="28"/>
      <x:c r="L1173" s="28"/>
      <x:c r="M1173" s="28"/>
      <x:c r="N1173" s="28"/>
      <x:c r="O1173" s="28"/>
    </x:row>
    <x:row r="1174">
      <x:c r="B1174" s="26"/>
      <x:c r="I1174" s="27"/>
      <x:c r="K1174" s="28"/>
      <x:c r="L1174" s="28"/>
      <x:c r="M1174" s="28"/>
      <x:c r="N1174" s="28"/>
      <x:c r="O1174" s="28"/>
    </x:row>
    <x:row r="1175">
      <x:c r="B1175" s="26"/>
      <x:c r="I1175" s="27"/>
      <x:c r="K1175" s="28"/>
      <x:c r="L1175" s="28"/>
      <x:c r="M1175" s="28"/>
      <x:c r="N1175" s="28"/>
      <x:c r="O1175" s="28"/>
    </x:row>
    <x:row r="1176">
      <x:c r="B1176" s="26"/>
      <x:c r="I1176" s="27"/>
      <x:c r="K1176" s="28"/>
      <x:c r="L1176" s="28"/>
      <x:c r="M1176" s="28"/>
      <x:c r="N1176" s="28"/>
      <x:c r="O1176" s="28"/>
    </x:row>
    <x:row r="1177">
      <x:c r="B1177" s="26"/>
      <x:c r="I1177" s="27"/>
      <x:c r="K1177" s="28"/>
      <x:c r="L1177" s="28"/>
      <x:c r="M1177" s="28"/>
      <x:c r="N1177" s="28"/>
      <x:c r="O1177" s="28"/>
    </x:row>
    <x:row r="1178">
      <x:c r="B1178" s="26"/>
      <x:c r="I1178" s="27"/>
      <x:c r="K1178" s="28"/>
      <x:c r="L1178" s="28"/>
      <x:c r="M1178" s="28"/>
      <x:c r="N1178" s="28"/>
      <x:c r="O1178" s="28"/>
    </x:row>
    <x:row r="1179">
      <x:c r="B1179" s="26"/>
      <x:c r="I1179" s="27"/>
      <x:c r="K1179" s="28"/>
      <x:c r="L1179" s="28"/>
      <x:c r="M1179" s="28"/>
      <x:c r="N1179" s="28"/>
      <x:c r="O1179" s="28"/>
    </x:row>
    <x:row r="1180">
      <x:c r="B1180" s="26"/>
      <x:c r="I1180" s="27"/>
      <x:c r="K1180" s="28"/>
      <x:c r="L1180" s="28"/>
      <x:c r="M1180" s="28"/>
      <x:c r="N1180" s="28"/>
      <x:c r="O1180" s="28"/>
    </x:row>
    <x:row r="1181">
      <x:c r="B1181" s="26"/>
      <x:c r="I1181" s="27"/>
      <x:c r="K1181" s="28"/>
      <x:c r="L1181" s="28"/>
      <x:c r="M1181" s="28"/>
      <x:c r="N1181" s="28"/>
      <x:c r="O1181" s="28"/>
    </x:row>
    <x:row r="1182">
      <x:c r="B1182" s="26"/>
      <x:c r="I1182" s="27"/>
      <x:c r="K1182" s="28"/>
      <x:c r="L1182" s="28"/>
      <x:c r="M1182" s="28"/>
      <x:c r="N1182" s="28"/>
      <x:c r="O1182" s="28"/>
    </x:row>
    <x:row r="1183">
      <x:c r="B1183" s="26"/>
      <x:c r="I1183" s="27"/>
      <x:c r="K1183" s="28"/>
      <x:c r="L1183" s="28"/>
      <x:c r="M1183" s="28"/>
      <x:c r="N1183" s="28"/>
      <x:c r="O1183" s="28"/>
    </x:row>
    <x:row r="1184">
      <x:c r="B1184" s="26"/>
      <x:c r="I1184" s="27"/>
      <x:c r="K1184" s="28"/>
      <x:c r="L1184" s="28"/>
      <x:c r="M1184" s="28"/>
      <x:c r="N1184" s="28"/>
      <x:c r="O1184" s="28"/>
    </x:row>
    <x:row r="1185">
      <x:c r="B1185" s="26"/>
      <x:c r="I1185" s="27"/>
      <x:c r="K1185" s="28"/>
      <x:c r="L1185" s="28"/>
      <x:c r="M1185" s="28"/>
      <x:c r="N1185" s="28"/>
      <x:c r="O1185" s="28"/>
    </x:row>
    <x:row r="1186">
      <x:c r="B1186" s="26"/>
      <x:c r="I1186" s="27"/>
      <x:c r="K1186" s="28"/>
      <x:c r="L1186" s="28"/>
      <x:c r="M1186" s="28"/>
      <x:c r="N1186" s="28"/>
      <x:c r="O1186" s="28"/>
    </x:row>
    <x:row r="1187">
      <x:c r="B1187" s="26"/>
      <x:c r="I1187" s="27"/>
      <x:c r="K1187" s="28"/>
      <x:c r="L1187" s="28"/>
      <x:c r="M1187" s="28"/>
      <x:c r="N1187" s="28"/>
      <x:c r="O1187" s="28"/>
    </x:row>
    <x:row r="1188">
      <x:c r="B1188" s="26"/>
      <x:c r="I1188" s="27"/>
      <x:c r="K1188" s="28"/>
      <x:c r="L1188" s="28"/>
      <x:c r="M1188" s="28"/>
      <x:c r="N1188" s="28"/>
      <x:c r="O1188" s="28"/>
    </x:row>
    <x:row r="1189">
      <x:c r="B1189" s="26"/>
      <x:c r="I1189" s="27"/>
      <x:c r="K1189" s="28"/>
      <x:c r="L1189" s="28"/>
      <x:c r="M1189" s="28"/>
      <x:c r="N1189" s="28"/>
      <x:c r="O1189" s="28"/>
    </x:row>
    <x:row r="1190">
      <x:c r="B1190" s="26"/>
      <x:c r="I1190" s="27"/>
      <x:c r="K1190" s="28"/>
      <x:c r="L1190" s="28"/>
      <x:c r="M1190" s="28"/>
      <x:c r="N1190" s="28"/>
      <x:c r="O1190" s="28"/>
    </x:row>
    <x:row r="1191">
      <x:c r="B1191" s="26"/>
      <x:c r="I1191" s="27"/>
      <x:c r="K1191" s="28"/>
      <x:c r="L1191" s="28"/>
      <x:c r="M1191" s="28"/>
      <x:c r="N1191" s="28"/>
      <x:c r="O1191" s="28"/>
    </x:row>
    <x:row r="1192">
      <x:c r="B1192" s="26"/>
      <x:c r="I1192" s="27"/>
      <x:c r="K1192" s="28"/>
      <x:c r="L1192" s="28"/>
      <x:c r="M1192" s="28"/>
      <x:c r="N1192" s="28"/>
      <x:c r="O1192" s="28"/>
    </x:row>
    <x:row r="1193">
      <x:c r="B1193" s="26"/>
      <x:c r="I1193" s="27"/>
      <x:c r="K1193" s="28"/>
      <x:c r="L1193" s="28"/>
      <x:c r="M1193" s="28"/>
      <x:c r="N1193" s="28"/>
      <x:c r="O1193" s="28"/>
    </x:row>
    <x:row r="1194">
      <x:c r="B1194" s="26"/>
      <x:c r="I1194" s="27"/>
      <x:c r="K1194" s="28"/>
      <x:c r="L1194" s="28"/>
      <x:c r="M1194" s="28"/>
      <x:c r="N1194" s="28"/>
      <x:c r="O1194" s="28"/>
    </x:row>
    <x:row r="1195">
      <x:c r="B1195" s="26"/>
      <x:c r="I1195" s="27"/>
      <x:c r="K1195" s="28"/>
      <x:c r="L1195" s="28"/>
      <x:c r="M1195" s="28"/>
      <x:c r="N1195" s="28"/>
      <x:c r="O1195" s="28"/>
    </x:row>
    <x:row r="1196">
      <x:c r="B1196" s="26"/>
      <x:c r="I1196" s="27"/>
      <x:c r="K1196" s="28"/>
      <x:c r="L1196" s="28"/>
      <x:c r="M1196" s="28"/>
      <x:c r="N1196" s="28"/>
      <x:c r="O1196" s="28"/>
    </x:row>
    <x:row r="1197">
      <x:c r="B1197" s="26"/>
      <x:c r="I1197" s="27"/>
      <x:c r="K1197" s="28"/>
      <x:c r="L1197" s="28"/>
      <x:c r="M1197" s="28"/>
      <x:c r="N1197" s="28"/>
      <x:c r="O1197" s="28"/>
    </x:row>
    <x:row r="1198">
      <x:c r="B1198" s="26"/>
      <x:c r="I1198" s="27"/>
      <x:c r="K1198" s="28"/>
      <x:c r="L1198" s="28"/>
      <x:c r="M1198" s="28"/>
      <x:c r="N1198" s="28"/>
      <x:c r="O1198" s="28"/>
    </x:row>
    <x:row r="1199">
      <x:c r="B1199" s="26"/>
      <x:c r="I1199" s="27"/>
      <x:c r="K1199" s="28"/>
      <x:c r="L1199" s="28"/>
      <x:c r="M1199" s="28"/>
      <x:c r="N1199" s="28"/>
      <x:c r="O1199" s="28"/>
    </x:row>
    <x:row r="1200">
      <x:c r="B1200" s="26"/>
      <x:c r="I1200" s="27"/>
      <x:c r="K1200" s="28"/>
      <x:c r="L1200" s="28"/>
      <x:c r="M1200" s="28"/>
      <x:c r="N1200" s="28"/>
      <x:c r="O1200" s="28"/>
    </x:row>
    <x:row r="1201">
      <x:c r="B1201" s="26"/>
      <x:c r="I1201" s="27"/>
      <x:c r="K1201" s="28"/>
      <x:c r="L1201" s="28"/>
      <x:c r="M1201" s="28"/>
      <x:c r="N1201" s="28"/>
      <x:c r="O1201" s="28"/>
    </x:row>
    <x:row r="1202">
      <x:c r="B1202" s="26"/>
      <x:c r="I1202" s="27"/>
      <x:c r="K1202" s="28"/>
      <x:c r="L1202" s="28"/>
      <x:c r="M1202" s="28"/>
      <x:c r="N1202" s="28"/>
      <x:c r="O1202" s="28"/>
    </x:row>
    <x:row r="1203">
      <x:c r="B1203" s="26"/>
      <x:c r="I1203" s="27"/>
      <x:c r="K1203" s="28"/>
      <x:c r="L1203" s="28"/>
      <x:c r="M1203" s="28"/>
      <x:c r="N1203" s="28"/>
      <x:c r="O1203" s="28"/>
    </x:row>
    <x:row r="1204">
      <x:c r="B1204" s="26"/>
      <x:c r="I1204" s="27"/>
      <x:c r="K1204" s="28"/>
      <x:c r="L1204" s="28"/>
      <x:c r="M1204" s="28"/>
      <x:c r="N1204" s="28"/>
      <x:c r="O1204" s="28"/>
    </x:row>
    <x:row r="1205">
      <x:c r="B1205" s="26"/>
      <x:c r="I1205" s="27"/>
      <x:c r="K1205" s="28"/>
      <x:c r="L1205" s="28"/>
      <x:c r="M1205" s="28"/>
      <x:c r="N1205" s="28"/>
      <x:c r="O1205" s="28"/>
    </x:row>
    <x:row r="1206">
      <x:c r="B1206" s="26"/>
      <x:c r="I1206" s="27"/>
      <x:c r="K1206" s="28"/>
      <x:c r="L1206" s="28"/>
      <x:c r="M1206" s="28"/>
      <x:c r="N1206" s="28"/>
      <x:c r="O1206" s="28"/>
    </x:row>
    <x:row r="1207">
      <x:c r="B1207" s="26"/>
      <x:c r="I1207" s="27"/>
      <x:c r="K1207" s="28"/>
      <x:c r="L1207" s="28"/>
      <x:c r="M1207" s="28"/>
      <x:c r="N1207" s="28"/>
      <x:c r="O1207" s="28"/>
    </x:row>
    <x:row r="1208">
      <x:c r="B1208" s="26"/>
      <x:c r="I1208" s="27"/>
      <x:c r="K1208" s="28"/>
      <x:c r="L1208" s="28"/>
      <x:c r="M1208" s="28"/>
      <x:c r="N1208" s="28"/>
      <x:c r="O1208" s="28"/>
    </x:row>
    <x:row r="1209">
      <x:c r="B1209" s="26"/>
      <x:c r="I1209" s="27"/>
      <x:c r="K1209" s="28"/>
      <x:c r="L1209" s="28"/>
      <x:c r="M1209" s="28"/>
      <x:c r="N1209" s="28"/>
      <x:c r="O1209" s="28"/>
    </x:row>
    <x:row r="1210">
      <x:c r="B1210" s="26"/>
      <x:c r="I1210" s="27"/>
      <x:c r="K1210" s="28"/>
      <x:c r="L1210" s="28"/>
      <x:c r="M1210" s="28"/>
      <x:c r="N1210" s="28"/>
      <x:c r="O1210" s="28"/>
    </x:row>
    <x:row r="1211">
      <x:c r="B1211" s="26"/>
      <x:c r="I1211" s="27"/>
      <x:c r="K1211" s="28"/>
      <x:c r="L1211" s="28"/>
      <x:c r="M1211" s="28"/>
      <x:c r="N1211" s="28"/>
      <x:c r="O1211" s="28"/>
    </x:row>
    <x:row r="1212">
      <x:c r="B1212" s="26"/>
      <x:c r="I1212" s="27"/>
      <x:c r="K1212" s="28"/>
      <x:c r="L1212" s="28"/>
      <x:c r="M1212" s="28"/>
      <x:c r="N1212" s="28"/>
      <x:c r="O1212" s="28"/>
    </x:row>
    <x:row r="1213">
      <x:c r="B1213" s="26"/>
      <x:c r="I1213" s="27"/>
      <x:c r="K1213" s="28"/>
      <x:c r="L1213" s="28"/>
      <x:c r="M1213" s="28"/>
      <x:c r="N1213" s="28"/>
      <x:c r="O1213" s="28"/>
    </x:row>
    <x:row r="1214">
      <x:c r="B1214" s="26"/>
      <x:c r="I1214" s="27"/>
      <x:c r="K1214" s="28"/>
      <x:c r="L1214" s="28"/>
      <x:c r="M1214" s="28"/>
      <x:c r="N1214" s="28"/>
      <x:c r="O1214" s="28"/>
    </x:row>
    <x:row r="1215">
      <x:c r="B1215" s="26"/>
      <x:c r="I1215" s="27"/>
      <x:c r="K1215" s="28"/>
      <x:c r="L1215" s="28"/>
      <x:c r="M1215" s="28"/>
      <x:c r="N1215" s="28"/>
      <x:c r="O1215" s="28"/>
    </x:row>
    <x:row r="1216">
      <x:c r="B1216" s="26"/>
      <x:c r="I1216" s="27"/>
      <x:c r="K1216" s="28"/>
      <x:c r="L1216" s="28"/>
      <x:c r="M1216" s="28"/>
      <x:c r="N1216" s="28"/>
      <x:c r="O1216" s="28"/>
    </x:row>
    <x:row r="1217">
      <x:c r="B1217" s="26"/>
      <x:c r="I1217" s="27"/>
      <x:c r="K1217" s="28"/>
      <x:c r="L1217" s="28"/>
      <x:c r="M1217" s="28"/>
      <x:c r="N1217" s="28"/>
      <x:c r="O1217" s="28"/>
    </x:row>
    <x:row r="1218">
      <x:c r="B1218" s="26"/>
      <x:c r="I1218" s="27"/>
      <x:c r="K1218" s="28"/>
      <x:c r="L1218" s="28"/>
      <x:c r="M1218" s="28"/>
      <x:c r="N1218" s="28"/>
      <x:c r="O1218" s="28"/>
    </x:row>
    <x:row r="1219">
      <x:c r="B1219" s="26"/>
      <x:c r="I1219" s="27"/>
      <x:c r="K1219" s="28"/>
      <x:c r="L1219" s="28"/>
      <x:c r="M1219" s="28"/>
      <x:c r="N1219" s="28"/>
      <x:c r="O1219" s="28"/>
    </x:row>
    <x:row r="1220">
      <x:c r="B1220" s="26"/>
      <x:c r="I1220" s="27"/>
      <x:c r="K1220" s="28"/>
      <x:c r="L1220" s="28"/>
      <x:c r="M1220" s="28"/>
      <x:c r="N1220" s="28"/>
      <x:c r="O1220" s="28"/>
    </x:row>
    <x:row r="1221">
      <x:c r="B1221" s="26"/>
      <x:c r="I1221" s="27"/>
      <x:c r="K1221" s="28"/>
      <x:c r="L1221" s="28"/>
      <x:c r="M1221" s="28"/>
      <x:c r="N1221" s="28"/>
      <x:c r="O1221" s="28"/>
    </x:row>
    <x:row r="1222">
      <x:c r="B1222" s="26"/>
      <x:c r="I1222" s="27"/>
      <x:c r="K1222" s="28"/>
      <x:c r="L1222" s="28"/>
      <x:c r="M1222" s="28"/>
      <x:c r="N1222" s="28"/>
      <x:c r="O1222" s="28"/>
    </x:row>
    <x:row r="1223">
      <x:c r="B1223" s="26"/>
      <x:c r="I1223" s="27"/>
      <x:c r="K1223" s="28"/>
      <x:c r="L1223" s="28"/>
      <x:c r="M1223" s="28"/>
      <x:c r="N1223" s="28"/>
      <x:c r="O1223" s="28"/>
    </x:row>
    <x:row r="1224">
      <x:c r="B1224" s="26"/>
      <x:c r="I1224" s="27"/>
      <x:c r="K1224" s="28"/>
      <x:c r="L1224" s="28"/>
      <x:c r="M1224" s="28"/>
      <x:c r="N1224" s="28"/>
      <x:c r="O1224" s="28"/>
    </x:row>
    <x:row r="1225">
      <x:c r="B1225" s="26"/>
      <x:c r="I1225" s="27"/>
      <x:c r="K1225" s="28"/>
      <x:c r="L1225" s="28"/>
      <x:c r="M1225" s="28"/>
      <x:c r="N1225" s="28"/>
      <x:c r="O1225" s="28"/>
    </x:row>
    <x:row r="1226">
      <x:c r="B1226" s="26"/>
      <x:c r="I1226" s="27"/>
      <x:c r="K1226" s="28"/>
      <x:c r="L1226" s="28"/>
      <x:c r="M1226" s="28"/>
      <x:c r="N1226" s="28"/>
      <x:c r="O1226" s="28"/>
    </x:row>
    <x:row r="1227">
      <x:c r="B1227" s="26"/>
      <x:c r="I1227" s="27"/>
      <x:c r="K1227" s="28"/>
      <x:c r="L1227" s="28"/>
      <x:c r="M1227" s="28"/>
      <x:c r="N1227" s="28"/>
      <x:c r="O1227" s="28"/>
    </x:row>
    <x:row r="1228">
      <x:c r="B1228" s="26"/>
      <x:c r="I1228" s="27"/>
      <x:c r="K1228" s="28"/>
      <x:c r="L1228" s="28"/>
      <x:c r="M1228" s="28"/>
      <x:c r="N1228" s="28"/>
      <x:c r="O1228" s="28"/>
    </x:row>
    <x:row r="1229">
      <x:c r="B1229" s="26"/>
      <x:c r="I1229" s="27"/>
      <x:c r="K1229" s="28"/>
      <x:c r="L1229" s="28"/>
      <x:c r="M1229" s="28"/>
      <x:c r="N1229" s="28"/>
      <x:c r="O1229" s="28"/>
    </x:row>
    <x:row r="1230">
      <x:c r="B1230" s="26"/>
      <x:c r="I1230" s="27"/>
      <x:c r="K1230" s="28"/>
      <x:c r="L1230" s="28"/>
      <x:c r="M1230" s="28"/>
      <x:c r="N1230" s="28"/>
      <x:c r="O1230" s="28"/>
    </x:row>
    <x:row r="1231">
      <x:c r="B1231" s="26"/>
      <x:c r="I1231" s="27"/>
      <x:c r="K1231" s="28"/>
      <x:c r="L1231" s="28"/>
      <x:c r="M1231" s="28"/>
      <x:c r="N1231" s="28"/>
      <x:c r="O1231" s="28"/>
    </x:row>
    <x:row r="1232">
      <x:c r="B1232" s="26"/>
      <x:c r="I1232" s="27"/>
      <x:c r="K1232" s="28"/>
      <x:c r="L1232" s="28"/>
      <x:c r="M1232" s="28"/>
      <x:c r="N1232" s="28"/>
      <x:c r="O1232" s="28"/>
    </x:row>
    <x:row r="1233">
      <x:c r="B1233" s="26"/>
      <x:c r="I1233" s="27"/>
      <x:c r="K1233" s="28"/>
      <x:c r="L1233" s="28"/>
      <x:c r="M1233" s="28"/>
      <x:c r="N1233" s="28"/>
      <x:c r="O1233" s="28"/>
    </x:row>
    <x:row r="1234">
      <x:c r="B1234" s="26"/>
      <x:c r="I1234" s="27"/>
      <x:c r="K1234" s="28"/>
      <x:c r="L1234" s="28"/>
      <x:c r="M1234" s="28"/>
      <x:c r="N1234" s="28"/>
      <x:c r="O1234" s="28"/>
    </x:row>
    <x:row r="1235">
      <x:c r="B1235" s="26"/>
      <x:c r="I1235" s="27"/>
      <x:c r="K1235" s="28"/>
      <x:c r="L1235" s="28"/>
      <x:c r="M1235" s="28"/>
      <x:c r="N1235" s="28"/>
      <x:c r="O1235" s="28"/>
    </x:row>
    <x:row r="1236">
      <x:c r="B1236" s="26"/>
      <x:c r="I1236" s="27"/>
      <x:c r="K1236" s="28"/>
      <x:c r="L1236" s="28"/>
      <x:c r="M1236" s="28"/>
      <x:c r="N1236" s="28"/>
      <x:c r="O1236" s="28"/>
    </x:row>
    <x:row r="1237">
      <x:c r="B1237" s="26"/>
      <x:c r="I1237" s="27"/>
      <x:c r="K1237" s="28"/>
      <x:c r="L1237" s="28"/>
      <x:c r="M1237" s="28"/>
      <x:c r="N1237" s="28"/>
      <x:c r="O1237" s="28"/>
    </x:row>
    <x:row r="1238">
      <x:c r="B1238" s="26"/>
      <x:c r="I1238" s="27"/>
      <x:c r="K1238" s="28"/>
      <x:c r="L1238" s="28"/>
      <x:c r="M1238" s="28"/>
      <x:c r="N1238" s="28"/>
      <x:c r="O1238" s="28"/>
    </x:row>
    <x:row r="1239">
      <x:c r="B1239" s="26"/>
      <x:c r="I1239" s="27"/>
      <x:c r="K1239" s="28"/>
      <x:c r="L1239" s="28"/>
      <x:c r="M1239" s="28"/>
      <x:c r="N1239" s="28"/>
      <x:c r="O1239" s="28"/>
    </x:row>
    <x:row r="1240">
      <x:c r="B1240" s="26"/>
      <x:c r="I1240" s="27"/>
      <x:c r="K1240" s="28"/>
      <x:c r="L1240" s="28"/>
      <x:c r="M1240" s="28"/>
      <x:c r="N1240" s="28"/>
      <x:c r="O1240" s="28"/>
    </x:row>
    <x:row r="1241">
      <x:c r="B1241" s="26"/>
      <x:c r="I1241" s="27"/>
      <x:c r="K1241" s="28"/>
      <x:c r="L1241" s="28"/>
      <x:c r="M1241" s="28"/>
      <x:c r="N1241" s="28"/>
      <x:c r="O1241" s="28"/>
    </x:row>
    <x:row r="1242">
      <x:c r="B1242" s="26"/>
      <x:c r="I1242" s="27"/>
      <x:c r="K1242" s="28"/>
      <x:c r="L1242" s="28"/>
      <x:c r="M1242" s="28"/>
      <x:c r="N1242" s="28"/>
      <x:c r="O1242" s="28"/>
    </x:row>
    <x:row r="1243">
      <x:c r="B1243" s="26"/>
      <x:c r="I1243" s="27"/>
      <x:c r="K1243" s="28"/>
      <x:c r="L1243" s="28"/>
      <x:c r="M1243" s="28"/>
      <x:c r="N1243" s="28"/>
      <x:c r="O1243" s="28"/>
    </x:row>
    <x:row r="1244">
      <x:c r="B1244" s="26"/>
      <x:c r="I1244" s="27"/>
      <x:c r="K1244" s="28"/>
      <x:c r="L1244" s="28"/>
      <x:c r="M1244" s="28"/>
      <x:c r="N1244" s="28"/>
      <x:c r="O1244" s="28"/>
    </x:row>
    <x:row r="1245">
      <x:c r="B1245" s="26"/>
      <x:c r="I1245" s="27"/>
      <x:c r="K1245" s="28"/>
      <x:c r="L1245" s="28"/>
      <x:c r="M1245" s="28"/>
      <x:c r="N1245" s="28"/>
      <x:c r="O1245" s="28"/>
    </x:row>
    <x:row r="1246">
      <x:c r="B1246" s="26"/>
      <x:c r="I1246" s="27"/>
      <x:c r="K1246" s="28"/>
      <x:c r="L1246" s="28"/>
      <x:c r="M1246" s="28"/>
      <x:c r="N1246" s="28"/>
      <x:c r="O1246" s="28"/>
    </x:row>
    <x:row r="1247">
      <x:c r="B1247" s="26"/>
      <x:c r="I1247" s="27"/>
      <x:c r="K1247" s="28"/>
      <x:c r="L1247" s="28"/>
      <x:c r="M1247" s="28"/>
      <x:c r="N1247" s="28"/>
      <x:c r="O1247" s="28"/>
    </x:row>
    <x:row r="1248">
      <x:c r="B1248" s="26"/>
      <x:c r="I1248" s="27"/>
      <x:c r="K1248" s="28"/>
      <x:c r="L1248" s="28"/>
      <x:c r="M1248" s="28"/>
      <x:c r="N1248" s="28"/>
      <x:c r="O1248" s="28"/>
    </x:row>
    <x:row r="1249">
      <x:c r="B1249" s="26"/>
      <x:c r="I1249" s="27"/>
      <x:c r="K1249" s="28"/>
      <x:c r="L1249" s="28"/>
      <x:c r="M1249" s="28"/>
      <x:c r="N1249" s="28"/>
      <x:c r="O1249" s="28"/>
    </x:row>
    <x:row r="1250">
      <x:c r="B1250" s="26"/>
      <x:c r="I1250" s="27"/>
      <x:c r="K1250" s="28"/>
      <x:c r="L1250" s="28"/>
      <x:c r="M1250" s="28"/>
      <x:c r="N1250" s="28"/>
      <x:c r="O1250" s="28"/>
    </x:row>
    <x:row r="1251">
      <x:c r="B1251" s="26"/>
      <x:c r="I1251" s="27"/>
      <x:c r="K1251" s="28"/>
      <x:c r="L1251" s="28"/>
      <x:c r="M1251" s="28"/>
      <x:c r="N1251" s="28"/>
      <x:c r="O1251" s="28"/>
    </x:row>
    <x:row r="1252">
      <x:c r="B1252" s="26"/>
      <x:c r="I1252" s="27"/>
      <x:c r="K1252" s="28"/>
      <x:c r="L1252" s="28"/>
      <x:c r="M1252" s="28"/>
      <x:c r="N1252" s="28"/>
      <x:c r="O1252" s="28"/>
    </x:row>
    <x:row r="1253">
      <x:c r="B1253" s="26"/>
      <x:c r="I1253" s="27"/>
      <x:c r="K1253" s="28"/>
      <x:c r="L1253" s="28"/>
      <x:c r="M1253" s="28"/>
      <x:c r="N1253" s="28"/>
      <x:c r="O1253" s="28"/>
    </x:row>
    <x:row r="1254">
      <x:c r="B1254" s="26"/>
      <x:c r="I1254" s="27"/>
      <x:c r="K1254" s="28"/>
      <x:c r="L1254" s="28"/>
      <x:c r="M1254" s="28"/>
      <x:c r="N1254" s="28"/>
      <x:c r="O1254" s="28"/>
    </x:row>
    <x:row r="1255">
      <x:c r="B1255" s="26"/>
      <x:c r="I1255" s="27"/>
      <x:c r="K1255" s="28"/>
      <x:c r="L1255" s="28"/>
      <x:c r="M1255" s="28"/>
      <x:c r="N1255" s="28"/>
      <x:c r="O1255" s="28"/>
    </x:row>
    <x:row r="1256">
      <x:c r="B1256" s="26"/>
      <x:c r="I1256" s="27"/>
      <x:c r="K1256" s="28"/>
      <x:c r="L1256" s="28"/>
      <x:c r="M1256" s="28"/>
      <x:c r="N1256" s="28"/>
      <x:c r="O1256" s="28"/>
    </x:row>
    <x:row r="1257">
      <x:c r="B1257" s="26"/>
      <x:c r="I1257" s="27"/>
      <x:c r="K1257" s="28"/>
      <x:c r="L1257" s="28"/>
      <x:c r="M1257" s="28"/>
      <x:c r="N1257" s="28"/>
      <x:c r="O1257" s="28"/>
    </x:row>
    <x:row r="1258">
      <x:c r="B1258" s="26"/>
      <x:c r="I1258" s="27"/>
      <x:c r="K1258" s="28"/>
      <x:c r="L1258" s="28"/>
      <x:c r="M1258" s="28"/>
      <x:c r="N1258" s="28"/>
      <x:c r="O1258" s="28"/>
    </x:row>
    <x:row r="1259">
      <x:c r="B1259" s="26"/>
      <x:c r="I1259" s="27"/>
      <x:c r="K1259" s="28"/>
      <x:c r="L1259" s="28"/>
      <x:c r="M1259" s="28"/>
      <x:c r="N1259" s="28"/>
      <x:c r="O1259" s="28"/>
    </x:row>
    <x:row r="1260">
      <x:c r="B1260" s="26"/>
      <x:c r="I1260" s="27"/>
      <x:c r="K1260" s="28"/>
      <x:c r="L1260" s="28"/>
      <x:c r="M1260" s="28"/>
      <x:c r="N1260" s="28"/>
      <x:c r="O1260" s="28"/>
    </x:row>
    <x:row r="1261">
      <x:c r="B1261" s="26"/>
      <x:c r="I1261" s="27"/>
      <x:c r="K1261" s="28"/>
      <x:c r="L1261" s="28"/>
      <x:c r="M1261" s="28"/>
      <x:c r="N1261" s="28"/>
      <x:c r="O1261" s="28"/>
    </x:row>
    <x:row r="1262">
      <x:c r="B1262" s="26"/>
      <x:c r="I1262" s="27"/>
      <x:c r="K1262" s="28"/>
      <x:c r="L1262" s="28"/>
      <x:c r="M1262" s="28"/>
      <x:c r="N1262" s="28"/>
      <x:c r="O1262" s="28"/>
    </x:row>
    <x:row r="1263">
      <x:c r="B1263" s="26"/>
      <x:c r="I1263" s="27"/>
      <x:c r="K1263" s="28"/>
      <x:c r="L1263" s="28"/>
      <x:c r="M1263" s="28"/>
      <x:c r="N1263" s="28"/>
      <x:c r="O1263" s="28"/>
    </x:row>
    <x:row r="1264">
      <x:c r="B1264" s="26"/>
      <x:c r="I1264" s="27"/>
      <x:c r="K1264" s="28"/>
      <x:c r="L1264" s="28"/>
      <x:c r="M1264" s="28"/>
      <x:c r="N1264" s="28"/>
      <x:c r="O1264" s="28"/>
    </x:row>
    <x:row r="1265">
      <x:c r="B1265" s="26"/>
      <x:c r="I1265" s="27"/>
      <x:c r="K1265" s="28"/>
      <x:c r="L1265" s="28"/>
      <x:c r="M1265" s="28"/>
      <x:c r="N1265" s="28"/>
      <x:c r="O1265" s="28"/>
    </x:row>
    <x:row r="1266">
      <x:c r="B1266" s="26"/>
      <x:c r="I1266" s="27"/>
      <x:c r="K1266" s="28"/>
      <x:c r="L1266" s="28"/>
      <x:c r="M1266" s="28"/>
      <x:c r="N1266" s="28"/>
      <x:c r="O1266" s="28"/>
    </x:row>
    <x:row r="1267">
      <x:c r="B1267" s="26"/>
      <x:c r="I1267" s="27"/>
      <x:c r="K1267" s="28"/>
      <x:c r="L1267" s="28"/>
      <x:c r="M1267" s="28"/>
      <x:c r="N1267" s="28"/>
      <x:c r="O1267" s="28"/>
    </x:row>
    <x:row r="1268">
      <x:c r="B1268" s="26"/>
      <x:c r="I1268" s="27"/>
      <x:c r="K1268" s="28"/>
      <x:c r="L1268" s="28"/>
      <x:c r="M1268" s="28"/>
      <x:c r="N1268" s="28"/>
      <x:c r="O1268" s="28"/>
    </x:row>
    <x:row r="1269">
      <x:c r="B1269" s="26"/>
      <x:c r="I1269" s="27"/>
      <x:c r="K1269" s="28"/>
      <x:c r="L1269" s="28"/>
      <x:c r="M1269" s="28"/>
      <x:c r="N1269" s="28"/>
      <x:c r="O1269" s="28"/>
    </x:row>
    <x:row r="1270">
      <x:c r="B1270" s="26"/>
      <x:c r="I1270" s="27"/>
      <x:c r="K1270" s="28"/>
      <x:c r="L1270" s="28"/>
      <x:c r="M1270" s="28"/>
      <x:c r="N1270" s="28"/>
      <x:c r="O1270" s="28"/>
    </x:row>
    <x:row r="1271">
      <x:c r="B1271" s="26"/>
      <x:c r="I1271" s="27"/>
      <x:c r="K1271" s="28"/>
      <x:c r="L1271" s="28"/>
      <x:c r="M1271" s="28"/>
      <x:c r="N1271" s="28"/>
      <x:c r="O1271" s="28"/>
    </x:row>
    <x:row r="1272">
      <x:c r="B1272" s="26"/>
      <x:c r="I1272" s="27"/>
      <x:c r="K1272" s="28"/>
      <x:c r="L1272" s="28"/>
      <x:c r="M1272" s="28"/>
      <x:c r="N1272" s="28"/>
      <x:c r="O1272" s="28"/>
    </x:row>
    <x:row r="1273">
      <x:c r="B1273" s="26"/>
      <x:c r="I1273" s="27"/>
      <x:c r="K1273" s="28"/>
      <x:c r="L1273" s="28"/>
      <x:c r="M1273" s="28"/>
      <x:c r="N1273" s="28"/>
      <x:c r="O1273" s="28"/>
    </x:row>
    <x:row r="1274">
      <x:c r="B1274" s="26"/>
      <x:c r="I1274" s="27"/>
      <x:c r="K1274" s="28"/>
      <x:c r="L1274" s="28"/>
      <x:c r="M1274" s="28"/>
      <x:c r="N1274" s="28"/>
      <x:c r="O1274" s="28"/>
    </x:row>
    <x:row r="1275">
      <x:c r="B1275" s="26"/>
      <x:c r="I1275" s="27"/>
      <x:c r="K1275" s="28"/>
      <x:c r="L1275" s="28"/>
      <x:c r="M1275" s="28"/>
      <x:c r="N1275" s="28"/>
      <x:c r="O1275" s="28"/>
    </x:row>
    <x:row r="1276">
      <x:c r="B1276" s="26"/>
      <x:c r="I1276" s="27"/>
      <x:c r="K1276" s="28"/>
      <x:c r="L1276" s="28"/>
      <x:c r="M1276" s="28"/>
      <x:c r="N1276" s="28"/>
      <x:c r="O1276" s="28"/>
    </x:row>
    <x:row r="1277">
      <x:c r="B1277" s="26"/>
      <x:c r="I1277" s="27"/>
      <x:c r="K1277" s="28"/>
      <x:c r="L1277" s="28"/>
      <x:c r="M1277" s="28"/>
      <x:c r="N1277" s="28"/>
      <x:c r="O1277" s="28"/>
    </x:row>
    <x:row r="1278">
      <x:c r="B1278" s="26"/>
      <x:c r="I1278" s="27"/>
      <x:c r="K1278" s="28"/>
      <x:c r="L1278" s="28"/>
      <x:c r="M1278" s="28"/>
      <x:c r="N1278" s="28"/>
      <x:c r="O1278" s="28"/>
    </x:row>
    <x:row r="1279">
      <x:c r="B1279" s="26"/>
      <x:c r="I1279" s="27"/>
      <x:c r="K1279" s="28"/>
      <x:c r="L1279" s="28"/>
      <x:c r="M1279" s="28"/>
      <x:c r="N1279" s="28"/>
      <x:c r="O1279" s="28"/>
    </x:row>
    <x:row r="1280">
      <x:c r="B1280" s="26"/>
      <x:c r="I1280" s="27"/>
      <x:c r="K1280" s="28"/>
      <x:c r="L1280" s="28"/>
      <x:c r="M1280" s="28"/>
      <x:c r="N1280" s="28"/>
      <x:c r="O1280" s="28"/>
    </x:row>
    <x:row r="1281">
      <x:c r="B1281" s="26"/>
      <x:c r="I1281" s="27"/>
      <x:c r="K1281" s="28"/>
      <x:c r="L1281" s="28"/>
      <x:c r="M1281" s="28"/>
      <x:c r="N1281" s="28"/>
      <x:c r="O1281" s="28"/>
    </x:row>
    <x:row r="1282">
      <x:c r="B1282" s="26"/>
      <x:c r="I1282" s="27"/>
      <x:c r="K1282" s="28"/>
      <x:c r="L1282" s="28"/>
      <x:c r="M1282" s="28"/>
      <x:c r="N1282" s="28"/>
      <x:c r="O1282" s="28"/>
    </x:row>
    <x:row r="1283">
      <x:c r="B1283" s="26"/>
      <x:c r="I1283" s="27"/>
      <x:c r="K1283" s="28"/>
      <x:c r="L1283" s="28"/>
      <x:c r="M1283" s="28"/>
      <x:c r="N1283" s="28"/>
      <x:c r="O1283" s="28"/>
    </x:row>
    <x:row r="1284">
      <x:c r="B1284" s="26"/>
      <x:c r="I1284" s="27"/>
      <x:c r="K1284" s="28"/>
      <x:c r="L1284" s="28"/>
      <x:c r="M1284" s="28"/>
      <x:c r="N1284" s="28"/>
      <x:c r="O1284" s="28"/>
    </x:row>
    <x:row r="1285">
      <x:c r="B1285" s="26"/>
      <x:c r="I1285" s="27"/>
      <x:c r="K1285" s="28"/>
      <x:c r="L1285" s="28"/>
      <x:c r="M1285" s="28"/>
      <x:c r="N1285" s="28"/>
      <x:c r="O1285" s="28"/>
    </x:row>
    <x:row r="1286">
      <x:c r="B1286" s="26"/>
      <x:c r="I1286" s="27"/>
      <x:c r="K1286" s="28"/>
      <x:c r="L1286" s="28"/>
      <x:c r="M1286" s="28"/>
      <x:c r="N1286" s="28"/>
      <x:c r="O1286" s="28"/>
    </x:row>
    <x:row r="1287">
      <x:c r="B1287" s="26"/>
      <x:c r="I1287" s="27"/>
      <x:c r="K1287" s="28"/>
      <x:c r="L1287" s="28"/>
      <x:c r="M1287" s="28"/>
      <x:c r="N1287" s="28"/>
      <x:c r="O1287" s="28"/>
    </x:row>
    <x:row r="1288">
      <x:c r="B1288" s="26"/>
      <x:c r="I1288" s="27"/>
      <x:c r="K1288" s="28"/>
      <x:c r="L1288" s="28"/>
      <x:c r="M1288" s="28"/>
      <x:c r="N1288" s="28"/>
      <x:c r="O1288" s="28"/>
    </x:row>
    <x:row r="1289">
      <x:c r="B1289" s="26"/>
      <x:c r="I1289" s="27"/>
      <x:c r="K1289" s="28"/>
      <x:c r="L1289" s="28"/>
      <x:c r="M1289" s="28"/>
      <x:c r="N1289" s="28"/>
      <x:c r="O1289" s="28"/>
    </x:row>
    <x:row r="1290">
      <x:c r="B1290" s="26"/>
      <x:c r="I1290" s="27"/>
      <x:c r="K1290" s="28"/>
      <x:c r="L1290" s="28"/>
      <x:c r="M1290" s="28"/>
      <x:c r="N1290" s="28"/>
      <x:c r="O1290" s="28"/>
    </x:row>
    <x:row r="1291">
      <x:c r="B1291" s="26"/>
      <x:c r="I1291" s="27"/>
      <x:c r="K1291" s="28"/>
      <x:c r="L1291" s="28"/>
      <x:c r="M1291" s="28"/>
      <x:c r="N1291" s="28"/>
      <x:c r="O1291" s="28"/>
    </x:row>
    <x:row r="1292">
      <x:c r="B1292" s="26"/>
      <x:c r="I1292" s="27"/>
      <x:c r="K1292" s="28"/>
      <x:c r="L1292" s="28"/>
      <x:c r="M1292" s="28"/>
      <x:c r="N1292" s="28"/>
      <x:c r="O1292" s="28"/>
    </x:row>
    <x:row r="1293">
      <x:c r="B1293" s="26"/>
      <x:c r="I1293" s="27"/>
      <x:c r="K1293" s="28"/>
      <x:c r="L1293" s="28"/>
      <x:c r="M1293" s="28"/>
      <x:c r="N1293" s="28"/>
      <x:c r="O1293" s="28"/>
    </x:row>
    <x:row r="1294">
      <x:c r="B1294" s="26"/>
      <x:c r="I1294" s="27"/>
      <x:c r="K1294" s="28"/>
      <x:c r="L1294" s="28"/>
      <x:c r="M1294" s="28"/>
      <x:c r="N1294" s="28"/>
      <x:c r="O1294" s="28"/>
    </x:row>
    <x:row r="1295">
      <x:c r="B1295" s="26"/>
      <x:c r="I1295" s="27"/>
      <x:c r="K1295" s="28"/>
      <x:c r="L1295" s="28"/>
      <x:c r="M1295" s="28"/>
      <x:c r="N1295" s="28"/>
      <x:c r="O1295" s="28"/>
    </x:row>
    <x:row r="1296">
      <x:c r="B1296" s="26"/>
      <x:c r="I1296" s="27"/>
      <x:c r="K1296" s="28"/>
      <x:c r="L1296" s="28"/>
      <x:c r="M1296" s="28"/>
      <x:c r="N1296" s="28"/>
      <x:c r="O1296" s="28"/>
    </x:row>
    <x:row r="1297">
      <x:c r="B1297" s="26"/>
      <x:c r="I1297" s="27"/>
      <x:c r="K1297" s="28"/>
      <x:c r="L1297" s="28"/>
      <x:c r="M1297" s="28"/>
      <x:c r="N1297" s="28"/>
      <x:c r="O1297" s="28"/>
    </x:row>
    <x:row r="1298">
      <x:c r="B1298" s="26"/>
      <x:c r="I1298" s="27"/>
      <x:c r="K1298" s="28"/>
      <x:c r="L1298" s="28"/>
      <x:c r="M1298" s="28"/>
      <x:c r="N1298" s="28"/>
      <x:c r="O1298" s="28"/>
    </x:row>
    <x:row r="1299">
      <x:c r="B1299" s="26"/>
      <x:c r="I1299" s="27"/>
      <x:c r="K1299" s="28"/>
      <x:c r="L1299" s="28"/>
      <x:c r="M1299" s="28"/>
      <x:c r="N1299" s="28"/>
      <x:c r="O1299" s="28"/>
    </x:row>
    <x:row r="1300">
      <x:c r="B1300" s="26"/>
      <x:c r="I1300" s="27"/>
      <x:c r="K1300" s="28"/>
      <x:c r="L1300" s="28"/>
      <x:c r="M1300" s="28"/>
      <x:c r="N1300" s="28"/>
      <x:c r="O1300" s="28"/>
    </x:row>
    <x:row r="1301">
      <x:c r="B1301" s="26"/>
      <x:c r="I1301" s="27"/>
      <x:c r="K1301" s="28"/>
      <x:c r="L1301" s="28"/>
      <x:c r="M1301" s="28"/>
      <x:c r="N1301" s="28"/>
      <x:c r="O1301" s="28"/>
    </x:row>
    <x:row r="1302">
      <x:c r="B1302" s="26"/>
      <x:c r="I1302" s="27"/>
      <x:c r="K1302" s="28"/>
      <x:c r="L1302" s="28"/>
      <x:c r="M1302" s="28"/>
      <x:c r="N1302" s="28"/>
      <x:c r="O1302" s="28"/>
    </x:row>
    <x:row r="1303">
      <x:c r="B1303" s="26"/>
      <x:c r="I1303" s="27"/>
      <x:c r="K1303" s="28"/>
      <x:c r="L1303" s="28"/>
      <x:c r="M1303" s="28"/>
      <x:c r="N1303" s="28"/>
      <x:c r="O1303" s="28"/>
    </x:row>
    <x:row r="1304">
      <x:c r="B1304" s="26"/>
      <x:c r="I1304" s="27"/>
      <x:c r="K1304" s="28"/>
      <x:c r="L1304" s="28"/>
      <x:c r="M1304" s="28"/>
      <x:c r="N1304" s="28"/>
      <x:c r="O1304" s="28"/>
    </x:row>
    <x:row r="1305">
      <x:c r="B1305" s="26"/>
      <x:c r="I1305" s="27"/>
      <x:c r="K1305" s="28"/>
      <x:c r="L1305" s="28"/>
      <x:c r="M1305" s="28"/>
      <x:c r="N1305" s="28"/>
      <x:c r="O1305" s="28"/>
    </x:row>
    <x:row r="1306">
      <x:c r="B1306" s="26"/>
      <x:c r="I1306" s="27"/>
      <x:c r="K1306" s="28"/>
      <x:c r="L1306" s="28"/>
      <x:c r="M1306" s="28"/>
      <x:c r="N1306" s="28"/>
      <x:c r="O1306" s="28"/>
    </x:row>
    <x:row r="1307">
      <x:c r="B1307" s="26"/>
      <x:c r="I1307" s="27"/>
      <x:c r="K1307" s="28"/>
      <x:c r="L1307" s="28"/>
      <x:c r="M1307" s="28"/>
      <x:c r="N1307" s="28"/>
      <x:c r="O1307" s="28"/>
    </x:row>
    <x:row r="1308">
      <x:c r="B1308" s="26"/>
      <x:c r="I1308" s="27"/>
      <x:c r="K1308" s="28"/>
      <x:c r="L1308" s="28"/>
      <x:c r="M1308" s="28"/>
      <x:c r="N1308" s="28"/>
      <x:c r="O1308" s="28"/>
    </x:row>
    <x:row r="1309">
      <x:c r="B1309" s="26"/>
      <x:c r="I1309" s="27"/>
      <x:c r="K1309" s="28"/>
      <x:c r="L1309" s="28"/>
      <x:c r="M1309" s="28"/>
      <x:c r="N1309" s="28"/>
      <x:c r="O1309" s="28"/>
    </x:row>
    <x:row r="1310">
      <x:c r="B1310" s="26"/>
      <x:c r="I1310" s="27"/>
      <x:c r="K1310" s="28"/>
      <x:c r="L1310" s="28"/>
      <x:c r="M1310" s="28"/>
      <x:c r="N1310" s="28"/>
      <x:c r="O1310" s="28"/>
    </x:row>
    <x:row r="1311">
      <x:c r="B1311" s="26"/>
      <x:c r="I1311" s="27"/>
      <x:c r="K1311" s="28"/>
      <x:c r="L1311" s="28"/>
      <x:c r="M1311" s="28"/>
      <x:c r="N1311" s="28"/>
      <x:c r="O1311" s="28"/>
    </x:row>
    <x:row r="1312">
      <x:c r="B1312" s="26"/>
      <x:c r="I1312" s="27"/>
      <x:c r="K1312" s="28"/>
      <x:c r="L1312" s="28"/>
      <x:c r="M1312" s="28"/>
      <x:c r="N1312" s="28"/>
      <x:c r="O1312" s="28"/>
    </x:row>
    <x:row r="1313">
      <x:c r="B1313" s="26"/>
      <x:c r="I1313" s="27"/>
      <x:c r="K1313" s="28"/>
      <x:c r="L1313" s="28"/>
      <x:c r="M1313" s="28"/>
      <x:c r="N1313" s="28"/>
      <x:c r="O1313" s="28"/>
    </x:row>
    <x:row r="1314">
      <x:c r="B1314" s="26"/>
      <x:c r="I1314" s="27"/>
      <x:c r="K1314" s="28"/>
      <x:c r="L1314" s="28"/>
      <x:c r="M1314" s="28"/>
      <x:c r="N1314" s="28"/>
      <x:c r="O1314" s="28"/>
    </x:row>
    <x:row r="1315">
      <x:c r="B1315" s="26"/>
      <x:c r="I1315" s="27"/>
      <x:c r="K1315" s="28"/>
      <x:c r="L1315" s="28"/>
      <x:c r="M1315" s="28"/>
      <x:c r="N1315" s="28"/>
      <x:c r="O1315" s="28"/>
    </x:row>
    <x:row r="1316">
      <x:c r="B1316" s="26"/>
      <x:c r="I1316" s="27"/>
      <x:c r="K1316" s="28"/>
      <x:c r="L1316" s="28"/>
      <x:c r="M1316" s="28"/>
      <x:c r="N1316" s="28"/>
      <x:c r="O1316" s="28"/>
    </x:row>
    <x:row r="1317">
      <x:c r="B1317" s="26"/>
      <x:c r="I1317" s="27"/>
      <x:c r="K1317" s="28"/>
      <x:c r="L1317" s="28"/>
      <x:c r="M1317" s="28"/>
      <x:c r="N1317" s="28"/>
      <x:c r="O1317" s="28"/>
    </x:row>
    <x:row r="1318">
      <x:c r="B1318" s="26"/>
      <x:c r="I1318" s="27"/>
      <x:c r="K1318" s="28"/>
      <x:c r="L1318" s="28"/>
      <x:c r="M1318" s="28"/>
      <x:c r="N1318" s="28"/>
      <x:c r="O1318" s="28"/>
    </x:row>
    <x:row r="1319">
      <x:c r="B1319" s="26"/>
      <x:c r="I1319" s="27"/>
      <x:c r="K1319" s="28"/>
      <x:c r="L1319" s="28"/>
      <x:c r="M1319" s="28"/>
      <x:c r="N1319" s="28"/>
      <x:c r="O1319" s="28"/>
    </x:row>
    <x:row r="1320">
      <x:c r="B1320" s="26"/>
      <x:c r="I1320" s="27"/>
      <x:c r="K1320" s="28"/>
      <x:c r="L1320" s="28"/>
      <x:c r="M1320" s="28"/>
      <x:c r="N1320" s="28"/>
      <x:c r="O1320" s="28"/>
    </x:row>
    <x:row r="1321">
      <x:c r="B1321" s="26"/>
      <x:c r="I1321" s="27"/>
      <x:c r="K1321" s="28"/>
      <x:c r="L1321" s="28"/>
      <x:c r="M1321" s="28"/>
      <x:c r="N1321" s="28"/>
      <x:c r="O1321" s="28"/>
    </x:row>
    <x:row r="1322">
      <x:c r="B1322" s="26"/>
      <x:c r="I1322" s="27"/>
      <x:c r="K1322" s="28"/>
      <x:c r="L1322" s="28"/>
      <x:c r="M1322" s="28"/>
      <x:c r="N1322" s="28"/>
      <x:c r="O1322" s="28"/>
    </x:row>
    <x:row r="1323">
      <x:c r="B1323" s="26"/>
      <x:c r="I1323" s="27"/>
      <x:c r="K1323" s="28"/>
      <x:c r="L1323" s="28"/>
      <x:c r="M1323" s="28"/>
      <x:c r="N1323" s="28"/>
      <x:c r="O1323" s="28"/>
    </x:row>
    <x:row r="1324">
      <x:c r="B1324" s="26"/>
      <x:c r="I1324" s="27"/>
      <x:c r="K1324" s="28"/>
      <x:c r="L1324" s="28"/>
      <x:c r="M1324" s="28"/>
      <x:c r="N1324" s="28"/>
      <x:c r="O1324" s="28"/>
    </x:row>
    <x:row r="1325">
      <x:c r="B1325" s="26"/>
      <x:c r="I1325" s="27"/>
      <x:c r="K1325" s="28"/>
      <x:c r="L1325" s="28"/>
      <x:c r="M1325" s="28"/>
      <x:c r="N1325" s="28"/>
      <x:c r="O1325" s="28"/>
    </x:row>
    <x:row r="1326">
      <x:c r="B1326" s="26"/>
      <x:c r="I1326" s="27"/>
      <x:c r="K1326" s="28"/>
      <x:c r="L1326" s="28"/>
      <x:c r="M1326" s="28"/>
      <x:c r="N1326" s="28"/>
      <x:c r="O1326" s="28"/>
    </x:row>
    <x:row r="1327">
      <x:c r="B1327" s="26"/>
      <x:c r="I1327" s="27"/>
      <x:c r="K1327" s="28"/>
      <x:c r="L1327" s="28"/>
      <x:c r="M1327" s="28"/>
      <x:c r="N1327" s="28"/>
      <x:c r="O1327" s="28"/>
    </x:row>
    <x:row r="1328">
      <x:c r="B1328" s="26"/>
      <x:c r="I1328" s="27"/>
      <x:c r="K1328" s="28"/>
      <x:c r="L1328" s="28"/>
      <x:c r="M1328" s="28"/>
      <x:c r="N1328" s="28"/>
      <x:c r="O1328" s="28"/>
    </x:row>
    <x:row r="1329">
      <x:c r="B1329" s="26"/>
      <x:c r="I1329" s="27"/>
      <x:c r="K1329" s="28"/>
      <x:c r="L1329" s="28"/>
      <x:c r="M1329" s="28"/>
      <x:c r="N1329" s="28"/>
      <x:c r="O1329" s="28"/>
    </x:row>
    <x:row r="1330">
      <x:c r="B1330" s="26"/>
      <x:c r="I1330" s="27"/>
      <x:c r="K1330" s="28"/>
      <x:c r="L1330" s="28"/>
      <x:c r="M1330" s="28"/>
      <x:c r="N1330" s="28"/>
      <x:c r="O1330" s="28"/>
    </x:row>
    <x:row r="1331">
      <x:c r="B1331" s="26"/>
      <x:c r="I1331" s="27"/>
      <x:c r="K1331" s="28"/>
      <x:c r="L1331" s="28"/>
      <x:c r="M1331" s="28"/>
      <x:c r="N1331" s="28"/>
      <x:c r="O1331" s="28"/>
    </x:row>
    <x:row r="1332">
      <x:c r="B1332" s="26"/>
      <x:c r="I1332" s="27"/>
      <x:c r="K1332" s="28"/>
      <x:c r="L1332" s="28"/>
      <x:c r="M1332" s="28"/>
      <x:c r="N1332" s="28"/>
      <x:c r="O1332" s="28"/>
    </x:row>
    <x:row r="1333">
      <x:c r="B1333" s="26"/>
      <x:c r="I1333" s="27"/>
      <x:c r="K1333" s="28"/>
      <x:c r="L1333" s="28"/>
      <x:c r="M1333" s="28"/>
      <x:c r="N1333" s="28"/>
      <x:c r="O1333" s="28"/>
    </x:row>
    <x:row r="1334">
      <x:c r="B1334" s="26"/>
      <x:c r="I1334" s="27"/>
      <x:c r="K1334" s="28"/>
      <x:c r="L1334" s="28"/>
      <x:c r="M1334" s="28"/>
      <x:c r="N1334" s="28"/>
      <x:c r="O1334" s="28"/>
    </x:row>
    <x:row r="1335">
      <x:c r="B1335" s="26"/>
      <x:c r="I1335" s="27"/>
      <x:c r="K1335" s="28"/>
      <x:c r="L1335" s="28"/>
      <x:c r="M1335" s="28"/>
      <x:c r="N1335" s="28"/>
      <x:c r="O1335" s="28"/>
    </x:row>
    <x:row r="1336">
      <x:c r="B1336" s="26"/>
      <x:c r="I1336" s="27"/>
      <x:c r="K1336" s="28"/>
      <x:c r="L1336" s="28"/>
      <x:c r="M1336" s="28"/>
      <x:c r="N1336" s="28"/>
      <x:c r="O1336" s="28"/>
    </x:row>
    <x:row r="1337">
      <x:c r="B1337" s="26"/>
      <x:c r="I1337" s="27"/>
      <x:c r="K1337" s="28"/>
      <x:c r="L1337" s="28"/>
      <x:c r="M1337" s="28"/>
      <x:c r="N1337" s="28"/>
      <x:c r="O1337" s="28"/>
    </x:row>
    <x:row r="1338">
      <x:c r="B1338" s="26"/>
      <x:c r="I1338" s="27"/>
      <x:c r="K1338" s="28"/>
      <x:c r="L1338" s="28"/>
      <x:c r="M1338" s="28"/>
      <x:c r="N1338" s="28"/>
      <x:c r="O1338" s="28"/>
    </x:row>
    <x:row r="1339">
      <x:c r="B1339" s="26"/>
      <x:c r="I1339" s="27"/>
      <x:c r="K1339" s="28"/>
      <x:c r="L1339" s="28"/>
      <x:c r="M1339" s="28"/>
      <x:c r="N1339" s="28"/>
      <x:c r="O1339" s="28"/>
    </x:row>
    <x:row r="1340">
      <x:c r="B1340" s="26"/>
      <x:c r="I1340" s="27"/>
      <x:c r="K1340" s="28"/>
      <x:c r="L1340" s="28"/>
      <x:c r="M1340" s="28"/>
      <x:c r="N1340" s="28"/>
      <x:c r="O1340" s="28"/>
    </x:row>
    <x:row r="1341">
      <x:c r="B1341" s="26"/>
      <x:c r="I1341" s="27"/>
      <x:c r="K1341" s="28"/>
      <x:c r="L1341" s="28"/>
      <x:c r="M1341" s="28"/>
      <x:c r="N1341" s="28"/>
      <x:c r="O1341" s="28"/>
    </x:row>
    <x:row r="1342">
      <x:c r="B1342" s="26"/>
      <x:c r="I1342" s="27"/>
      <x:c r="K1342" s="28"/>
      <x:c r="L1342" s="28"/>
      <x:c r="M1342" s="28"/>
      <x:c r="N1342" s="28"/>
      <x:c r="O1342" s="28"/>
    </x:row>
    <x:row r="1343">
      <x:c r="B1343" s="26"/>
      <x:c r="I1343" s="27"/>
      <x:c r="K1343" s="28"/>
      <x:c r="L1343" s="28"/>
      <x:c r="M1343" s="28"/>
      <x:c r="N1343" s="28"/>
      <x:c r="O1343" s="28"/>
    </x:row>
    <x:row r="1344">
      <x:c r="B1344" s="26"/>
      <x:c r="I1344" s="27"/>
      <x:c r="K1344" s="28"/>
      <x:c r="L1344" s="28"/>
      <x:c r="M1344" s="28"/>
      <x:c r="N1344" s="28"/>
      <x:c r="O1344" s="28"/>
    </x:row>
    <x:row r="1345">
      <x:c r="B1345" s="26"/>
      <x:c r="I1345" s="27"/>
      <x:c r="K1345" s="28"/>
      <x:c r="L1345" s="28"/>
      <x:c r="M1345" s="28"/>
      <x:c r="N1345" s="28"/>
      <x:c r="O1345" s="28"/>
    </x:row>
    <x:row r="1346">
      <x:c r="B1346" s="26"/>
      <x:c r="I1346" s="27"/>
      <x:c r="K1346" s="28"/>
      <x:c r="L1346" s="28"/>
      <x:c r="M1346" s="28"/>
      <x:c r="N1346" s="28"/>
      <x:c r="O1346" s="28"/>
    </x:row>
    <x:row r="1347">
      <x:c r="B1347" s="26"/>
      <x:c r="I1347" s="27"/>
      <x:c r="K1347" s="28"/>
      <x:c r="L1347" s="28"/>
      <x:c r="M1347" s="28"/>
      <x:c r="N1347" s="28"/>
      <x:c r="O1347" s="28"/>
    </x:row>
    <x:row r="1348">
      <x:c r="B1348" s="26"/>
      <x:c r="I1348" s="27"/>
      <x:c r="K1348" s="28"/>
      <x:c r="L1348" s="28"/>
      <x:c r="M1348" s="28"/>
      <x:c r="N1348" s="28"/>
      <x:c r="O1348" s="28"/>
    </x:row>
    <x:row r="1349">
      <x:c r="B1349" s="26"/>
      <x:c r="I1349" s="27"/>
      <x:c r="K1349" s="28"/>
      <x:c r="L1349" s="28"/>
      <x:c r="M1349" s="28"/>
      <x:c r="N1349" s="28"/>
      <x:c r="O1349" s="28"/>
    </x:row>
    <x:row r="1350">
      <x:c r="B1350" s="26"/>
      <x:c r="I1350" s="27"/>
      <x:c r="K1350" s="28"/>
      <x:c r="L1350" s="28"/>
      <x:c r="M1350" s="28"/>
      <x:c r="N1350" s="28"/>
      <x:c r="O1350" s="28"/>
    </x:row>
    <x:row r="1351">
      <x:c r="B1351" s="26"/>
      <x:c r="I1351" s="27"/>
      <x:c r="K1351" s="28"/>
      <x:c r="L1351" s="28"/>
      <x:c r="M1351" s="28"/>
      <x:c r="N1351" s="28"/>
      <x:c r="O1351" s="28"/>
    </x:row>
    <x:row r="1352">
      <x:c r="B1352" s="26"/>
      <x:c r="I1352" s="27"/>
      <x:c r="K1352" s="28"/>
      <x:c r="L1352" s="28"/>
      <x:c r="M1352" s="28"/>
      <x:c r="N1352" s="28"/>
      <x:c r="O1352" s="28"/>
    </x:row>
    <x:row r="1353">
      <x:c r="B1353" s="26"/>
      <x:c r="I1353" s="27"/>
      <x:c r="K1353" s="28"/>
      <x:c r="L1353" s="28"/>
      <x:c r="M1353" s="28"/>
      <x:c r="N1353" s="28"/>
      <x:c r="O1353" s="28"/>
    </x:row>
    <x:row r="1354">
      <x:c r="B1354" s="26"/>
      <x:c r="I1354" s="27"/>
      <x:c r="K1354" s="28"/>
      <x:c r="L1354" s="28"/>
      <x:c r="M1354" s="28"/>
      <x:c r="N1354" s="28"/>
      <x:c r="O1354" s="28"/>
    </x:row>
    <x:row r="1355">
      <x:c r="B1355" s="26"/>
      <x:c r="I1355" s="27"/>
      <x:c r="K1355" s="28"/>
      <x:c r="L1355" s="28"/>
      <x:c r="M1355" s="28"/>
      <x:c r="N1355" s="28"/>
      <x:c r="O1355" s="28"/>
    </x:row>
    <x:row r="1356">
      <x:c r="B1356" s="26"/>
      <x:c r="I1356" s="27"/>
      <x:c r="K1356" s="28"/>
      <x:c r="L1356" s="28"/>
      <x:c r="M1356" s="28"/>
      <x:c r="N1356" s="28"/>
      <x:c r="O1356" s="28"/>
    </x:row>
    <x:row r="1357">
      <x:c r="B1357" s="26"/>
      <x:c r="I1357" s="27"/>
      <x:c r="K1357" s="28"/>
      <x:c r="L1357" s="28"/>
      <x:c r="M1357" s="28"/>
      <x:c r="N1357" s="28"/>
      <x:c r="O1357" s="28"/>
    </x:row>
    <x:row r="1358">
      <x:c r="B1358" s="26"/>
      <x:c r="I1358" s="27"/>
      <x:c r="K1358" s="28"/>
      <x:c r="L1358" s="28"/>
      <x:c r="M1358" s="28"/>
      <x:c r="N1358" s="28"/>
      <x:c r="O1358" s="28"/>
    </x:row>
    <x:row r="1359">
      <x:c r="B1359" s="26"/>
      <x:c r="I1359" s="27"/>
      <x:c r="K1359" s="28"/>
      <x:c r="L1359" s="28"/>
      <x:c r="M1359" s="28"/>
      <x:c r="N1359" s="28"/>
      <x:c r="O1359" s="28"/>
    </x:row>
    <x:row r="1360">
      <x:c r="B1360" s="26"/>
      <x:c r="I1360" s="27"/>
      <x:c r="K1360" s="28"/>
      <x:c r="L1360" s="28"/>
      <x:c r="M1360" s="28"/>
      <x:c r="N1360" s="28"/>
      <x:c r="O1360" s="28"/>
    </x:row>
    <x:row r="1361">
      <x:c r="B1361" s="26"/>
      <x:c r="I1361" s="27"/>
      <x:c r="K1361" s="28"/>
      <x:c r="L1361" s="28"/>
      <x:c r="M1361" s="28"/>
      <x:c r="N1361" s="28"/>
      <x:c r="O1361" s="28"/>
    </x:row>
    <x:row r="1362">
      <x:c r="B1362" s="26"/>
      <x:c r="I1362" s="27"/>
      <x:c r="K1362" s="28"/>
      <x:c r="L1362" s="28"/>
      <x:c r="M1362" s="28"/>
      <x:c r="N1362" s="28"/>
      <x:c r="O1362" s="28"/>
    </x:row>
    <x:row r="1363">
      <x:c r="B1363" s="26"/>
      <x:c r="I1363" s="27"/>
      <x:c r="K1363" s="28"/>
      <x:c r="L1363" s="28"/>
      <x:c r="M1363" s="28"/>
      <x:c r="N1363" s="28"/>
      <x:c r="O1363" s="28"/>
    </x:row>
    <x:row r="1364">
      <x:c r="B1364" s="26"/>
      <x:c r="I1364" s="27"/>
      <x:c r="K1364" s="28"/>
      <x:c r="L1364" s="28"/>
      <x:c r="M1364" s="28"/>
      <x:c r="N1364" s="28"/>
      <x:c r="O1364" s="28"/>
    </x:row>
    <x:row r="1365">
      <x:c r="B1365" s="26"/>
      <x:c r="I1365" s="27"/>
      <x:c r="K1365" s="28"/>
      <x:c r="L1365" s="28"/>
      <x:c r="M1365" s="28"/>
      <x:c r="N1365" s="28"/>
      <x:c r="O1365" s="28"/>
    </x:row>
    <x:row r="1366">
      <x:c r="B1366" s="26"/>
      <x:c r="I1366" s="27"/>
      <x:c r="K1366" s="28"/>
      <x:c r="L1366" s="28"/>
      <x:c r="M1366" s="28"/>
      <x:c r="N1366" s="28"/>
      <x:c r="O1366" s="28"/>
    </x:row>
    <x:row r="1367">
      <x:c r="B1367" s="26"/>
      <x:c r="I1367" s="27"/>
      <x:c r="K1367" s="28"/>
      <x:c r="L1367" s="28"/>
      <x:c r="M1367" s="28"/>
      <x:c r="N1367" s="28"/>
      <x:c r="O1367" s="28"/>
    </x:row>
    <x:row r="1368">
      <x:c r="B1368" s="26"/>
      <x:c r="I1368" s="27"/>
      <x:c r="K1368" s="28"/>
      <x:c r="L1368" s="28"/>
      <x:c r="M1368" s="28"/>
      <x:c r="N1368" s="28"/>
      <x:c r="O1368" s="28"/>
    </x:row>
    <x:row r="1369">
      <x:c r="B1369" s="26"/>
      <x:c r="I1369" s="27"/>
      <x:c r="K1369" s="28"/>
      <x:c r="L1369" s="28"/>
      <x:c r="M1369" s="28"/>
      <x:c r="N1369" s="28"/>
      <x:c r="O1369" s="28"/>
    </x:row>
    <x:row r="1370">
      <x:c r="B1370" s="26"/>
      <x:c r="I1370" s="27"/>
      <x:c r="K1370" s="28"/>
      <x:c r="L1370" s="28"/>
      <x:c r="M1370" s="28"/>
      <x:c r="N1370" s="28"/>
      <x:c r="O1370" s="28"/>
    </x:row>
    <x:row r="1371">
      <x:c r="B1371" s="26"/>
      <x:c r="I1371" s="27"/>
      <x:c r="K1371" s="28"/>
      <x:c r="L1371" s="28"/>
      <x:c r="M1371" s="28"/>
      <x:c r="N1371" s="28"/>
      <x:c r="O1371" s="28"/>
    </x:row>
    <x:row r="1372">
      <x:c r="B1372" s="26"/>
      <x:c r="I1372" s="27"/>
      <x:c r="K1372" s="28"/>
      <x:c r="L1372" s="28"/>
      <x:c r="M1372" s="28"/>
      <x:c r="N1372" s="28"/>
      <x:c r="O1372" s="28"/>
    </x:row>
    <x:row r="1373">
      <x:c r="B1373" s="26"/>
      <x:c r="I1373" s="27"/>
      <x:c r="K1373" s="28"/>
      <x:c r="L1373" s="28"/>
      <x:c r="M1373" s="28"/>
      <x:c r="N1373" s="28"/>
      <x:c r="O1373" s="28"/>
    </x:row>
    <x:row r="1374">
      <x:c r="B1374" s="26"/>
      <x:c r="I1374" s="27"/>
      <x:c r="K1374" s="28"/>
      <x:c r="L1374" s="28"/>
      <x:c r="M1374" s="28"/>
      <x:c r="N1374" s="28"/>
      <x:c r="O1374" s="28"/>
    </x:row>
    <x:row r="1375">
      <x:c r="B1375" s="26"/>
      <x:c r="I1375" s="27"/>
      <x:c r="K1375" s="28"/>
      <x:c r="L1375" s="28"/>
      <x:c r="M1375" s="28"/>
      <x:c r="N1375" s="28"/>
      <x:c r="O1375" s="28"/>
    </x:row>
    <x:row r="1376">
      <x:c r="B1376" s="26"/>
      <x:c r="I1376" s="27"/>
      <x:c r="K1376" s="28"/>
      <x:c r="L1376" s="28"/>
      <x:c r="M1376" s="28"/>
      <x:c r="N1376" s="28"/>
      <x:c r="O1376" s="28"/>
    </x:row>
    <x:row r="1377">
      <x:c r="B1377" s="26"/>
      <x:c r="I1377" s="27"/>
      <x:c r="K1377" s="28"/>
      <x:c r="L1377" s="28"/>
      <x:c r="M1377" s="28"/>
      <x:c r="N1377" s="28"/>
      <x:c r="O1377" s="28"/>
    </x:row>
    <x:row r="1378">
      <x:c r="B1378" s="26"/>
      <x:c r="I1378" s="27"/>
      <x:c r="K1378" s="28"/>
      <x:c r="L1378" s="28"/>
      <x:c r="M1378" s="28"/>
      <x:c r="N1378" s="28"/>
      <x:c r="O1378" s="28"/>
    </x:row>
    <x:row r="1379">
      <x:c r="B1379" s="26"/>
      <x:c r="I1379" s="27"/>
      <x:c r="K1379" s="28"/>
      <x:c r="L1379" s="28"/>
      <x:c r="M1379" s="28"/>
      <x:c r="N1379" s="28"/>
      <x:c r="O1379" s="28"/>
    </x:row>
    <x:row r="1380">
      <x:c r="B1380" s="26"/>
      <x:c r="I1380" s="27"/>
      <x:c r="K1380" s="28"/>
      <x:c r="L1380" s="28"/>
      <x:c r="M1380" s="28"/>
      <x:c r="N1380" s="28"/>
      <x:c r="O1380" s="28"/>
    </x:row>
    <x:row r="1381">
      <x:c r="B1381" s="26"/>
      <x:c r="I1381" s="27"/>
      <x:c r="K1381" s="28"/>
      <x:c r="L1381" s="28"/>
      <x:c r="M1381" s="28"/>
      <x:c r="N1381" s="28"/>
      <x:c r="O1381" s="28"/>
    </x:row>
    <x:row r="1382">
      <x:c r="B1382" s="26"/>
      <x:c r="I1382" s="27"/>
      <x:c r="K1382" s="28"/>
      <x:c r="L1382" s="28"/>
      <x:c r="M1382" s="28"/>
      <x:c r="N1382" s="28"/>
      <x:c r="O1382" s="28"/>
    </x:row>
    <x:row r="1383">
      <x:c r="B1383" s="26"/>
      <x:c r="I1383" s="27"/>
      <x:c r="K1383" s="28"/>
      <x:c r="L1383" s="28"/>
      <x:c r="M1383" s="28"/>
      <x:c r="N1383" s="28"/>
      <x:c r="O1383" s="28"/>
    </x:row>
    <x:row r="1384">
      <x:c r="B1384" s="26"/>
      <x:c r="I1384" s="27"/>
      <x:c r="K1384" s="28"/>
      <x:c r="L1384" s="28"/>
      <x:c r="M1384" s="28"/>
      <x:c r="N1384" s="28"/>
      <x:c r="O1384" s="28"/>
    </x:row>
    <x:row r="1385">
      <x:c r="B1385" s="26"/>
      <x:c r="I1385" s="27"/>
      <x:c r="K1385" s="28"/>
      <x:c r="L1385" s="28"/>
      <x:c r="M1385" s="28"/>
      <x:c r="N1385" s="28"/>
      <x:c r="O1385" s="28"/>
    </x:row>
    <x:row r="1386">
      <x:c r="B1386" s="26"/>
      <x:c r="I1386" s="27"/>
      <x:c r="K1386" s="28"/>
      <x:c r="L1386" s="28"/>
      <x:c r="M1386" s="28"/>
      <x:c r="N1386" s="28"/>
      <x:c r="O1386" s="28"/>
    </x:row>
    <x:row r="1387">
      <x:c r="B1387" s="26"/>
      <x:c r="I1387" s="27"/>
      <x:c r="K1387" s="28"/>
      <x:c r="L1387" s="28"/>
      <x:c r="M1387" s="28"/>
      <x:c r="N1387" s="28"/>
      <x:c r="O1387" s="28"/>
    </x:row>
    <x:row r="1388">
      <x:c r="B1388" s="26"/>
      <x:c r="I1388" s="27"/>
      <x:c r="K1388" s="28"/>
      <x:c r="L1388" s="28"/>
      <x:c r="M1388" s="28"/>
      <x:c r="N1388" s="28"/>
      <x:c r="O1388" s="28"/>
    </x:row>
    <x:row r="1389">
      <x:c r="B1389" s="26"/>
      <x:c r="I1389" s="27"/>
      <x:c r="K1389" s="28"/>
      <x:c r="L1389" s="28"/>
      <x:c r="M1389" s="28"/>
      <x:c r="N1389" s="28"/>
      <x:c r="O1389" s="28"/>
    </x:row>
    <x:row r="1390">
      <x:c r="B1390" s="26"/>
      <x:c r="I1390" s="27"/>
      <x:c r="K1390" s="28"/>
      <x:c r="L1390" s="28"/>
      <x:c r="M1390" s="28"/>
      <x:c r="N1390" s="28"/>
      <x:c r="O1390" s="28"/>
    </x:row>
    <x:row r="1391">
      <x:c r="B1391" s="26"/>
      <x:c r="I1391" s="27"/>
      <x:c r="K1391" s="28"/>
      <x:c r="L1391" s="28"/>
      <x:c r="M1391" s="28"/>
      <x:c r="N1391" s="28"/>
      <x:c r="O1391" s="28"/>
    </x:row>
    <x:row r="1392">
      <x:c r="B1392" s="26"/>
      <x:c r="I1392" s="27"/>
      <x:c r="K1392" s="28"/>
      <x:c r="L1392" s="28"/>
      <x:c r="M1392" s="28"/>
      <x:c r="N1392" s="28"/>
      <x:c r="O1392" s="28"/>
    </x:row>
    <x:row r="1393">
      <x:c r="B1393" s="26"/>
      <x:c r="I1393" s="27"/>
      <x:c r="K1393" s="28"/>
      <x:c r="L1393" s="28"/>
      <x:c r="M1393" s="28"/>
      <x:c r="N1393" s="28"/>
      <x:c r="O1393" s="28"/>
    </x:row>
    <x:row r="1394">
      <x:c r="B1394" s="26"/>
      <x:c r="I1394" s="27"/>
      <x:c r="K1394" s="28"/>
      <x:c r="L1394" s="28"/>
      <x:c r="M1394" s="28"/>
      <x:c r="N1394" s="28"/>
      <x:c r="O1394" s="28"/>
    </x:row>
    <x:row r="1395">
      <x:c r="B1395" s="26"/>
      <x:c r="I1395" s="27"/>
      <x:c r="K1395" s="28"/>
      <x:c r="L1395" s="28"/>
      <x:c r="M1395" s="28"/>
      <x:c r="N1395" s="28"/>
      <x:c r="O1395" s="28"/>
    </x:row>
    <x:row r="1396">
      <x:c r="B1396" s="26"/>
      <x:c r="I1396" s="27"/>
      <x:c r="K1396" s="28"/>
      <x:c r="L1396" s="28"/>
      <x:c r="M1396" s="28"/>
      <x:c r="N1396" s="28"/>
      <x:c r="O1396" s="28"/>
    </x:row>
    <x:row r="1397">
      <x:c r="B1397" s="26"/>
      <x:c r="I1397" s="27"/>
      <x:c r="K1397" s="28"/>
      <x:c r="L1397" s="28"/>
      <x:c r="M1397" s="28"/>
      <x:c r="N1397" s="28"/>
      <x:c r="O1397" s="28"/>
    </x:row>
    <x:row r="1398">
      <x:c r="B1398" s="26"/>
      <x:c r="I1398" s="27"/>
      <x:c r="K1398" s="28"/>
      <x:c r="L1398" s="28"/>
      <x:c r="M1398" s="28"/>
      <x:c r="N1398" s="28"/>
      <x:c r="O1398" s="28"/>
    </x:row>
    <x:row r="1399">
      <x:c r="B1399" s="26"/>
      <x:c r="I1399" s="27"/>
      <x:c r="K1399" s="28"/>
      <x:c r="L1399" s="28"/>
      <x:c r="M1399" s="28"/>
      <x:c r="N1399" s="28"/>
      <x:c r="O1399" s="28"/>
    </x:row>
    <x:row r="1400">
      <x:c r="B1400" s="26"/>
      <x:c r="I1400" s="27"/>
      <x:c r="K1400" s="28"/>
      <x:c r="L1400" s="28"/>
      <x:c r="M1400" s="28"/>
      <x:c r="N1400" s="28"/>
      <x:c r="O1400" s="28"/>
    </x:row>
    <x:row r="1401">
      <x:c r="B1401" s="26"/>
      <x:c r="I1401" s="27"/>
      <x:c r="K1401" s="28"/>
      <x:c r="L1401" s="28"/>
      <x:c r="M1401" s="28"/>
      <x:c r="N1401" s="28"/>
      <x:c r="O1401" s="28"/>
    </x:row>
    <x:row r="1402">
      <x:c r="B1402" s="26"/>
      <x:c r="I1402" s="27"/>
      <x:c r="K1402" s="28"/>
      <x:c r="L1402" s="28"/>
      <x:c r="M1402" s="28"/>
      <x:c r="N1402" s="28"/>
      <x:c r="O1402" s="28"/>
    </x:row>
    <x:row r="1403">
      <x:c r="B1403" s="26"/>
      <x:c r="I1403" s="27"/>
      <x:c r="K1403" s="28"/>
      <x:c r="L1403" s="28"/>
      <x:c r="M1403" s="28"/>
      <x:c r="N1403" s="28"/>
      <x:c r="O1403" s="28"/>
    </x:row>
    <x:row r="1404">
      <x:c r="B1404" s="26"/>
      <x:c r="I1404" s="27"/>
      <x:c r="K1404" s="28"/>
      <x:c r="L1404" s="28"/>
      <x:c r="M1404" s="28"/>
      <x:c r="N1404" s="28"/>
      <x:c r="O1404" s="28"/>
    </x:row>
    <x:row r="1405">
      <x:c r="B1405" s="26"/>
      <x:c r="I1405" s="27"/>
      <x:c r="K1405" s="28"/>
      <x:c r="L1405" s="28"/>
      <x:c r="M1405" s="28"/>
      <x:c r="N1405" s="28"/>
      <x:c r="O1405" s="28"/>
    </x:row>
    <x:row r="1406">
      <x:c r="B1406" s="26"/>
      <x:c r="I1406" s="27"/>
      <x:c r="K1406" s="28"/>
      <x:c r="L1406" s="28"/>
      <x:c r="M1406" s="28"/>
      <x:c r="N1406" s="28"/>
      <x:c r="O1406" s="28"/>
    </x:row>
    <x:row r="1407">
      <x:c r="B1407" s="26"/>
      <x:c r="I1407" s="27"/>
      <x:c r="K1407" s="28"/>
      <x:c r="L1407" s="28"/>
      <x:c r="M1407" s="28"/>
      <x:c r="N1407" s="28"/>
      <x:c r="O1407" s="28"/>
    </x:row>
    <x:row r="1408">
      <x:c r="B1408" s="26"/>
      <x:c r="I1408" s="27"/>
      <x:c r="K1408" s="28"/>
      <x:c r="L1408" s="28"/>
      <x:c r="M1408" s="28"/>
      <x:c r="N1408" s="28"/>
      <x:c r="O1408" s="28"/>
    </x:row>
    <x:row r="1409">
      <x:c r="B1409" s="26"/>
      <x:c r="I1409" s="27"/>
      <x:c r="K1409" s="28"/>
      <x:c r="L1409" s="28"/>
      <x:c r="M1409" s="28"/>
      <x:c r="N1409" s="28"/>
      <x:c r="O1409" s="28"/>
    </x:row>
    <x:row r="1410">
      <x:c r="B1410" s="26"/>
      <x:c r="I1410" s="27"/>
      <x:c r="K1410" s="28"/>
      <x:c r="L1410" s="28"/>
      <x:c r="M1410" s="28"/>
      <x:c r="N1410" s="28"/>
      <x:c r="O1410" s="28"/>
    </x:row>
    <x:row r="1411">
      <x:c r="B1411" s="26"/>
      <x:c r="I1411" s="27"/>
      <x:c r="K1411" s="28"/>
      <x:c r="L1411" s="28"/>
      <x:c r="M1411" s="28"/>
      <x:c r="N1411" s="28"/>
      <x:c r="O1411" s="28"/>
    </x:row>
    <x:row r="1412">
      <x:c r="B1412" s="26"/>
      <x:c r="I1412" s="27"/>
      <x:c r="K1412" s="28"/>
      <x:c r="L1412" s="28"/>
      <x:c r="M1412" s="28"/>
      <x:c r="N1412" s="28"/>
      <x:c r="O1412" s="28"/>
    </x:row>
    <x:row r="1413">
      <x:c r="B1413" s="26"/>
      <x:c r="I1413" s="27"/>
      <x:c r="K1413" s="28"/>
      <x:c r="L1413" s="28"/>
      <x:c r="M1413" s="28"/>
      <x:c r="N1413" s="28"/>
      <x:c r="O1413" s="28"/>
    </x:row>
    <x:row r="1414">
      <x:c r="B1414" s="26"/>
      <x:c r="I1414" s="27"/>
      <x:c r="K1414" s="28"/>
      <x:c r="L1414" s="28"/>
      <x:c r="M1414" s="28"/>
      <x:c r="N1414" s="28"/>
      <x:c r="O1414" s="28"/>
    </x:row>
    <x:row r="1415">
      <x:c r="B1415" s="26"/>
      <x:c r="I1415" s="27"/>
      <x:c r="K1415" s="28"/>
      <x:c r="L1415" s="28"/>
      <x:c r="M1415" s="28"/>
      <x:c r="N1415" s="28"/>
      <x:c r="O1415" s="28"/>
    </x:row>
    <x:row r="1416">
      <x:c r="B1416" s="26"/>
      <x:c r="I1416" s="27"/>
      <x:c r="K1416" s="28"/>
      <x:c r="L1416" s="28"/>
      <x:c r="M1416" s="28"/>
      <x:c r="N1416" s="28"/>
      <x:c r="O1416" s="28"/>
    </x:row>
    <x:row r="1417">
      <x:c r="B1417" s="26"/>
      <x:c r="I1417" s="27"/>
      <x:c r="K1417" s="28"/>
      <x:c r="L1417" s="28"/>
      <x:c r="M1417" s="28"/>
      <x:c r="N1417" s="28"/>
      <x:c r="O1417" s="28"/>
    </x:row>
    <x:row r="1418">
      <x:c r="B1418" s="26"/>
      <x:c r="I1418" s="27"/>
      <x:c r="K1418" s="28"/>
      <x:c r="L1418" s="28"/>
      <x:c r="M1418" s="28"/>
      <x:c r="N1418" s="28"/>
      <x:c r="O1418" s="28"/>
    </x:row>
    <x:row r="1419">
      <x:c r="B1419" s="26"/>
      <x:c r="I1419" s="27"/>
      <x:c r="K1419" s="28"/>
      <x:c r="L1419" s="28"/>
      <x:c r="M1419" s="28"/>
      <x:c r="N1419" s="28"/>
      <x:c r="O1419" s="28"/>
    </x:row>
    <x:row r="1420">
      <x:c r="B1420" s="26"/>
      <x:c r="I1420" s="27"/>
      <x:c r="K1420" s="28"/>
      <x:c r="L1420" s="28"/>
      <x:c r="M1420" s="28"/>
      <x:c r="N1420" s="28"/>
      <x:c r="O1420" s="28"/>
    </x:row>
    <x:row r="1421">
      <x:c r="B1421" s="26"/>
      <x:c r="I1421" s="27"/>
      <x:c r="K1421" s="28"/>
      <x:c r="L1421" s="28"/>
      <x:c r="M1421" s="28"/>
      <x:c r="N1421" s="28"/>
      <x:c r="O1421" s="28"/>
    </x:row>
    <x:row r="1422">
      <x:c r="B1422" s="26"/>
      <x:c r="I1422" s="27"/>
      <x:c r="K1422" s="28"/>
      <x:c r="L1422" s="28"/>
      <x:c r="M1422" s="28"/>
      <x:c r="N1422" s="28"/>
      <x:c r="O1422" s="28"/>
    </x:row>
    <x:row r="1423">
      <x:c r="B1423" s="26"/>
      <x:c r="I1423" s="27"/>
      <x:c r="K1423" s="28"/>
      <x:c r="L1423" s="28"/>
      <x:c r="M1423" s="28"/>
      <x:c r="N1423" s="28"/>
      <x:c r="O1423" s="28"/>
    </x:row>
    <x:row r="1424">
      <x:c r="B1424" s="26"/>
      <x:c r="I1424" s="27"/>
      <x:c r="K1424" s="28"/>
      <x:c r="L1424" s="28"/>
      <x:c r="M1424" s="28"/>
      <x:c r="N1424" s="28"/>
      <x:c r="O1424" s="28"/>
    </x:row>
    <x:row r="1425">
      <x:c r="B1425" s="26"/>
      <x:c r="I1425" s="27"/>
      <x:c r="K1425" s="28"/>
      <x:c r="L1425" s="28"/>
      <x:c r="M1425" s="28"/>
      <x:c r="N1425" s="28"/>
      <x:c r="O1425" s="28"/>
    </x:row>
    <x:row r="1426">
      <x:c r="B1426" s="26"/>
      <x:c r="I1426" s="27"/>
      <x:c r="K1426" s="28"/>
      <x:c r="L1426" s="28"/>
      <x:c r="M1426" s="28"/>
      <x:c r="N1426" s="28"/>
      <x:c r="O1426" s="28"/>
    </x:row>
    <x:row r="1427">
      <x:c r="B1427" s="26"/>
      <x:c r="I1427" s="27"/>
      <x:c r="K1427" s="28"/>
      <x:c r="L1427" s="28"/>
      <x:c r="M1427" s="28"/>
      <x:c r="N1427" s="28"/>
      <x:c r="O1427" s="28"/>
    </x:row>
    <x:row r="1428">
      <x:c r="B1428" s="26"/>
      <x:c r="I1428" s="27"/>
      <x:c r="K1428" s="28"/>
      <x:c r="L1428" s="28"/>
      <x:c r="M1428" s="28"/>
      <x:c r="N1428" s="28"/>
      <x:c r="O1428" s="28"/>
    </x:row>
    <x:row r="1429">
      <x:c r="B1429" s="26"/>
      <x:c r="I1429" s="27"/>
      <x:c r="K1429" s="28"/>
      <x:c r="L1429" s="28"/>
      <x:c r="M1429" s="28"/>
      <x:c r="N1429" s="28"/>
      <x:c r="O1429" s="28"/>
    </x:row>
    <x:row r="1430">
      <x:c r="B1430" s="26"/>
      <x:c r="I1430" s="27"/>
      <x:c r="K1430" s="28"/>
      <x:c r="L1430" s="28"/>
      <x:c r="M1430" s="28"/>
      <x:c r="N1430" s="28"/>
      <x:c r="O1430" s="28"/>
    </x:row>
    <x:row r="1431">
      <x:c r="B1431" s="26"/>
      <x:c r="I1431" s="27"/>
      <x:c r="K1431" s="28"/>
      <x:c r="L1431" s="28"/>
      <x:c r="M1431" s="28"/>
      <x:c r="N1431" s="28"/>
      <x:c r="O1431" s="28"/>
    </x:row>
    <x:row r="1432">
      <x:c r="B1432" s="26"/>
      <x:c r="I1432" s="27"/>
      <x:c r="K1432" s="28"/>
      <x:c r="L1432" s="28"/>
      <x:c r="M1432" s="28"/>
      <x:c r="N1432" s="28"/>
      <x:c r="O1432" s="28"/>
    </x:row>
    <x:row r="1433">
      <x:c r="B1433" s="26"/>
      <x:c r="I1433" s="27"/>
      <x:c r="K1433" s="28"/>
      <x:c r="L1433" s="28"/>
      <x:c r="M1433" s="28"/>
      <x:c r="N1433" s="28"/>
      <x:c r="O1433" s="28"/>
    </x:row>
    <x:row r="1434">
      <x:c r="B1434" s="26"/>
      <x:c r="I1434" s="27"/>
      <x:c r="K1434" s="28"/>
      <x:c r="L1434" s="28"/>
      <x:c r="M1434" s="28"/>
      <x:c r="N1434" s="28"/>
      <x:c r="O1434" s="28"/>
    </x:row>
    <x:row r="1435">
      <x:c r="B1435" s="26"/>
      <x:c r="I1435" s="27"/>
      <x:c r="K1435" s="28"/>
      <x:c r="L1435" s="28"/>
      <x:c r="M1435" s="28"/>
      <x:c r="N1435" s="28"/>
      <x:c r="O1435" s="28"/>
    </x:row>
    <x:row r="1436">
      <x:c r="B1436" s="26"/>
      <x:c r="I1436" s="27"/>
      <x:c r="K1436" s="28"/>
      <x:c r="L1436" s="28"/>
      <x:c r="M1436" s="28"/>
      <x:c r="N1436" s="28"/>
      <x:c r="O1436" s="28"/>
    </x:row>
    <x:row r="1437">
      <x:c r="B1437" s="26"/>
      <x:c r="I1437" s="27"/>
      <x:c r="K1437" s="28"/>
      <x:c r="L1437" s="28"/>
      <x:c r="M1437" s="28"/>
      <x:c r="N1437" s="28"/>
      <x:c r="O1437" s="28"/>
    </x:row>
    <x:row r="1438">
      <x:c r="B1438" s="26"/>
      <x:c r="I1438" s="27"/>
      <x:c r="K1438" s="28"/>
      <x:c r="L1438" s="28"/>
      <x:c r="M1438" s="28"/>
      <x:c r="N1438" s="28"/>
      <x:c r="O1438" s="28"/>
    </x:row>
    <x:row r="1439">
      <x:c r="B1439" s="26"/>
      <x:c r="I1439" s="27"/>
      <x:c r="K1439" s="28"/>
      <x:c r="L1439" s="28"/>
      <x:c r="M1439" s="28"/>
      <x:c r="N1439" s="28"/>
      <x:c r="O1439" s="28"/>
    </x:row>
    <x:row r="1440">
      <x:c r="B1440" s="26"/>
      <x:c r="I1440" s="27"/>
      <x:c r="K1440" s="28"/>
      <x:c r="L1440" s="28"/>
      <x:c r="M1440" s="28"/>
      <x:c r="N1440" s="28"/>
      <x:c r="O1440" s="28"/>
    </x:row>
    <x:row r="1441">
      <x:c r="B1441" s="26"/>
      <x:c r="I1441" s="27"/>
      <x:c r="K1441" s="28"/>
      <x:c r="L1441" s="28"/>
      <x:c r="M1441" s="28"/>
      <x:c r="N1441" s="28"/>
      <x:c r="O1441" s="28"/>
    </x:row>
    <x:row r="1442">
      <x:c r="B1442" s="26"/>
      <x:c r="I1442" s="27"/>
      <x:c r="K1442" s="28"/>
      <x:c r="L1442" s="28"/>
      <x:c r="M1442" s="28"/>
      <x:c r="N1442" s="28"/>
      <x:c r="O1442" s="28"/>
    </x:row>
    <x:row r="1443">
      <x:c r="B1443" s="26"/>
      <x:c r="I1443" s="27"/>
      <x:c r="K1443" s="28"/>
      <x:c r="L1443" s="28"/>
      <x:c r="M1443" s="28"/>
      <x:c r="N1443" s="28"/>
      <x:c r="O1443" s="28"/>
    </x:row>
    <x:row r="1444">
      <x:c r="B1444" s="26"/>
      <x:c r="I1444" s="27"/>
      <x:c r="K1444" s="28"/>
      <x:c r="L1444" s="28"/>
      <x:c r="M1444" s="28"/>
      <x:c r="N1444" s="28"/>
      <x:c r="O1444" s="28"/>
    </x:row>
    <x:row r="1445">
      <x:c r="B1445" s="26"/>
      <x:c r="I1445" s="27"/>
      <x:c r="K1445" s="28"/>
      <x:c r="L1445" s="28"/>
      <x:c r="M1445" s="28"/>
      <x:c r="N1445" s="28"/>
      <x:c r="O1445" s="28"/>
    </x:row>
    <x:row r="1446">
      <x:c r="B1446" s="26"/>
      <x:c r="I1446" s="27"/>
      <x:c r="K1446" s="28"/>
      <x:c r="L1446" s="28"/>
      <x:c r="M1446" s="28"/>
      <x:c r="N1446" s="28"/>
      <x:c r="O1446" s="28"/>
    </x:row>
    <x:row r="1447">
      <x:c r="B1447" s="26"/>
      <x:c r="I1447" s="27"/>
      <x:c r="K1447" s="28"/>
      <x:c r="L1447" s="28"/>
      <x:c r="M1447" s="28"/>
      <x:c r="N1447" s="28"/>
      <x:c r="O1447" s="28"/>
    </x:row>
    <x:row r="1448">
      <x:c r="B1448" s="26"/>
      <x:c r="I1448" s="27"/>
      <x:c r="K1448" s="28"/>
      <x:c r="L1448" s="28"/>
      <x:c r="M1448" s="28"/>
      <x:c r="N1448" s="28"/>
      <x:c r="O1448" s="28"/>
    </x:row>
    <x:row r="1449">
      <x:c r="B1449" s="26"/>
      <x:c r="I1449" s="27"/>
      <x:c r="K1449" s="28"/>
      <x:c r="L1449" s="28"/>
      <x:c r="M1449" s="28"/>
      <x:c r="N1449" s="28"/>
      <x:c r="O1449" s="28"/>
    </x:row>
    <x:row r="1450">
      <x:c r="B1450" s="26"/>
      <x:c r="I1450" s="27"/>
      <x:c r="K1450" s="28"/>
      <x:c r="L1450" s="28"/>
      <x:c r="M1450" s="28"/>
      <x:c r="N1450" s="28"/>
      <x:c r="O1450" s="28"/>
    </x:row>
    <x:row r="1451">
      <x:c r="B1451" s="26"/>
      <x:c r="I1451" s="27"/>
      <x:c r="K1451" s="28"/>
      <x:c r="L1451" s="28"/>
      <x:c r="M1451" s="28"/>
      <x:c r="N1451" s="28"/>
      <x:c r="O1451" s="28"/>
    </x:row>
    <x:row r="1452">
      <x:c r="B1452" s="26"/>
      <x:c r="I1452" s="27"/>
      <x:c r="K1452" s="28"/>
      <x:c r="L1452" s="28"/>
      <x:c r="M1452" s="28"/>
      <x:c r="N1452" s="28"/>
      <x:c r="O1452" s="28"/>
    </x:row>
    <x:row r="1453">
      <x:c r="B1453" s="26"/>
      <x:c r="I1453" s="27"/>
      <x:c r="K1453" s="28"/>
      <x:c r="L1453" s="28"/>
      <x:c r="M1453" s="28"/>
      <x:c r="N1453" s="28"/>
      <x:c r="O1453" s="28"/>
    </x:row>
    <x:row r="1454">
      <x:c r="B1454" s="26"/>
      <x:c r="I1454" s="27"/>
      <x:c r="K1454" s="28"/>
      <x:c r="L1454" s="28"/>
      <x:c r="M1454" s="28"/>
      <x:c r="N1454" s="28"/>
      <x:c r="O1454" s="28"/>
    </x:row>
    <x:row r="1455">
      <x:c r="B1455" s="26"/>
      <x:c r="I1455" s="27"/>
      <x:c r="K1455" s="28"/>
      <x:c r="L1455" s="28"/>
      <x:c r="M1455" s="28"/>
      <x:c r="N1455" s="28"/>
      <x:c r="O1455" s="28"/>
    </x:row>
    <x:row r="1456">
      <x:c r="B1456" s="26"/>
      <x:c r="I1456" s="27"/>
      <x:c r="K1456" s="28"/>
      <x:c r="L1456" s="28"/>
      <x:c r="M1456" s="28"/>
      <x:c r="N1456" s="28"/>
      <x:c r="O1456" s="28"/>
    </x:row>
    <x:row r="1457">
      <x:c r="B1457" s="26"/>
      <x:c r="I1457" s="27"/>
      <x:c r="K1457" s="28"/>
      <x:c r="L1457" s="28"/>
      <x:c r="M1457" s="28"/>
      <x:c r="N1457" s="28"/>
      <x:c r="O1457" s="28"/>
    </x:row>
    <x:row r="1458">
      <x:c r="B1458" s="26"/>
      <x:c r="I1458" s="27"/>
      <x:c r="K1458" s="28"/>
      <x:c r="L1458" s="28"/>
      <x:c r="M1458" s="28"/>
      <x:c r="N1458" s="28"/>
      <x:c r="O1458" s="28"/>
    </x:row>
    <x:row r="1459">
      <x:c r="B1459" s="26"/>
      <x:c r="I1459" s="27"/>
      <x:c r="K1459" s="28"/>
      <x:c r="L1459" s="28"/>
      <x:c r="M1459" s="28"/>
      <x:c r="N1459" s="28"/>
      <x:c r="O1459" s="28"/>
    </x:row>
    <x:row r="1460">
      <x:c r="B1460" s="26"/>
      <x:c r="I1460" s="27"/>
      <x:c r="K1460" s="28"/>
      <x:c r="L1460" s="28"/>
      <x:c r="M1460" s="28"/>
      <x:c r="N1460" s="28"/>
      <x:c r="O1460" s="28"/>
    </x:row>
    <x:row r="1461">
      <x:c r="B1461" s="26"/>
      <x:c r="I1461" s="27"/>
      <x:c r="K1461" s="28"/>
      <x:c r="L1461" s="28"/>
      <x:c r="M1461" s="28"/>
      <x:c r="N1461" s="28"/>
      <x:c r="O1461" s="28"/>
    </x:row>
    <x:row r="1462">
      <x:c r="B1462" s="26"/>
      <x:c r="I1462" s="27"/>
      <x:c r="K1462" s="28"/>
      <x:c r="L1462" s="28"/>
      <x:c r="M1462" s="28"/>
      <x:c r="N1462" s="28"/>
      <x:c r="O1462" s="28"/>
    </x:row>
    <x:row r="1463">
      <x:c r="B1463" s="26"/>
      <x:c r="I1463" s="27"/>
      <x:c r="K1463" s="28"/>
      <x:c r="L1463" s="28"/>
      <x:c r="M1463" s="28"/>
      <x:c r="N1463" s="28"/>
      <x:c r="O1463" s="28"/>
    </x:row>
    <x:row r="1464">
      <x:c r="B1464" s="26"/>
      <x:c r="I1464" s="27"/>
      <x:c r="K1464" s="28"/>
      <x:c r="L1464" s="28"/>
      <x:c r="M1464" s="28"/>
      <x:c r="N1464" s="28"/>
      <x:c r="O1464" s="28"/>
    </x:row>
    <x:row r="1465">
      <x:c r="B1465" s="26"/>
      <x:c r="I1465" s="27"/>
      <x:c r="K1465" s="28"/>
      <x:c r="L1465" s="28"/>
      <x:c r="M1465" s="28"/>
      <x:c r="N1465" s="28"/>
      <x:c r="O1465" s="28"/>
    </x:row>
    <x:row r="1466">
      <x:c r="B1466" s="26"/>
      <x:c r="I1466" s="27"/>
      <x:c r="K1466" s="28"/>
      <x:c r="L1466" s="28"/>
      <x:c r="M1466" s="28"/>
      <x:c r="N1466" s="28"/>
      <x:c r="O1466" s="28"/>
    </x:row>
    <x:row r="1467">
      <x:c r="B1467" s="26"/>
      <x:c r="I1467" s="27"/>
      <x:c r="K1467" s="28"/>
      <x:c r="L1467" s="28"/>
      <x:c r="M1467" s="28"/>
      <x:c r="N1467" s="28"/>
      <x:c r="O1467" s="28"/>
    </x:row>
    <x:row r="1468">
      <x:c r="B1468" s="26"/>
      <x:c r="I1468" s="27"/>
      <x:c r="K1468" s="28"/>
      <x:c r="L1468" s="28"/>
      <x:c r="M1468" s="28"/>
      <x:c r="N1468" s="28"/>
      <x:c r="O1468" s="28"/>
    </x:row>
    <x:row r="1469">
      <x:c r="B1469" s="26"/>
      <x:c r="I1469" s="27"/>
      <x:c r="K1469" s="28"/>
      <x:c r="L1469" s="28"/>
      <x:c r="M1469" s="28"/>
      <x:c r="N1469" s="28"/>
      <x:c r="O1469" s="28"/>
    </x:row>
    <x:row r="1470">
      <x:c r="B1470" s="26"/>
      <x:c r="I1470" s="27"/>
      <x:c r="K1470" s="28"/>
      <x:c r="L1470" s="28"/>
      <x:c r="M1470" s="28"/>
      <x:c r="N1470" s="28"/>
      <x:c r="O1470" s="28"/>
    </x:row>
    <x:row r="1471">
      <x:c r="B1471" s="26"/>
      <x:c r="I1471" s="27"/>
      <x:c r="K1471" s="28"/>
      <x:c r="L1471" s="28"/>
      <x:c r="M1471" s="28"/>
      <x:c r="N1471" s="28"/>
      <x:c r="O1471" s="28"/>
    </x:row>
    <x:row r="1472">
      <x:c r="B1472" s="26"/>
      <x:c r="I1472" s="27"/>
      <x:c r="K1472" s="28"/>
      <x:c r="L1472" s="28"/>
      <x:c r="M1472" s="28"/>
      <x:c r="N1472" s="28"/>
      <x:c r="O1472" s="28"/>
    </x:row>
    <x:row r="1473">
      <x:c r="B1473" s="26"/>
      <x:c r="I1473" s="27"/>
      <x:c r="K1473" s="28"/>
      <x:c r="L1473" s="28"/>
      <x:c r="M1473" s="28"/>
      <x:c r="N1473" s="28"/>
      <x:c r="O1473" s="28"/>
    </x:row>
    <x:row r="1474">
      <x:c r="B1474" s="26"/>
      <x:c r="I1474" s="27"/>
      <x:c r="K1474" s="28"/>
      <x:c r="L1474" s="28"/>
      <x:c r="M1474" s="28"/>
      <x:c r="N1474" s="28"/>
      <x:c r="O1474" s="28"/>
    </x:row>
    <x:row r="1475">
      <x:c r="B1475" s="26"/>
      <x:c r="I1475" s="27"/>
      <x:c r="K1475" s="28"/>
      <x:c r="L1475" s="28"/>
      <x:c r="M1475" s="28"/>
      <x:c r="N1475" s="28"/>
      <x:c r="O1475" s="28"/>
    </x:row>
    <x:row r="1476">
      <x:c r="B1476" s="26"/>
      <x:c r="I1476" s="27"/>
      <x:c r="K1476" s="28"/>
      <x:c r="L1476" s="28"/>
      <x:c r="M1476" s="28"/>
      <x:c r="N1476" s="28"/>
      <x:c r="O1476" s="28"/>
    </x:row>
    <x:row r="1477">
      <x:c r="B1477" s="26"/>
      <x:c r="I1477" s="27"/>
      <x:c r="K1477" s="28"/>
      <x:c r="L1477" s="28"/>
      <x:c r="M1477" s="28"/>
      <x:c r="N1477" s="28"/>
      <x:c r="O1477" s="28"/>
    </x:row>
    <x:row r="1478">
      <x:c r="B1478" s="26"/>
      <x:c r="I1478" s="27"/>
      <x:c r="K1478" s="28"/>
      <x:c r="L1478" s="28"/>
      <x:c r="M1478" s="28"/>
      <x:c r="N1478" s="28"/>
      <x:c r="O1478" s="28"/>
    </x:row>
    <x:row r="1479">
      <x:c r="B1479" s="26"/>
      <x:c r="I1479" s="27"/>
      <x:c r="K1479" s="28"/>
      <x:c r="L1479" s="28"/>
      <x:c r="M1479" s="28"/>
      <x:c r="N1479" s="28"/>
      <x:c r="O1479" s="28"/>
    </x:row>
    <x:row r="1480">
      <x:c r="B1480" s="26"/>
      <x:c r="I1480" s="27"/>
      <x:c r="K1480" s="28"/>
      <x:c r="L1480" s="28"/>
      <x:c r="M1480" s="28"/>
      <x:c r="N1480" s="28"/>
      <x:c r="O1480" s="28"/>
    </x:row>
    <x:row r="1481">
      <x:c r="B1481" s="26"/>
      <x:c r="I1481" s="27"/>
      <x:c r="K1481" s="28"/>
      <x:c r="L1481" s="28"/>
      <x:c r="M1481" s="28"/>
      <x:c r="N1481" s="28"/>
      <x:c r="O1481" s="28"/>
    </x:row>
    <x:row r="1482">
      <x:c r="B1482" s="26"/>
      <x:c r="I1482" s="27"/>
      <x:c r="K1482" s="28"/>
      <x:c r="L1482" s="28"/>
      <x:c r="M1482" s="28"/>
      <x:c r="N1482" s="28"/>
      <x:c r="O1482" s="28"/>
    </x:row>
    <x:row r="1483">
      <x:c r="B1483" s="26"/>
      <x:c r="I1483" s="27"/>
      <x:c r="K1483" s="28"/>
      <x:c r="L1483" s="28"/>
      <x:c r="M1483" s="28"/>
      <x:c r="N1483" s="28"/>
      <x:c r="O1483" s="28"/>
    </x:row>
    <x:row r="1484">
      <x:c r="B1484" s="26"/>
      <x:c r="I1484" s="27"/>
      <x:c r="K1484" s="28"/>
      <x:c r="L1484" s="28"/>
      <x:c r="M1484" s="28"/>
      <x:c r="N1484" s="28"/>
      <x:c r="O1484" s="28"/>
    </x:row>
    <x:row r="1485">
      <x:c r="B1485" s="26"/>
      <x:c r="I1485" s="27"/>
      <x:c r="K1485" s="28"/>
      <x:c r="L1485" s="28"/>
      <x:c r="M1485" s="28"/>
      <x:c r="N1485" s="28"/>
      <x:c r="O1485" s="28"/>
    </x:row>
    <x:row r="1486">
      <x:c r="B1486" s="26"/>
      <x:c r="I1486" s="27"/>
      <x:c r="K1486" s="28"/>
      <x:c r="L1486" s="28"/>
      <x:c r="M1486" s="28"/>
      <x:c r="N1486" s="28"/>
      <x:c r="O1486" s="28"/>
    </x:row>
    <x:row r="1487">
      <x:c r="B1487" s="26"/>
      <x:c r="I1487" s="27"/>
      <x:c r="K1487" s="28"/>
      <x:c r="L1487" s="28"/>
      <x:c r="M1487" s="28"/>
      <x:c r="N1487" s="28"/>
      <x:c r="O1487" s="28"/>
    </x:row>
    <x:row r="1488">
      <x:c r="B1488" s="26"/>
      <x:c r="I1488" s="27"/>
      <x:c r="K1488" s="28"/>
      <x:c r="L1488" s="28"/>
      <x:c r="M1488" s="28"/>
      <x:c r="N1488" s="28"/>
      <x:c r="O1488" s="28"/>
    </x:row>
    <x:row r="1489">
      <x:c r="B1489" s="26"/>
      <x:c r="I1489" s="27"/>
      <x:c r="K1489" s="28"/>
      <x:c r="L1489" s="28"/>
      <x:c r="M1489" s="28"/>
      <x:c r="N1489" s="28"/>
      <x:c r="O1489" s="28"/>
    </x:row>
    <x:row r="1490">
      <x:c r="B1490" s="26"/>
      <x:c r="I1490" s="27"/>
      <x:c r="K1490" s="28"/>
      <x:c r="L1490" s="28"/>
      <x:c r="M1490" s="28"/>
      <x:c r="N1490" s="28"/>
      <x:c r="O1490" s="28"/>
    </x:row>
    <x:row r="1491">
      <x:c r="B1491" s="26"/>
      <x:c r="I1491" s="27"/>
      <x:c r="K1491" s="28"/>
      <x:c r="L1491" s="28"/>
      <x:c r="M1491" s="28"/>
      <x:c r="N1491" s="28"/>
      <x:c r="O1491" s="28"/>
    </x:row>
    <x:row r="1492">
      <x:c r="B1492" s="26"/>
      <x:c r="I1492" s="27"/>
      <x:c r="K1492" s="28"/>
      <x:c r="L1492" s="28"/>
      <x:c r="M1492" s="28"/>
      <x:c r="N1492" s="28"/>
      <x:c r="O1492" s="28"/>
    </x:row>
    <x:row r="1493">
      <x:c r="B1493" s="26"/>
      <x:c r="I1493" s="27"/>
      <x:c r="K1493" s="28"/>
      <x:c r="L1493" s="28"/>
      <x:c r="M1493" s="28"/>
      <x:c r="N1493" s="28"/>
      <x:c r="O1493" s="28"/>
    </x:row>
    <x:row r="1494">
      <x:c r="B1494" s="26"/>
      <x:c r="I1494" s="27"/>
      <x:c r="K1494" s="28"/>
      <x:c r="L1494" s="28"/>
      <x:c r="M1494" s="28"/>
      <x:c r="N1494" s="28"/>
      <x:c r="O1494" s="28"/>
    </x:row>
    <x:row r="1495">
      <x:c r="B1495" s="26"/>
      <x:c r="I1495" s="27"/>
      <x:c r="K1495" s="28"/>
      <x:c r="L1495" s="28"/>
      <x:c r="M1495" s="28"/>
      <x:c r="N1495" s="28"/>
      <x:c r="O1495" s="28"/>
    </x:row>
    <x:row r="1496">
      <x:c r="B1496" s="26"/>
      <x:c r="I1496" s="27"/>
      <x:c r="K1496" s="28"/>
      <x:c r="L1496" s="28"/>
      <x:c r="M1496" s="28"/>
      <x:c r="N1496" s="28"/>
      <x:c r="O1496" s="28"/>
    </x:row>
    <x:row r="1497">
      <x:c r="B1497" s="26"/>
      <x:c r="I1497" s="27"/>
      <x:c r="K1497" s="28"/>
      <x:c r="L1497" s="28"/>
      <x:c r="M1497" s="28"/>
      <x:c r="N1497" s="28"/>
      <x:c r="O1497" s="28"/>
    </x:row>
    <x:row r="1498">
      <x:c r="B1498" s="26"/>
      <x:c r="I1498" s="27"/>
      <x:c r="K1498" s="28"/>
      <x:c r="L1498" s="28"/>
      <x:c r="M1498" s="28"/>
      <x:c r="N1498" s="28"/>
      <x:c r="O1498" s="28"/>
    </x:row>
    <x:row r="1499">
      <x:c r="B1499" s="26"/>
      <x:c r="I1499" s="27"/>
      <x:c r="K1499" s="28"/>
      <x:c r="L1499" s="28"/>
      <x:c r="M1499" s="28"/>
      <x:c r="N1499" s="28"/>
      <x:c r="O1499" s="28"/>
    </x:row>
    <x:row r="1500">
      <x:c r="B1500" s="26"/>
      <x:c r="I1500" s="27"/>
      <x:c r="K1500" s="28"/>
      <x:c r="L1500" s="28"/>
      <x:c r="M1500" s="28"/>
      <x:c r="N1500" s="28"/>
      <x:c r="O1500" s="28"/>
    </x:row>
    <x:row r="1501">
      <x:c r="B1501" s="26"/>
      <x:c r="I1501" s="27"/>
      <x:c r="K1501" s="28"/>
      <x:c r="L1501" s="28"/>
      <x:c r="M1501" s="28"/>
      <x:c r="N1501" s="28"/>
      <x:c r="O1501" s="28"/>
    </x:row>
    <x:row r="1502">
      <x:c r="B1502" s="26"/>
      <x:c r="I1502" s="27"/>
      <x:c r="K1502" s="28"/>
      <x:c r="L1502" s="28"/>
      <x:c r="M1502" s="28"/>
      <x:c r="N1502" s="28"/>
      <x:c r="O1502" s="28"/>
    </x:row>
    <x:row r="1503">
      <x:c r="B1503" s="26"/>
      <x:c r="I1503" s="27"/>
      <x:c r="K1503" s="28"/>
      <x:c r="L1503" s="28"/>
      <x:c r="M1503" s="28"/>
      <x:c r="N1503" s="28"/>
      <x:c r="O1503" s="28"/>
    </x:row>
    <x:row r="1504">
      <x:c r="B1504" s="26"/>
      <x:c r="I1504" s="27"/>
      <x:c r="K1504" s="28"/>
      <x:c r="L1504" s="28"/>
      <x:c r="M1504" s="28"/>
      <x:c r="N1504" s="28"/>
      <x:c r="O1504" s="28"/>
    </x:row>
    <x:row r="1505">
      <x:c r="B1505" s="26"/>
      <x:c r="I1505" s="27"/>
      <x:c r="K1505" s="28"/>
      <x:c r="L1505" s="28"/>
      <x:c r="M1505" s="28"/>
      <x:c r="N1505" s="28"/>
      <x:c r="O1505" s="28"/>
    </x:row>
    <x:row r="1506">
      <x:c r="B1506" s="26"/>
      <x:c r="I1506" s="27"/>
      <x:c r="K1506" s="28"/>
      <x:c r="L1506" s="28"/>
      <x:c r="M1506" s="28"/>
      <x:c r="N1506" s="28"/>
      <x:c r="O1506" s="28"/>
    </x:row>
    <x:row r="1507">
      <x:c r="B1507" s="26"/>
      <x:c r="I1507" s="27"/>
      <x:c r="K1507" s="28"/>
      <x:c r="L1507" s="28"/>
      <x:c r="M1507" s="28"/>
      <x:c r="N1507" s="28"/>
      <x:c r="O1507" s="28"/>
    </x:row>
    <x:row r="1508">
      <x:c r="B1508" s="26"/>
      <x:c r="I1508" s="27"/>
      <x:c r="K1508" s="28"/>
      <x:c r="L1508" s="28"/>
      <x:c r="M1508" s="28"/>
      <x:c r="N1508" s="28"/>
      <x:c r="O1508" s="28"/>
    </x:row>
    <x:row r="1509">
      <x:c r="B1509" s="26"/>
      <x:c r="I1509" s="27"/>
      <x:c r="K1509" s="28"/>
      <x:c r="L1509" s="28"/>
      <x:c r="M1509" s="28"/>
      <x:c r="N1509" s="28"/>
      <x:c r="O1509" s="28"/>
    </x:row>
    <x:row r="1510">
      <x:c r="B1510" s="26"/>
      <x:c r="I1510" s="27"/>
      <x:c r="K1510" s="28"/>
      <x:c r="L1510" s="28"/>
      <x:c r="M1510" s="28"/>
      <x:c r="N1510" s="28"/>
      <x:c r="O1510" s="28"/>
    </x:row>
    <x:row r="1511">
      <x:c r="B1511" s="26"/>
      <x:c r="I1511" s="27"/>
      <x:c r="K1511" s="28"/>
      <x:c r="L1511" s="28"/>
      <x:c r="M1511" s="28"/>
      <x:c r="N1511" s="28"/>
      <x:c r="O1511" s="28"/>
    </x:row>
    <x:row r="1512">
      <x:c r="B1512" s="26"/>
      <x:c r="I1512" s="27"/>
      <x:c r="K1512" s="28"/>
      <x:c r="L1512" s="28"/>
      <x:c r="M1512" s="28"/>
      <x:c r="N1512" s="28"/>
      <x:c r="O1512" s="28"/>
    </x:row>
    <x:row r="1513">
      <x:c r="B1513" s="26"/>
      <x:c r="I1513" s="27"/>
      <x:c r="K1513" s="28"/>
      <x:c r="L1513" s="28"/>
      <x:c r="M1513" s="28"/>
      <x:c r="N1513" s="28"/>
      <x:c r="O1513" s="28"/>
    </x:row>
    <x:row r="1514">
      <x:c r="B1514" s="26"/>
      <x:c r="I1514" s="27"/>
      <x:c r="K1514" s="28"/>
      <x:c r="L1514" s="28"/>
      <x:c r="M1514" s="28"/>
      <x:c r="N1514" s="28"/>
      <x:c r="O1514" s="28"/>
    </x:row>
    <x:row r="1515">
      <x:c r="B1515" s="26"/>
      <x:c r="I1515" s="27"/>
      <x:c r="K1515" s="28"/>
      <x:c r="L1515" s="28"/>
      <x:c r="M1515" s="28"/>
      <x:c r="N1515" s="28"/>
      <x:c r="O1515" s="28"/>
    </x:row>
    <x:row r="1516">
      <x:c r="B1516" s="26"/>
      <x:c r="I1516" s="27"/>
      <x:c r="K1516" s="28"/>
      <x:c r="L1516" s="28"/>
      <x:c r="M1516" s="28"/>
      <x:c r="N1516" s="28"/>
      <x:c r="O1516" s="28"/>
    </x:row>
    <x:row r="1517">
      <x:c r="B1517" s="26"/>
      <x:c r="I1517" s="27"/>
      <x:c r="K1517" s="28"/>
      <x:c r="L1517" s="28"/>
      <x:c r="M1517" s="28"/>
      <x:c r="N1517" s="28"/>
      <x:c r="O1517" s="28"/>
    </x:row>
    <x:row r="1518">
      <x:c r="B1518" s="26"/>
      <x:c r="I1518" s="27"/>
      <x:c r="K1518" s="28"/>
      <x:c r="L1518" s="28"/>
      <x:c r="M1518" s="28"/>
      <x:c r="N1518" s="28"/>
      <x:c r="O1518" s="28"/>
    </x:row>
    <x:row r="1519">
      <x:c r="B1519" s="26"/>
      <x:c r="I1519" s="27"/>
      <x:c r="K1519" s="28"/>
      <x:c r="L1519" s="28"/>
      <x:c r="M1519" s="28"/>
      <x:c r="N1519" s="28"/>
      <x:c r="O1519" s="28"/>
    </x:row>
    <x:row r="1520">
      <x:c r="B1520" s="26"/>
      <x:c r="I1520" s="27"/>
      <x:c r="K1520" s="28"/>
      <x:c r="L1520" s="28"/>
      <x:c r="M1520" s="28"/>
      <x:c r="N1520" s="28"/>
      <x:c r="O1520" s="28"/>
    </x:row>
    <x:row r="1521">
      <x:c r="B1521" s="26"/>
      <x:c r="I1521" s="27"/>
      <x:c r="K1521" s="28"/>
      <x:c r="L1521" s="28"/>
      <x:c r="M1521" s="28"/>
      <x:c r="N1521" s="28"/>
      <x:c r="O1521" s="28"/>
    </x:row>
    <x:row r="1522">
      <x:c r="B1522" s="26"/>
      <x:c r="I1522" s="27"/>
      <x:c r="K1522" s="28"/>
      <x:c r="L1522" s="28"/>
      <x:c r="M1522" s="28"/>
      <x:c r="N1522" s="28"/>
      <x:c r="O1522" s="28"/>
    </x:row>
    <x:row r="1523">
      <x:c r="B1523" s="26"/>
      <x:c r="I1523" s="27"/>
      <x:c r="K1523" s="28"/>
      <x:c r="L1523" s="28"/>
      <x:c r="M1523" s="28"/>
      <x:c r="N1523" s="28"/>
      <x:c r="O1523" s="28"/>
    </x:row>
    <x:row r="1524">
      <x:c r="B1524" s="26"/>
      <x:c r="I1524" s="27"/>
      <x:c r="K1524" s="28"/>
      <x:c r="L1524" s="28"/>
      <x:c r="M1524" s="28"/>
      <x:c r="N1524" s="28"/>
      <x:c r="O1524" s="28"/>
    </x:row>
    <x:row r="1525">
      <x:c r="B1525" s="26"/>
      <x:c r="I1525" s="27"/>
      <x:c r="K1525" s="28"/>
      <x:c r="L1525" s="28"/>
      <x:c r="M1525" s="28"/>
      <x:c r="N1525" s="28"/>
      <x:c r="O1525" s="28"/>
    </x:row>
    <x:row r="1526">
      <x:c r="B1526" s="26"/>
      <x:c r="I1526" s="27"/>
      <x:c r="K1526" s="28"/>
      <x:c r="L1526" s="28"/>
      <x:c r="M1526" s="28"/>
      <x:c r="N1526" s="28"/>
      <x:c r="O1526" s="28"/>
    </x:row>
    <x:row r="1527">
      <x:c r="B1527" s="26"/>
      <x:c r="I1527" s="27"/>
      <x:c r="K1527" s="28"/>
      <x:c r="L1527" s="28"/>
      <x:c r="M1527" s="28"/>
      <x:c r="N1527" s="28"/>
      <x:c r="O1527" s="28"/>
    </x:row>
    <x:row r="1528">
      <x:c r="B1528" s="26"/>
      <x:c r="I1528" s="27"/>
      <x:c r="K1528" s="28"/>
      <x:c r="L1528" s="28"/>
      <x:c r="M1528" s="28"/>
      <x:c r="N1528" s="28"/>
      <x:c r="O1528" s="28"/>
    </x:row>
    <x:row r="1529">
      <x:c r="B1529" s="26"/>
      <x:c r="I1529" s="27"/>
      <x:c r="K1529" s="28"/>
      <x:c r="L1529" s="28"/>
      <x:c r="M1529" s="28"/>
      <x:c r="N1529" s="28"/>
      <x:c r="O1529" s="28"/>
    </x:row>
    <x:row r="1530">
      <x:c r="B1530" s="26"/>
      <x:c r="I1530" s="27"/>
      <x:c r="K1530" s="28"/>
      <x:c r="L1530" s="28"/>
      <x:c r="M1530" s="28"/>
      <x:c r="N1530" s="28"/>
      <x:c r="O1530" s="28"/>
    </x:row>
    <x:row r="1531">
      <x:c r="B1531" s="26"/>
      <x:c r="I1531" s="27"/>
      <x:c r="K1531" s="28"/>
      <x:c r="L1531" s="28"/>
      <x:c r="M1531" s="28"/>
      <x:c r="N1531" s="28"/>
      <x:c r="O1531" s="28"/>
    </x:row>
    <x:row r="1532">
      <x:c r="B1532" s="26"/>
      <x:c r="I1532" s="27"/>
      <x:c r="K1532" s="28"/>
      <x:c r="L1532" s="28"/>
      <x:c r="M1532" s="28"/>
      <x:c r="N1532" s="28"/>
      <x:c r="O1532" s="28"/>
    </x:row>
    <x:row r="1533">
      <x:c r="B1533" s="26"/>
      <x:c r="I1533" s="27"/>
      <x:c r="K1533" s="28"/>
      <x:c r="L1533" s="28"/>
      <x:c r="M1533" s="28"/>
      <x:c r="N1533" s="28"/>
      <x:c r="O1533" s="28"/>
    </x:row>
    <x:row r="1534">
      <x:c r="B1534" s="26"/>
      <x:c r="I1534" s="27"/>
      <x:c r="K1534" s="28"/>
      <x:c r="L1534" s="28"/>
      <x:c r="M1534" s="28"/>
      <x:c r="N1534" s="28"/>
      <x:c r="O1534" s="28"/>
    </x:row>
    <x:row r="1535">
      <x:c r="B1535" s="26"/>
      <x:c r="I1535" s="27"/>
      <x:c r="K1535" s="28"/>
      <x:c r="L1535" s="28"/>
      <x:c r="M1535" s="28"/>
      <x:c r="N1535" s="28"/>
      <x:c r="O1535" s="28"/>
    </x:row>
    <x:row r="1536">
      <x:c r="B1536" s="26"/>
      <x:c r="I1536" s="27"/>
      <x:c r="K1536" s="28"/>
      <x:c r="L1536" s="28"/>
      <x:c r="M1536" s="28"/>
      <x:c r="N1536" s="28"/>
      <x:c r="O1536" s="28"/>
    </x:row>
    <x:row r="1537">
      <x:c r="B1537" s="26"/>
      <x:c r="I1537" s="27"/>
      <x:c r="K1537" s="28"/>
      <x:c r="L1537" s="28"/>
      <x:c r="M1537" s="28"/>
      <x:c r="N1537" s="28"/>
      <x:c r="O1537" s="28"/>
    </x:row>
    <x:row r="1538">
      <x:c r="B1538" s="26"/>
      <x:c r="I1538" s="27"/>
      <x:c r="K1538" s="28"/>
      <x:c r="L1538" s="28"/>
      <x:c r="M1538" s="28"/>
      <x:c r="N1538" s="28"/>
      <x:c r="O1538" s="28"/>
    </x:row>
    <x:row r="1539">
      <x:c r="B1539" s="26"/>
      <x:c r="I1539" s="27"/>
      <x:c r="K1539" s="28"/>
      <x:c r="L1539" s="28"/>
      <x:c r="M1539" s="28"/>
      <x:c r="N1539" s="28"/>
      <x:c r="O1539" s="28"/>
    </x:row>
    <x:row r="1540">
      <x:c r="B1540" s="26"/>
      <x:c r="I1540" s="27"/>
      <x:c r="K1540" s="28"/>
      <x:c r="L1540" s="28"/>
      <x:c r="M1540" s="28"/>
      <x:c r="N1540" s="28"/>
      <x:c r="O1540" s="28"/>
    </x:row>
    <x:row r="1541">
      <x:c r="B1541" s="26"/>
      <x:c r="I1541" s="27"/>
      <x:c r="K1541" s="28"/>
      <x:c r="L1541" s="28"/>
      <x:c r="M1541" s="28"/>
      <x:c r="N1541" s="28"/>
      <x:c r="O1541" s="28"/>
    </x:row>
    <x:row r="1542">
      <x:c r="B1542" s="26"/>
      <x:c r="I1542" s="27"/>
      <x:c r="K1542" s="28"/>
      <x:c r="L1542" s="28"/>
      <x:c r="M1542" s="28"/>
      <x:c r="N1542" s="28"/>
      <x:c r="O1542" s="28"/>
    </x:row>
    <x:row r="1543">
      <x:c r="B1543" s="26"/>
      <x:c r="I1543" s="27"/>
      <x:c r="K1543" s="28"/>
      <x:c r="L1543" s="28"/>
      <x:c r="M1543" s="28"/>
      <x:c r="N1543" s="28"/>
      <x:c r="O1543" s="28"/>
    </x:row>
    <x:row r="1544">
      <x:c r="B1544" s="26"/>
      <x:c r="I1544" s="27"/>
      <x:c r="K1544" s="28"/>
      <x:c r="L1544" s="28"/>
      <x:c r="M1544" s="28"/>
      <x:c r="N1544" s="28"/>
      <x:c r="O1544" s="28"/>
    </x:row>
    <x:row r="1545">
      <x:c r="B1545" s="26"/>
      <x:c r="I1545" s="27"/>
      <x:c r="K1545" s="28"/>
      <x:c r="L1545" s="28"/>
      <x:c r="M1545" s="28"/>
      <x:c r="N1545" s="28"/>
      <x:c r="O1545" s="28"/>
    </x:row>
    <x:row r="1546">
      <x:c r="B1546" s="26"/>
      <x:c r="I1546" s="27"/>
      <x:c r="K1546" s="28"/>
      <x:c r="L1546" s="28"/>
      <x:c r="M1546" s="28"/>
      <x:c r="N1546" s="28"/>
      <x:c r="O1546" s="28"/>
    </x:row>
    <x:row r="1547">
      <x:c r="B1547" s="26"/>
      <x:c r="I1547" s="27"/>
      <x:c r="K1547" s="28"/>
      <x:c r="L1547" s="28"/>
      <x:c r="M1547" s="28"/>
      <x:c r="N1547" s="28"/>
      <x:c r="O1547" s="28"/>
    </x:row>
    <x:row r="1548">
      <x:c r="B1548" s="26"/>
      <x:c r="I1548" s="27"/>
      <x:c r="K1548" s="28"/>
      <x:c r="L1548" s="28"/>
      <x:c r="M1548" s="28"/>
      <x:c r="N1548" s="28"/>
      <x:c r="O1548" s="28"/>
    </x:row>
    <x:row r="1549">
      <x:c r="B1549" s="26"/>
      <x:c r="I1549" s="27"/>
      <x:c r="K1549" s="28"/>
      <x:c r="L1549" s="28"/>
      <x:c r="M1549" s="28"/>
      <x:c r="N1549" s="28"/>
      <x:c r="O1549" s="28"/>
    </x:row>
    <x:row r="1550">
      <x:c r="B1550" s="26"/>
      <x:c r="I1550" s="27"/>
      <x:c r="K1550" s="28"/>
      <x:c r="L1550" s="28"/>
      <x:c r="M1550" s="28"/>
      <x:c r="N1550" s="28"/>
      <x:c r="O1550" s="28"/>
    </x:row>
    <x:row r="1551">
      <x:c r="B1551" s="26"/>
      <x:c r="I1551" s="27"/>
      <x:c r="K1551" s="28"/>
      <x:c r="L1551" s="28"/>
      <x:c r="M1551" s="28"/>
      <x:c r="N1551" s="28"/>
      <x:c r="O1551" s="28"/>
    </x:row>
    <x:row r="1552">
      <x:c r="B1552" s="26"/>
      <x:c r="I1552" s="27"/>
      <x:c r="K1552" s="28"/>
      <x:c r="L1552" s="28"/>
      <x:c r="M1552" s="28"/>
      <x:c r="N1552" s="28"/>
      <x:c r="O1552" s="28"/>
    </x:row>
    <x:row r="1553">
      <x:c r="B1553" s="26"/>
      <x:c r="I1553" s="27"/>
      <x:c r="K1553" s="28"/>
      <x:c r="L1553" s="28"/>
      <x:c r="M1553" s="28"/>
      <x:c r="N1553" s="28"/>
      <x:c r="O1553" s="28"/>
    </x:row>
    <x:row r="1554">
      <x:c r="B1554" s="26"/>
      <x:c r="I1554" s="27"/>
      <x:c r="K1554" s="28"/>
      <x:c r="L1554" s="28"/>
      <x:c r="M1554" s="28"/>
      <x:c r="N1554" s="28"/>
      <x:c r="O1554" s="28"/>
    </x:row>
    <x:row r="1555">
      <x:c r="B1555" s="26"/>
      <x:c r="I1555" s="27"/>
      <x:c r="K1555" s="28"/>
      <x:c r="L1555" s="28"/>
      <x:c r="M1555" s="28"/>
      <x:c r="N1555" s="28"/>
      <x:c r="O1555" s="28"/>
    </x:row>
    <x:row r="1556">
      <x:c r="B1556" s="26"/>
      <x:c r="I1556" s="27"/>
      <x:c r="K1556" s="28"/>
      <x:c r="L1556" s="28"/>
      <x:c r="M1556" s="28"/>
      <x:c r="N1556" s="28"/>
      <x:c r="O1556" s="28"/>
    </x:row>
    <x:row r="1557">
      <x:c r="B1557" s="26"/>
      <x:c r="I1557" s="27"/>
      <x:c r="K1557" s="28"/>
      <x:c r="L1557" s="28"/>
      <x:c r="M1557" s="28"/>
      <x:c r="N1557" s="28"/>
      <x:c r="O1557" s="28"/>
    </x:row>
    <x:row r="1558">
      <x:c r="B1558" s="26"/>
      <x:c r="I1558" s="27"/>
      <x:c r="K1558" s="28"/>
      <x:c r="L1558" s="28"/>
      <x:c r="M1558" s="28"/>
      <x:c r="N1558" s="28"/>
      <x:c r="O1558" s="28"/>
    </x:row>
    <x:row r="1559">
      <x:c r="B1559" s="26"/>
      <x:c r="I1559" s="27"/>
      <x:c r="K1559" s="28"/>
      <x:c r="L1559" s="28"/>
      <x:c r="M1559" s="28"/>
      <x:c r="N1559" s="28"/>
      <x:c r="O1559" s="28"/>
    </x:row>
    <x:row r="1560">
      <x:c r="B1560" s="26"/>
      <x:c r="I1560" s="27"/>
      <x:c r="K1560" s="28"/>
      <x:c r="L1560" s="28"/>
      <x:c r="M1560" s="28"/>
      <x:c r="N1560" s="28"/>
      <x:c r="O1560" s="28"/>
    </x:row>
    <x:row r="1561">
      <x:c r="B1561" s="26"/>
      <x:c r="I1561" s="27"/>
      <x:c r="K1561" s="28"/>
      <x:c r="L1561" s="28"/>
      <x:c r="M1561" s="28"/>
      <x:c r="N1561" s="28"/>
      <x:c r="O1561" s="28"/>
    </x:row>
    <x:row r="1562">
      <x:c r="B1562" s="26"/>
      <x:c r="I1562" s="27"/>
      <x:c r="K1562" s="28"/>
      <x:c r="L1562" s="28"/>
      <x:c r="M1562" s="28"/>
      <x:c r="N1562" s="28"/>
      <x:c r="O1562" s="28"/>
    </x:row>
    <x:row r="1563">
      <x:c r="B1563" s="26"/>
      <x:c r="I1563" s="27"/>
      <x:c r="K1563" s="28"/>
      <x:c r="L1563" s="28"/>
      <x:c r="M1563" s="28"/>
      <x:c r="N1563" s="28"/>
      <x:c r="O1563" s="28"/>
    </x:row>
    <x:row r="1564">
      <x:c r="B1564" s="26"/>
      <x:c r="I1564" s="27"/>
      <x:c r="K1564" s="28"/>
      <x:c r="L1564" s="28"/>
      <x:c r="M1564" s="28"/>
      <x:c r="N1564" s="28"/>
      <x:c r="O1564" s="28"/>
    </x:row>
    <x:row r="1565">
      <x:c r="B1565" s="26"/>
      <x:c r="I1565" s="27"/>
      <x:c r="K1565" s="28"/>
      <x:c r="L1565" s="28"/>
      <x:c r="M1565" s="28"/>
      <x:c r="N1565" s="28"/>
      <x:c r="O1565" s="28"/>
    </x:row>
    <x:row r="1566">
      <x:c r="B1566" s="26"/>
      <x:c r="I1566" s="27"/>
      <x:c r="K1566" s="28"/>
      <x:c r="L1566" s="28"/>
      <x:c r="M1566" s="28"/>
      <x:c r="N1566" s="28"/>
      <x:c r="O1566" s="28"/>
    </x:row>
    <x:row r="1567">
      <x:c r="B1567" s="26"/>
      <x:c r="I1567" s="27"/>
      <x:c r="K1567" s="28"/>
      <x:c r="L1567" s="28"/>
      <x:c r="M1567" s="28"/>
      <x:c r="N1567" s="28"/>
      <x:c r="O1567" s="28"/>
    </x:row>
    <x:row r="1568">
      <x:c r="B1568" s="26"/>
      <x:c r="I1568" s="27"/>
      <x:c r="K1568" s="28"/>
      <x:c r="L1568" s="28"/>
      <x:c r="M1568" s="28"/>
      <x:c r="N1568" s="28"/>
      <x:c r="O1568" s="28"/>
    </x:row>
    <x:row r="1569">
      <x:c r="B1569" s="26"/>
      <x:c r="I1569" s="27"/>
      <x:c r="K1569" s="28"/>
      <x:c r="L1569" s="28"/>
      <x:c r="M1569" s="28"/>
      <x:c r="N1569" s="28"/>
      <x:c r="O1569" s="28"/>
    </x:row>
    <x:row r="1570">
      <x:c r="B1570" s="26"/>
      <x:c r="I1570" s="27"/>
      <x:c r="K1570" s="28"/>
      <x:c r="L1570" s="28"/>
      <x:c r="M1570" s="28"/>
      <x:c r="N1570" s="28"/>
      <x:c r="O1570" s="28"/>
    </x:row>
    <x:row r="1571">
      <x:c r="B1571" s="26"/>
      <x:c r="I1571" s="27"/>
      <x:c r="K1571" s="28"/>
      <x:c r="L1571" s="28"/>
      <x:c r="M1571" s="28"/>
      <x:c r="N1571" s="28"/>
      <x:c r="O1571" s="28"/>
    </x:row>
    <x:row r="1572">
      <x:c r="B1572" s="26"/>
      <x:c r="I1572" s="27"/>
      <x:c r="K1572" s="28"/>
      <x:c r="L1572" s="28"/>
      <x:c r="M1572" s="28"/>
      <x:c r="N1572" s="28"/>
      <x:c r="O1572" s="28"/>
    </x:row>
    <x:row r="1573">
      <x:c r="B1573" s="26"/>
      <x:c r="I1573" s="27"/>
      <x:c r="K1573" s="28"/>
      <x:c r="L1573" s="28"/>
      <x:c r="M1573" s="28"/>
      <x:c r="N1573" s="28"/>
      <x:c r="O1573" s="28"/>
    </x:row>
    <x:row r="1574">
      <x:c r="B1574" s="26"/>
      <x:c r="I1574" s="27"/>
      <x:c r="K1574" s="28"/>
      <x:c r="L1574" s="28"/>
      <x:c r="M1574" s="28"/>
      <x:c r="N1574" s="28"/>
      <x:c r="O1574" s="28"/>
    </x:row>
    <x:row r="1575">
      <x:c r="B1575" s="26"/>
      <x:c r="I1575" s="27"/>
      <x:c r="K1575" s="28"/>
      <x:c r="L1575" s="28"/>
      <x:c r="M1575" s="28"/>
      <x:c r="N1575" s="28"/>
      <x:c r="O1575" s="28"/>
    </x:row>
    <x:row r="1576">
      <x:c r="B1576" s="26"/>
      <x:c r="I1576" s="27"/>
      <x:c r="K1576" s="28"/>
      <x:c r="L1576" s="28"/>
      <x:c r="M1576" s="28"/>
      <x:c r="N1576" s="28"/>
      <x:c r="O1576" s="28"/>
    </x:row>
    <x:row r="1577">
      <x:c r="B1577" s="26"/>
      <x:c r="I1577" s="27"/>
      <x:c r="K1577" s="28"/>
      <x:c r="L1577" s="28"/>
      <x:c r="M1577" s="28"/>
      <x:c r="N1577" s="28"/>
      <x:c r="O1577" s="28"/>
    </x:row>
    <x:row r="1578">
      <x:c r="B1578" s="26"/>
      <x:c r="I1578" s="27"/>
      <x:c r="K1578" s="28"/>
      <x:c r="L1578" s="28"/>
      <x:c r="M1578" s="28"/>
      <x:c r="N1578" s="28"/>
      <x:c r="O1578" s="28"/>
    </x:row>
    <x:row r="1579">
      <x:c r="B1579" s="26"/>
      <x:c r="I1579" s="27"/>
      <x:c r="K1579" s="28"/>
      <x:c r="L1579" s="28"/>
      <x:c r="M1579" s="28"/>
      <x:c r="N1579" s="28"/>
      <x:c r="O1579" s="28"/>
    </x:row>
    <x:row r="1580">
      <x:c r="B1580" s="26"/>
      <x:c r="I1580" s="27"/>
      <x:c r="K1580" s="28"/>
      <x:c r="L1580" s="28"/>
      <x:c r="M1580" s="28"/>
      <x:c r="N1580" s="28"/>
      <x:c r="O1580" s="28"/>
    </x:row>
    <x:row r="1581">
      <x:c r="B1581" s="26"/>
      <x:c r="I1581" s="27"/>
      <x:c r="K1581" s="28"/>
      <x:c r="L1581" s="28"/>
      <x:c r="M1581" s="28"/>
      <x:c r="N1581" s="28"/>
      <x:c r="O1581" s="28"/>
    </x:row>
    <x:row r="1582">
      <x:c r="B1582" s="26"/>
      <x:c r="I1582" s="27"/>
      <x:c r="K1582" s="28"/>
      <x:c r="L1582" s="28"/>
      <x:c r="M1582" s="28"/>
      <x:c r="N1582" s="28"/>
      <x:c r="O1582" s="28"/>
    </x:row>
    <x:row r="1583">
      <x:c r="B1583" s="26"/>
      <x:c r="I1583" s="27"/>
      <x:c r="K1583" s="28"/>
      <x:c r="L1583" s="28"/>
      <x:c r="M1583" s="28"/>
      <x:c r="N1583" s="28"/>
      <x:c r="O1583" s="28"/>
    </x:row>
    <x:row r="1584">
      <x:c r="B1584" s="26"/>
      <x:c r="I1584" s="27"/>
      <x:c r="K1584" s="28"/>
      <x:c r="L1584" s="28"/>
      <x:c r="M1584" s="28"/>
      <x:c r="N1584" s="28"/>
      <x:c r="O1584" s="28"/>
    </x:row>
    <x:row r="1585">
      <x:c r="B1585" s="26"/>
      <x:c r="I1585" s="27"/>
      <x:c r="K1585" s="28"/>
      <x:c r="L1585" s="28"/>
      <x:c r="M1585" s="28"/>
      <x:c r="N1585" s="28"/>
      <x:c r="O1585" s="28"/>
    </x:row>
    <x:row r="1586">
      <x:c r="B1586" s="26"/>
      <x:c r="I1586" s="27"/>
      <x:c r="K1586" s="28"/>
      <x:c r="L1586" s="28"/>
      <x:c r="M1586" s="28"/>
      <x:c r="N1586" s="28"/>
      <x:c r="O1586" s="28"/>
    </x:row>
    <x:row r="1587">
      <x:c r="B1587" s="26"/>
      <x:c r="I1587" s="27"/>
      <x:c r="K1587" s="28"/>
      <x:c r="L1587" s="28"/>
      <x:c r="M1587" s="28"/>
      <x:c r="N1587" s="28"/>
      <x:c r="O1587" s="28"/>
    </x:row>
    <x:row r="1588">
      <x:c r="B1588" s="26"/>
      <x:c r="I1588" s="27"/>
      <x:c r="K1588" s="28"/>
      <x:c r="L1588" s="28"/>
      <x:c r="M1588" s="28"/>
      <x:c r="N1588" s="28"/>
      <x:c r="O1588" s="28"/>
    </x:row>
    <x:row r="1589">
      <x:c r="B1589" s="26"/>
      <x:c r="I1589" s="27"/>
      <x:c r="K1589" s="28"/>
      <x:c r="L1589" s="28"/>
      <x:c r="M1589" s="28"/>
      <x:c r="N1589" s="28"/>
      <x:c r="O1589" s="28"/>
    </x:row>
    <x:row r="1590">
      <x:c r="B1590" s="26"/>
      <x:c r="I1590" s="27"/>
      <x:c r="K1590" s="28"/>
      <x:c r="L1590" s="28"/>
      <x:c r="M1590" s="28"/>
      <x:c r="N1590" s="28"/>
      <x:c r="O1590" s="28"/>
    </x:row>
    <x:row r="1591">
      <x:c r="B1591" s="26"/>
      <x:c r="I1591" s="27"/>
      <x:c r="K1591" s="28"/>
      <x:c r="L1591" s="28"/>
      <x:c r="M1591" s="28"/>
      <x:c r="N1591" s="28"/>
      <x:c r="O1591" s="28"/>
    </x:row>
    <x:row r="1592">
      <x:c r="B1592" s="26"/>
      <x:c r="I1592" s="27"/>
      <x:c r="K1592" s="28"/>
      <x:c r="L1592" s="28"/>
      <x:c r="M1592" s="28"/>
      <x:c r="N1592" s="28"/>
      <x:c r="O1592" s="28"/>
    </x:row>
    <x:row r="1593">
      <x:c r="B1593" s="26"/>
      <x:c r="I1593" s="27"/>
      <x:c r="K1593" s="28"/>
      <x:c r="L1593" s="28"/>
      <x:c r="M1593" s="28"/>
      <x:c r="N1593" s="28"/>
      <x:c r="O1593" s="28"/>
    </x:row>
    <x:row r="1594">
      <x:c r="B1594" s="26"/>
      <x:c r="I1594" s="27"/>
      <x:c r="K1594" s="28"/>
      <x:c r="L1594" s="28"/>
      <x:c r="M1594" s="28"/>
      <x:c r="N1594" s="28"/>
      <x:c r="O1594" s="28"/>
    </x:row>
    <x:row r="1595">
      <x:c r="B1595" s="26"/>
      <x:c r="I1595" s="27"/>
      <x:c r="K1595" s="28"/>
      <x:c r="L1595" s="28"/>
      <x:c r="M1595" s="28"/>
      <x:c r="N1595" s="28"/>
      <x:c r="O1595" s="28"/>
    </x:row>
    <x:row r="1596">
      <x:c r="B1596" s="26"/>
      <x:c r="I1596" s="27"/>
      <x:c r="K1596" s="28"/>
      <x:c r="L1596" s="28"/>
      <x:c r="M1596" s="28"/>
      <x:c r="N1596" s="28"/>
      <x:c r="O1596" s="28"/>
    </x:row>
    <x:row r="1597">
      <x:c r="B1597" s="26"/>
      <x:c r="I1597" s="27"/>
      <x:c r="K1597" s="28"/>
      <x:c r="L1597" s="28"/>
      <x:c r="M1597" s="28"/>
      <x:c r="N1597" s="28"/>
      <x:c r="O1597" s="28"/>
    </x:row>
    <x:row r="1598">
      <x:c r="B1598" s="26"/>
      <x:c r="I1598" s="27"/>
      <x:c r="K1598" s="28"/>
      <x:c r="L1598" s="28"/>
      <x:c r="M1598" s="28"/>
      <x:c r="N1598" s="28"/>
      <x:c r="O1598" s="28"/>
    </x:row>
    <x:row r="1599">
      <x:c r="B1599" s="26"/>
      <x:c r="I1599" s="27"/>
      <x:c r="K1599" s="28"/>
      <x:c r="L1599" s="28"/>
      <x:c r="M1599" s="28"/>
      <x:c r="N1599" s="28"/>
      <x:c r="O1599" s="28"/>
    </x:row>
    <x:row r="1600">
      <x:c r="B1600" s="26"/>
      <x:c r="I1600" s="27"/>
      <x:c r="K1600" s="28"/>
      <x:c r="L1600" s="28"/>
      <x:c r="M1600" s="28"/>
      <x:c r="N1600" s="28"/>
      <x:c r="O1600" s="28"/>
    </x:row>
    <x:row r="1601">
      <x:c r="B1601" s="26"/>
      <x:c r="I1601" s="27"/>
      <x:c r="K1601" s="28"/>
      <x:c r="L1601" s="28"/>
      <x:c r="M1601" s="28"/>
      <x:c r="N1601" s="28"/>
      <x:c r="O1601" s="28"/>
    </x:row>
    <x:row r="1602">
      <x:c r="B1602" s="26"/>
      <x:c r="I1602" s="27"/>
      <x:c r="K1602" s="28"/>
      <x:c r="L1602" s="28"/>
      <x:c r="M1602" s="28"/>
      <x:c r="N1602" s="28"/>
      <x:c r="O1602" s="28"/>
    </x:row>
    <x:row r="1603">
      <x:c r="B1603" s="26"/>
      <x:c r="I1603" s="27"/>
      <x:c r="K1603" s="28"/>
      <x:c r="L1603" s="28"/>
      <x:c r="M1603" s="28"/>
      <x:c r="N1603" s="28"/>
      <x:c r="O1603" s="28"/>
    </x:row>
    <x:row r="1604">
      <x:c r="B1604" s="26"/>
      <x:c r="I1604" s="27"/>
      <x:c r="K1604" s="28"/>
      <x:c r="L1604" s="28"/>
      <x:c r="M1604" s="28"/>
      <x:c r="N1604" s="28"/>
      <x:c r="O1604" s="28"/>
    </x:row>
    <x:row r="1605">
      <x:c r="B1605" s="26"/>
      <x:c r="I1605" s="27"/>
      <x:c r="K1605" s="28"/>
      <x:c r="L1605" s="28"/>
      <x:c r="M1605" s="28"/>
      <x:c r="N1605" s="28"/>
      <x:c r="O1605" s="28"/>
    </x:row>
    <x:row r="1606">
      <x:c r="B1606" s="26"/>
      <x:c r="I1606" s="27"/>
      <x:c r="K1606" s="28"/>
      <x:c r="L1606" s="28"/>
      <x:c r="M1606" s="28"/>
      <x:c r="N1606" s="28"/>
      <x:c r="O1606" s="28"/>
    </x:row>
    <x:row r="1607">
      <x:c r="B1607" s="26"/>
      <x:c r="I1607" s="27"/>
      <x:c r="K1607" s="28"/>
      <x:c r="L1607" s="28"/>
      <x:c r="M1607" s="28"/>
      <x:c r="N1607" s="28"/>
      <x:c r="O1607" s="28"/>
    </x:row>
    <x:row r="1608">
      <x:c r="B1608" s="26"/>
      <x:c r="I1608" s="27"/>
      <x:c r="K1608" s="28"/>
      <x:c r="L1608" s="28"/>
      <x:c r="M1608" s="28"/>
      <x:c r="N1608" s="28"/>
      <x:c r="O1608" s="28"/>
    </x:row>
    <x:row r="1609">
      <x:c r="B1609" s="26"/>
      <x:c r="I1609" s="27"/>
      <x:c r="K1609" s="28"/>
      <x:c r="L1609" s="28"/>
      <x:c r="M1609" s="28"/>
      <x:c r="N1609" s="28"/>
      <x:c r="O1609" s="28"/>
    </x:row>
    <x:row r="1610">
      <x:c r="B1610" s="26"/>
      <x:c r="I1610" s="27"/>
      <x:c r="K1610" s="28"/>
      <x:c r="L1610" s="28"/>
      <x:c r="M1610" s="28"/>
      <x:c r="N1610" s="28"/>
      <x:c r="O1610" s="28"/>
    </x:row>
    <x:row r="1611">
      <x:c r="B1611" s="26"/>
      <x:c r="I1611" s="27"/>
      <x:c r="K1611" s="28"/>
      <x:c r="L1611" s="28"/>
      <x:c r="M1611" s="28"/>
      <x:c r="N1611" s="28"/>
      <x:c r="O1611" s="28"/>
    </x:row>
    <x:row r="1612">
      <x:c r="B1612" s="26"/>
      <x:c r="I1612" s="27"/>
      <x:c r="K1612" s="28"/>
      <x:c r="L1612" s="28"/>
      <x:c r="M1612" s="28"/>
      <x:c r="N1612" s="28"/>
      <x:c r="O1612" s="28"/>
    </x:row>
    <x:row r="1613">
      <x:c r="B1613" s="26"/>
      <x:c r="I1613" s="27"/>
      <x:c r="K1613" s="28"/>
      <x:c r="L1613" s="28"/>
      <x:c r="M1613" s="28"/>
      <x:c r="N1613" s="28"/>
      <x:c r="O1613" s="28"/>
    </x:row>
    <x:row r="1614">
      <x:c r="B1614" s="26"/>
      <x:c r="I1614" s="27"/>
      <x:c r="K1614" s="28"/>
      <x:c r="L1614" s="28"/>
      <x:c r="M1614" s="28"/>
      <x:c r="N1614" s="28"/>
      <x:c r="O1614" s="28"/>
    </x:row>
    <x:row r="1615">
      <x:c r="B1615" s="26"/>
      <x:c r="I1615" s="27"/>
      <x:c r="K1615" s="28"/>
      <x:c r="L1615" s="28"/>
      <x:c r="M1615" s="28"/>
      <x:c r="N1615" s="28"/>
      <x:c r="O1615" s="28"/>
    </x:row>
    <x:row r="1616">
      <x:c r="B1616" s="26"/>
      <x:c r="I1616" s="27"/>
      <x:c r="K1616" s="28"/>
      <x:c r="L1616" s="28"/>
      <x:c r="M1616" s="28"/>
      <x:c r="N1616" s="28"/>
      <x:c r="O1616" s="28"/>
    </x:row>
    <x:row r="1617">
      <x:c r="B1617" s="26"/>
      <x:c r="I1617" s="27"/>
      <x:c r="K1617" s="28"/>
      <x:c r="L1617" s="28"/>
      <x:c r="M1617" s="28"/>
      <x:c r="N1617" s="28"/>
      <x:c r="O1617" s="28"/>
    </x:row>
    <x:row r="1618">
      <x:c r="B1618" s="26"/>
      <x:c r="I1618" s="27"/>
      <x:c r="K1618" s="28"/>
      <x:c r="L1618" s="28"/>
      <x:c r="M1618" s="28"/>
      <x:c r="N1618" s="28"/>
      <x:c r="O1618" s="28"/>
    </x:row>
    <x:row r="1619">
      <x:c r="B1619" s="26"/>
      <x:c r="I1619" s="27"/>
      <x:c r="K1619" s="28"/>
      <x:c r="L1619" s="28"/>
      <x:c r="M1619" s="28"/>
      <x:c r="N1619" s="28"/>
      <x:c r="O1619" s="28"/>
    </x:row>
    <x:row r="1620">
      <x:c r="B1620" s="26"/>
      <x:c r="I1620" s="27"/>
      <x:c r="K1620" s="28"/>
      <x:c r="L1620" s="28"/>
      <x:c r="M1620" s="28"/>
      <x:c r="N1620" s="28"/>
      <x:c r="O1620" s="28"/>
    </x:row>
    <x:row r="1621">
      <x:c r="B1621" s="26"/>
      <x:c r="I1621" s="27"/>
      <x:c r="K1621" s="28"/>
      <x:c r="L1621" s="28"/>
      <x:c r="M1621" s="28"/>
      <x:c r="N1621" s="28"/>
      <x:c r="O1621" s="28"/>
    </x:row>
    <x:row r="1622">
      <x:c r="B1622" s="26"/>
      <x:c r="I1622" s="27"/>
      <x:c r="K1622" s="28"/>
      <x:c r="L1622" s="28"/>
      <x:c r="M1622" s="28"/>
      <x:c r="N1622" s="28"/>
      <x:c r="O1622" s="28"/>
    </x:row>
    <x:row r="1623">
      <x:c r="B1623" s="26"/>
      <x:c r="I1623" s="27"/>
      <x:c r="K1623" s="28"/>
      <x:c r="L1623" s="28"/>
      <x:c r="M1623" s="28"/>
      <x:c r="N1623" s="28"/>
      <x:c r="O1623" s="28"/>
    </x:row>
    <x:row r="1624">
      <x:c r="B1624" s="26"/>
      <x:c r="I1624" s="27"/>
      <x:c r="K1624" s="28"/>
      <x:c r="L1624" s="28"/>
      <x:c r="M1624" s="28"/>
      <x:c r="N1624" s="28"/>
      <x:c r="O1624" s="28"/>
    </x:row>
    <x:row r="1625">
      <x:c r="B1625" s="26"/>
      <x:c r="I1625" s="27"/>
      <x:c r="K1625" s="28"/>
      <x:c r="L1625" s="28"/>
      <x:c r="M1625" s="28"/>
      <x:c r="N1625" s="28"/>
      <x:c r="O1625" s="28"/>
    </x:row>
    <x:row r="1626">
      <x:c r="B1626" s="26"/>
      <x:c r="I1626" s="27"/>
      <x:c r="K1626" s="28"/>
      <x:c r="L1626" s="28"/>
      <x:c r="M1626" s="28"/>
      <x:c r="N1626" s="28"/>
      <x:c r="O1626" s="28"/>
    </x:row>
    <x:row r="1627">
      <x:c r="B1627" s="26"/>
      <x:c r="I1627" s="27"/>
      <x:c r="K1627" s="28"/>
      <x:c r="L1627" s="28"/>
      <x:c r="M1627" s="28"/>
      <x:c r="N1627" s="28"/>
      <x:c r="O1627" s="28"/>
    </x:row>
    <x:row r="1628">
      <x:c r="B1628" s="26"/>
      <x:c r="I1628" s="27"/>
      <x:c r="K1628" s="28"/>
      <x:c r="L1628" s="28"/>
      <x:c r="M1628" s="28"/>
      <x:c r="N1628" s="28"/>
      <x:c r="O1628" s="28"/>
    </x:row>
    <x:row r="1629">
      <x:c r="B1629" s="26"/>
      <x:c r="I1629" s="27"/>
      <x:c r="K1629" s="28"/>
      <x:c r="L1629" s="28"/>
      <x:c r="M1629" s="28"/>
      <x:c r="N1629" s="28"/>
      <x:c r="O1629" s="28"/>
    </x:row>
    <x:row r="1630">
      <x:c r="B1630" s="26"/>
      <x:c r="I1630" s="27"/>
      <x:c r="K1630" s="28"/>
      <x:c r="L1630" s="28"/>
      <x:c r="M1630" s="28"/>
      <x:c r="N1630" s="28"/>
      <x:c r="O1630" s="28"/>
    </x:row>
    <x:row r="1631">
      <x:c r="B1631" s="26"/>
      <x:c r="I1631" s="27"/>
      <x:c r="K1631" s="28"/>
      <x:c r="L1631" s="28"/>
      <x:c r="M1631" s="28"/>
      <x:c r="N1631" s="28"/>
      <x:c r="O1631" s="28"/>
    </x:row>
    <x:row r="1632">
      <x:c r="B1632" s="26"/>
      <x:c r="I1632" s="27"/>
      <x:c r="K1632" s="28"/>
      <x:c r="L1632" s="28"/>
      <x:c r="M1632" s="28"/>
      <x:c r="N1632" s="28"/>
      <x:c r="O1632" s="28"/>
    </x:row>
    <x:row r="1633">
      <x:c r="B1633" s="26"/>
      <x:c r="I1633" s="27"/>
      <x:c r="K1633" s="28"/>
      <x:c r="L1633" s="28"/>
      <x:c r="M1633" s="28"/>
      <x:c r="N1633" s="28"/>
      <x:c r="O1633" s="28"/>
    </x:row>
    <x:row r="1634">
      <x:c r="B1634" s="26"/>
      <x:c r="I1634" s="27"/>
      <x:c r="K1634" s="28"/>
      <x:c r="L1634" s="28"/>
      <x:c r="M1634" s="28"/>
      <x:c r="N1634" s="28"/>
      <x:c r="O1634" s="28"/>
    </x:row>
    <x:row r="1635">
      <x:c r="B1635" s="26"/>
      <x:c r="I1635" s="27"/>
      <x:c r="K1635" s="28"/>
      <x:c r="L1635" s="28"/>
      <x:c r="M1635" s="28"/>
      <x:c r="N1635" s="28"/>
      <x:c r="O1635" s="28"/>
    </x:row>
    <x:row r="1636">
      <x:c r="B1636" s="26"/>
      <x:c r="I1636" s="27"/>
      <x:c r="K1636" s="28"/>
      <x:c r="L1636" s="28"/>
      <x:c r="M1636" s="28"/>
      <x:c r="N1636" s="28"/>
      <x:c r="O1636" s="28"/>
    </x:row>
    <x:row r="1637">
      <x:c r="B1637" s="26"/>
      <x:c r="I1637" s="27"/>
      <x:c r="K1637" s="28"/>
      <x:c r="L1637" s="28"/>
      <x:c r="M1637" s="28"/>
      <x:c r="N1637" s="28"/>
      <x:c r="O1637" s="28"/>
    </x:row>
    <x:row r="1638">
      <x:c r="B1638" s="26"/>
      <x:c r="I1638" s="27"/>
      <x:c r="K1638" s="28"/>
      <x:c r="L1638" s="28"/>
      <x:c r="M1638" s="28"/>
      <x:c r="N1638" s="28"/>
      <x:c r="O1638" s="28"/>
    </x:row>
    <x:row r="1639">
      <x:c r="B1639" s="26"/>
      <x:c r="I1639" s="27"/>
      <x:c r="K1639" s="28"/>
      <x:c r="L1639" s="28"/>
      <x:c r="M1639" s="28"/>
      <x:c r="N1639" s="28"/>
      <x:c r="O1639" s="28"/>
    </x:row>
    <x:row r="1640">
      <x:c r="B1640" s="26"/>
      <x:c r="I1640" s="27"/>
      <x:c r="K1640" s="28"/>
      <x:c r="L1640" s="28"/>
      <x:c r="M1640" s="28"/>
      <x:c r="N1640" s="28"/>
      <x:c r="O1640" s="28"/>
    </x:row>
    <x:row r="1641">
      <x:c r="B1641" s="26"/>
      <x:c r="I1641" s="27"/>
      <x:c r="K1641" s="28"/>
      <x:c r="L1641" s="28"/>
      <x:c r="M1641" s="28"/>
      <x:c r="N1641" s="28"/>
      <x:c r="O1641" s="28"/>
    </x:row>
    <x:row r="1642">
      <x:c r="B1642" s="26"/>
      <x:c r="I1642" s="27"/>
      <x:c r="K1642" s="28"/>
      <x:c r="L1642" s="28"/>
      <x:c r="M1642" s="28"/>
      <x:c r="N1642" s="28"/>
      <x:c r="O1642" s="28"/>
    </x:row>
    <x:row r="1643">
      <x:c r="B1643" s="26"/>
      <x:c r="I1643" s="27"/>
      <x:c r="K1643" s="28"/>
      <x:c r="L1643" s="28"/>
      <x:c r="M1643" s="28"/>
      <x:c r="N1643" s="28"/>
      <x:c r="O1643" s="28"/>
    </x:row>
    <x:row r="1644">
      <x:c r="B1644" s="26"/>
      <x:c r="I1644" s="27"/>
      <x:c r="K1644" s="28"/>
      <x:c r="L1644" s="28"/>
      <x:c r="M1644" s="28"/>
      <x:c r="N1644" s="28"/>
      <x:c r="O1644" s="28"/>
    </x:row>
    <x:row r="1645">
      <x:c r="B1645" s="26"/>
      <x:c r="I1645" s="27"/>
      <x:c r="K1645" s="28"/>
      <x:c r="L1645" s="28"/>
      <x:c r="M1645" s="28"/>
      <x:c r="N1645" s="28"/>
      <x:c r="O1645" s="28"/>
    </x:row>
    <x:row r="1646">
      <x:c r="B1646" s="26"/>
      <x:c r="I1646" s="27"/>
      <x:c r="K1646" s="28"/>
      <x:c r="L1646" s="28"/>
      <x:c r="M1646" s="28"/>
      <x:c r="N1646" s="28"/>
      <x:c r="O1646" s="28"/>
    </x:row>
    <x:row r="1647">
      <x:c r="B1647" s="26"/>
      <x:c r="I1647" s="27"/>
      <x:c r="K1647" s="28"/>
      <x:c r="L1647" s="28"/>
      <x:c r="M1647" s="28"/>
      <x:c r="N1647" s="28"/>
      <x:c r="O1647" s="28"/>
    </x:row>
    <x:row r="1648">
      <x:c r="B1648" s="26"/>
      <x:c r="I1648" s="27"/>
      <x:c r="K1648" s="28"/>
      <x:c r="L1648" s="28"/>
      <x:c r="M1648" s="28"/>
      <x:c r="N1648" s="28"/>
      <x:c r="O1648" s="28"/>
    </x:row>
    <x:row r="1649">
      <x:c r="B1649" s="26"/>
      <x:c r="I1649" s="27"/>
      <x:c r="K1649" s="28"/>
      <x:c r="L1649" s="28"/>
      <x:c r="M1649" s="28"/>
      <x:c r="N1649" s="28"/>
      <x:c r="O1649" s="28"/>
    </x:row>
    <x:row r="1650">
      <x:c r="B1650" s="26"/>
      <x:c r="I1650" s="27"/>
      <x:c r="K1650" s="28"/>
      <x:c r="L1650" s="28"/>
      <x:c r="M1650" s="28"/>
      <x:c r="N1650" s="28"/>
      <x:c r="O1650" s="28"/>
    </x:row>
    <x:row r="1651">
      <x:c r="B1651" s="26"/>
      <x:c r="I1651" s="27"/>
      <x:c r="K1651" s="28"/>
      <x:c r="L1651" s="28"/>
      <x:c r="M1651" s="28"/>
      <x:c r="N1651" s="28"/>
      <x:c r="O1651" s="28"/>
    </x:row>
    <x:row r="1652">
      <x:c r="B1652" s="26"/>
      <x:c r="I1652" s="27"/>
      <x:c r="K1652" s="28"/>
      <x:c r="L1652" s="28"/>
      <x:c r="M1652" s="28"/>
      <x:c r="N1652" s="28"/>
      <x:c r="O1652" s="28"/>
    </x:row>
    <x:row r="1653">
      <x:c r="B1653" s="26"/>
      <x:c r="I1653" s="27"/>
      <x:c r="K1653" s="28"/>
      <x:c r="L1653" s="28"/>
      <x:c r="M1653" s="28"/>
      <x:c r="N1653" s="28"/>
      <x:c r="O1653" s="28"/>
    </x:row>
    <x:row r="1654">
      <x:c r="B1654" s="26"/>
      <x:c r="I1654" s="27"/>
      <x:c r="K1654" s="28"/>
      <x:c r="L1654" s="28"/>
      <x:c r="M1654" s="28"/>
      <x:c r="N1654" s="28"/>
      <x:c r="O1654" s="28"/>
    </x:row>
    <x:row r="1655">
      <x:c r="B1655" s="26"/>
      <x:c r="I1655" s="27"/>
      <x:c r="K1655" s="28"/>
      <x:c r="L1655" s="28"/>
      <x:c r="M1655" s="28"/>
      <x:c r="N1655" s="28"/>
      <x:c r="O1655" s="28"/>
    </x:row>
    <x:row r="1656">
      <x:c r="B1656" s="26"/>
      <x:c r="I1656" s="27"/>
      <x:c r="K1656" s="28"/>
      <x:c r="L1656" s="28"/>
      <x:c r="M1656" s="28"/>
      <x:c r="N1656" s="28"/>
      <x:c r="O1656" s="28"/>
    </x:row>
    <x:row r="1657">
      <x:c r="B1657" s="26"/>
      <x:c r="I1657" s="27"/>
      <x:c r="K1657" s="28"/>
      <x:c r="L1657" s="28"/>
      <x:c r="M1657" s="28"/>
      <x:c r="N1657" s="28"/>
      <x:c r="O1657" s="28"/>
    </x:row>
    <x:row r="1658">
      <x:c r="B1658" s="26"/>
      <x:c r="I1658" s="27"/>
      <x:c r="K1658" s="28"/>
      <x:c r="L1658" s="28"/>
      <x:c r="M1658" s="28"/>
      <x:c r="N1658" s="28"/>
      <x:c r="O1658" s="28"/>
    </x:row>
    <x:row r="1659">
      <x:c r="B1659" s="26"/>
      <x:c r="I1659" s="27"/>
      <x:c r="K1659" s="28"/>
      <x:c r="L1659" s="28"/>
      <x:c r="M1659" s="28"/>
      <x:c r="N1659" s="28"/>
      <x:c r="O1659" s="28"/>
    </x:row>
    <x:row r="1660">
      <x:c r="B1660" s="26"/>
      <x:c r="I1660" s="27"/>
      <x:c r="K1660" s="28"/>
      <x:c r="L1660" s="28"/>
      <x:c r="M1660" s="28"/>
      <x:c r="N1660" s="28"/>
      <x:c r="O1660" s="28"/>
    </x:row>
    <x:row r="1661">
      <x:c r="B1661" s="26"/>
      <x:c r="I1661" s="27"/>
      <x:c r="K1661" s="28"/>
      <x:c r="L1661" s="28"/>
      <x:c r="M1661" s="28"/>
      <x:c r="N1661" s="28"/>
      <x:c r="O1661" s="28"/>
    </x:row>
    <x:row r="1662">
      <x:c r="B1662" s="26"/>
      <x:c r="I1662" s="27"/>
      <x:c r="K1662" s="28"/>
      <x:c r="L1662" s="28"/>
      <x:c r="M1662" s="28"/>
      <x:c r="N1662" s="28"/>
      <x:c r="O1662" s="28"/>
    </x:row>
    <x:row r="1663">
      <x:c r="B1663" s="26"/>
      <x:c r="I1663" s="27"/>
      <x:c r="K1663" s="28"/>
      <x:c r="L1663" s="28"/>
      <x:c r="M1663" s="28"/>
      <x:c r="N1663" s="28"/>
      <x:c r="O1663" s="28"/>
    </x:row>
    <x:row r="1664">
      <x:c r="B1664" s="26"/>
      <x:c r="I1664" s="27"/>
      <x:c r="K1664" s="28"/>
      <x:c r="L1664" s="28"/>
      <x:c r="M1664" s="28"/>
      <x:c r="N1664" s="28"/>
      <x:c r="O1664" s="28"/>
    </x:row>
    <x:row r="1665">
      <x:c r="B1665" s="26"/>
      <x:c r="I1665" s="27"/>
      <x:c r="K1665" s="28"/>
      <x:c r="L1665" s="28"/>
      <x:c r="M1665" s="28"/>
      <x:c r="N1665" s="28"/>
      <x:c r="O1665" s="28"/>
    </x:row>
    <x:row r="1666">
      <x:c r="B1666" s="26"/>
      <x:c r="I1666" s="27"/>
      <x:c r="K1666" s="28"/>
      <x:c r="L1666" s="28"/>
      <x:c r="M1666" s="28"/>
      <x:c r="N1666" s="28"/>
      <x:c r="O1666" s="28"/>
    </x:row>
    <x:row r="1667">
      <x:c r="B1667" s="26"/>
      <x:c r="I1667" s="27"/>
      <x:c r="K1667" s="28"/>
      <x:c r="L1667" s="28"/>
      <x:c r="M1667" s="28"/>
      <x:c r="N1667" s="28"/>
      <x:c r="O1667" s="28"/>
    </x:row>
    <x:row r="1668">
      <x:c r="B1668" s="26"/>
      <x:c r="I1668" s="27"/>
      <x:c r="K1668" s="28"/>
      <x:c r="L1668" s="28"/>
      <x:c r="M1668" s="28"/>
      <x:c r="N1668" s="28"/>
      <x:c r="O1668" s="28"/>
    </x:row>
    <x:row r="1669">
      <x:c r="B1669" s="26"/>
      <x:c r="I1669" s="27"/>
      <x:c r="K1669" s="28"/>
      <x:c r="L1669" s="28"/>
      <x:c r="M1669" s="28"/>
      <x:c r="N1669" s="28"/>
      <x:c r="O1669" s="28"/>
    </x:row>
    <x:row r="1670">
      <x:c r="B1670" s="26"/>
      <x:c r="I1670" s="27"/>
      <x:c r="K1670" s="28"/>
      <x:c r="L1670" s="28"/>
      <x:c r="M1670" s="28"/>
      <x:c r="N1670" s="28"/>
      <x:c r="O1670" s="28"/>
    </x:row>
    <x:row r="1671">
      <x:c r="B1671" s="26"/>
      <x:c r="I1671" s="27"/>
      <x:c r="K1671" s="28"/>
      <x:c r="L1671" s="28"/>
      <x:c r="M1671" s="28"/>
      <x:c r="N1671" s="28"/>
      <x:c r="O1671" s="28"/>
    </x:row>
    <x:row r="1672">
      <x:c r="B1672" s="26"/>
      <x:c r="I1672" s="27"/>
      <x:c r="K1672" s="28"/>
      <x:c r="L1672" s="28"/>
      <x:c r="M1672" s="28"/>
      <x:c r="N1672" s="28"/>
      <x:c r="O1672" s="28"/>
    </x:row>
    <x:row r="1673">
      <x:c r="B1673" s="26"/>
      <x:c r="I1673" s="27"/>
      <x:c r="K1673" s="28"/>
      <x:c r="L1673" s="28"/>
      <x:c r="M1673" s="28"/>
      <x:c r="N1673" s="28"/>
      <x:c r="O1673" s="28"/>
    </x:row>
    <x:row r="1674">
      <x:c r="B1674" s="26"/>
      <x:c r="I1674" s="27"/>
      <x:c r="K1674" s="28"/>
      <x:c r="L1674" s="28"/>
      <x:c r="M1674" s="28"/>
      <x:c r="N1674" s="28"/>
      <x:c r="O1674" s="28"/>
    </x:row>
    <x:row r="1675">
      <x:c r="B1675" s="26"/>
      <x:c r="I1675" s="27"/>
      <x:c r="K1675" s="28"/>
      <x:c r="L1675" s="28"/>
      <x:c r="M1675" s="28"/>
      <x:c r="N1675" s="28"/>
      <x:c r="O1675" s="28"/>
    </x:row>
    <x:row r="1676">
      <x:c r="B1676" s="26"/>
      <x:c r="I1676" s="27"/>
      <x:c r="K1676" s="28"/>
      <x:c r="L1676" s="28"/>
      <x:c r="M1676" s="28"/>
      <x:c r="N1676" s="28"/>
      <x:c r="O1676" s="28"/>
    </x:row>
    <x:row r="1677">
      <x:c r="B1677" s="26"/>
      <x:c r="I1677" s="27"/>
      <x:c r="K1677" s="28"/>
      <x:c r="L1677" s="28"/>
      <x:c r="M1677" s="28"/>
      <x:c r="N1677" s="28"/>
      <x:c r="O1677" s="28"/>
    </x:row>
    <x:row r="1678">
      <x:c r="B1678" s="26"/>
      <x:c r="I1678" s="27"/>
      <x:c r="K1678" s="28"/>
      <x:c r="L1678" s="28"/>
      <x:c r="M1678" s="28"/>
      <x:c r="N1678" s="28"/>
      <x:c r="O1678" s="28"/>
    </x:row>
    <x:row r="1679">
      <x:c r="B1679" s="26"/>
      <x:c r="I1679" s="27"/>
      <x:c r="K1679" s="28"/>
      <x:c r="L1679" s="28"/>
      <x:c r="M1679" s="28"/>
      <x:c r="N1679" s="28"/>
      <x:c r="O1679" s="28"/>
    </x:row>
    <x:row r="1680">
      <x:c r="B1680" s="26"/>
      <x:c r="I1680" s="27"/>
      <x:c r="K1680" s="28"/>
      <x:c r="L1680" s="28"/>
      <x:c r="M1680" s="28"/>
      <x:c r="N1680" s="28"/>
      <x:c r="O1680" s="28"/>
    </x:row>
    <x:row r="1681">
      <x:c r="B1681" s="26"/>
      <x:c r="I1681" s="27"/>
      <x:c r="K1681" s="28"/>
      <x:c r="L1681" s="28"/>
      <x:c r="M1681" s="28"/>
      <x:c r="N1681" s="28"/>
      <x:c r="O1681" s="28"/>
    </x:row>
    <x:row r="1682">
      <x:c r="B1682" s="26"/>
      <x:c r="I1682" s="27"/>
      <x:c r="K1682" s="28"/>
      <x:c r="L1682" s="28"/>
      <x:c r="M1682" s="28"/>
      <x:c r="N1682" s="28"/>
      <x:c r="O1682" s="28"/>
    </x:row>
    <x:row r="1683">
      <x:c r="B1683" s="26"/>
      <x:c r="I1683" s="27"/>
      <x:c r="K1683" s="28"/>
      <x:c r="L1683" s="28"/>
      <x:c r="M1683" s="28"/>
      <x:c r="N1683" s="28"/>
      <x:c r="O1683" s="28"/>
    </x:row>
    <x:row r="1684">
      <x:c r="B1684" s="26"/>
      <x:c r="I1684" s="27"/>
      <x:c r="K1684" s="28"/>
      <x:c r="L1684" s="28"/>
      <x:c r="M1684" s="28"/>
      <x:c r="N1684" s="28"/>
      <x:c r="O1684" s="28"/>
    </x:row>
    <x:row r="1685">
      <x:c r="B1685" s="26"/>
      <x:c r="I1685" s="27"/>
      <x:c r="K1685" s="28"/>
      <x:c r="L1685" s="28"/>
      <x:c r="M1685" s="28"/>
      <x:c r="N1685" s="28"/>
      <x:c r="O1685" s="28"/>
    </x:row>
    <x:row r="1686">
      <x:c r="B1686" s="26"/>
      <x:c r="I1686" s="27"/>
      <x:c r="K1686" s="28"/>
      <x:c r="L1686" s="28"/>
      <x:c r="M1686" s="28"/>
      <x:c r="N1686" s="28"/>
      <x:c r="O1686" s="28"/>
    </x:row>
    <x:row r="1687">
      <x:c r="B1687" s="26"/>
      <x:c r="I1687" s="27"/>
      <x:c r="K1687" s="28"/>
      <x:c r="L1687" s="28"/>
      <x:c r="M1687" s="28"/>
      <x:c r="N1687" s="28"/>
      <x:c r="O1687" s="28"/>
    </x:row>
    <x:row r="1688">
      <x:c r="B1688" s="26"/>
      <x:c r="I1688" s="27"/>
      <x:c r="K1688" s="28"/>
      <x:c r="L1688" s="28"/>
      <x:c r="M1688" s="28"/>
      <x:c r="N1688" s="28"/>
      <x:c r="O1688" s="28"/>
    </x:row>
    <x:row r="1689">
      <x:c r="B1689" s="26"/>
      <x:c r="I1689" s="27"/>
      <x:c r="K1689" s="28"/>
      <x:c r="L1689" s="28"/>
      <x:c r="M1689" s="28"/>
      <x:c r="N1689" s="28"/>
      <x:c r="O1689" s="28"/>
    </x:row>
    <x:row r="1690">
      <x:c r="B1690" s="26"/>
      <x:c r="I1690" s="27"/>
      <x:c r="K1690" s="28"/>
      <x:c r="L1690" s="28"/>
      <x:c r="M1690" s="28"/>
      <x:c r="N1690" s="28"/>
      <x:c r="O1690" s="28"/>
    </x:row>
    <x:row r="1691">
      <x:c r="B1691" s="26"/>
      <x:c r="I1691" s="27"/>
      <x:c r="K1691" s="28"/>
      <x:c r="L1691" s="28"/>
      <x:c r="M1691" s="28"/>
      <x:c r="N1691" s="28"/>
      <x:c r="O1691" s="28"/>
    </x:row>
    <x:row r="1692">
      <x:c r="B1692" s="26"/>
      <x:c r="I1692" s="27"/>
      <x:c r="K1692" s="28"/>
      <x:c r="L1692" s="28"/>
      <x:c r="M1692" s="28"/>
      <x:c r="N1692" s="28"/>
      <x:c r="O1692" s="28"/>
    </x:row>
    <x:row r="1693">
      <x:c r="B1693" s="26"/>
      <x:c r="I1693" s="27"/>
      <x:c r="K1693" s="28"/>
      <x:c r="L1693" s="28"/>
      <x:c r="M1693" s="28"/>
      <x:c r="N1693" s="28"/>
      <x:c r="O1693" s="28"/>
    </x:row>
    <x:row r="1694">
      <x:c r="B1694" s="26"/>
      <x:c r="I1694" s="27"/>
      <x:c r="K1694" s="28"/>
      <x:c r="L1694" s="28"/>
      <x:c r="M1694" s="28"/>
      <x:c r="N1694" s="28"/>
      <x:c r="O1694" s="28"/>
    </x:row>
    <x:row r="1695">
      <x:c r="B1695" s="26"/>
      <x:c r="I1695" s="27"/>
      <x:c r="K1695" s="28"/>
      <x:c r="L1695" s="28"/>
      <x:c r="M1695" s="28"/>
      <x:c r="N1695" s="28"/>
      <x:c r="O1695" s="28"/>
    </x:row>
    <x:row r="1696">
      <x:c r="B1696" s="26"/>
      <x:c r="I1696" s="27"/>
      <x:c r="K1696" s="28"/>
      <x:c r="L1696" s="28"/>
      <x:c r="M1696" s="28"/>
      <x:c r="N1696" s="28"/>
      <x:c r="O1696" s="28"/>
    </x:row>
    <x:row r="1697">
      <x:c r="B1697" s="26"/>
      <x:c r="I1697" s="27"/>
      <x:c r="K1697" s="28"/>
      <x:c r="L1697" s="28"/>
      <x:c r="M1697" s="28"/>
      <x:c r="N1697" s="28"/>
      <x:c r="O1697" s="28"/>
    </x:row>
    <x:row r="1698">
      <x:c r="B1698" s="26"/>
      <x:c r="I1698" s="27"/>
      <x:c r="K1698" s="28"/>
      <x:c r="L1698" s="28"/>
      <x:c r="M1698" s="28"/>
      <x:c r="N1698" s="28"/>
      <x:c r="O1698" s="28"/>
    </x:row>
    <x:row r="1699">
      <x:c r="B1699" s="26"/>
      <x:c r="I1699" s="27"/>
      <x:c r="K1699" s="28"/>
      <x:c r="L1699" s="28"/>
      <x:c r="M1699" s="28"/>
      <x:c r="N1699" s="28"/>
      <x:c r="O1699" s="28"/>
    </x:row>
    <x:row r="1700">
      <x:c r="B1700" s="26"/>
      <x:c r="I1700" s="27"/>
      <x:c r="K1700" s="28"/>
      <x:c r="L1700" s="28"/>
      <x:c r="M1700" s="28"/>
      <x:c r="N1700" s="28"/>
      <x:c r="O1700" s="28"/>
    </x:row>
    <x:row r="1701">
      <x:c r="B1701" s="26"/>
      <x:c r="I1701" s="27"/>
      <x:c r="K1701" s="28"/>
      <x:c r="L1701" s="28"/>
      <x:c r="M1701" s="28"/>
      <x:c r="N1701" s="28"/>
      <x:c r="O1701" s="28"/>
    </x:row>
    <x:row r="1702">
      <x:c r="B1702" s="26"/>
      <x:c r="I1702" s="27"/>
      <x:c r="K1702" s="28"/>
      <x:c r="L1702" s="28"/>
      <x:c r="M1702" s="28"/>
      <x:c r="N1702" s="28"/>
      <x:c r="O1702" s="28"/>
    </x:row>
    <x:row r="1703">
      <x:c r="B1703" s="26"/>
      <x:c r="I1703" s="27"/>
      <x:c r="K1703" s="28"/>
      <x:c r="L1703" s="28"/>
      <x:c r="M1703" s="28"/>
      <x:c r="N1703" s="28"/>
      <x:c r="O1703" s="28"/>
    </x:row>
    <x:row r="1704">
      <x:c r="B1704" s="26"/>
      <x:c r="I1704" s="27"/>
      <x:c r="K1704" s="28"/>
      <x:c r="L1704" s="28"/>
      <x:c r="M1704" s="28"/>
      <x:c r="N1704" s="28"/>
      <x:c r="O1704" s="28"/>
    </x:row>
    <x:row r="1705">
      <x:c r="B1705" s="26"/>
      <x:c r="I1705" s="27"/>
      <x:c r="K1705" s="28"/>
      <x:c r="L1705" s="28"/>
      <x:c r="M1705" s="28"/>
      <x:c r="N1705" s="28"/>
      <x:c r="O1705" s="28"/>
    </x:row>
    <x:row r="1706">
      <x:c r="B1706" s="26"/>
      <x:c r="I1706" s="27"/>
      <x:c r="K1706" s="28"/>
      <x:c r="L1706" s="28"/>
      <x:c r="M1706" s="28"/>
      <x:c r="N1706" s="28"/>
      <x:c r="O1706" s="28"/>
    </x:row>
    <x:row r="1707">
      <x:c r="B1707" s="26"/>
      <x:c r="I1707" s="27"/>
      <x:c r="K1707" s="28"/>
      <x:c r="L1707" s="28"/>
      <x:c r="M1707" s="28"/>
      <x:c r="N1707" s="28"/>
      <x:c r="O1707" s="28"/>
    </x:row>
    <x:row r="1708">
      <x:c r="B1708" s="26"/>
      <x:c r="I1708" s="27"/>
      <x:c r="K1708" s="28"/>
      <x:c r="L1708" s="28"/>
      <x:c r="M1708" s="28"/>
      <x:c r="N1708" s="28"/>
      <x:c r="O1708" s="28"/>
    </x:row>
    <x:row r="1709">
      <x:c r="B1709" s="26"/>
      <x:c r="I1709" s="27"/>
      <x:c r="K1709" s="28"/>
      <x:c r="L1709" s="28"/>
      <x:c r="M1709" s="28"/>
      <x:c r="N1709" s="28"/>
      <x:c r="O1709" s="28"/>
    </x:row>
    <x:row r="1710">
      <x:c r="B1710" s="26"/>
      <x:c r="I1710" s="27"/>
      <x:c r="K1710" s="28"/>
      <x:c r="L1710" s="28"/>
      <x:c r="M1710" s="28"/>
      <x:c r="N1710" s="28"/>
      <x:c r="O1710" s="28"/>
    </x:row>
    <x:row r="1711">
      <x:c r="B1711" s="26"/>
      <x:c r="I1711" s="27"/>
      <x:c r="K1711" s="28"/>
      <x:c r="L1711" s="28"/>
      <x:c r="M1711" s="28"/>
      <x:c r="N1711" s="28"/>
      <x:c r="O1711" s="28"/>
    </x:row>
    <x:row r="1712">
      <x:c r="B1712" s="26"/>
      <x:c r="I1712" s="27"/>
      <x:c r="K1712" s="28"/>
      <x:c r="L1712" s="28"/>
      <x:c r="M1712" s="28"/>
      <x:c r="N1712" s="28"/>
      <x:c r="O1712" s="28"/>
    </x:row>
    <x:row r="1713">
      <x:c r="B1713" s="26"/>
      <x:c r="I1713" s="27"/>
      <x:c r="K1713" s="28"/>
      <x:c r="L1713" s="28"/>
      <x:c r="M1713" s="28"/>
      <x:c r="N1713" s="28"/>
      <x:c r="O1713" s="28"/>
    </x:row>
    <x:row r="1714">
      <x:c r="B1714" s="26"/>
      <x:c r="I1714" s="27"/>
      <x:c r="K1714" s="28"/>
      <x:c r="L1714" s="28"/>
      <x:c r="M1714" s="28"/>
      <x:c r="N1714" s="28"/>
      <x:c r="O1714" s="28"/>
    </x:row>
    <x:row r="1715">
      <x:c r="B1715" s="26"/>
      <x:c r="I1715" s="27"/>
      <x:c r="K1715" s="28"/>
      <x:c r="L1715" s="28"/>
      <x:c r="M1715" s="28"/>
      <x:c r="N1715" s="28"/>
      <x:c r="O1715" s="28"/>
    </x:row>
    <x:row r="1716">
      <x:c r="B1716" s="26"/>
      <x:c r="I1716" s="27"/>
      <x:c r="K1716" s="28"/>
      <x:c r="L1716" s="28"/>
      <x:c r="M1716" s="28"/>
      <x:c r="N1716" s="28"/>
      <x:c r="O1716" s="28"/>
    </x:row>
    <x:row r="1717">
      <x:c r="B1717" s="26"/>
      <x:c r="I1717" s="27"/>
      <x:c r="K1717" s="28"/>
      <x:c r="L1717" s="28"/>
      <x:c r="M1717" s="28"/>
      <x:c r="N1717" s="28"/>
      <x:c r="O1717" s="28"/>
    </x:row>
    <x:row r="1718">
      <x:c r="B1718" s="26"/>
      <x:c r="I1718" s="27"/>
      <x:c r="K1718" s="28"/>
      <x:c r="L1718" s="28"/>
      <x:c r="M1718" s="28"/>
      <x:c r="N1718" s="28"/>
      <x:c r="O1718" s="28"/>
    </x:row>
    <x:row r="1719">
      <x:c r="B1719" s="26"/>
      <x:c r="I1719" s="27"/>
      <x:c r="K1719" s="28"/>
      <x:c r="L1719" s="28"/>
      <x:c r="M1719" s="28"/>
      <x:c r="N1719" s="28"/>
      <x:c r="O1719" s="28"/>
    </x:row>
    <x:row r="1720">
      <x:c r="B1720" s="26"/>
      <x:c r="I1720" s="27"/>
      <x:c r="K1720" s="28"/>
      <x:c r="L1720" s="28"/>
      <x:c r="M1720" s="28"/>
      <x:c r="N1720" s="28"/>
      <x:c r="O1720" s="28"/>
    </x:row>
    <x:row r="1721">
      <x:c r="B1721" s="26"/>
      <x:c r="I1721" s="27"/>
      <x:c r="K1721" s="28"/>
      <x:c r="L1721" s="28"/>
      <x:c r="M1721" s="28"/>
      <x:c r="N1721" s="28"/>
      <x:c r="O1721" s="28"/>
    </x:row>
    <x:row r="1722">
      <x:c r="B1722" s="26"/>
      <x:c r="I1722" s="27"/>
      <x:c r="K1722" s="28"/>
      <x:c r="L1722" s="28"/>
      <x:c r="M1722" s="28"/>
      <x:c r="N1722" s="28"/>
      <x:c r="O1722" s="28"/>
    </x:row>
    <x:row r="1723">
      <x:c r="B1723" s="26"/>
      <x:c r="I1723" s="27"/>
      <x:c r="K1723" s="28"/>
      <x:c r="L1723" s="28"/>
      <x:c r="M1723" s="28"/>
      <x:c r="N1723" s="28"/>
      <x:c r="O1723" s="28"/>
    </x:row>
    <x:row r="1724">
      <x:c r="B1724" s="26"/>
      <x:c r="I1724" s="27"/>
      <x:c r="K1724" s="28"/>
      <x:c r="L1724" s="28"/>
      <x:c r="M1724" s="28"/>
      <x:c r="N1724" s="28"/>
      <x:c r="O1724" s="28"/>
    </x:row>
    <x:row r="1725">
      <x:c r="B1725" s="26"/>
      <x:c r="I1725" s="27"/>
      <x:c r="K1725" s="28"/>
      <x:c r="L1725" s="28"/>
      <x:c r="M1725" s="28"/>
      <x:c r="N1725" s="28"/>
      <x:c r="O1725" s="28"/>
    </x:row>
    <x:row r="1726">
      <x:c r="B1726" s="26"/>
      <x:c r="I1726" s="27"/>
      <x:c r="K1726" s="28"/>
      <x:c r="L1726" s="28"/>
      <x:c r="M1726" s="28"/>
      <x:c r="N1726" s="28"/>
      <x:c r="O1726" s="28"/>
    </x:row>
    <x:row r="1727">
      <x:c r="B1727" s="26"/>
      <x:c r="I1727" s="27"/>
      <x:c r="K1727" s="28"/>
      <x:c r="L1727" s="28"/>
      <x:c r="M1727" s="28"/>
      <x:c r="N1727" s="28"/>
      <x:c r="O1727" s="28"/>
    </x:row>
    <x:row r="1728">
      <x:c r="B1728" s="26"/>
      <x:c r="I1728" s="27"/>
      <x:c r="K1728" s="28"/>
      <x:c r="L1728" s="28"/>
      <x:c r="M1728" s="28"/>
      <x:c r="N1728" s="28"/>
      <x:c r="O1728" s="28"/>
    </x:row>
    <x:row r="1729">
      <x:c r="B1729" s="26"/>
      <x:c r="I1729" s="27"/>
      <x:c r="K1729" s="28"/>
      <x:c r="L1729" s="28"/>
      <x:c r="M1729" s="28"/>
      <x:c r="N1729" s="28"/>
      <x:c r="O1729" s="28"/>
    </x:row>
    <x:row r="1730">
      <x:c r="B1730" s="26"/>
      <x:c r="I1730" s="27"/>
      <x:c r="K1730" s="28"/>
      <x:c r="L1730" s="28"/>
      <x:c r="M1730" s="28"/>
      <x:c r="N1730" s="28"/>
      <x:c r="O1730" s="28"/>
    </x:row>
    <x:row r="1731">
      <x:c r="B1731" s="26"/>
      <x:c r="I1731" s="27"/>
      <x:c r="K1731" s="28"/>
      <x:c r="L1731" s="28"/>
      <x:c r="M1731" s="28"/>
      <x:c r="N1731" s="28"/>
      <x:c r="O1731" s="28"/>
    </x:row>
    <x:row r="1732">
      <x:c r="B1732" s="26"/>
      <x:c r="I1732" s="27"/>
      <x:c r="K1732" s="28"/>
      <x:c r="L1732" s="28"/>
      <x:c r="M1732" s="28"/>
      <x:c r="N1732" s="28"/>
      <x:c r="O1732" s="28"/>
    </x:row>
    <x:row r="1733">
      <x:c r="B1733" s="26"/>
      <x:c r="I1733" s="27"/>
      <x:c r="K1733" s="28"/>
      <x:c r="L1733" s="28"/>
      <x:c r="M1733" s="28"/>
      <x:c r="N1733" s="28"/>
      <x:c r="O1733" s="28"/>
    </x:row>
    <x:row r="1734">
      <x:c r="B1734" s="26"/>
      <x:c r="I1734" s="27"/>
      <x:c r="K1734" s="28"/>
      <x:c r="L1734" s="28"/>
      <x:c r="M1734" s="28"/>
      <x:c r="N1734" s="28"/>
      <x:c r="O1734" s="28"/>
    </x:row>
    <x:row r="1735">
      <x:c r="B1735" s="26"/>
      <x:c r="I1735" s="27"/>
      <x:c r="K1735" s="28"/>
      <x:c r="L1735" s="28"/>
      <x:c r="M1735" s="28"/>
      <x:c r="N1735" s="28"/>
      <x:c r="O1735" s="28"/>
    </x:row>
    <x:row r="1736">
      <x:c r="B1736" s="26"/>
      <x:c r="I1736" s="27"/>
      <x:c r="K1736" s="28"/>
      <x:c r="L1736" s="28"/>
      <x:c r="M1736" s="28"/>
      <x:c r="N1736" s="28"/>
      <x:c r="O1736" s="28"/>
    </x:row>
    <x:row r="1737">
      <x:c r="B1737" s="26"/>
      <x:c r="I1737" s="27"/>
      <x:c r="K1737" s="28"/>
      <x:c r="L1737" s="28"/>
      <x:c r="M1737" s="28"/>
      <x:c r="N1737" s="28"/>
      <x:c r="O1737" s="28"/>
    </x:row>
    <x:row r="1738">
      <x:c r="B1738" s="26"/>
      <x:c r="I1738" s="27"/>
      <x:c r="K1738" s="28"/>
      <x:c r="L1738" s="28"/>
      <x:c r="M1738" s="28"/>
      <x:c r="N1738" s="28"/>
      <x:c r="O1738" s="28"/>
    </x:row>
    <x:row r="1739">
      <x:c r="B1739" s="26"/>
      <x:c r="I1739" s="27"/>
      <x:c r="K1739" s="28"/>
      <x:c r="L1739" s="28"/>
      <x:c r="M1739" s="28"/>
      <x:c r="N1739" s="28"/>
      <x:c r="O1739" s="28"/>
    </x:row>
    <x:row r="1740">
      <x:c r="B1740" s="26"/>
      <x:c r="I1740" s="27"/>
      <x:c r="K1740" s="28"/>
      <x:c r="L1740" s="28"/>
      <x:c r="M1740" s="28"/>
      <x:c r="N1740" s="28"/>
      <x:c r="O1740" s="28"/>
    </x:row>
    <x:row r="1741">
      <x:c r="B1741" s="26"/>
      <x:c r="I1741" s="27"/>
      <x:c r="K1741" s="28"/>
      <x:c r="L1741" s="28"/>
      <x:c r="M1741" s="28"/>
      <x:c r="N1741" s="28"/>
      <x:c r="O1741" s="28"/>
    </x:row>
    <x:row r="1742">
      <x:c r="B1742" s="26"/>
      <x:c r="I1742" s="27"/>
      <x:c r="K1742" s="28"/>
      <x:c r="L1742" s="28"/>
      <x:c r="M1742" s="28"/>
      <x:c r="N1742" s="28"/>
      <x:c r="O1742" s="28"/>
    </x:row>
    <x:row r="1743">
      <x:c r="B1743" s="26"/>
      <x:c r="I1743" s="27"/>
      <x:c r="K1743" s="28"/>
      <x:c r="L1743" s="28"/>
      <x:c r="M1743" s="28"/>
      <x:c r="N1743" s="28"/>
      <x:c r="O1743" s="28"/>
    </x:row>
    <x:row r="1744">
      <x:c r="B1744" s="26"/>
      <x:c r="I1744" s="27"/>
      <x:c r="K1744" s="28"/>
      <x:c r="L1744" s="28"/>
      <x:c r="M1744" s="28"/>
      <x:c r="N1744" s="28"/>
      <x:c r="O1744" s="28"/>
    </x:row>
    <x:row r="1745">
      <x:c r="B1745" s="26"/>
      <x:c r="I1745" s="27"/>
      <x:c r="K1745" s="28"/>
      <x:c r="L1745" s="28"/>
      <x:c r="M1745" s="28"/>
      <x:c r="N1745" s="28"/>
      <x:c r="O1745" s="28"/>
    </x:row>
    <x:row r="1746">
      <x:c r="B1746" s="26"/>
      <x:c r="I1746" s="27"/>
      <x:c r="K1746" s="28"/>
      <x:c r="L1746" s="28"/>
      <x:c r="M1746" s="28"/>
      <x:c r="N1746" s="28"/>
      <x:c r="O1746" s="28"/>
    </x:row>
    <x:row r="1747">
      <x:c r="B1747" s="26"/>
      <x:c r="I1747" s="27"/>
      <x:c r="K1747" s="28"/>
      <x:c r="L1747" s="28"/>
      <x:c r="M1747" s="28"/>
      <x:c r="N1747" s="28"/>
      <x:c r="O1747" s="28"/>
    </x:row>
    <x:row r="1748">
      <x:c r="B1748" s="26"/>
      <x:c r="I1748" s="27"/>
      <x:c r="K1748" s="28"/>
      <x:c r="L1748" s="28"/>
      <x:c r="M1748" s="28"/>
      <x:c r="N1748" s="28"/>
      <x:c r="O1748" s="28"/>
    </x:row>
    <x:row r="1749">
      <x:c r="B1749" s="26"/>
      <x:c r="I1749" s="27"/>
      <x:c r="K1749" s="28"/>
      <x:c r="L1749" s="28"/>
      <x:c r="M1749" s="28"/>
      <x:c r="N1749" s="28"/>
      <x:c r="O1749" s="28"/>
    </x:row>
    <x:row r="1750">
      <x:c r="B1750" s="26"/>
      <x:c r="I1750" s="27"/>
      <x:c r="K1750" s="28"/>
      <x:c r="L1750" s="28"/>
      <x:c r="M1750" s="28"/>
      <x:c r="N1750" s="28"/>
      <x:c r="O1750" s="28"/>
    </x:row>
    <x:row r="1751">
      <x:c r="B1751" s="26"/>
      <x:c r="I1751" s="27"/>
      <x:c r="K1751" s="28"/>
      <x:c r="L1751" s="28"/>
      <x:c r="M1751" s="28"/>
      <x:c r="N1751" s="28"/>
      <x:c r="O1751" s="28"/>
    </x:row>
    <x:row r="1752">
      <x:c r="B1752" s="26"/>
      <x:c r="I1752" s="27"/>
      <x:c r="K1752" s="28"/>
      <x:c r="L1752" s="28"/>
      <x:c r="M1752" s="28"/>
      <x:c r="N1752" s="28"/>
      <x:c r="O1752" s="28"/>
    </x:row>
    <x:row r="1753">
      <x:c r="B1753" s="26"/>
      <x:c r="I1753" s="27"/>
      <x:c r="K1753" s="28"/>
      <x:c r="L1753" s="28"/>
      <x:c r="M1753" s="28"/>
      <x:c r="N1753" s="28"/>
      <x:c r="O1753" s="28"/>
    </x:row>
    <x:row r="1754">
      <x:c r="B1754" s="26"/>
      <x:c r="I1754" s="27"/>
      <x:c r="K1754" s="28"/>
      <x:c r="L1754" s="28"/>
      <x:c r="M1754" s="28"/>
      <x:c r="N1754" s="28"/>
      <x:c r="O1754" s="28"/>
    </x:row>
    <x:row r="1755">
      <x:c r="B1755" s="26"/>
      <x:c r="I1755" s="27"/>
      <x:c r="K1755" s="28"/>
      <x:c r="L1755" s="28"/>
      <x:c r="M1755" s="28"/>
      <x:c r="N1755" s="28"/>
      <x:c r="O1755" s="28"/>
    </x:row>
    <x:row r="1756">
      <x:c r="B1756" s="26"/>
      <x:c r="I1756" s="27"/>
      <x:c r="K1756" s="28"/>
      <x:c r="L1756" s="28"/>
      <x:c r="M1756" s="28"/>
      <x:c r="N1756" s="28"/>
      <x:c r="O1756" s="28"/>
    </x:row>
    <x:row r="1757">
      <x:c r="B1757" s="26"/>
      <x:c r="I1757" s="27"/>
      <x:c r="K1757" s="28"/>
      <x:c r="L1757" s="28"/>
      <x:c r="M1757" s="28"/>
      <x:c r="N1757" s="28"/>
      <x:c r="O1757" s="28"/>
    </x:row>
    <x:row r="1758">
      <x:c r="B1758" s="26"/>
      <x:c r="I1758" s="27"/>
      <x:c r="K1758" s="28"/>
      <x:c r="L1758" s="28"/>
      <x:c r="M1758" s="28"/>
      <x:c r="N1758" s="28"/>
      <x:c r="O1758" s="28"/>
    </x:row>
    <x:row r="1759">
      <x:c r="B1759" s="26"/>
      <x:c r="I1759" s="27"/>
      <x:c r="K1759" s="28"/>
      <x:c r="L1759" s="28"/>
      <x:c r="M1759" s="28"/>
      <x:c r="N1759" s="28"/>
      <x:c r="O1759" s="28"/>
    </x:row>
    <x:row r="1760">
      <x:c r="B1760" s="26"/>
      <x:c r="I1760" s="27"/>
      <x:c r="K1760" s="28"/>
      <x:c r="L1760" s="28"/>
      <x:c r="M1760" s="28"/>
      <x:c r="N1760" s="28"/>
      <x:c r="O1760" s="28"/>
    </x:row>
    <x:row r="1761">
      <x:c r="B1761" s="26"/>
      <x:c r="I1761" s="27"/>
      <x:c r="K1761" s="28"/>
      <x:c r="L1761" s="28"/>
      <x:c r="M1761" s="28"/>
      <x:c r="N1761" s="28"/>
      <x:c r="O1761" s="28"/>
    </x:row>
    <x:row r="1762">
      <x:c r="B1762" s="26"/>
      <x:c r="I1762" s="27"/>
      <x:c r="K1762" s="28"/>
      <x:c r="L1762" s="28"/>
      <x:c r="M1762" s="28"/>
      <x:c r="N1762" s="28"/>
      <x:c r="O1762" s="28"/>
    </x:row>
    <x:row r="1763">
      <x:c r="B1763" s="26"/>
      <x:c r="I1763" s="27"/>
      <x:c r="K1763" s="28"/>
      <x:c r="L1763" s="28"/>
      <x:c r="M1763" s="28"/>
      <x:c r="N1763" s="28"/>
      <x:c r="O1763" s="28"/>
    </x:row>
    <x:row r="1764">
      <x:c r="B1764" s="26"/>
      <x:c r="I1764" s="27"/>
      <x:c r="K1764" s="28"/>
      <x:c r="L1764" s="28"/>
      <x:c r="M1764" s="28"/>
      <x:c r="N1764" s="28"/>
      <x:c r="O1764" s="28"/>
    </x:row>
    <x:row r="1765">
      <x:c r="B1765" s="26"/>
      <x:c r="I1765" s="27"/>
      <x:c r="K1765" s="28"/>
      <x:c r="L1765" s="28"/>
      <x:c r="M1765" s="28"/>
      <x:c r="N1765" s="28"/>
      <x:c r="O1765" s="28"/>
    </x:row>
    <x:row r="1766">
      <x:c r="B1766" s="26"/>
      <x:c r="I1766" s="27"/>
      <x:c r="K1766" s="28"/>
      <x:c r="L1766" s="28"/>
      <x:c r="M1766" s="28"/>
      <x:c r="N1766" s="28"/>
      <x:c r="O1766" s="28"/>
    </x:row>
    <x:row r="1767">
      <x:c r="B1767" s="26"/>
      <x:c r="I1767" s="27"/>
      <x:c r="K1767" s="28"/>
      <x:c r="L1767" s="28"/>
      <x:c r="M1767" s="28"/>
      <x:c r="N1767" s="28"/>
      <x:c r="O1767" s="28"/>
    </x:row>
    <x:row r="1768">
      <x:c r="B1768" s="26"/>
      <x:c r="I1768" s="27"/>
      <x:c r="K1768" s="28"/>
      <x:c r="L1768" s="28"/>
      <x:c r="M1768" s="28"/>
      <x:c r="N1768" s="28"/>
      <x:c r="O1768" s="28"/>
    </x:row>
    <x:row r="1769">
      <x:c r="B1769" s="26"/>
      <x:c r="I1769" s="27"/>
      <x:c r="K1769" s="28"/>
      <x:c r="L1769" s="28"/>
      <x:c r="M1769" s="28"/>
      <x:c r="N1769" s="28"/>
      <x:c r="O1769" s="28"/>
    </x:row>
    <x:row r="1770">
      <x:c r="B1770" s="26"/>
      <x:c r="I1770" s="27"/>
      <x:c r="K1770" s="28"/>
      <x:c r="L1770" s="28"/>
      <x:c r="M1770" s="28"/>
      <x:c r="N1770" s="28"/>
      <x:c r="O1770" s="28"/>
    </x:row>
    <x:row r="1771">
      <x:c r="B1771" s="26"/>
      <x:c r="I1771" s="27"/>
      <x:c r="K1771" s="28"/>
      <x:c r="L1771" s="28"/>
      <x:c r="M1771" s="28"/>
      <x:c r="N1771" s="28"/>
      <x:c r="O1771" s="28"/>
    </x:row>
    <x:row r="1772">
      <x:c r="B1772" s="26"/>
      <x:c r="I1772" s="27"/>
      <x:c r="K1772" s="28"/>
      <x:c r="L1772" s="28"/>
      <x:c r="M1772" s="28"/>
      <x:c r="N1772" s="28"/>
      <x:c r="O1772" s="28"/>
    </x:row>
    <x:row r="1773">
      <x:c r="B1773" s="26"/>
      <x:c r="I1773" s="27"/>
      <x:c r="K1773" s="28"/>
      <x:c r="L1773" s="28"/>
      <x:c r="M1773" s="28"/>
      <x:c r="N1773" s="28"/>
      <x:c r="O1773" s="28"/>
    </x:row>
    <x:row r="1774">
      <x:c r="B1774" s="26"/>
      <x:c r="I1774" s="27"/>
      <x:c r="K1774" s="28"/>
      <x:c r="L1774" s="28"/>
      <x:c r="M1774" s="28"/>
      <x:c r="N1774" s="28"/>
      <x:c r="O1774" s="28"/>
    </x:row>
    <x:row r="1775">
      <x:c r="B1775" s="26"/>
      <x:c r="I1775" s="27"/>
      <x:c r="K1775" s="28"/>
      <x:c r="L1775" s="28"/>
      <x:c r="M1775" s="28"/>
      <x:c r="N1775" s="28"/>
      <x:c r="O1775" s="28"/>
    </x:row>
    <x:row r="1776">
      <x:c r="B1776" s="26"/>
      <x:c r="I1776" s="27"/>
      <x:c r="K1776" s="28"/>
      <x:c r="L1776" s="28"/>
      <x:c r="M1776" s="28"/>
      <x:c r="N1776" s="28"/>
      <x:c r="O1776" s="28"/>
    </x:row>
    <x:row r="1777">
      <x:c r="B1777" s="26"/>
      <x:c r="I1777" s="27"/>
      <x:c r="K1777" s="28"/>
      <x:c r="L1777" s="28"/>
      <x:c r="M1777" s="28"/>
      <x:c r="N1777" s="28"/>
      <x:c r="O1777" s="28"/>
    </x:row>
    <x:row r="1778">
      <x:c r="B1778" s="26"/>
      <x:c r="I1778" s="27"/>
      <x:c r="K1778" s="28"/>
      <x:c r="L1778" s="28"/>
      <x:c r="M1778" s="28"/>
      <x:c r="N1778" s="28"/>
      <x:c r="O1778" s="28"/>
    </x:row>
    <x:row r="1779">
      <x:c r="B1779" s="26"/>
      <x:c r="I1779" s="27"/>
      <x:c r="K1779" s="28"/>
      <x:c r="L1779" s="28"/>
      <x:c r="M1779" s="28"/>
      <x:c r="N1779" s="28"/>
      <x:c r="O1779" s="28"/>
    </x:row>
    <x:row r="1780">
      <x:c r="B1780" s="26"/>
      <x:c r="I1780" s="27"/>
      <x:c r="K1780" s="28"/>
      <x:c r="L1780" s="28"/>
      <x:c r="M1780" s="28"/>
      <x:c r="N1780" s="28"/>
      <x:c r="O1780" s="28"/>
    </x:row>
    <x:row r="1781">
      <x:c r="B1781" s="26"/>
      <x:c r="I1781" s="27"/>
      <x:c r="K1781" s="28"/>
      <x:c r="L1781" s="28"/>
      <x:c r="M1781" s="28"/>
      <x:c r="N1781" s="28"/>
      <x:c r="O1781" s="28"/>
    </x:row>
    <x:row r="1782">
      <x:c r="B1782" s="26"/>
      <x:c r="I1782" s="27"/>
      <x:c r="K1782" s="28"/>
      <x:c r="L1782" s="28"/>
      <x:c r="M1782" s="28"/>
      <x:c r="N1782" s="28"/>
      <x:c r="O1782" s="28"/>
    </x:row>
    <x:row r="1783">
      <x:c r="B1783" s="26"/>
      <x:c r="I1783" s="27"/>
      <x:c r="K1783" s="28"/>
      <x:c r="L1783" s="28"/>
      <x:c r="M1783" s="28"/>
      <x:c r="N1783" s="28"/>
      <x:c r="O1783" s="28"/>
    </x:row>
    <x:row r="1784">
      <x:c r="B1784" s="26"/>
      <x:c r="I1784" s="27"/>
      <x:c r="K1784" s="28"/>
      <x:c r="L1784" s="28"/>
      <x:c r="M1784" s="28"/>
      <x:c r="N1784" s="28"/>
      <x:c r="O1784" s="28"/>
    </x:row>
    <x:row r="1785">
      <x:c r="B1785" s="26"/>
      <x:c r="I1785" s="27"/>
      <x:c r="K1785" s="28"/>
      <x:c r="L1785" s="28"/>
      <x:c r="M1785" s="28"/>
      <x:c r="N1785" s="28"/>
      <x:c r="O1785" s="28"/>
    </x:row>
    <x:row r="1786">
      <x:c r="B1786" s="26"/>
      <x:c r="I1786" s="27"/>
      <x:c r="K1786" s="28"/>
      <x:c r="L1786" s="28"/>
      <x:c r="M1786" s="28"/>
      <x:c r="N1786" s="28"/>
      <x:c r="O1786" s="28"/>
    </x:row>
    <x:row r="1787">
      <x:c r="B1787" s="26"/>
      <x:c r="I1787" s="27"/>
      <x:c r="K1787" s="28"/>
      <x:c r="L1787" s="28"/>
      <x:c r="M1787" s="28"/>
      <x:c r="N1787" s="28"/>
      <x:c r="O1787" s="28"/>
    </x:row>
    <x:row r="1788">
      <x:c r="B1788" s="26"/>
      <x:c r="I1788" s="27"/>
      <x:c r="K1788" s="28"/>
      <x:c r="L1788" s="28"/>
      <x:c r="M1788" s="28"/>
      <x:c r="N1788" s="28"/>
      <x:c r="O1788" s="28"/>
    </x:row>
    <x:row r="1789">
      <x:c r="B1789" s="26"/>
      <x:c r="I1789" s="27"/>
      <x:c r="K1789" s="28"/>
      <x:c r="L1789" s="28"/>
      <x:c r="M1789" s="28"/>
      <x:c r="N1789" s="28"/>
      <x:c r="O1789" s="28"/>
    </x:row>
    <x:row r="1790">
      <x:c r="B1790" s="26"/>
      <x:c r="I1790" s="27"/>
      <x:c r="K1790" s="28"/>
      <x:c r="L1790" s="28"/>
      <x:c r="M1790" s="28"/>
      <x:c r="N1790" s="28"/>
      <x:c r="O1790" s="28"/>
    </x:row>
    <x:row r="1791">
      <x:c r="B1791" s="26"/>
      <x:c r="I1791" s="27"/>
      <x:c r="K1791" s="28"/>
      <x:c r="L1791" s="28"/>
      <x:c r="M1791" s="28"/>
      <x:c r="N1791" s="28"/>
      <x:c r="O1791" s="28"/>
    </x:row>
    <x:row r="1792">
      <x:c r="B1792" s="26"/>
      <x:c r="I1792" s="27"/>
      <x:c r="K1792" s="28"/>
      <x:c r="L1792" s="28"/>
      <x:c r="M1792" s="28"/>
      <x:c r="N1792" s="28"/>
      <x:c r="O1792" s="28"/>
    </x:row>
    <x:row r="1793">
      <x:c r="B1793" s="26"/>
      <x:c r="I1793" s="27"/>
      <x:c r="K1793" s="28"/>
      <x:c r="L1793" s="28"/>
      <x:c r="M1793" s="28"/>
      <x:c r="N1793" s="28"/>
      <x:c r="O1793" s="28"/>
    </x:row>
    <x:row r="1794">
      <x:c r="B1794" s="26"/>
      <x:c r="I1794" s="27"/>
      <x:c r="K1794" s="28"/>
      <x:c r="L1794" s="28"/>
      <x:c r="M1794" s="28"/>
      <x:c r="N1794" s="28"/>
      <x:c r="O1794" s="28"/>
    </x:row>
    <x:row r="1795">
      <x:c r="B1795" s="26"/>
      <x:c r="I1795" s="27"/>
      <x:c r="K1795" s="28"/>
      <x:c r="L1795" s="28"/>
      <x:c r="M1795" s="28"/>
      <x:c r="N1795" s="28"/>
      <x:c r="O1795" s="28"/>
    </x:row>
    <x:row r="1796">
      <x:c r="B1796" s="26"/>
      <x:c r="I1796" s="27"/>
      <x:c r="K1796" s="28"/>
      <x:c r="L1796" s="28"/>
      <x:c r="M1796" s="28"/>
      <x:c r="N1796" s="28"/>
      <x:c r="O1796" s="28"/>
    </x:row>
    <x:row r="1797">
      <x:c r="B1797" s="26"/>
      <x:c r="I1797" s="27"/>
      <x:c r="K1797" s="28"/>
      <x:c r="L1797" s="28"/>
      <x:c r="M1797" s="28"/>
      <x:c r="N1797" s="28"/>
      <x:c r="O1797" s="28"/>
    </x:row>
    <x:row r="1798">
      <x:c r="B1798" s="26"/>
      <x:c r="I1798" s="27"/>
      <x:c r="K1798" s="28"/>
      <x:c r="L1798" s="28"/>
      <x:c r="M1798" s="28"/>
      <x:c r="N1798" s="28"/>
      <x:c r="O1798" s="28"/>
    </x:row>
    <x:row r="1799">
      <x:c r="B1799" s="26"/>
      <x:c r="I1799" s="27"/>
      <x:c r="K1799" s="28"/>
      <x:c r="L1799" s="28"/>
      <x:c r="M1799" s="28"/>
      <x:c r="N1799" s="28"/>
      <x:c r="O1799" s="28"/>
    </x:row>
    <x:row r="1800">
      <x:c r="B1800" s="26"/>
      <x:c r="I1800" s="27"/>
      <x:c r="K1800" s="28"/>
      <x:c r="L1800" s="28"/>
      <x:c r="M1800" s="28"/>
      <x:c r="N1800" s="28"/>
      <x:c r="O1800" s="28"/>
    </x:row>
    <x:row r="1801">
      <x:c r="B1801" s="26"/>
      <x:c r="I1801" s="27"/>
      <x:c r="K1801" s="28"/>
      <x:c r="L1801" s="28"/>
      <x:c r="M1801" s="28"/>
      <x:c r="N1801" s="28"/>
      <x:c r="O1801" s="28"/>
    </x:row>
    <x:row r="1802">
      <x:c r="B1802" s="26"/>
      <x:c r="I1802" s="27"/>
      <x:c r="K1802" s="28"/>
      <x:c r="L1802" s="28"/>
      <x:c r="M1802" s="28"/>
      <x:c r="N1802" s="28"/>
      <x:c r="O1802" s="28"/>
    </x:row>
    <x:row r="1803">
      <x:c r="B1803" s="26"/>
      <x:c r="I1803" s="27"/>
      <x:c r="K1803" s="28"/>
      <x:c r="L1803" s="28"/>
      <x:c r="M1803" s="28"/>
      <x:c r="N1803" s="28"/>
      <x:c r="O1803" s="28"/>
    </x:row>
    <x:row r="1804">
      <x:c r="B1804" s="26"/>
      <x:c r="I1804" s="27"/>
      <x:c r="K1804" s="28"/>
      <x:c r="L1804" s="28"/>
      <x:c r="M1804" s="28"/>
      <x:c r="N1804" s="28"/>
      <x:c r="O1804" s="28"/>
    </x:row>
    <x:row r="1805">
      <x:c r="B1805" s="26"/>
      <x:c r="I1805" s="27"/>
      <x:c r="K1805" s="28"/>
      <x:c r="L1805" s="28"/>
      <x:c r="M1805" s="28"/>
      <x:c r="N1805" s="28"/>
      <x:c r="O1805" s="28"/>
    </x:row>
    <x:row r="1806">
      <x:c r="B1806" s="26"/>
      <x:c r="I1806" s="27"/>
      <x:c r="K1806" s="28"/>
      <x:c r="L1806" s="28"/>
      <x:c r="M1806" s="28"/>
      <x:c r="N1806" s="28"/>
      <x:c r="O1806" s="28"/>
    </x:row>
    <x:row r="1807">
      <x:c r="B1807" s="26"/>
      <x:c r="I1807" s="27"/>
      <x:c r="K1807" s="28"/>
      <x:c r="L1807" s="28"/>
      <x:c r="M1807" s="28"/>
      <x:c r="N1807" s="28"/>
      <x:c r="O1807" s="28"/>
    </x:row>
    <x:row r="1808">
      <x:c r="B1808" s="26"/>
      <x:c r="I1808" s="27"/>
      <x:c r="K1808" s="28"/>
      <x:c r="L1808" s="28"/>
      <x:c r="M1808" s="28"/>
      <x:c r="N1808" s="28"/>
      <x:c r="O1808" s="28"/>
    </x:row>
    <x:row r="1809">
      <x:c r="B1809" s="26"/>
      <x:c r="I1809" s="27"/>
      <x:c r="K1809" s="28"/>
      <x:c r="L1809" s="28"/>
      <x:c r="M1809" s="28"/>
      <x:c r="N1809" s="28"/>
      <x:c r="O1809" s="28"/>
    </x:row>
    <x:row r="1810">
      <x:c r="B1810" s="26"/>
      <x:c r="I1810" s="27"/>
      <x:c r="K1810" s="28"/>
      <x:c r="L1810" s="28"/>
      <x:c r="M1810" s="28"/>
      <x:c r="N1810" s="28"/>
      <x:c r="O1810" s="28"/>
    </x:row>
    <x:row r="1811">
      <x:c r="B1811" s="26"/>
      <x:c r="I1811" s="27"/>
      <x:c r="K1811" s="28"/>
      <x:c r="L1811" s="28"/>
      <x:c r="M1811" s="28"/>
      <x:c r="N1811" s="28"/>
      <x:c r="O1811" s="28"/>
    </x:row>
    <x:row r="1812">
      <x:c r="B1812" s="26"/>
      <x:c r="I1812" s="27"/>
      <x:c r="K1812" s="28"/>
      <x:c r="L1812" s="28"/>
      <x:c r="M1812" s="28"/>
      <x:c r="N1812" s="28"/>
      <x:c r="O1812" s="28"/>
    </x:row>
    <x:row r="1813">
      <x:c r="B1813" s="26"/>
      <x:c r="I1813" s="27"/>
      <x:c r="K1813" s="28"/>
      <x:c r="L1813" s="28"/>
      <x:c r="M1813" s="28"/>
      <x:c r="N1813" s="28"/>
      <x:c r="O1813" s="28"/>
    </x:row>
    <x:row r="1814">
      <x:c r="B1814" s="26"/>
      <x:c r="I1814" s="27"/>
      <x:c r="K1814" s="28"/>
      <x:c r="L1814" s="28"/>
      <x:c r="M1814" s="28"/>
      <x:c r="N1814" s="28"/>
      <x:c r="O1814" s="28"/>
    </x:row>
    <x:row r="1815">
      <x:c r="B1815" s="26"/>
      <x:c r="I1815" s="27"/>
      <x:c r="K1815" s="28"/>
      <x:c r="L1815" s="28"/>
      <x:c r="M1815" s="28"/>
      <x:c r="N1815" s="28"/>
      <x:c r="O1815" s="28"/>
    </x:row>
    <x:row r="1816">
      <x:c r="B1816" s="26"/>
      <x:c r="I1816" s="27"/>
      <x:c r="K1816" s="28"/>
      <x:c r="L1816" s="28"/>
      <x:c r="M1816" s="28"/>
      <x:c r="N1816" s="28"/>
      <x:c r="O1816" s="28"/>
    </x:row>
    <x:row r="1817">
      <x:c r="B1817" s="26"/>
      <x:c r="I1817" s="27"/>
      <x:c r="K1817" s="28"/>
      <x:c r="L1817" s="28"/>
      <x:c r="M1817" s="28"/>
      <x:c r="N1817" s="28"/>
      <x:c r="O1817" s="28"/>
    </x:row>
    <x:row r="1818">
      <x:c r="B1818" s="26"/>
      <x:c r="I1818" s="27"/>
      <x:c r="K1818" s="28"/>
      <x:c r="L1818" s="28"/>
      <x:c r="M1818" s="28"/>
      <x:c r="N1818" s="28"/>
      <x:c r="O1818" s="28"/>
    </x:row>
    <x:row r="1819">
      <x:c r="B1819" s="26"/>
      <x:c r="I1819" s="27"/>
      <x:c r="K1819" s="28"/>
      <x:c r="L1819" s="28"/>
      <x:c r="M1819" s="28"/>
      <x:c r="N1819" s="28"/>
      <x:c r="O1819" s="28"/>
    </x:row>
    <x:row r="1820">
      <x:c r="B1820" s="26"/>
      <x:c r="I1820" s="27"/>
      <x:c r="K1820" s="28"/>
      <x:c r="L1820" s="28"/>
      <x:c r="M1820" s="28"/>
      <x:c r="N1820" s="28"/>
      <x:c r="O1820" s="28"/>
    </x:row>
    <x:row r="1821">
      <x:c r="B1821" s="26"/>
      <x:c r="I1821" s="27"/>
      <x:c r="K1821" s="28"/>
      <x:c r="L1821" s="28"/>
      <x:c r="M1821" s="28"/>
      <x:c r="N1821" s="28"/>
      <x:c r="O1821" s="28"/>
    </x:row>
    <x:row r="1822">
      <x:c r="B1822" s="26"/>
      <x:c r="I1822" s="27"/>
      <x:c r="K1822" s="28"/>
      <x:c r="L1822" s="28"/>
      <x:c r="M1822" s="28"/>
      <x:c r="N1822" s="28"/>
      <x:c r="O1822" s="28"/>
    </x:row>
    <x:row r="1823">
      <x:c r="B1823" s="26"/>
      <x:c r="I1823" s="27"/>
      <x:c r="K1823" s="28"/>
      <x:c r="L1823" s="28"/>
      <x:c r="M1823" s="28"/>
      <x:c r="N1823" s="28"/>
      <x:c r="O1823" s="28"/>
    </x:row>
    <x:row r="1824">
      <x:c r="B1824" s="26"/>
      <x:c r="I1824" s="27"/>
      <x:c r="K1824" s="28"/>
      <x:c r="L1824" s="28"/>
      <x:c r="M1824" s="28"/>
      <x:c r="N1824" s="28"/>
      <x:c r="O1824" s="28"/>
    </x:row>
    <x:row r="1825">
      <x:c r="B1825" s="26"/>
      <x:c r="I1825" s="27"/>
      <x:c r="K1825" s="28"/>
      <x:c r="L1825" s="28"/>
      <x:c r="M1825" s="28"/>
      <x:c r="N1825" s="28"/>
      <x:c r="O1825" s="28"/>
    </x:row>
    <x:row r="1826">
      <x:c r="B1826" s="26"/>
      <x:c r="I1826" s="27"/>
      <x:c r="K1826" s="28"/>
      <x:c r="L1826" s="28"/>
      <x:c r="M1826" s="28"/>
      <x:c r="N1826" s="28"/>
      <x:c r="O1826" s="28"/>
    </x:row>
    <x:row r="1827">
      <x:c r="B1827" s="26"/>
      <x:c r="I1827" s="27"/>
      <x:c r="K1827" s="28"/>
      <x:c r="L1827" s="28"/>
      <x:c r="M1827" s="28"/>
      <x:c r="N1827" s="28"/>
      <x:c r="O1827" s="28"/>
    </x:row>
    <x:row r="1828">
      <x:c r="B1828" s="26"/>
      <x:c r="I1828" s="27"/>
      <x:c r="K1828" s="28"/>
      <x:c r="L1828" s="28"/>
      <x:c r="M1828" s="28"/>
      <x:c r="N1828" s="28"/>
      <x:c r="O1828" s="28"/>
    </x:row>
    <x:row r="1829">
      <x:c r="B1829" s="26"/>
      <x:c r="I1829" s="27"/>
      <x:c r="K1829" s="28"/>
      <x:c r="L1829" s="28"/>
      <x:c r="M1829" s="28"/>
      <x:c r="N1829" s="28"/>
      <x:c r="O1829" s="28"/>
    </x:row>
    <x:row r="1830">
      <x:c r="B1830" s="26"/>
      <x:c r="I1830" s="27"/>
      <x:c r="K1830" s="28"/>
      <x:c r="L1830" s="28"/>
      <x:c r="M1830" s="28"/>
      <x:c r="N1830" s="28"/>
      <x:c r="O1830" s="28"/>
    </x:row>
    <x:row r="1831">
      <x:c r="B1831" s="26"/>
      <x:c r="I1831" s="27"/>
      <x:c r="K1831" s="28"/>
      <x:c r="L1831" s="28"/>
      <x:c r="M1831" s="28"/>
      <x:c r="N1831" s="28"/>
      <x:c r="O1831" s="28"/>
    </x:row>
    <x:row r="1832">
      <x:c r="B1832" s="26"/>
      <x:c r="I1832" s="27"/>
      <x:c r="K1832" s="28"/>
      <x:c r="L1832" s="28"/>
      <x:c r="M1832" s="28"/>
      <x:c r="N1832" s="28"/>
      <x:c r="O1832" s="28"/>
    </x:row>
    <x:row r="1833">
      <x:c r="B1833" s="26"/>
      <x:c r="I1833" s="27"/>
      <x:c r="K1833" s="28"/>
      <x:c r="L1833" s="28"/>
      <x:c r="M1833" s="28"/>
      <x:c r="N1833" s="28"/>
      <x:c r="O1833" s="28"/>
    </x:row>
    <x:row r="1834">
      <x:c r="B1834" s="26"/>
      <x:c r="I1834" s="27"/>
      <x:c r="K1834" s="28"/>
      <x:c r="L1834" s="28"/>
      <x:c r="M1834" s="28"/>
      <x:c r="N1834" s="28"/>
      <x:c r="O1834" s="28"/>
    </x:row>
    <x:row r="1835">
      <x:c r="B1835" s="26"/>
      <x:c r="I1835" s="27"/>
      <x:c r="K1835" s="28"/>
      <x:c r="L1835" s="28"/>
      <x:c r="M1835" s="28"/>
      <x:c r="N1835" s="28"/>
      <x:c r="O1835" s="28"/>
    </x:row>
    <x:row r="1836">
      <x:c r="B1836" s="26"/>
      <x:c r="I1836" s="27"/>
      <x:c r="K1836" s="28"/>
      <x:c r="L1836" s="28"/>
      <x:c r="M1836" s="28"/>
      <x:c r="N1836" s="28"/>
      <x:c r="O1836" s="28"/>
    </x:row>
    <x:row r="1837">
      <x:c r="B1837" s="26"/>
      <x:c r="I1837" s="27"/>
      <x:c r="K1837" s="28"/>
      <x:c r="L1837" s="28"/>
      <x:c r="M1837" s="28"/>
      <x:c r="N1837" s="28"/>
      <x:c r="O1837" s="28"/>
    </x:row>
    <x:row r="1838">
      <x:c r="B1838" s="26"/>
      <x:c r="I1838" s="27"/>
      <x:c r="K1838" s="28"/>
      <x:c r="L1838" s="28"/>
      <x:c r="M1838" s="28"/>
      <x:c r="N1838" s="28"/>
      <x:c r="O1838" s="28"/>
    </x:row>
    <x:row r="1839">
      <x:c r="B1839" s="26"/>
      <x:c r="I1839" s="27"/>
      <x:c r="K1839" s="28"/>
      <x:c r="L1839" s="28"/>
      <x:c r="M1839" s="28"/>
      <x:c r="N1839" s="28"/>
      <x:c r="O1839" s="28"/>
    </x:row>
    <x:row r="1840">
      <x:c r="B1840" s="26"/>
      <x:c r="I1840" s="27"/>
      <x:c r="K1840" s="28"/>
      <x:c r="L1840" s="28"/>
      <x:c r="M1840" s="28"/>
      <x:c r="N1840" s="28"/>
      <x:c r="O1840" s="28"/>
    </x:row>
    <x:row r="1841">
      <x:c r="B1841" s="26"/>
      <x:c r="I1841" s="27"/>
      <x:c r="K1841" s="28"/>
      <x:c r="L1841" s="28"/>
      <x:c r="M1841" s="28"/>
      <x:c r="N1841" s="28"/>
      <x:c r="O1841" s="28"/>
    </x:row>
    <x:row r="1842">
      <x:c r="B1842" s="26"/>
      <x:c r="I1842" s="27"/>
      <x:c r="K1842" s="28"/>
      <x:c r="L1842" s="28"/>
      <x:c r="M1842" s="28"/>
      <x:c r="N1842" s="28"/>
      <x:c r="O1842" s="28"/>
    </x:row>
    <x:row r="1843">
      <x:c r="B1843" s="26"/>
      <x:c r="I1843" s="27"/>
      <x:c r="K1843" s="28"/>
      <x:c r="L1843" s="28"/>
      <x:c r="M1843" s="28"/>
      <x:c r="N1843" s="28"/>
      <x:c r="O1843" s="28"/>
    </x:row>
    <x:row r="1844">
      <x:c r="B1844" s="26"/>
      <x:c r="I1844" s="27"/>
      <x:c r="K1844" s="28"/>
      <x:c r="L1844" s="28"/>
      <x:c r="M1844" s="28"/>
      <x:c r="N1844" s="28"/>
      <x:c r="O1844" s="28"/>
    </x:row>
    <x:row r="1845">
      <x:c r="B1845" s="26"/>
      <x:c r="I1845" s="27"/>
      <x:c r="K1845" s="28"/>
      <x:c r="L1845" s="28"/>
      <x:c r="M1845" s="28"/>
      <x:c r="N1845" s="28"/>
      <x:c r="O1845" s="28"/>
    </x:row>
    <x:row r="1846">
      <x:c r="B1846" s="26"/>
      <x:c r="I1846" s="27"/>
      <x:c r="K1846" s="28"/>
      <x:c r="L1846" s="28"/>
      <x:c r="M1846" s="28"/>
      <x:c r="N1846" s="28"/>
      <x:c r="O1846" s="28"/>
    </x:row>
    <x:row r="1847">
      <x:c r="B1847" s="26"/>
      <x:c r="I1847" s="27"/>
      <x:c r="K1847" s="28"/>
      <x:c r="L1847" s="28"/>
      <x:c r="M1847" s="28"/>
      <x:c r="N1847" s="28"/>
      <x:c r="O1847" s="28"/>
    </x:row>
    <x:row r="1848">
      <x:c r="B1848" s="26"/>
      <x:c r="I1848" s="27"/>
      <x:c r="K1848" s="28"/>
      <x:c r="L1848" s="28"/>
      <x:c r="M1848" s="28"/>
      <x:c r="N1848" s="28"/>
      <x:c r="O1848" s="28"/>
    </x:row>
    <x:row r="1849">
      <x:c r="B1849" s="26"/>
      <x:c r="I1849" s="27"/>
      <x:c r="K1849" s="28"/>
      <x:c r="L1849" s="28"/>
      <x:c r="M1849" s="28"/>
      <x:c r="N1849" s="28"/>
      <x:c r="O1849" s="28"/>
    </x:row>
    <x:row r="1850">
      <x:c r="B1850" s="26"/>
      <x:c r="I1850" s="27"/>
      <x:c r="K1850" s="28"/>
      <x:c r="L1850" s="28"/>
      <x:c r="M1850" s="28"/>
      <x:c r="N1850" s="28"/>
      <x:c r="O1850" s="28"/>
    </x:row>
    <x:row r="1851">
      <x:c r="B1851" s="26"/>
      <x:c r="I1851" s="27"/>
      <x:c r="K1851" s="28"/>
      <x:c r="L1851" s="28"/>
      <x:c r="M1851" s="28"/>
      <x:c r="N1851" s="28"/>
      <x:c r="O1851" s="28"/>
    </x:row>
    <x:row r="1852">
      <x:c r="B1852" s="26"/>
      <x:c r="I1852" s="27"/>
      <x:c r="K1852" s="28"/>
      <x:c r="L1852" s="28"/>
      <x:c r="M1852" s="28"/>
      <x:c r="N1852" s="28"/>
      <x:c r="O1852" s="28"/>
    </x:row>
    <x:row r="1853">
      <x:c r="B1853" s="26"/>
      <x:c r="I1853" s="27"/>
      <x:c r="K1853" s="28"/>
      <x:c r="L1853" s="28"/>
      <x:c r="M1853" s="28"/>
      <x:c r="N1853" s="28"/>
      <x:c r="O1853" s="28"/>
    </x:row>
    <x:row r="1854">
      <x:c r="B1854" s="26"/>
      <x:c r="I1854" s="27"/>
      <x:c r="K1854" s="28"/>
      <x:c r="L1854" s="28"/>
      <x:c r="M1854" s="28"/>
      <x:c r="N1854" s="28"/>
      <x:c r="O1854" s="28"/>
    </x:row>
    <x:row r="1855">
      <x:c r="B1855" s="26"/>
      <x:c r="I1855" s="27"/>
      <x:c r="K1855" s="28"/>
      <x:c r="L1855" s="28"/>
      <x:c r="M1855" s="28"/>
      <x:c r="N1855" s="28"/>
      <x:c r="O1855" s="28"/>
    </x:row>
    <x:row r="1856">
      <x:c r="B1856" s="26"/>
      <x:c r="I1856" s="27"/>
      <x:c r="K1856" s="28"/>
      <x:c r="L1856" s="28"/>
      <x:c r="M1856" s="28"/>
      <x:c r="N1856" s="28"/>
      <x:c r="O1856" s="28"/>
    </x:row>
    <x:row r="1857">
      <x:c r="B1857" s="26"/>
      <x:c r="I1857" s="27"/>
      <x:c r="K1857" s="28"/>
      <x:c r="L1857" s="28"/>
      <x:c r="M1857" s="28"/>
      <x:c r="N1857" s="28"/>
      <x:c r="O1857" s="28"/>
    </x:row>
    <x:row r="1858">
      <x:c r="B1858" s="26"/>
      <x:c r="I1858" s="27"/>
      <x:c r="K1858" s="28"/>
      <x:c r="L1858" s="28"/>
      <x:c r="M1858" s="28"/>
      <x:c r="N1858" s="28"/>
      <x:c r="O1858" s="28"/>
    </x:row>
    <x:row r="1859">
      <x:c r="B1859" s="26"/>
      <x:c r="I1859" s="27"/>
      <x:c r="K1859" s="28"/>
      <x:c r="L1859" s="28"/>
      <x:c r="M1859" s="28"/>
      <x:c r="N1859" s="28"/>
      <x:c r="O1859" s="28"/>
    </x:row>
    <x:row r="1860">
      <x:c r="B1860" s="26"/>
      <x:c r="I1860" s="27"/>
      <x:c r="K1860" s="28"/>
      <x:c r="L1860" s="28"/>
      <x:c r="M1860" s="28"/>
      <x:c r="N1860" s="28"/>
      <x:c r="O1860" s="28"/>
    </x:row>
    <x:row r="1861">
      <x:c r="B1861" s="26"/>
      <x:c r="I1861" s="27"/>
      <x:c r="K1861" s="28"/>
      <x:c r="L1861" s="28"/>
      <x:c r="M1861" s="28"/>
      <x:c r="N1861" s="28"/>
      <x:c r="O1861" s="28"/>
    </x:row>
    <x:row r="1862">
      <x:c r="B1862" s="26"/>
      <x:c r="I1862" s="27"/>
      <x:c r="K1862" s="28"/>
      <x:c r="L1862" s="28"/>
      <x:c r="M1862" s="28"/>
      <x:c r="N1862" s="28"/>
      <x:c r="O1862" s="28"/>
    </x:row>
    <x:row r="1863">
      <x:c r="B1863" s="26"/>
      <x:c r="I1863" s="27"/>
      <x:c r="K1863" s="28"/>
      <x:c r="L1863" s="28"/>
      <x:c r="M1863" s="28"/>
      <x:c r="N1863" s="28"/>
      <x:c r="O1863" s="28"/>
    </x:row>
    <x:row r="1864">
      <x:c r="B1864" s="26"/>
      <x:c r="I1864" s="27"/>
      <x:c r="K1864" s="28"/>
      <x:c r="L1864" s="28"/>
      <x:c r="M1864" s="28"/>
      <x:c r="N1864" s="28"/>
      <x:c r="O1864" s="28"/>
    </x:row>
    <x:row r="1865">
      <x:c r="B1865" s="26"/>
      <x:c r="I1865" s="27"/>
      <x:c r="K1865" s="28"/>
      <x:c r="L1865" s="28"/>
      <x:c r="M1865" s="28"/>
      <x:c r="N1865" s="28"/>
      <x:c r="O1865" s="28"/>
    </x:row>
    <x:row r="1866">
      <x:c r="B1866" s="26"/>
      <x:c r="I1866" s="27"/>
      <x:c r="K1866" s="28"/>
      <x:c r="L1866" s="28"/>
      <x:c r="M1866" s="28"/>
      <x:c r="N1866" s="28"/>
      <x:c r="O1866" s="28"/>
    </x:row>
    <x:row r="1867">
      <x:c r="B1867" s="26"/>
      <x:c r="I1867" s="27"/>
      <x:c r="K1867" s="28"/>
      <x:c r="L1867" s="28"/>
      <x:c r="M1867" s="28"/>
      <x:c r="N1867" s="28"/>
      <x:c r="O1867" s="28"/>
    </x:row>
    <x:row r="1868">
      <x:c r="B1868" s="26"/>
      <x:c r="I1868" s="27"/>
      <x:c r="K1868" s="28"/>
      <x:c r="L1868" s="28"/>
      <x:c r="M1868" s="28"/>
      <x:c r="N1868" s="28"/>
      <x:c r="O1868" s="28"/>
    </x:row>
    <x:row r="1869">
      <x:c r="B1869" s="26"/>
      <x:c r="I1869" s="27"/>
      <x:c r="K1869" s="28"/>
      <x:c r="L1869" s="28"/>
      <x:c r="M1869" s="28"/>
      <x:c r="N1869" s="28"/>
      <x:c r="O1869" s="28"/>
    </x:row>
    <x:row r="1870">
      <x:c r="B1870" s="26"/>
      <x:c r="I1870" s="27"/>
      <x:c r="K1870" s="28"/>
      <x:c r="L1870" s="28"/>
      <x:c r="M1870" s="28"/>
      <x:c r="N1870" s="28"/>
      <x:c r="O1870" s="28"/>
    </x:row>
    <x:row r="1871">
      <x:c r="B1871" s="26"/>
      <x:c r="I1871" s="27"/>
      <x:c r="K1871" s="28"/>
      <x:c r="L1871" s="28"/>
      <x:c r="M1871" s="28"/>
      <x:c r="N1871" s="28"/>
      <x:c r="O1871" s="28"/>
    </x:row>
    <x:row r="1872">
      <x:c r="B1872" s="26"/>
      <x:c r="I1872" s="27"/>
      <x:c r="K1872" s="28"/>
      <x:c r="L1872" s="28"/>
      <x:c r="M1872" s="28"/>
      <x:c r="N1872" s="28"/>
      <x:c r="O1872" s="28"/>
    </x:row>
    <x:row r="1873">
      <x:c r="B1873" s="26"/>
      <x:c r="I1873" s="27"/>
      <x:c r="K1873" s="28"/>
      <x:c r="L1873" s="28"/>
      <x:c r="M1873" s="28"/>
      <x:c r="N1873" s="28"/>
      <x:c r="O1873" s="28"/>
    </x:row>
    <x:row r="1874">
      <x:c r="B1874" s="26"/>
      <x:c r="I1874" s="27"/>
      <x:c r="K1874" s="28"/>
      <x:c r="L1874" s="28"/>
      <x:c r="M1874" s="28"/>
      <x:c r="N1874" s="28"/>
      <x:c r="O1874" s="28"/>
    </x:row>
    <x:row r="1875">
      <x:c r="B1875" s="26"/>
      <x:c r="I1875" s="27"/>
      <x:c r="K1875" s="28"/>
      <x:c r="L1875" s="28"/>
      <x:c r="M1875" s="28"/>
      <x:c r="N1875" s="28"/>
      <x:c r="O1875" s="28"/>
    </x:row>
    <x:row r="1876">
      <x:c r="B1876" s="26"/>
      <x:c r="I1876" s="27"/>
      <x:c r="K1876" s="28"/>
      <x:c r="L1876" s="28"/>
      <x:c r="M1876" s="28"/>
      <x:c r="N1876" s="28"/>
      <x:c r="O1876" s="28"/>
    </x:row>
    <x:row r="1877">
      <x:c r="B1877" s="26"/>
      <x:c r="I1877" s="27"/>
      <x:c r="K1877" s="28"/>
      <x:c r="L1877" s="28"/>
      <x:c r="M1877" s="28"/>
      <x:c r="N1877" s="28"/>
      <x:c r="O1877" s="28"/>
    </x:row>
    <x:row r="1878">
      <x:c r="B1878" s="26"/>
      <x:c r="I1878" s="27"/>
      <x:c r="K1878" s="28"/>
      <x:c r="L1878" s="28"/>
      <x:c r="M1878" s="28"/>
      <x:c r="N1878" s="28"/>
      <x:c r="O1878" s="28"/>
    </x:row>
    <x:row r="1879">
      <x:c r="B1879" s="26"/>
      <x:c r="I1879" s="27"/>
      <x:c r="K1879" s="28"/>
      <x:c r="L1879" s="28"/>
      <x:c r="M1879" s="28"/>
      <x:c r="N1879" s="28"/>
      <x:c r="O1879" s="28"/>
    </x:row>
    <x:row r="1880">
      <x:c r="B1880" s="26"/>
      <x:c r="I1880" s="27"/>
      <x:c r="K1880" s="28"/>
      <x:c r="L1880" s="28"/>
      <x:c r="M1880" s="28"/>
      <x:c r="N1880" s="28"/>
      <x:c r="O1880" s="28"/>
    </x:row>
    <x:row r="1881">
      <x:c r="B1881" s="26"/>
      <x:c r="I1881" s="27"/>
      <x:c r="K1881" s="28"/>
      <x:c r="L1881" s="28"/>
      <x:c r="M1881" s="28"/>
      <x:c r="N1881" s="28"/>
      <x:c r="O1881" s="28"/>
    </x:row>
    <x:row r="1882">
      <x:c r="B1882" s="26"/>
      <x:c r="I1882" s="27"/>
      <x:c r="K1882" s="28"/>
      <x:c r="L1882" s="28"/>
      <x:c r="M1882" s="28"/>
      <x:c r="N1882" s="28"/>
      <x:c r="O1882" s="28"/>
    </x:row>
    <x:row r="1883">
      <x:c r="B1883" s="26"/>
      <x:c r="I1883" s="27"/>
      <x:c r="K1883" s="28"/>
      <x:c r="L1883" s="28"/>
      <x:c r="M1883" s="28"/>
      <x:c r="N1883" s="28"/>
      <x:c r="O1883" s="28"/>
    </x:row>
    <x:row r="1884">
      <x:c r="B1884" s="26"/>
      <x:c r="I1884" s="27"/>
      <x:c r="K1884" s="28"/>
      <x:c r="L1884" s="28"/>
      <x:c r="M1884" s="28"/>
      <x:c r="N1884" s="28"/>
      <x:c r="O1884" s="28"/>
    </x:row>
    <x:row r="1885">
      <x:c r="B1885" s="26"/>
      <x:c r="I1885" s="27"/>
      <x:c r="K1885" s="28"/>
      <x:c r="L1885" s="28"/>
      <x:c r="M1885" s="28"/>
      <x:c r="N1885" s="28"/>
      <x:c r="O1885" s="28"/>
    </x:row>
    <x:row r="1886">
      <x:c r="B1886" s="26"/>
      <x:c r="I1886" s="27"/>
      <x:c r="K1886" s="28"/>
      <x:c r="L1886" s="28"/>
      <x:c r="M1886" s="28"/>
      <x:c r="N1886" s="28"/>
      <x:c r="O1886" s="28"/>
    </x:row>
    <x:row r="1887">
      <x:c r="B1887" s="26"/>
      <x:c r="I1887" s="27"/>
      <x:c r="K1887" s="28"/>
      <x:c r="L1887" s="28"/>
      <x:c r="M1887" s="28"/>
      <x:c r="N1887" s="28"/>
      <x:c r="O1887" s="28"/>
    </x:row>
    <x:row r="1888">
      <x:c r="B1888" s="26"/>
      <x:c r="I1888" s="27"/>
      <x:c r="K1888" s="28"/>
      <x:c r="L1888" s="28"/>
      <x:c r="M1888" s="28"/>
      <x:c r="N1888" s="28"/>
      <x:c r="O1888" s="28"/>
    </x:row>
    <x:row r="1889">
      <x:c r="B1889" s="26"/>
      <x:c r="I1889" s="27"/>
      <x:c r="K1889" s="28"/>
      <x:c r="L1889" s="28"/>
      <x:c r="M1889" s="28"/>
      <x:c r="N1889" s="28"/>
      <x:c r="O1889" s="28"/>
    </x:row>
    <x:row r="1890">
      <x:c r="B1890" s="26"/>
      <x:c r="I1890" s="27"/>
      <x:c r="K1890" s="28"/>
      <x:c r="L1890" s="28"/>
      <x:c r="M1890" s="28"/>
      <x:c r="N1890" s="28"/>
      <x:c r="O1890" s="28"/>
    </x:row>
    <x:row r="1891">
      <x:c r="B1891" s="26"/>
      <x:c r="I1891" s="27"/>
      <x:c r="K1891" s="28"/>
      <x:c r="L1891" s="28"/>
      <x:c r="M1891" s="28"/>
      <x:c r="N1891" s="28"/>
      <x:c r="O1891" s="28"/>
    </x:row>
    <x:row r="1892">
      <x:c r="B1892" s="26"/>
      <x:c r="I1892" s="27"/>
      <x:c r="K1892" s="28"/>
      <x:c r="L1892" s="28"/>
      <x:c r="M1892" s="28"/>
      <x:c r="N1892" s="28"/>
      <x:c r="O1892" s="28"/>
    </x:row>
    <x:row r="1893">
      <x:c r="B1893" s="26"/>
      <x:c r="I1893" s="27"/>
      <x:c r="K1893" s="28"/>
      <x:c r="L1893" s="28"/>
      <x:c r="M1893" s="28"/>
      <x:c r="N1893" s="28"/>
      <x:c r="O1893" s="28"/>
    </x:row>
    <x:row r="1894">
      <x:c r="B1894" s="26"/>
      <x:c r="I1894" s="27"/>
      <x:c r="K1894" s="28"/>
      <x:c r="L1894" s="28"/>
      <x:c r="M1894" s="28"/>
      <x:c r="N1894" s="28"/>
      <x:c r="O1894" s="28"/>
    </x:row>
    <x:row r="1895">
      <x:c r="B1895" s="26"/>
      <x:c r="I1895" s="27"/>
      <x:c r="K1895" s="28"/>
      <x:c r="L1895" s="28"/>
      <x:c r="M1895" s="28"/>
      <x:c r="N1895" s="28"/>
      <x:c r="O1895" s="28"/>
    </x:row>
    <x:row r="1896">
      <x:c r="B1896" s="26"/>
      <x:c r="I1896" s="27"/>
      <x:c r="K1896" s="28"/>
      <x:c r="L1896" s="28"/>
      <x:c r="M1896" s="28"/>
      <x:c r="N1896" s="28"/>
      <x:c r="O1896" s="28"/>
    </x:row>
    <x:row r="1897">
      <x:c r="B1897" s="26"/>
      <x:c r="I1897" s="27"/>
      <x:c r="K1897" s="28"/>
      <x:c r="L1897" s="28"/>
      <x:c r="M1897" s="28"/>
      <x:c r="N1897" s="28"/>
      <x:c r="O1897" s="28"/>
    </x:row>
    <x:row r="1898">
      <x:c r="B1898" s="26"/>
      <x:c r="I1898" s="27"/>
      <x:c r="K1898" s="28"/>
      <x:c r="L1898" s="28"/>
      <x:c r="M1898" s="28"/>
      <x:c r="N1898" s="28"/>
      <x:c r="O1898" s="28"/>
    </x:row>
    <x:row r="1899">
      <x:c r="B1899" s="26"/>
      <x:c r="I1899" s="27"/>
      <x:c r="K1899" s="28"/>
      <x:c r="L1899" s="28"/>
      <x:c r="M1899" s="28"/>
      <x:c r="N1899" s="28"/>
      <x:c r="O1899" s="28"/>
    </x:row>
    <x:row r="1900">
      <x:c r="B1900" s="26"/>
      <x:c r="I1900" s="27"/>
      <x:c r="K1900" s="28"/>
      <x:c r="L1900" s="28"/>
      <x:c r="M1900" s="28"/>
      <x:c r="N1900" s="28"/>
      <x:c r="O1900" s="28"/>
    </x:row>
    <x:row r="1901">
      <x:c r="B1901" s="26"/>
      <x:c r="I1901" s="27"/>
      <x:c r="K1901" s="28"/>
      <x:c r="L1901" s="28"/>
      <x:c r="M1901" s="28"/>
      <x:c r="N1901" s="28"/>
      <x:c r="O1901" s="28"/>
    </x:row>
    <x:row r="1902">
      <x:c r="B1902" s="26"/>
      <x:c r="I1902" s="27"/>
      <x:c r="K1902" s="28"/>
      <x:c r="L1902" s="28"/>
      <x:c r="M1902" s="28"/>
      <x:c r="N1902" s="28"/>
      <x:c r="O1902" s="28"/>
    </x:row>
    <x:row r="1903">
      <x:c r="B1903" s="26"/>
      <x:c r="I1903" s="27"/>
      <x:c r="K1903" s="28"/>
      <x:c r="L1903" s="28"/>
      <x:c r="M1903" s="28"/>
      <x:c r="N1903" s="28"/>
      <x:c r="O1903" s="28"/>
    </x:row>
    <x:row r="1904">
      <x:c r="B1904" s="26"/>
      <x:c r="I1904" s="27"/>
      <x:c r="K1904" s="28"/>
      <x:c r="L1904" s="28"/>
      <x:c r="M1904" s="28"/>
      <x:c r="N1904" s="28"/>
      <x:c r="O1904" s="28"/>
    </x:row>
    <x:row r="1905">
      <x:c r="B1905" s="26"/>
      <x:c r="I1905" s="27"/>
      <x:c r="K1905" s="28"/>
      <x:c r="L1905" s="28"/>
      <x:c r="M1905" s="28"/>
      <x:c r="N1905" s="28"/>
      <x:c r="O1905" s="28"/>
    </x:row>
    <x:row r="1906">
      <x:c r="B1906" s="26"/>
      <x:c r="I1906" s="27"/>
      <x:c r="K1906" s="28"/>
      <x:c r="L1906" s="28"/>
      <x:c r="M1906" s="28"/>
      <x:c r="N1906" s="28"/>
      <x:c r="O1906" s="28"/>
    </x:row>
    <x:row r="1907">
      <x:c r="B1907" s="26"/>
      <x:c r="I1907" s="27"/>
      <x:c r="K1907" s="28"/>
      <x:c r="L1907" s="28"/>
      <x:c r="M1907" s="28"/>
      <x:c r="N1907" s="28"/>
      <x:c r="O1907" s="28"/>
    </x:row>
    <x:row r="1908">
      <x:c r="B1908" s="26"/>
      <x:c r="I1908" s="27"/>
      <x:c r="K1908" s="28"/>
      <x:c r="L1908" s="28"/>
      <x:c r="M1908" s="28"/>
      <x:c r="N1908" s="28"/>
      <x:c r="O1908" s="28"/>
    </x:row>
    <x:row r="1909">
      <x:c r="B1909" s="26"/>
      <x:c r="I1909" s="27"/>
      <x:c r="K1909" s="28"/>
      <x:c r="L1909" s="28"/>
      <x:c r="M1909" s="28"/>
      <x:c r="N1909" s="28"/>
      <x:c r="O1909" s="28"/>
    </x:row>
    <x:row r="1910">
      <x:c r="B1910" s="26"/>
      <x:c r="I1910" s="27"/>
      <x:c r="K1910" s="28"/>
      <x:c r="L1910" s="28"/>
      <x:c r="M1910" s="28"/>
      <x:c r="N1910" s="28"/>
      <x:c r="O1910" s="28"/>
    </x:row>
    <x:row r="1911">
      <x:c r="B1911" s="26"/>
      <x:c r="I1911" s="27"/>
      <x:c r="K1911" s="28"/>
      <x:c r="L1911" s="28"/>
      <x:c r="M1911" s="28"/>
      <x:c r="N1911" s="28"/>
      <x:c r="O1911" s="28"/>
    </x:row>
    <x:row r="1912">
      <x:c r="B1912" s="26"/>
      <x:c r="I1912" s="27"/>
      <x:c r="K1912" s="28"/>
      <x:c r="L1912" s="28"/>
      <x:c r="M1912" s="28"/>
      <x:c r="N1912" s="28"/>
      <x:c r="O1912" s="28"/>
    </x:row>
    <x:row r="1913">
      <x:c r="B1913" s="26"/>
      <x:c r="I1913" s="27"/>
      <x:c r="K1913" s="28"/>
      <x:c r="L1913" s="28"/>
      <x:c r="M1913" s="28"/>
      <x:c r="N1913" s="28"/>
      <x:c r="O1913" s="28"/>
    </x:row>
    <x:row r="1914">
      <x:c r="B1914" s="26"/>
      <x:c r="I1914" s="27"/>
      <x:c r="K1914" s="28"/>
      <x:c r="L1914" s="28"/>
      <x:c r="M1914" s="28"/>
      <x:c r="N1914" s="28"/>
      <x:c r="O1914" s="28"/>
    </x:row>
    <x:row r="1915">
      <x:c r="B1915" s="26"/>
      <x:c r="I1915" s="27"/>
      <x:c r="K1915" s="28"/>
      <x:c r="L1915" s="28"/>
      <x:c r="M1915" s="28"/>
      <x:c r="N1915" s="28"/>
      <x:c r="O1915" s="28"/>
    </x:row>
    <x:row r="1916">
      <x:c r="B1916" s="26"/>
      <x:c r="I1916" s="27"/>
      <x:c r="K1916" s="28"/>
      <x:c r="L1916" s="28"/>
      <x:c r="M1916" s="28"/>
      <x:c r="N1916" s="28"/>
      <x:c r="O1916" s="28"/>
    </x:row>
    <x:row r="1917">
      <x:c r="B1917" s="26"/>
      <x:c r="I1917" s="27"/>
      <x:c r="K1917" s="28"/>
      <x:c r="L1917" s="28"/>
      <x:c r="M1917" s="28"/>
      <x:c r="N1917" s="28"/>
      <x:c r="O1917" s="28"/>
    </x:row>
    <x:row r="1918">
      <x:c r="B1918" s="26"/>
      <x:c r="I1918" s="27"/>
      <x:c r="K1918" s="28"/>
      <x:c r="L1918" s="28"/>
      <x:c r="M1918" s="28"/>
      <x:c r="N1918" s="28"/>
      <x:c r="O1918" s="28"/>
    </x:row>
    <x:row r="1919">
      <x:c r="B1919" s="26"/>
      <x:c r="I1919" s="27"/>
      <x:c r="K1919" s="28"/>
      <x:c r="L1919" s="28"/>
      <x:c r="M1919" s="28"/>
      <x:c r="N1919" s="28"/>
      <x:c r="O1919" s="28"/>
    </x:row>
    <x:row r="1920">
      <x:c r="B1920" s="26"/>
      <x:c r="I1920" s="27"/>
      <x:c r="K1920" s="28"/>
      <x:c r="L1920" s="28"/>
      <x:c r="M1920" s="28"/>
      <x:c r="N1920" s="28"/>
      <x:c r="O1920" s="28"/>
    </x:row>
    <x:row r="1921">
      <x:c r="B1921" s="26"/>
      <x:c r="I1921" s="27"/>
      <x:c r="K1921" s="28"/>
      <x:c r="L1921" s="28"/>
      <x:c r="M1921" s="28"/>
      <x:c r="N1921" s="28"/>
      <x:c r="O1921" s="28"/>
    </x:row>
    <x:row r="1922">
      <x:c r="B1922" s="26"/>
      <x:c r="I1922" s="27"/>
      <x:c r="K1922" s="28"/>
      <x:c r="L1922" s="28"/>
      <x:c r="M1922" s="28"/>
      <x:c r="N1922" s="28"/>
      <x:c r="O1922" s="28"/>
    </x:row>
    <x:row r="1923">
      <x:c r="B1923" s="26"/>
      <x:c r="I1923" s="27"/>
      <x:c r="K1923" s="28"/>
      <x:c r="L1923" s="28"/>
      <x:c r="M1923" s="28"/>
      <x:c r="N1923" s="28"/>
      <x:c r="O1923" s="28"/>
    </x:row>
    <x:row r="1924">
      <x:c r="B1924" s="26"/>
      <x:c r="I1924" s="27"/>
      <x:c r="K1924" s="28"/>
      <x:c r="L1924" s="28"/>
      <x:c r="M1924" s="28"/>
      <x:c r="N1924" s="28"/>
      <x:c r="O1924" s="28"/>
    </x:row>
    <x:row r="1925">
      <x:c r="B1925" s="26"/>
      <x:c r="I1925" s="27"/>
      <x:c r="K1925" s="28"/>
      <x:c r="L1925" s="28"/>
      <x:c r="M1925" s="28"/>
      <x:c r="N1925" s="28"/>
      <x:c r="O1925" s="28"/>
    </x:row>
    <x:row r="1926">
      <x:c r="B1926" s="26"/>
      <x:c r="I1926" s="27"/>
      <x:c r="K1926" s="28"/>
      <x:c r="L1926" s="28"/>
      <x:c r="M1926" s="28"/>
      <x:c r="N1926" s="28"/>
      <x:c r="O1926" s="28"/>
    </x:row>
    <x:row r="1927">
      <x:c r="B1927" s="26"/>
      <x:c r="I1927" s="27"/>
      <x:c r="K1927" s="28"/>
      <x:c r="L1927" s="28"/>
      <x:c r="M1927" s="28"/>
      <x:c r="N1927" s="28"/>
      <x:c r="O1927" s="28"/>
    </x:row>
    <x:row r="1928">
      <x:c r="B1928" s="26"/>
      <x:c r="I1928" s="27"/>
      <x:c r="K1928" s="28"/>
      <x:c r="L1928" s="28"/>
      <x:c r="M1928" s="28"/>
      <x:c r="N1928" s="28"/>
      <x:c r="O1928" s="28"/>
    </x:row>
    <x:row r="1929">
      <x:c r="B1929" s="26"/>
      <x:c r="I1929" s="27"/>
      <x:c r="K1929" s="28"/>
      <x:c r="L1929" s="28"/>
      <x:c r="M1929" s="28"/>
      <x:c r="N1929" s="28"/>
      <x:c r="O1929" s="28"/>
    </x:row>
    <x:row r="1930">
      <x:c r="B1930" s="26"/>
      <x:c r="I1930" s="27"/>
      <x:c r="K1930" s="28"/>
      <x:c r="L1930" s="28"/>
      <x:c r="M1930" s="28"/>
      <x:c r="N1930" s="28"/>
      <x:c r="O1930" s="28"/>
    </x:row>
    <x:row r="1931">
      <x:c r="B1931" s="26"/>
      <x:c r="I1931" s="27"/>
      <x:c r="K1931" s="28"/>
      <x:c r="L1931" s="28"/>
      <x:c r="M1931" s="28"/>
      <x:c r="N1931" s="28"/>
      <x:c r="O1931" s="28"/>
    </x:row>
    <x:row r="1932">
      <x:c r="B1932" s="26"/>
      <x:c r="I1932" s="27"/>
      <x:c r="K1932" s="28"/>
      <x:c r="L1932" s="28"/>
      <x:c r="M1932" s="28"/>
      <x:c r="N1932" s="28"/>
      <x:c r="O1932" s="28"/>
    </x:row>
    <x:row r="1933">
      <x:c r="B1933" s="26"/>
      <x:c r="I1933" s="27"/>
      <x:c r="K1933" s="28"/>
      <x:c r="L1933" s="28"/>
      <x:c r="M1933" s="28"/>
      <x:c r="N1933" s="28"/>
      <x:c r="O1933" s="28"/>
    </x:row>
    <x:row r="1934">
      <x:c r="B1934" s="26"/>
      <x:c r="I1934" s="27"/>
      <x:c r="K1934" s="28"/>
      <x:c r="L1934" s="28"/>
      <x:c r="M1934" s="28"/>
      <x:c r="N1934" s="28"/>
      <x:c r="O1934" s="28"/>
    </x:row>
    <x:row r="1935">
      <x:c r="B1935" s="26"/>
      <x:c r="I1935" s="27"/>
      <x:c r="K1935" s="28"/>
      <x:c r="L1935" s="28"/>
      <x:c r="M1935" s="28"/>
      <x:c r="N1935" s="28"/>
      <x:c r="O1935" s="28"/>
    </x:row>
    <x:row r="1936">
      <x:c r="B1936" s="26"/>
      <x:c r="I1936" s="27"/>
      <x:c r="K1936" s="28"/>
      <x:c r="L1936" s="28"/>
      <x:c r="M1936" s="28"/>
      <x:c r="N1936" s="28"/>
      <x:c r="O1936" s="28"/>
    </x:row>
    <x:row r="1937">
      <x:c r="B1937" s="26"/>
      <x:c r="I1937" s="27"/>
      <x:c r="K1937" s="28"/>
      <x:c r="L1937" s="28"/>
      <x:c r="M1937" s="28"/>
      <x:c r="N1937" s="28"/>
      <x:c r="O1937" s="28"/>
    </x:row>
    <x:row r="1938">
      <x:c r="B1938" s="26"/>
      <x:c r="I1938" s="27"/>
      <x:c r="K1938" s="28"/>
      <x:c r="L1938" s="28"/>
      <x:c r="M1938" s="28"/>
      <x:c r="N1938" s="28"/>
      <x:c r="O1938" s="28"/>
    </x:row>
    <x:row r="1939">
      <x:c r="B1939" s="26"/>
      <x:c r="I1939" s="27"/>
      <x:c r="K1939" s="28"/>
      <x:c r="L1939" s="28"/>
      <x:c r="M1939" s="28"/>
      <x:c r="N1939" s="28"/>
      <x:c r="O1939" s="28"/>
    </x:row>
    <x:row r="1940">
      <x:c r="B1940" s="26"/>
      <x:c r="I1940" s="27"/>
      <x:c r="K1940" s="28"/>
      <x:c r="L1940" s="28"/>
      <x:c r="M1940" s="28"/>
      <x:c r="N1940" s="28"/>
      <x:c r="O1940" s="28"/>
    </x:row>
    <x:row r="1941">
      <x:c r="B1941" s="26"/>
      <x:c r="I1941" s="27"/>
      <x:c r="K1941" s="28"/>
      <x:c r="L1941" s="28"/>
      <x:c r="M1941" s="28"/>
      <x:c r="N1941" s="28"/>
      <x:c r="O1941" s="28"/>
    </x:row>
    <x:row r="1942">
      <x:c r="B1942" s="26"/>
      <x:c r="I1942" s="27"/>
      <x:c r="K1942" s="28"/>
      <x:c r="L1942" s="28"/>
      <x:c r="M1942" s="28"/>
      <x:c r="N1942" s="28"/>
      <x:c r="O1942" s="28"/>
    </x:row>
    <x:row r="1943">
      <x:c r="B1943" s="26"/>
      <x:c r="I1943" s="27"/>
      <x:c r="K1943" s="28"/>
      <x:c r="L1943" s="28"/>
      <x:c r="M1943" s="28"/>
      <x:c r="N1943" s="28"/>
      <x:c r="O1943" s="28"/>
    </x:row>
    <x:row r="1944">
      <x:c r="B1944" s="26"/>
      <x:c r="I1944" s="27"/>
      <x:c r="K1944" s="28"/>
      <x:c r="L1944" s="28"/>
      <x:c r="M1944" s="28"/>
      <x:c r="N1944" s="28"/>
      <x:c r="O1944" s="28"/>
    </x:row>
    <x:row r="1945">
      <x:c r="B1945" s="26"/>
      <x:c r="I1945" s="27"/>
      <x:c r="K1945" s="28"/>
      <x:c r="L1945" s="28"/>
      <x:c r="M1945" s="28"/>
      <x:c r="N1945" s="28"/>
      <x:c r="O1945" s="28"/>
    </x:row>
    <x:row r="1946">
      <x:c r="B1946" s="26"/>
      <x:c r="I1946" s="27"/>
      <x:c r="K1946" s="28"/>
      <x:c r="L1946" s="28"/>
      <x:c r="M1946" s="28"/>
      <x:c r="N1946" s="28"/>
      <x:c r="O1946" s="28"/>
    </x:row>
    <x:row r="1947">
      <x:c r="B1947" s="26"/>
      <x:c r="I1947" s="27"/>
      <x:c r="K1947" s="28"/>
      <x:c r="L1947" s="28"/>
      <x:c r="M1947" s="28"/>
      <x:c r="N1947" s="28"/>
      <x:c r="O1947" s="28"/>
    </x:row>
    <x:row r="1948">
      <x:c r="B1948" s="26"/>
      <x:c r="I1948" s="27"/>
      <x:c r="K1948" s="28"/>
      <x:c r="L1948" s="28"/>
      <x:c r="M1948" s="28"/>
      <x:c r="N1948" s="28"/>
      <x:c r="O1948" s="28"/>
    </x:row>
    <x:row r="1949">
      <x:c r="B1949" s="26"/>
      <x:c r="I1949" s="27"/>
      <x:c r="K1949" s="28"/>
      <x:c r="L1949" s="28"/>
      <x:c r="M1949" s="28"/>
      <x:c r="N1949" s="28"/>
      <x:c r="O1949" s="28"/>
    </x:row>
    <x:row r="1950">
      <x:c r="B1950" s="26"/>
      <x:c r="I1950" s="27"/>
      <x:c r="K1950" s="28"/>
      <x:c r="L1950" s="28"/>
      <x:c r="M1950" s="28"/>
      <x:c r="N1950" s="28"/>
      <x:c r="O1950" s="28"/>
    </x:row>
    <x:row r="1951">
      <x:c r="B1951" s="26"/>
      <x:c r="I1951" s="27"/>
      <x:c r="K1951" s="28"/>
      <x:c r="L1951" s="28"/>
      <x:c r="M1951" s="28"/>
      <x:c r="N1951" s="28"/>
      <x:c r="O1951" s="28"/>
    </x:row>
    <x:row r="1952">
      <x:c r="B1952" s="26"/>
      <x:c r="I1952" s="27"/>
      <x:c r="K1952" s="28"/>
      <x:c r="L1952" s="28"/>
      <x:c r="M1952" s="28"/>
      <x:c r="N1952" s="28"/>
      <x:c r="O1952" s="28"/>
    </x:row>
    <x:row r="1953">
      <x:c r="B1953" s="26"/>
      <x:c r="I1953" s="27"/>
      <x:c r="K1953" s="28"/>
      <x:c r="L1953" s="28"/>
      <x:c r="M1953" s="28"/>
      <x:c r="N1953" s="28"/>
      <x:c r="O1953" s="28"/>
    </x:row>
    <x:row r="1954">
      <x:c r="B1954" s="26"/>
      <x:c r="I1954" s="27"/>
      <x:c r="K1954" s="28"/>
      <x:c r="L1954" s="28"/>
      <x:c r="M1954" s="28"/>
      <x:c r="N1954" s="28"/>
      <x:c r="O1954" s="28"/>
    </x:row>
    <x:row r="1955">
      <x:c r="B1955" s="26"/>
      <x:c r="I1955" s="27"/>
      <x:c r="K1955" s="28"/>
      <x:c r="L1955" s="28"/>
      <x:c r="M1955" s="28"/>
      <x:c r="N1955" s="28"/>
      <x:c r="O1955" s="28"/>
    </x:row>
    <x:row r="1956">
      <x:c r="B1956" s="26"/>
      <x:c r="I1956" s="27"/>
      <x:c r="K1956" s="28"/>
      <x:c r="L1956" s="28"/>
      <x:c r="M1956" s="28"/>
      <x:c r="N1956" s="28"/>
      <x:c r="O1956" s="28"/>
    </x:row>
    <x:row r="1957">
      <x:c r="B1957" s="26"/>
      <x:c r="I1957" s="27"/>
      <x:c r="K1957" s="28"/>
      <x:c r="L1957" s="28"/>
      <x:c r="M1957" s="28"/>
      <x:c r="N1957" s="28"/>
      <x:c r="O1957" s="28"/>
    </x:row>
    <x:row r="1958">
      <x:c r="B1958" s="26"/>
      <x:c r="I1958" s="27"/>
      <x:c r="K1958" s="28"/>
      <x:c r="L1958" s="28"/>
      <x:c r="M1958" s="28"/>
      <x:c r="N1958" s="28"/>
      <x:c r="O1958" s="28"/>
    </x:row>
    <x:row r="1959">
      <x:c r="B1959" s="26"/>
      <x:c r="I1959" s="27"/>
      <x:c r="K1959" s="28"/>
      <x:c r="L1959" s="28"/>
      <x:c r="M1959" s="28"/>
      <x:c r="N1959" s="28"/>
      <x:c r="O1959" s="28"/>
    </x:row>
    <x:row r="1960">
      <x:c r="B1960" s="26"/>
      <x:c r="I1960" s="27"/>
      <x:c r="K1960" s="28"/>
      <x:c r="L1960" s="28"/>
      <x:c r="M1960" s="28"/>
      <x:c r="N1960" s="28"/>
      <x:c r="O1960" s="28"/>
    </x:row>
    <x:row r="1961">
      <x:c r="B1961" s="26"/>
      <x:c r="I1961" s="27"/>
      <x:c r="K1961" s="28"/>
      <x:c r="L1961" s="28"/>
      <x:c r="M1961" s="28"/>
      <x:c r="N1961" s="28"/>
      <x:c r="O1961" s="28"/>
    </x:row>
    <x:row r="1962">
      <x:c r="B1962" s="26"/>
      <x:c r="I1962" s="27"/>
      <x:c r="K1962" s="28"/>
      <x:c r="L1962" s="28"/>
      <x:c r="M1962" s="28"/>
      <x:c r="N1962" s="28"/>
      <x:c r="O1962" s="28"/>
    </x:row>
    <x:row r="1963">
      <x:c r="B1963" s="26"/>
      <x:c r="I1963" s="27"/>
      <x:c r="K1963" s="28"/>
      <x:c r="L1963" s="28"/>
      <x:c r="M1963" s="28"/>
      <x:c r="N1963" s="28"/>
      <x:c r="O1963" s="28"/>
    </x:row>
    <x:row r="1964">
      <x:c r="B1964" s="26"/>
      <x:c r="I1964" s="27"/>
      <x:c r="K1964" s="28"/>
      <x:c r="L1964" s="28"/>
      <x:c r="M1964" s="28"/>
      <x:c r="N1964" s="28"/>
      <x:c r="O1964" s="28"/>
    </x:row>
    <x:row r="1965">
      <x:c r="B1965" s="26"/>
      <x:c r="I1965" s="27"/>
      <x:c r="K1965" s="28"/>
      <x:c r="L1965" s="28"/>
      <x:c r="M1965" s="28"/>
      <x:c r="N1965" s="28"/>
      <x:c r="O1965" s="28"/>
    </x:row>
    <x:row r="1966">
      <x:c r="B1966" s="26"/>
      <x:c r="I1966" s="27"/>
      <x:c r="K1966" s="28"/>
      <x:c r="L1966" s="28"/>
      <x:c r="M1966" s="28"/>
      <x:c r="N1966" s="28"/>
      <x:c r="O1966" s="28"/>
    </x:row>
    <x:row r="1967">
      <x:c r="B1967" s="26"/>
      <x:c r="I1967" s="27"/>
      <x:c r="K1967" s="28"/>
      <x:c r="L1967" s="28"/>
      <x:c r="M1967" s="28"/>
      <x:c r="N1967" s="28"/>
      <x:c r="O1967" s="28"/>
    </x:row>
    <x:row r="1968">
      <x:c r="B1968" s="26"/>
      <x:c r="I1968" s="27"/>
      <x:c r="K1968" s="28"/>
      <x:c r="L1968" s="28"/>
      <x:c r="M1968" s="28"/>
      <x:c r="N1968" s="28"/>
      <x:c r="O1968" s="28"/>
    </x:row>
    <x:row r="1969">
      <x:c r="B1969" s="26"/>
      <x:c r="I1969" s="27"/>
      <x:c r="K1969" s="28"/>
      <x:c r="L1969" s="28"/>
      <x:c r="M1969" s="28"/>
      <x:c r="N1969" s="28"/>
      <x:c r="O1969" s="28"/>
    </x:row>
    <x:row r="1970">
      <x:c r="B1970" s="26"/>
      <x:c r="I1970" s="27"/>
      <x:c r="K1970" s="28"/>
      <x:c r="L1970" s="28"/>
      <x:c r="M1970" s="28"/>
      <x:c r="N1970" s="28"/>
      <x:c r="O1970" s="28"/>
    </x:row>
    <x:row r="1971">
      <x:c r="B1971" s="26"/>
      <x:c r="I1971" s="27"/>
      <x:c r="K1971" s="28"/>
      <x:c r="L1971" s="28"/>
      <x:c r="M1971" s="28"/>
      <x:c r="N1971" s="28"/>
      <x:c r="O1971" s="28"/>
    </x:row>
    <x:row r="1972">
      <x:c r="B1972" s="26"/>
      <x:c r="I1972" s="27"/>
      <x:c r="K1972" s="28"/>
      <x:c r="L1972" s="28"/>
      <x:c r="M1972" s="28"/>
      <x:c r="N1972" s="28"/>
      <x:c r="O1972" s="28"/>
    </x:row>
    <x:row r="1973">
      <x:c r="B1973" s="26"/>
      <x:c r="I1973" s="27"/>
      <x:c r="K1973" s="28"/>
      <x:c r="L1973" s="28"/>
      <x:c r="M1973" s="28"/>
      <x:c r="N1973" s="28"/>
      <x:c r="O1973" s="28"/>
    </x:row>
    <x:row r="1974">
      <x:c r="B1974" s="26"/>
      <x:c r="I1974" s="27"/>
      <x:c r="K1974" s="28"/>
      <x:c r="L1974" s="28"/>
      <x:c r="M1974" s="28"/>
      <x:c r="N1974" s="28"/>
      <x:c r="O1974" s="28"/>
    </x:row>
    <x:row r="1975">
      <x:c r="B1975" s="26"/>
      <x:c r="I1975" s="27"/>
      <x:c r="K1975" s="28"/>
      <x:c r="L1975" s="28"/>
      <x:c r="M1975" s="28"/>
      <x:c r="N1975" s="28"/>
      <x:c r="O1975" s="28"/>
    </x:row>
    <x:row r="1976">
      <x:c r="B1976" s="26"/>
      <x:c r="I1976" s="27"/>
      <x:c r="K1976" s="28"/>
      <x:c r="L1976" s="28"/>
      <x:c r="M1976" s="28"/>
      <x:c r="N1976" s="28"/>
      <x:c r="O1976" s="28"/>
    </x:row>
    <x:row r="1977">
      <x:c r="B1977" s="26"/>
      <x:c r="I1977" s="27"/>
      <x:c r="K1977" s="28"/>
      <x:c r="L1977" s="28"/>
      <x:c r="M1977" s="28"/>
      <x:c r="N1977" s="28"/>
      <x:c r="O1977" s="28"/>
    </x:row>
    <x:row r="1978">
      <x:c r="B1978" s="26"/>
      <x:c r="I1978" s="27"/>
      <x:c r="K1978" s="28"/>
      <x:c r="L1978" s="28"/>
      <x:c r="M1978" s="28"/>
      <x:c r="N1978" s="28"/>
      <x:c r="O1978" s="28"/>
    </x:row>
    <x:row r="1979">
      <x:c r="B1979" s="26"/>
      <x:c r="I1979" s="27"/>
      <x:c r="K1979" s="28"/>
      <x:c r="L1979" s="28"/>
      <x:c r="M1979" s="28"/>
      <x:c r="N1979" s="28"/>
      <x:c r="O1979" s="28"/>
    </x:row>
    <x:row r="1980">
      <x:c r="B1980" s="26"/>
      <x:c r="I1980" s="27"/>
      <x:c r="K1980" s="28"/>
      <x:c r="L1980" s="28"/>
      <x:c r="M1980" s="28"/>
      <x:c r="N1980" s="28"/>
      <x:c r="O1980" s="28"/>
    </x:row>
    <x:row r="1981">
      <x:c r="B1981" s="26"/>
      <x:c r="I1981" s="27"/>
      <x:c r="K1981" s="28"/>
      <x:c r="L1981" s="28"/>
      <x:c r="M1981" s="28"/>
      <x:c r="N1981" s="28"/>
      <x:c r="O1981" s="28"/>
    </x:row>
    <x:row r="1982">
      <x:c r="B1982" s="26"/>
      <x:c r="I1982" s="27"/>
      <x:c r="K1982" s="28"/>
      <x:c r="L1982" s="28"/>
      <x:c r="M1982" s="28"/>
      <x:c r="N1982" s="28"/>
      <x:c r="O1982" s="28"/>
    </x:row>
    <x:row r="1983">
      <x:c r="B1983" s="26"/>
      <x:c r="I1983" s="27"/>
      <x:c r="K1983" s="28"/>
      <x:c r="L1983" s="28"/>
      <x:c r="M1983" s="28"/>
      <x:c r="N1983" s="28"/>
      <x:c r="O1983" s="28"/>
    </x:row>
    <x:row r="1984">
      <x:c r="B1984" s="26"/>
      <x:c r="I1984" s="27"/>
      <x:c r="K1984" s="28"/>
      <x:c r="L1984" s="28"/>
      <x:c r="M1984" s="28"/>
      <x:c r="N1984" s="28"/>
      <x:c r="O1984" s="28"/>
    </x:row>
    <x:row r="1985">
      <x:c r="B1985" s="26"/>
      <x:c r="I1985" s="27"/>
      <x:c r="K1985" s="28"/>
      <x:c r="L1985" s="28"/>
      <x:c r="M1985" s="28"/>
      <x:c r="N1985" s="28"/>
      <x:c r="O1985" s="28"/>
    </x:row>
    <x:row r="1986">
      <x:c r="B1986" s="26"/>
      <x:c r="I1986" s="27"/>
      <x:c r="K1986" s="28"/>
      <x:c r="L1986" s="28"/>
      <x:c r="M1986" s="28"/>
      <x:c r="N1986" s="28"/>
      <x:c r="O1986" s="28"/>
    </x:row>
    <x:row r="1987">
      <x:c r="B1987" s="26"/>
      <x:c r="I1987" s="27"/>
      <x:c r="K1987" s="28"/>
      <x:c r="L1987" s="28"/>
      <x:c r="M1987" s="28"/>
      <x:c r="N1987" s="28"/>
      <x:c r="O1987" s="28"/>
    </x:row>
    <x:row r="1988">
      <x:c r="B1988" s="26"/>
      <x:c r="I1988" s="27"/>
      <x:c r="K1988" s="28"/>
      <x:c r="L1988" s="28"/>
      <x:c r="M1988" s="28"/>
      <x:c r="N1988" s="28"/>
      <x:c r="O1988" s="28"/>
    </x:row>
    <x:row r="1989">
      <x:c r="B1989" s="26"/>
      <x:c r="I1989" s="27"/>
      <x:c r="K1989" s="28"/>
      <x:c r="L1989" s="28"/>
      <x:c r="M1989" s="28"/>
      <x:c r="N1989" s="28"/>
      <x:c r="O1989" s="28"/>
    </x:row>
    <x:row r="1990">
      <x:c r="B1990" s="26"/>
      <x:c r="I1990" s="27"/>
      <x:c r="K1990" s="28"/>
      <x:c r="L1990" s="28"/>
      <x:c r="M1990" s="28"/>
      <x:c r="N1990" s="28"/>
      <x:c r="O1990" s="28"/>
    </x:row>
    <x:row r="1991">
      <x:c r="B1991" s="26"/>
      <x:c r="I1991" s="27"/>
      <x:c r="K1991" s="28"/>
      <x:c r="L1991" s="28"/>
      <x:c r="M1991" s="28"/>
      <x:c r="N1991" s="28"/>
      <x:c r="O1991" s="28"/>
    </x:row>
    <x:row r="1992">
      <x:c r="B1992" s="26"/>
      <x:c r="I1992" s="27"/>
      <x:c r="K1992" s="28"/>
      <x:c r="L1992" s="28"/>
      <x:c r="M1992" s="28"/>
      <x:c r="N1992" s="28"/>
      <x:c r="O1992" s="28"/>
    </x:row>
    <x:row r="1993">
      <x:c r="B1993" s="26"/>
      <x:c r="I1993" s="27"/>
      <x:c r="K1993" s="28"/>
      <x:c r="L1993" s="28"/>
      <x:c r="M1993" s="28"/>
      <x:c r="N1993" s="28"/>
      <x:c r="O1993" s="28"/>
    </x:row>
    <x:row r="1994">
      <x:c r="B1994" s="26"/>
      <x:c r="I1994" s="27"/>
      <x:c r="K1994" s="28"/>
      <x:c r="L1994" s="28"/>
      <x:c r="M1994" s="28"/>
      <x:c r="N1994" s="28"/>
      <x:c r="O1994" s="28"/>
    </x:row>
    <x:row r="1995">
      <x:c r="B1995" s="26"/>
      <x:c r="I1995" s="27"/>
      <x:c r="K1995" s="28"/>
      <x:c r="L1995" s="28"/>
      <x:c r="M1995" s="28"/>
      <x:c r="N1995" s="28"/>
      <x:c r="O1995" s="28"/>
    </x:row>
    <x:row r="1996">
      <x:c r="B1996" s="26"/>
      <x:c r="I1996" s="27"/>
      <x:c r="K1996" s="28"/>
      <x:c r="L1996" s="28"/>
      <x:c r="M1996" s="28"/>
      <x:c r="N1996" s="28"/>
      <x:c r="O1996" s="28"/>
    </x:row>
    <x:row r="1997">
      <x:c r="B1997" s="26"/>
      <x:c r="I1997" s="27"/>
      <x:c r="K1997" s="28"/>
      <x:c r="L1997" s="28"/>
      <x:c r="M1997" s="28"/>
      <x:c r="N1997" s="28"/>
      <x:c r="O1997" s="28"/>
    </x:row>
    <x:row r="1998">
      <x:c r="B1998" s="26"/>
      <x:c r="I1998" s="27"/>
      <x:c r="K1998" s="28"/>
      <x:c r="L1998" s="28"/>
      <x:c r="M1998" s="28"/>
      <x:c r="N1998" s="28"/>
      <x:c r="O1998" s="28"/>
    </x:row>
    <x:row r="1999">
      <x:c r="B1999" s="26"/>
      <x:c r="I1999" s="27"/>
      <x:c r="K1999" s="28"/>
      <x:c r="L1999" s="28"/>
      <x:c r="M1999" s="28"/>
      <x:c r="N1999" s="28"/>
      <x:c r="O1999" s="28"/>
    </x:row>
    <x:row r="2000">
      <x:c r="B2000" s="26"/>
      <x:c r="I2000" s="27"/>
      <x:c r="K2000" s="28"/>
      <x:c r="L2000" s="28"/>
      <x:c r="M2000" s="28"/>
      <x:c r="N2000" s="28"/>
      <x:c r="O2000" s="28"/>
    </x:row>
    <x:row r="2001">
      <x:c r="B2001" s="26"/>
      <x:c r="I2001" s="27"/>
      <x:c r="K2001" s="28"/>
      <x:c r="L2001" s="28"/>
      <x:c r="M2001" s="28"/>
      <x:c r="N2001" s="28"/>
      <x:c r="O2001" s="28"/>
    </x:row>
    <x:row r="2002">
      <x:c r="B2002" s="26"/>
      <x:c r="I2002" s="27"/>
      <x:c r="K2002" s="28"/>
      <x:c r="L2002" s="28"/>
      <x:c r="M2002" s="28"/>
      <x:c r="N2002" s="28"/>
      <x:c r="O2002" s="28"/>
    </x:row>
    <x:row r="2003">
      <x:c r="B2003" s="26"/>
      <x:c r="I2003" s="27"/>
      <x:c r="K2003" s="28"/>
      <x:c r="L2003" s="28"/>
      <x:c r="M2003" s="28"/>
      <x:c r="N2003" s="28"/>
      <x:c r="O2003" s="28"/>
    </x:row>
    <x:row r="2004">
      <x:c r="B2004" s="26"/>
      <x:c r="I2004" s="27"/>
      <x:c r="K2004" s="28"/>
      <x:c r="L2004" s="28"/>
      <x:c r="M2004" s="28"/>
      <x:c r="N2004" s="28"/>
      <x:c r="O2004" s="28"/>
    </x:row>
    <x:row r="2005">
      <x:c r="B2005" s="26"/>
      <x:c r="I2005" s="27"/>
      <x:c r="K2005" s="28"/>
      <x:c r="L2005" s="28"/>
      <x:c r="M2005" s="28"/>
      <x:c r="N2005" s="28"/>
      <x:c r="O2005" s="28"/>
    </x:row>
    <x:row r="2006">
      <x:c r="B2006" s="26"/>
      <x:c r="I2006" s="27"/>
      <x:c r="K2006" s="28"/>
      <x:c r="L2006" s="28"/>
      <x:c r="M2006" s="28"/>
      <x:c r="N2006" s="28"/>
      <x:c r="O2006" s="28"/>
    </x:row>
    <x:row r="2007">
      <x:c r="B2007" s="26"/>
      <x:c r="I2007" s="27"/>
      <x:c r="K2007" s="28"/>
      <x:c r="L2007" s="28"/>
      <x:c r="M2007" s="28"/>
      <x:c r="N2007" s="28"/>
      <x:c r="O2007" s="28"/>
    </x:row>
    <x:row r="2008">
      <x:c r="B2008" s="26"/>
      <x:c r="I2008" s="27"/>
      <x:c r="K2008" s="28"/>
      <x:c r="L2008" s="28"/>
      <x:c r="M2008" s="28"/>
      <x:c r="N2008" s="28"/>
      <x:c r="O2008" s="28"/>
    </x:row>
    <x:row r="2009">
      <x:c r="B2009" s="26"/>
      <x:c r="I2009" s="27"/>
      <x:c r="K2009" s="28"/>
      <x:c r="L2009" s="28"/>
      <x:c r="M2009" s="28"/>
      <x:c r="N2009" s="28"/>
      <x:c r="O2009" s="28"/>
    </x:row>
    <x:row r="2010">
      <x:c r="B2010" s="26"/>
      <x:c r="I2010" s="27"/>
      <x:c r="K2010" s="28"/>
      <x:c r="L2010" s="28"/>
      <x:c r="M2010" s="28"/>
      <x:c r="N2010" s="28"/>
      <x:c r="O2010" s="28"/>
    </x:row>
    <x:row r="2011">
      <x:c r="B2011" s="26"/>
      <x:c r="I2011" s="27"/>
      <x:c r="K2011" s="28"/>
      <x:c r="L2011" s="28"/>
      <x:c r="M2011" s="28"/>
      <x:c r="N2011" s="28"/>
      <x:c r="O2011" s="28"/>
    </x:row>
    <x:row r="2012">
      <x:c r="B2012" s="26"/>
      <x:c r="I2012" s="27"/>
      <x:c r="K2012" s="28"/>
      <x:c r="L2012" s="28"/>
      <x:c r="M2012" s="28"/>
      <x:c r="N2012" s="28"/>
      <x:c r="O2012" s="28"/>
    </x:row>
    <x:row r="2013">
      <x:c r="B2013" s="26"/>
      <x:c r="I2013" s="27"/>
      <x:c r="K2013" s="28"/>
      <x:c r="L2013" s="28"/>
      <x:c r="M2013" s="28"/>
      <x:c r="N2013" s="28"/>
      <x:c r="O2013" s="28"/>
    </x:row>
    <x:row r="2014">
      <x:c r="B2014" s="26"/>
      <x:c r="I2014" s="27"/>
      <x:c r="K2014" s="28"/>
      <x:c r="L2014" s="28"/>
      <x:c r="M2014" s="28"/>
      <x:c r="N2014" s="28"/>
      <x:c r="O2014" s="28"/>
    </x:row>
    <x:row r="2015">
      <x:c r="B2015" s="26"/>
      <x:c r="I2015" s="27"/>
      <x:c r="K2015" s="28"/>
      <x:c r="L2015" s="28"/>
      <x:c r="M2015" s="28"/>
      <x:c r="N2015" s="28"/>
      <x:c r="O2015" s="28"/>
    </x:row>
    <x:row r="2016">
      <x:c r="B2016" s="26"/>
      <x:c r="I2016" s="27"/>
      <x:c r="K2016" s="28"/>
      <x:c r="L2016" s="28"/>
      <x:c r="M2016" s="28"/>
      <x:c r="N2016" s="28"/>
      <x:c r="O2016" s="28"/>
    </x:row>
    <x:row r="2017">
      <x:c r="B2017" s="26"/>
      <x:c r="I2017" s="27"/>
      <x:c r="K2017" s="28"/>
      <x:c r="L2017" s="28"/>
      <x:c r="M2017" s="28"/>
      <x:c r="N2017" s="28"/>
      <x:c r="O2017" s="28"/>
    </x:row>
    <x:row r="2018">
      <x:c r="B2018" s="26"/>
      <x:c r="I2018" s="27"/>
      <x:c r="K2018" s="28"/>
      <x:c r="L2018" s="28"/>
      <x:c r="M2018" s="28"/>
      <x:c r="N2018" s="28"/>
      <x:c r="O2018" s="28"/>
    </x:row>
    <x:row r="2019">
      <x:c r="B2019" s="26"/>
      <x:c r="I2019" s="27"/>
      <x:c r="K2019" s="28"/>
      <x:c r="L2019" s="28"/>
      <x:c r="M2019" s="28"/>
      <x:c r="N2019" s="28"/>
      <x:c r="O2019" s="28"/>
    </x:row>
    <x:row r="2020">
      <x:c r="B2020" s="26"/>
      <x:c r="I2020" s="27"/>
      <x:c r="K2020" s="28"/>
      <x:c r="L2020" s="28"/>
      <x:c r="M2020" s="28"/>
      <x:c r="N2020" s="28"/>
      <x:c r="O2020" s="28"/>
    </x:row>
    <x:row r="2021">
      <x:c r="B2021" s="26"/>
      <x:c r="I2021" s="27"/>
      <x:c r="K2021" s="28"/>
      <x:c r="L2021" s="28"/>
      <x:c r="M2021" s="28"/>
      <x:c r="N2021" s="28"/>
      <x:c r="O2021" s="28"/>
    </x:row>
    <x:row r="2022">
      <x:c r="B2022" s="26"/>
      <x:c r="I2022" s="27"/>
      <x:c r="K2022" s="28"/>
      <x:c r="L2022" s="28"/>
      <x:c r="M2022" s="28"/>
      <x:c r="N2022" s="28"/>
      <x:c r="O2022" s="28"/>
    </x:row>
    <x:row r="2023">
      <x:c r="B2023" s="26"/>
      <x:c r="I2023" s="27"/>
      <x:c r="K2023" s="28"/>
      <x:c r="L2023" s="28"/>
      <x:c r="M2023" s="28"/>
      <x:c r="N2023" s="28"/>
      <x:c r="O2023" s="28"/>
    </x:row>
    <x:row r="2024">
      <x:c r="B2024" s="26"/>
      <x:c r="I2024" s="27"/>
      <x:c r="K2024" s="28"/>
      <x:c r="L2024" s="28"/>
      <x:c r="M2024" s="28"/>
      <x:c r="N2024" s="28"/>
      <x:c r="O2024" s="28"/>
    </x:row>
    <x:row r="2025">
      <x:c r="B2025" s="26"/>
      <x:c r="I2025" s="27"/>
      <x:c r="K2025" s="28"/>
      <x:c r="L2025" s="28"/>
      <x:c r="M2025" s="28"/>
      <x:c r="N2025" s="28"/>
      <x:c r="O2025" s="28"/>
    </x:row>
    <x:row r="2026">
      <x:c r="B2026" s="26"/>
      <x:c r="I2026" s="27"/>
      <x:c r="K2026" s="28"/>
      <x:c r="L2026" s="28"/>
      <x:c r="M2026" s="28"/>
      <x:c r="N2026" s="28"/>
      <x:c r="O2026" s="28"/>
    </x:row>
    <x:row r="2027">
      <x:c r="B2027" s="26"/>
      <x:c r="I2027" s="27"/>
      <x:c r="K2027" s="28"/>
      <x:c r="L2027" s="28"/>
      <x:c r="M2027" s="28"/>
      <x:c r="N2027" s="28"/>
      <x:c r="O2027" s="28"/>
    </x:row>
    <x:row r="2028">
      <x:c r="B2028" s="26"/>
      <x:c r="I2028" s="27"/>
      <x:c r="K2028" s="28"/>
      <x:c r="L2028" s="28"/>
      <x:c r="M2028" s="28"/>
      <x:c r="N2028" s="28"/>
      <x:c r="O2028" s="28"/>
    </x:row>
    <x:row r="2029">
      <x:c r="B2029" s="26"/>
      <x:c r="I2029" s="27"/>
      <x:c r="K2029" s="28"/>
      <x:c r="L2029" s="28"/>
      <x:c r="M2029" s="28"/>
      <x:c r="N2029" s="28"/>
      <x:c r="O2029" s="28"/>
    </x:row>
    <x:row r="2030">
      <x:c r="B2030" s="26"/>
      <x:c r="I2030" s="27"/>
      <x:c r="K2030" s="28"/>
      <x:c r="L2030" s="28"/>
      <x:c r="M2030" s="28"/>
      <x:c r="N2030" s="28"/>
      <x:c r="O2030" s="28"/>
    </x:row>
    <x:row r="2031">
      <x:c r="B2031" s="26"/>
      <x:c r="I2031" s="27"/>
      <x:c r="K2031" s="28"/>
      <x:c r="L2031" s="28"/>
      <x:c r="M2031" s="28"/>
      <x:c r="N2031" s="28"/>
      <x:c r="O2031" s="28"/>
    </x:row>
    <x:row r="2032">
      <x:c r="B2032" s="26"/>
      <x:c r="I2032" s="27"/>
      <x:c r="K2032" s="28"/>
      <x:c r="L2032" s="28"/>
      <x:c r="M2032" s="28"/>
      <x:c r="N2032" s="28"/>
      <x:c r="O2032" s="28"/>
    </x:row>
    <x:row r="2033">
      <x:c r="B2033" s="26"/>
      <x:c r="I2033" s="27"/>
      <x:c r="K2033" s="28"/>
      <x:c r="L2033" s="28"/>
      <x:c r="M2033" s="28"/>
      <x:c r="N2033" s="28"/>
      <x:c r="O2033" s="28"/>
    </x:row>
    <x:row r="2034">
      <x:c r="B2034" s="26"/>
      <x:c r="I2034" s="27"/>
      <x:c r="K2034" s="28"/>
      <x:c r="L2034" s="28"/>
      <x:c r="M2034" s="28"/>
      <x:c r="N2034" s="28"/>
      <x:c r="O2034" s="28"/>
    </x:row>
    <x:row r="2035">
      <x:c r="B2035" s="26"/>
      <x:c r="I2035" s="27"/>
      <x:c r="K2035" s="28"/>
      <x:c r="L2035" s="28"/>
      <x:c r="M2035" s="28"/>
      <x:c r="N2035" s="28"/>
      <x:c r="O2035" s="28"/>
    </x:row>
    <x:row r="2036">
      <x:c r="B2036" s="26"/>
      <x:c r="I2036" s="27"/>
      <x:c r="K2036" s="28"/>
      <x:c r="L2036" s="28"/>
      <x:c r="M2036" s="28"/>
      <x:c r="N2036" s="28"/>
      <x:c r="O2036" s="28"/>
    </x:row>
    <x:row r="2037">
      <x:c r="B2037" s="26"/>
      <x:c r="I2037" s="27"/>
      <x:c r="K2037" s="28"/>
      <x:c r="L2037" s="28"/>
      <x:c r="M2037" s="28"/>
      <x:c r="N2037" s="28"/>
      <x:c r="O2037" s="28"/>
    </x:row>
    <x:row r="2038">
      <x:c r="B2038" s="26"/>
      <x:c r="I2038" s="27"/>
      <x:c r="K2038" s="28"/>
      <x:c r="L2038" s="28"/>
      <x:c r="M2038" s="28"/>
      <x:c r="N2038" s="28"/>
      <x:c r="O2038" s="28"/>
    </x:row>
    <x:row r="2039">
      <x:c r="B2039" s="26"/>
      <x:c r="I2039" s="27"/>
      <x:c r="K2039" s="28"/>
      <x:c r="L2039" s="28"/>
      <x:c r="M2039" s="28"/>
      <x:c r="N2039" s="28"/>
      <x:c r="O2039" s="28"/>
    </x:row>
    <x:row r="2040">
      <x:c r="B2040" s="26"/>
      <x:c r="I2040" s="27"/>
      <x:c r="K2040" s="28"/>
      <x:c r="L2040" s="28"/>
      <x:c r="M2040" s="28"/>
      <x:c r="N2040" s="28"/>
      <x:c r="O2040" s="28"/>
    </x:row>
    <x:row r="2041">
      <x:c r="B2041" s="26"/>
      <x:c r="I2041" s="27"/>
      <x:c r="K2041" s="28"/>
      <x:c r="L2041" s="28"/>
      <x:c r="M2041" s="28"/>
      <x:c r="N2041" s="28"/>
      <x:c r="O2041" s="28"/>
    </x:row>
    <x:row r="2042">
      <x:c r="B2042" s="26"/>
      <x:c r="I2042" s="27"/>
      <x:c r="K2042" s="28"/>
      <x:c r="L2042" s="28"/>
      <x:c r="M2042" s="28"/>
      <x:c r="N2042" s="28"/>
      <x:c r="O2042" s="28"/>
    </x:row>
    <x:row r="2043">
      <x:c r="B2043" s="26"/>
      <x:c r="I2043" s="27"/>
      <x:c r="K2043" s="28"/>
      <x:c r="L2043" s="28"/>
      <x:c r="M2043" s="28"/>
      <x:c r="N2043" s="28"/>
      <x:c r="O2043" s="28"/>
    </x:row>
    <x:row r="2044">
      <x:c r="B2044" s="26"/>
      <x:c r="I2044" s="27"/>
      <x:c r="K2044" s="28"/>
      <x:c r="L2044" s="28"/>
      <x:c r="M2044" s="28"/>
      <x:c r="N2044" s="28"/>
      <x:c r="O2044" s="28"/>
    </x:row>
    <x:row r="2045">
      <x:c r="B2045" s="26"/>
      <x:c r="I2045" s="27"/>
      <x:c r="K2045" s="28"/>
      <x:c r="L2045" s="28"/>
      <x:c r="M2045" s="28"/>
      <x:c r="N2045" s="28"/>
      <x:c r="O2045" s="28"/>
    </x:row>
    <x:row r="2046">
      <x:c r="B2046" s="26"/>
      <x:c r="I2046" s="27"/>
      <x:c r="K2046" s="28"/>
      <x:c r="L2046" s="28"/>
      <x:c r="M2046" s="28"/>
      <x:c r="N2046" s="28"/>
      <x:c r="O2046" s="28"/>
    </x:row>
    <x:row r="2047">
      <x:c r="B2047" s="26"/>
      <x:c r="I2047" s="27"/>
      <x:c r="K2047" s="28"/>
      <x:c r="L2047" s="28"/>
      <x:c r="M2047" s="28"/>
      <x:c r="N2047" s="28"/>
      <x:c r="O2047" s="28"/>
    </x:row>
    <x:row r="2048">
      <x:c r="B2048" s="26"/>
      <x:c r="I2048" s="27"/>
      <x:c r="K2048" s="28"/>
      <x:c r="L2048" s="28"/>
      <x:c r="M2048" s="28"/>
      <x:c r="N2048" s="28"/>
      <x:c r="O2048" s="28"/>
    </x:row>
    <x:row r="2049">
      <x:c r="B2049" s="26"/>
      <x:c r="I2049" s="27"/>
      <x:c r="K2049" s="28"/>
      <x:c r="L2049" s="28"/>
      <x:c r="M2049" s="28"/>
      <x:c r="N2049" s="28"/>
      <x:c r="O2049" s="28"/>
    </x:row>
    <x:row r="2050">
      <x:c r="B2050" s="26"/>
      <x:c r="I2050" s="27"/>
      <x:c r="K2050" s="28"/>
      <x:c r="L2050" s="28"/>
      <x:c r="M2050" s="28"/>
      <x:c r="N2050" s="28"/>
      <x:c r="O2050" s="28"/>
    </x:row>
    <x:row r="2051">
      <x:c r="B2051" s="26"/>
      <x:c r="I2051" s="27"/>
      <x:c r="K2051" s="28"/>
      <x:c r="L2051" s="28"/>
      <x:c r="M2051" s="28"/>
      <x:c r="N2051" s="28"/>
      <x:c r="O2051" s="28"/>
    </x:row>
    <x:row r="2052">
      <x:c r="B2052" s="26"/>
      <x:c r="I2052" s="27"/>
      <x:c r="K2052" s="28"/>
      <x:c r="L2052" s="28"/>
      <x:c r="M2052" s="28"/>
      <x:c r="N2052" s="28"/>
      <x:c r="O2052" s="28"/>
    </x:row>
    <x:row r="2053">
      <x:c r="B2053" s="26"/>
      <x:c r="I2053" s="27"/>
      <x:c r="K2053" s="28"/>
      <x:c r="L2053" s="28"/>
      <x:c r="M2053" s="28"/>
      <x:c r="N2053" s="28"/>
      <x:c r="O2053" s="28"/>
    </x:row>
    <x:row r="2054">
      <x:c r="B2054" s="26"/>
      <x:c r="I2054" s="27"/>
      <x:c r="K2054" s="28"/>
      <x:c r="L2054" s="28"/>
      <x:c r="M2054" s="28"/>
      <x:c r="N2054" s="28"/>
      <x:c r="O2054" s="28"/>
    </x:row>
    <x:row r="2055">
      <x:c r="B2055" s="26"/>
      <x:c r="I2055" s="27"/>
      <x:c r="K2055" s="28"/>
      <x:c r="L2055" s="28"/>
      <x:c r="M2055" s="28"/>
      <x:c r="N2055" s="28"/>
      <x:c r="O2055" s="28"/>
    </x:row>
    <x:row r="2056">
      <x:c r="B2056" s="26"/>
      <x:c r="I2056" s="27"/>
      <x:c r="K2056" s="28"/>
      <x:c r="L2056" s="28"/>
      <x:c r="M2056" s="28"/>
      <x:c r="N2056" s="28"/>
      <x:c r="O2056" s="28"/>
    </x:row>
    <x:row r="2057">
      <x:c r="B2057" s="26"/>
      <x:c r="I2057" s="27"/>
      <x:c r="K2057" s="28"/>
      <x:c r="L2057" s="28"/>
      <x:c r="M2057" s="28"/>
      <x:c r="N2057" s="28"/>
      <x:c r="O2057" s="28"/>
    </x:row>
    <x:row r="2058">
      <x:c r="B2058" s="26"/>
      <x:c r="I2058" s="27"/>
      <x:c r="K2058" s="28"/>
      <x:c r="L2058" s="28"/>
      <x:c r="M2058" s="28"/>
      <x:c r="N2058" s="28"/>
      <x:c r="O2058" s="28"/>
    </x:row>
    <x:row r="2059">
      <x:c r="B2059" s="26"/>
      <x:c r="I2059" s="27"/>
      <x:c r="K2059" s="28"/>
      <x:c r="L2059" s="28"/>
      <x:c r="M2059" s="28"/>
      <x:c r="N2059" s="28"/>
      <x:c r="O2059" s="28"/>
    </x:row>
    <x:row r="2060">
      <x:c r="B2060" s="26"/>
      <x:c r="I2060" s="27"/>
      <x:c r="K2060" s="28"/>
      <x:c r="L2060" s="28"/>
      <x:c r="M2060" s="28"/>
      <x:c r="N2060" s="28"/>
      <x:c r="O2060" s="28"/>
    </x:row>
    <x:row r="2061">
      <x:c r="B2061" s="26"/>
      <x:c r="I2061" s="27"/>
      <x:c r="K2061" s="28"/>
      <x:c r="L2061" s="28"/>
      <x:c r="M2061" s="28"/>
      <x:c r="N2061" s="28"/>
      <x:c r="O2061" s="28"/>
    </x:row>
    <x:row r="2062">
      <x:c r="B2062" s="26"/>
      <x:c r="I2062" s="27"/>
      <x:c r="K2062" s="28"/>
      <x:c r="L2062" s="28"/>
      <x:c r="M2062" s="28"/>
      <x:c r="N2062" s="28"/>
      <x:c r="O2062" s="28"/>
    </x:row>
    <x:row r="2063">
      <x:c r="B2063" s="26"/>
      <x:c r="I2063" s="27"/>
      <x:c r="K2063" s="28"/>
      <x:c r="L2063" s="28"/>
      <x:c r="M2063" s="28"/>
      <x:c r="N2063" s="28"/>
      <x:c r="O2063" s="28"/>
    </x:row>
    <x:row r="2064">
      <x:c r="B2064" s="26"/>
      <x:c r="I2064" s="27"/>
      <x:c r="K2064" s="28"/>
      <x:c r="L2064" s="28"/>
      <x:c r="M2064" s="28"/>
      <x:c r="N2064" s="28"/>
      <x:c r="O2064" s="28"/>
    </x:row>
    <x:row r="2065">
      <x:c r="B2065" s="26"/>
      <x:c r="I2065" s="27"/>
      <x:c r="K2065" s="28"/>
      <x:c r="L2065" s="28"/>
      <x:c r="M2065" s="28"/>
      <x:c r="N2065" s="28"/>
      <x:c r="O2065" s="28"/>
    </x:row>
    <x:row r="2066">
      <x:c r="B2066" s="26"/>
      <x:c r="I2066" s="27"/>
      <x:c r="K2066" s="28"/>
      <x:c r="L2066" s="28"/>
      <x:c r="M2066" s="28"/>
      <x:c r="N2066" s="28"/>
      <x:c r="O2066" s="28"/>
    </x:row>
    <x:row r="2067">
      <x:c r="B2067" s="26"/>
      <x:c r="I2067" s="27"/>
      <x:c r="K2067" s="28"/>
      <x:c r="L2067" s="28"/>
      <x:c r="M2067" s="28"/>
      <x:c r="N2067" s="28"/>
      <x:c r="O2067" s="28"/>
    </x:row>
    <x:row r="2068">
      <x:c r="B2068" s="26"/>
      <x:c r="I2068" s="27"/>
      <x:c r="K2068" s="28"/>
      <x:c r="L2068" s="28"/>
      <x:c r="M2068" s="28"/>
      <x:c r="N2068" s="28"/>
      <x:c r="O2068" s="28"/>
    </x:row>
    <x:row r="2069">
      <x:c r="B2069" s="26"/>
      <x:c r="I2069" s="27"/>
      <x:c r="K2069" s="28"/>
      <x:c r="L2069" s="28"/>
      <x:c r="M2069" s="28"/>
      <x:c r="N2069" s="28"/>
      <x:c r="O2069" s="28"/>
    </x:row>
    <x:row r="2070">
      <x:c r="B2070" s="26"/>
      <x:c r="I2070" s="27"/>
      <x:c r="K2070" s="28"/>
      <x:c r="L2070" s="28"/>
      <x:c r="M2070" s="28"/>
      <x:c r="N2070" s="28"/>
      <x:c r="O2070" s="28"/>
    </x:row>
    <x:row r="2071">
      <x:c r="B2071" s="26"/>
      <x:c r="I2071" s="27"/>
      <x:c r="K2071" s="28"/>
      <x:c r="L2071" s="28"/>
      <x:c r="M2071" s="28"/>
      <x:c r="N2071" s="28"/>
      <x:c r="O2071" s="28"/>
    </x:row>
    <x:row r="2072">
      <x:c r="B2072" s="26"/>
      <x:c r="I2072" s="27"/>
      <x:c r="K2072" s="28"/>
      <x:c r="L2072" s="28"/>
      <x:c r="M2072" s="28"/>
      <x:c r="N2072" s="28"/>
      <x:c r="O2072" s="28"/>
    </x:row>
    <x:row r="2073">
      <x:c r="B2073" s="26"/>
      <x:c r="I2073" s="27"/>
      <x:c r="K2073" s="28"/>
      <x:c r="L2073" s="28"/>
      <x:c r="M2073" s="28"/>
      <x:c r="N2073" s="28"/>
      <x:c r="O2073" s="28"/>
    </x:row>
    <x:row r="2074">
      <x:c r="B2074" s="26"/>
      <x:c r="I2074" s="27"/>
      <x:c r="K2074" s="28"/>
      <x:c r="L2074" s="28"/>
      <x:c r="M2074" s="28"/>
      <x:c r="N2074" s="28"/>
      <x:c r="O2074" s="28"/>
    </x:row>
    <x:row r="2075">
      <x:c r="B2075" s="26"/>
      <x:c r="I2075" s="27"/>
      <x:c r="K2075" s="28"/>
      <x:c r="L2075" s="28"/>
      <x:c r="M2075" s="28"/>
      <x:c r="N2075" s="28"/>
      <x:c r="O2075" s="28"/>
    </x:row>
    <x:row r="2076">
      <x:c r="B2076" s="26"/>
      <x:c r="I2076" s="27"/>
      <x:c r="K2076" s="28"/>
      <x:c r="L2076" s="28"/>
      <x:c r="M2076" s="28"/>
      <x:c r="N2076" s="28"/>
      <x:c r="O2076" s="28"/>
    </x:row>
    <x:row r="2077">
      <x:c r="B2077" s="26"/>
      <x:c r="I2077" s="27"/>
      <x:c r="K2077" s="28"/>
      <x:c r="L2077" s="28"/>
      <x:c r="M2077" s="28"/>
      <x:c r="N2077" s="28"/>
      <x:c r="O2077" s="28"/>
    </x:row>
    <x:row r="2078">
      <x:c r="B2078" s="26"/>
      <x:c r="I2078" s="27"/>
      <x:c r="K2078" s="28"/>
      <x:c r="L2078" s="28"/>
      <x:c r="M2078" s="28"/>
      <x:c r="N2078" s="28"/>
      <x:c r="O2078" s="28"/>
    </x:row>
    <x:row r="2079">
      <x:c r="B2079" s="26"/>
      <x:c r="I2079" s="27"/>
      <x:c r="K2079" s="28"/>
      <x:c r="L2079" s="28"/>
      <x:c r="M2079" s="28"/>
      <x:c r="N2079" s="28"/>
      <x:c r="O2079" s="28"/>
    </x:row>
    <x:row r="2080">
      <x:c r="B2080" s="26"/>
      <x:c r="I2080" s="27"/>
      <x:c r="K2080" s="28"/>
      <x:c r="L2080" s="28"/>
      <x:c r="M2080" s="28"/>
      <x:c r="N2080" s="28"/>
      <x:c r="O2080" s="28"/>
    </x:row>
    <x:row r="2081">
      <x:c r="B2081" s="26"/>
      <x:c r="I2081" s="27"/>
      <x:c r="K2081" s="28"/>
      <x:c r="L2081" s="28"/>
      <x:c r="M2081" s="28"/>
      <x:c r="N2081" s="28"/>
      <x:c r="O2081" s="28"/>
    </x:row>
    <x:row r="2082">
      <x:c r="B2082" s="26"/>
      <x:c r="I2082" s="27"/>
      <x:c r="K2082" s="28"/>
      <x:c r="L2082" s="28"/>
      <x:c r="M2082" s="28"/>
      <x:c r="N2082" s="28"/>
      <x:c r="O2082" s="28"/>
    </x:row>
    <x:row r="2083">
      <x:c r="B2083" s="26"/>
      <x:c r="I2083" s="27"/>
      <x:c r="K2083" s="28"/>
      <x:c r="L2083" s="28"/>
      <x:c r="M2083" s="28"/>
      <x:c r="N2083" s="28"/>
      <x:c r="O2083" s="28"/>
    </x:row>
    <x:row r="2084">
      <x:c r="B2084" s="26"/>
      <x:c r="I2084" s="27"/>
      <x:c r="K2084" s="28"/>
      <x:c r="L2084" s="28"/>
      <x:c r="M2084" s="28"/>
      <x:c r="N2084" s="28"/>
      <x:c r="O2084" s="28"/>
    </x:row>
    <x:row r="2085">
      <x:c r="B2085" s="26"/>
      <x:c r="I2085" s="27"/>
      <x:c r="K2085" s="28"/>
      <x:c r="L2085" s="28"/>
      <x:c r="M2085" s="28"/>
      <x:c r="N2085" s="28"/>
      <x:c r="O2085" s="28"/>
    </x:row>
    <x:row r="2086">
      <x:c r="B2086" s="26"/>
      <x:c r="I2086" s="27"/>
      <x:c r="K2086" s="28"/>
      <x:c r="L2086" s="28"/>
      <x:c r="M2086" s="28"/>
      <x:c r="N2086" s="28"/>
      <x:c r="O2086" s="28"/>
    </x:row>
    <x:row r="2087">
      <x:c r="B2087" s="26"/>
      <x:c r="I2087" s="27"/>
      <x:c r="K2087" s="28"/>
      <x:c r="L2087" s="28"/>
      <x:c r="M2087" s="28"/>
      <x:c r="N2087" s="28"/>
      <x:c r="O2087" s="28"/>
    </x:row>
    <x:row r="2088">
      <x:c r="B2088" s="26"/>
      <x:c r="I2088" s="27"/>
      <x:c r="K2088" s="28"/>
      <x:c r="L2088" s="28"/>
      <x:c r="M2088" s="28"/>
      <x:c r="N2088" s="28"/>
      <x:c r="O2088" s="28"/>
    </x:row>
    <x:row r="2089">
      <x:c r="B2089" s="26"/>
      <x:c r="I2089" s="27"/>
      <x:c r="K2089" s="28"/>
      <x:c r="L2089" s="28"/>
      <x:c r="M2089" s="28"/>
      <x:c r="N2089" s="28"/>
      <x:c r="O2089" s="28"/>
    </x:row>
    <x:row r="2090">
      <x:c r="B2090" s="26"/>
      <x:c r="I2090" s="27"/>
      <x:c r="K2090" s="28"/>
      <x:c r="L2090" s="28"/>
      <x:c r="M2090" s="28"/>
      <x:c r="N2090" s="28"/>
      <x:c r="O2090" s="28"/>
    </x:row>
    <x:row r="2091">
      <x:c r="B2091" s="26"/>
      <x:c r="I2091" s="27"/>
      <x:c r="K2091" s="28"/>
      <x:c r="L2091" s="28"/>
      <x:c r="M2091" s="28"/>
      <x:c r="N2091" s="28"/>
      <x:c r="O2091" s="28"/>
    </x:row>
    <x:row r="2092">
      <x:c r="B2092" s="26"/>
      <x:c r="I2092" s="27"/>
      <x:c r="K2092" s="28"/>
      <x:c r="L2092" s="28"/>
      <x:c r="M2092" s="28"/>
      <x:c r="N2092" s="28"/>
      <x:c r="O2092" s="28"/>
    </x:row>
    <x:row r="2093">
      <x:c r="B2093" s="26"/>
      <x:c r="I2093" s="27"/>
      <x:c r="K2093" s="28"/>
      <x:c r="L2093" s="28"/>
      <x:c r="M2093" s="28"/>
      <x:c r="N2093" s="28"/>
      <x:c r="O2093" s="28"/>
    </x:row>
    <x:row r="2094">
      <x:c r="B2094" s="26"/>
      <x:c r="I2094" s="27"/>
      <x:c r="K2094" s="28"/>
      <x:c r="L2094" s="28"/>
      <x:c r="M2094" s="28"/>
      <x:c r="N2094" s="28"/>
      <x:c r="O2094" s="28"/>
    </x:row>
    <x:row r="2095">
      <x:c r="B2095" s="26"/>
      <x:c r="I2095" s="27"/>
      <x:c r="K2095" s="28"/>
      <x:c r="L2095" s="28"/>
      <x:c r="M2095" s="28"/>
      <x:c r="N2095" s="28"/>
      <x:c r="O2095" s="28"/>
    </x:row>
    <x:row r="2096">
      <x:c r="B2096" s="26"/>
      <x:c r="I2096" s="27"/>
      <x:c r="K2096" s="28"/>
      <x:c r="L2096" s="28"/>
      <x:c r="M2096" s="28"/>
      <x:c r="N2096" s="28"/>
      <x:c r="O2096" s="28"/>
    </x:row>
    <x:row r="2097">
      <x:c r="B2097" s="26"/>
      <x:c r="I2097" s="27"/>
      <x:c r="K2097" s="28"/>
      <x:c r="L2097" s="28"/>
      <x:c r="M2097" s="28"/>
      <x:c r="N2097" s="28"/>
      <x:c r="O2097" s="28"/>
    </x:row>
    <x:row r="2098">
      <x:c r="B2098" s="26"/>
      <x:c r="I2098" s="27"/>
      <x:c r="K2098" s="28"/>
      <x:c r="L2098" s="28"/>
      <x:c r="M2098" s="28"/>
      <x:c r="N2098" s="28"/>
      <x:c r="O2098" s="28"/>
    </x:row>
    <x:row r="2099">
      <x:c r="B2099" s="26"/>
      <x:c r="I2099" s="27"/>
      <x:c r="K2099" s="28"/>
      <x:c r="L2099" s="28"/>
      <x:c r="M2099" s="28"/>
      <x:c r="N2099" s="28"/>
      <x:c r="O2099" s="28"/>
    </x:row>
    <x:row r="2100">
      <x:c r="B2100" s="26"/>
      <x:c r="I2100" s="27"/>
      <x:c r="K2100" s="28"/>
      <x:c r="L2100" s="28"/>
      <x:c r="M2100" s="28"/>
      <x:c r="N2100" s="28"/>
      <x:c r="O2100" s="28"/>
    </x:row>
    <x:row r="2101">
      <x:c r="B2101" s="26"/>
      <x:c r="I2101" s="27"/>
      <x:c r="K2101" s="28"/>
      <x:c r="L2101" s="28"/>
      <x:c r="M2101" s="28"/>
      <x:c r="N2101" s="28"/>
      <x:c r="O2101" s="28"/>
    </x:row>
    <x:row r="2102">
      <x:c r="B2102" s="26"/>
      <x:c r="I2102" s="27"/>
      <x:c r="K2102" s="28"/>
      <x:c r="L2102" s="28"/>
      <x:c r="M2102" s="28"/>
      <x:c r="N2102" s="28"/>
      <x:c r="O2102" s="28"/>
    </x:row>
    <x:row r="2103">
      <x:c r="B2103" s="26"/>
      <x:c r="I2103" s="27"/>
      <x:c r="K2103" s="28"/>
      <x:c r="L2103" s="28"/>
      <x:c r="M2103" s="28"/>
      <x:c r="N2103" s="28"/>
      <x:c r="O2103" s="28"/>
    </x:row>
    <x:row r="2104">
      <x:c r="B2104" s="26"/>
      <x:c r="I2104" s="27"/>
      <x:c r="K2104" s="28"/>
      <x:c r="L2104" s="28"/>
      <x:c r="M2104" s="28"/>
      <x:c r="N2104" s="28"/>
      <x:c r="O2104" s="28"/>
    </x:row>
    <x:row r="2105">
      <x:c r="B2105" s="26"/>
      <x:c r="I2105" s="27"/>
      <x:c r="K2105" s="28"/>
      <x:c r="L2105" s="28"/>
      <x:c r="M2105" s="28"/>
      <x:c r="N2105" s="28"/>
      <x:c r="O2105" s="28"/>
    </x:row>
    <x:row r="2106">
      <x:c r="B2106" s="26"/>
      <x:c r="I2106" s="27"/>
      <x:c r="K2106" s="28"/>
      <x:c r="L2106" s="28"/>
      <x:c r="M2106" s="28"/>
      <x:c r="N2106" s="28"/>
      <x:c r="O2106" s="28"/>
    </x:row>
    <x:row r="2107">
      <x:c r="B2107" s="26"/>
      <x:c r="I2107" s="27"/>
      <x:c r="K2107" s="28"/>
      <x:c r="L2107" s="28"/>
      <x:c r="M2107" s="28"/>
      <x:c r="N2107" s="28"/>
      <x:c r="O2107" s="28"/>
    </x:row>
    <x:row r="2108">
      <x:c r="B2108" s="26"/>
      <x:c r="I2108" s="27"/>
      <x:c r="K2108" s="28"/>
      <x:c r="L2108" s="28"/>
      <x:c r="M2108" s="28"/>
      <x:c r="N2108" s="28"/>
      <x:c r="O2108" s="28"/>
    </x:row>
    <x:row r="2109">
      <x:c r="B2109" s="26"/>
      <x:c r="I2109" s="27"/>
      <x:c r="K2109" s="28"/>
      <x:c r="L2109" s="28"/>
      <x:c r="M2109" s="28"/>
      <x:c r="N2109" s="28"/>
      <x:c r="O2109" s="28"/>
    </x:row>
    <x:row r="2110">
      <x:c r="B2110" s="26"/>
      <x:c r="I2110" s="27"/>
      <x:c r="K2110" s="28"/>
      <x:c r="L2110" s="28"/>
      <x:c r="M2110" s="28"/>
      <x:c r="N2110" s="28"/>
      <x:c r="O2110" s="28"/>
    </x:row>
    <x:row r="2111">
      <x:c r="B2111" s="26"/>
      <x:c r="I2111" s="27"/>
      <x:c r="K2111" s="28"/>
      <x:c r="L2111" s="28"/>
      <x:c r="M2111" s="28"/>
      <x:c r="N2111" s="28"/>
      <x:c r="O2111" s="28"/>
    </x:row>
    <x:row r="2112">
      <x:c r="B2112" s="26"/>
      <x:c r="I2112" s="27"/>
      <x:c r="K2112" s="28"/>
      <x:c r="L2112" s="28"/>
      <x:c r="M2112" s="28"/>
      <x:c r="N2112" s="28"/>
      <x:c r="O2112" s="28"/>
    </x:row>
    <x:row r="2113">
      <x:c r="B2113" s="26"/>
      <x:c r="I2113" s="27"/>
      <x:c r="K2113" s="28"/>
      <x:c r="L2113" s="28"/>
      <x:c r="M2113" s="28"/>
      <x:c r="N2113" s="28"/>
      <x:c r="O2113" s="28"/>
    </x:row>
    <x:row r="2114">
      <x:c r="B2114" s="26"/>
      <x:c r="I2114" s="27"/>
      <x:c r="K2114" s="28"/>
      <x:c r="L2114" s="28"/>
      <x:c r="M2114" s="28"/>
      <x:c r="N2114" s="28"/>
      <x:c r="O2114" s="28"/>
    </x:row>
    <x:row r="2115">
      <x:c r="B2115" s="26"/>
      <x:c r="I2115" s="27"/>
      <x:c r="K2115" s="28"/>
      <x:c r="L2115" s="28"/>
      <x:c r="M2115" s="28"/>
      <x:c r="N2115" s="28"/>
      <x:c r="O2115" s="28"/>
    </x:row>
    <x:row r="2116">
      <x:c r="B2116" s="26"/>
      <x:c r="I2116" s="27"/>
      <x:c r="K2116" s="28"/>
      <x:c r="L2116" s="28"/>
      <x:c r="M2116" s="28"/>
      <x:c r="N2116" s="28"/>
      <x:c r="O2116" s="28"/>
    </x:row>
    <x:row r="2117">
      <x:c r="B2117" s="26"/>
      <x:c r="I2117" s="27"/>
      <x:c r="K2117" s="28"/>
      <x:c r="L2117" s="28"/>
      <x:c r="M2117" s="28"/>
      <x:c r="N2117" s="28"/>
      <x:c r="O2117" s="28"/>
    </x:row>
    <x:row r="2118">
      <x:c r="B2118" s="26"/>
      <x:c r="I2118" s="27"/>
      <x:c r="K2118" s="28"/>
      <x:c r="L2118" s="28"/>
      <x:c r="M2118" s="28"/>
      <x:c r="N2118" s="28"/>
      <x:c r="O2118" s="28"/>
    </x:row>
    <x:row r="2119">
      <x:c r="B2119" s="26"/>
      <x:c r="I2119" s="27"/>
      <x:c r="K2119" s="28"/>
      <x:c r="L2119" s="28"/>
      <x:c r="M2119" s="28"/>
      <x:c r="N2119" s="28"/>
      <x:c r="O2119" s="28"/>
    </x:row>
    <x:row r="2120">
      <x:c r="B2120" s="26"/>
      <x:c r="I2120" s="27"/>
      <x:c r="K2120" s="28"/>
      <x:c r="L2120" s="28"/>
      <x:c r="M2120" s="28"/>
      <x:c r="N2120" s="28"/>
      <x:c r="O2120" s="28"/>
    </x:row>
    <x:row r="2121">
      <x:c r="B2121" s="26"/>
      <x:c r="I2121" s="27"/>
      <x:c r="K2121" s="28"/>
      <x:c r="L2121" s="28"/>
      <x:c r="M2121" s="28"/>
      <x:c r="N2121" s="28"/>
      <x:c r="O2121" s="28"/>
    </x:row>
    <x:row r="2122">
      <x:c r="B2122" s="26"/>
      <x:c r="I2122" s="27"/>
      <x:c r="K2122" s="28"/>
      <x:c r="L2122" s="28"/>
      <x:c r="M2122" s="28"/>
      <x:c r="N2122" s="28"/>
      <x:c r="O2122" s="28"/>
    </x:row>
    <x:row r="2123">
      <x:c r="B2123" s="26"/>
      <x:c r="I2123" s="27"/>
      <x:c r="K2123" s="28"/>
      <x:c r="L2123" s="28"/>
      <x:c r="M2123" s="28"/>
      <x:c r="N2123" s="28"/>
      <x:c r="O2123" s="28"/>
    </x:row>
    <x:row r="2124">
      <x:c r="B2124" s="26"/>
      <x:c r="I2124" s="27"/>
      <x:c r="K2124" s="28"/>
      <x:c r="L2124" s="28"/>
      <x:c r="M2124" s="28"/>
      <x:c r="N2124" s="28"/>
      <x:c r="O2124" s="28"/>
    </x:row>
    <x:row r="2125">
      <x:c r="B2125" s="26"/>
      <x:c r="I2125" s="27"/>
      <x:c r="K2125" s="28"/>
      <x:c r="L2125" s="28"/>
      <x:c r="M2125" s="28"/>
      <x:c r="N2125" s="28"/>
      <x:c r="O2125" s="28"/>
    </x:row>
    <x:row r="2126">
      <x:c r="B2126" s="26"/>
      <x:c r="I2126" s="27"/>
      <x:c r="K2126" s="28"/>
      <x:c r="L2126" s="28"/>
      <x:c r="M2126" s="28"/>
      <x:c r="N2126" s="28"/>
      <x:c r="O2126" s="28"/>
    </x:row>
    <x:row r="2127">
      <x:c r="B2127" s="26"/>
      <x:c r="I2127" s="27"/>
      <x:c r="K2127" s="28"/>
      <x:c r="L2127" s="28"/>
      <x:c r="M2127" s="28"/>
      <x:c r="N2127" s="28"/>
      <x:c r="O2127" s="28"/>
    </x:row>
    <x:row r="2128">
      <x:c r="B2128" s="26"/>
      <x:c r="I2128" s="27"/>
      <x:c r="K2128" s="28"/>
      <x:c r="L2128" s="28"/>
      <x:c r="M2128" s="28"/>
      <x:c r="N2128" s="28"/>
      <x:c r="O2128" s="28"/>
    </x:row>
    <x:row r="2129">
      <x:c r="B2129" s="26"/>
      <x:c r="I2129" s="27"/>
      <x:c r="K2129" s="28"/>
      <x:c r="L2129" s="28"/>
      <x:c r="M2129" s="28"/>
      <x:c r="N2129" s="28"/>
      <x:c r="O2129" s="28"/>
    </x:row>
    <x:row r="2130">
      <x:c r="B2130" s="26"/>
      <x:c r="I2130" s="27"/>
      <x:c r="K2130" s="28"/>
      <x:c r="L2130" s="28"/>
      <x:c r="M2130" s="28"/>
      <x:c r="N2130" s="28"/>
      <x:c r="O2130" s="28"/>
    </x:row>
    <x:row r="2131">
      <x:c r="B2131" s="26"/>
      <x:c r="I2131" s="27"/>
      <x:c r="K2131" s="28"/>
      <x:c r="L2131" s="28"/>
      <x:c r="M2131" s="28"/>
      <x:c r="N2131" s="28"/>
      <x:c r="O2131" s="28"/>
    </x:row>
    <x:row r="2132">
      <x:c r="B2132" s="26"/>
      <x:c r="I2132" s="27"/>
      <x:c r="K2132" s="28"/>
      <x:c r="L2132" s="28"/>
      <x:c r="M2132" s="28"/>
      <x:c r="N2132" s="28"/>
      <x:c r="O2132" s="28"/>
    </x:row>
    <x:row r="2133">
      <x:c r="B2133" s="26"/>
      <x:c r="I2133" s="27"/>
      <x:c r="K2133" s="28"/>
      <x:c r="L2133" s="28"/>
      <x:c r="M2133" s="28"/>
      <x:c r="N2133" s="28"/>
      <x:c r="O2133" s="28"/>
    </x:row>
    <x:row r="2134">
      <x:c r="B2134" s="26"/>
      <x:c r="I2134" s="27"/>
      <x:c r="K2134" s="28"/>
      <x:c r="L2134" s="28"/>
      <x:c r="M2134" s="28"/>
      <x:c r="N2134" s="28"/>
      <x:c r="O2134" s="28"/>
    </x:row>
    <x:row r="2135">
      <x:c r="B2135" s="26"/>
      <x:c r="I2135" s="27"/>
      <x:c r="K2135" s="28"/>
      <x:c r="L2135" s="28"/>
      <x:c r="M2135" s="28"/>
      <x:c r="N2135" s="28"/>
      <x:c r="O2135" s="28"/>
    </x:row>
    <x:row r="2136">
      <x:c r="B2136" s="26"/>
      <x:c r="I2136" s="27"/>
      <x:c r="K2136" s="28"/>
      <x:c r="L2136" s="28"/>
      <x:c r="M2136" s="28"/>
      <x:c r="N2136" s="28"/>
      <x:c r="O2136" s="28"/>
    </x:row>
    <x:row r="2137">
      <x:c r="B2137" s="26"/>
      <x:c r="I2137" s="27"/>
      <x:c r="K2137" s="28"/>
      <x:c r="L2137" s="28"/>
      <x:c r="M2137" s="28"/>
      <x:c r="N2137" s="28"/>
      <x:c r="O2137" s="28"/>
    </x:row>
    <x:row r="2138">
      <x:c r="B2138" s="26"/>
      <x:c r="I2138" s="27"/>
      <x:c r="K2138" s="28"/>
      <x:c r="L2138" s="28"/>
      <x:c r="M2138" s="28"/>
      <x:c r="N2138" s="28"/>
      <x:c r="O2138" s="28"/>
    </x:row>
    <x:row r="2139">
      <x:c r="B2139" s="26"/>
      <x:c r="I2139" s="27"/>
      <x:c r="K2139" s="28"/>
      <x:c r="L2139" s="28"/>
      <x:c r="M2139" s="28"/>
      <x:c r="N2139" s="28"/>
      <x:c r="O2139" s="28"/>
    </x:row>
    <x:row r="2140">
      <x:c r="B2140" s="26"/>
      <x:c r="I2140" s="27"/>
      <x:c r="K2140" s="28"/>
      <x:c r="L2140" s="28"/>
      <x:c r="M2140" s="28"/>
      <x:c r="N2140" s="28"/>
      <x:c r="O2140" s="28"/>
    </x:row>
    <x:row r="2141">
      <x:c r="B2141" s="26"/>
      <x:c r="I2141" s="27"/>
      <x:c r="K2141" s="28"/>
      <x:c r="L2141" s="28"/>
      <x:c r="M2141" s="28"/>
      <x:c r="N2141" s="28"/>
      <x:c r="O2141" s="28"/>
    </x:row>
    <x:row r="2142">
      <x:c r="B2142" s="26"/>
      <x:c r="I2142" s="27"/>
      <x:c r="K2142" s="28"/>
      <x:c r="L2142" s="28"/>
      <x:c r="M2142" s="28"/>
      <x:c r="N2142" s="28"/>
      <x:c r="O2142" s="28"/>
    </x:row>
    <x:row r="2143">
      <x:c r="B2143" s="26"/>
      <x:c r="I2143" s="27"/>
      <x:c r="K2143" s="28"/>
      <x:c r="L2143" s="28"/>
      <x:c r="M2143" s="28"/>
      <x:c r="N2143" s="28"/>
      <x:c r="O2143" s="28"/>
    </x:row>
    <x:row r="2144">
      <x:c r="B2144" s="26"/>
      <x:c r="I2144" s="27"/>
      <x:c r="K2144" s="28"/>
      <x:c r="L2144" s="28"/>
      <x:c r="M2144" s="28"/>
      <x:c r="N2144" s="28"/>
      <x:c r="O2144" s="28"/>
    </x:row>
    <x:row r="2145">
      <x:c r="B2145" s="26"/>
      <x:c r="I2145" s="27"/>
      <x:c r="K2145" s="28"/>
      <x:c r="L2145" s="28"/>
      <x:c r="M2145" s="28"/>
      <x:c r="N2145" s="28"/>
      <x:c r="O2145" s="28"/>
    </x:row>
    <x:row r="2146">
      <x:c r="B2146" s="26"/>
      <x:c r="I2146" s="27"/>
      <x:c r="K2146" s="28"/>
      <x:c r="L2146" s="28"/>
      <x:c r="M2146" s="28"/>
      <x:c r="N2146" s="28"/>
      <x:c r="O2146" s="28"/>
    </x:row>
    <x:row r="2147">
      <x:c r="B2147" s="26"/>
      <x:c r="I2147" s="27"/>
      <x:c r="K2147" s="28"/>
      <x:c r="L2147" s="28"/>
      <x:c r="M2147" s="28"/>
      <x:c r="N2147" s="28"/>
      <x:c r="O2147" s="28"/>
    </x:row>
    <x:row r="2148">
      <x:c r="B2148" s="26"/>
      <x:c r="I2148" s="27"/>
      <x:c r="K2148" s="28"/>
      <x:c r="L2148" s="28"/>
      <x:c r="M2148" s="28"/>
      <x:c r="N2148" s="28"/>
      <x:c r="O2148" s="28"/>
    </x:row>
    <x:row r="2149">
      <x:c r="B2149" s="26"/>
      <x:c r="I2149" s="27"/>
      <x:c r="K2149" s="28"/>
      <x:c r="L2149" s="28"/>
      <x:c r="M2149" s="28"/>
      <x:c r="N2149" s="28"/>
      <x:c r="O2149" s="28"/>
    </x:row>
    <x:row r="2150">
      <x:c r="B2150" s="26"/>
      <x:c r="I2150" s="27"/>
      <x:c r="K2150" s="28"/>
      <x:c r="L2150" s="28"/>
      <x:c r="M2150" s="28"/>
      <x:c r="N2150" s="28"/>
      <x:c r="O2150" s="28"/>
    </x:row>
    <x:row r="2151">
      <x:c r="B2151" s="26"/>
      <x:c r="I2151" s="27"/>
      <x:c r="K2151" s="28"/>
      <x:c r="L2151" s="28"/>
      <x:c r="M2151" s="28"/>
      <x:c r="N2151" s="28"/>
      <x:c r="O2151" s="28"/>
    </x:row>
    <x:row r="2152">
      <x:c r="B2152" s="26"/>
      <x:c r="I2152" s="27"/>
      <x:c r="K2152" s="28"/>
      <x:c r="L2152" s="28"/>
      <x:c r="M2152" s="28"/>
      <x:c r="N2152" s="28"/>
      <x:c r="O2152" s="28"/>
    </x:row>
    <x:row r="2153">
      <x:c r="B2153" s="26"/>
      <x:c r="I2153" s="27"/>
      <x:c r="K2153" s="28"/>
      <x:c r="L2153" s="28"/>
      <x:c r="M2153" s="28"/>
      <x:c r="N2153" s="28"/>
      <x:c r="O2153" s="28"/>
    </x:row>
    <x:row r="2154">
      <x:c r="B2154" s="26"/>
      <x:c r="I2154" s="27"/>
      <x:c r="K2154" s="28"/>
      <x:c r="L2154" s="28"/>
      <x:c r="M2154" s="28"/>
      <x:c r="N2154" s="28"/>
      <x:c r="O2154" s="28"/>
    </x:row>
    <x:row r="2155">
      <x:c r="B2155" s="26"/>
      <x:c r="I2155" s="27"/>
      <x:c r="K2155" s="28"/>
      <x:c r="L2155" s="28"/>
      <x:c r="M2155" s="28"/>
      <x:c r="N2155" s="28"/>
      <x:c r="O2155" s="28"/>
    </x:row>
    <x:row r="2156">
      <x:c r="B2156" s="26"/>
      <x:c r="I2156" s="27"/>
      <x:c r="K2156" s="28"/>
      <x:c r="L2156" s="28"/>
      <x:c r="M2156" s="28"/>
      <x:c r="N2156" s="28"/>
      <x:c r="O2156" s="28"/>
    </x:row>
    <x:row r="2157">
      <x:c r="B2157" s="26"/>
      <x:c r="I2157" s="27"/>
      <x:c r="K2157" s="28"/>
      <x:c r="L2157" s="28"/>
      <x:c r="M2157" s="28"/>
      <x:c r="N2157" s="28"/>
      <x:c r="O2157" s="28"/>
    </x:row>
    <x:row r="2158">
      <x:c r="B2158" s="26"/>
      <x:c r="I2158" s="27"/>
      <x:c r="K2158" s="28"/>
      <x:c r="L2158" s="28"/>
      <x:c r="M2158" s="28"/>
      <x:c r="N2158" s="28"/>
      <x:c r="O2158" s="28"/>
    </x:row>
    <x:row r="2159">
      <x:c r="B2159" s="26"/>
      <x:c r="I2159" s="27"/>
      <x:c r="K2159" s="28"/>
      <x:c r="L2159" s="28"/>
      <x:c r="M2159" s="28"/>
      <x:c r="N2159" s="28"/>
      <x:c r="O2159" s="28"/>
    </x:row>
    <x:row r="2160">
      <x:c r="B2160" s="26"/>
      <x:c r="I2160" s="27"/>
      <x:c r="K2160" s="28"/>
      <x:c r="L2160" s="28"/>
      <x:c r="M2160" s="28"/>
      <x:c r="N2160" s="28"/>
      <x:c r="O2160" s="28"/>
    </x:row>
    <x:row r="2161">
      <x:c r="B2161" s="26"/>
      <x:c r="I2161" s="27"/>
      <x:c r="K2161" s="28"/>
      <x:c r="L2161" s="28"/>
      <x:c r="M2161" s="28"/>
      <x:c r="N2161" s="28"/>
      <x:c r="O2161" s="28"/>
    </x:row>
    <x:row r="2162">
      <x:c r="B2162" s="26"/>
      <x:c r="I2162" s="27"/>
      <x:c r="K2162" s="28"/>
      <x:c r="L2162" s="28"/>
      <x:c r="M2162" s="28"/>
      <x:c r="N2162" s="28"/>
      <x:c r="O2162" s="28"/>
    </x:row>
    <x:row r="2163">
      <x:c r="B2163" s="26"/>
      <x:c r="I2163" s="27"/>
      <x:c r="K2163" s="28"/>
      <x:c r="L2163" s="28"/>
      <x:c r="M2163" s="28"/>
      <x:c r="N2163" s="28"/>
      <x:c r="O2163" s="28"/>
    </x:row>
    <x:row r="2164">
      <x:c r="B2164" s="26"/>
      <x:c r="I2164" s="27"/>
      <x:c r="K2164" s="28"/>
      <x:c r="L2164" s="28"/>
      <x:c r="M2164" s="28"/>
      <x:c r="N2164" s="28"/>
      <x:c r="O2164" s="28"/>
    </x:row>
    <x:row r="2165">
      <x:c r="B2165" s="26"/>
      <x:c r="I2165" s="27"/>
      <x:c r="K2165" s="28"/>
      <x:c r="L2165" s="28"/>
      <x:c r="M2165" s="28"/>
      <x:c r="N2165" s="28"/>
      <x:c r="O2165" s="28"/>
    </x:row>
    <x:row r="2166">
      <x:c r="B2166" s="26"/>
      <x:c r="I2166" s="27"/>
      <x:c r="K2166" s="28"/>
      <x:c r="L2166" s="28"/>
      <x:c r="M2166" s="28"/>
      <x:c r="N2166" s="28"/>
      <x:c r="O2166" s="28"/>
    </x:row>
    <x:row r="2167">
      <x:c r="B2167" s="26"/>
      <x:c r="I2167" s="27"/>
      <x:c r="K2167" s="28"/>
      <x:c r="L2167" s="28"/>
      <x:c r="M2167" s="28"/>
      <x:c r="N2167" s="28"/>
      <x:c r="O2167" s="28"/>
    </x:row>
    <x:row r="2168">
      <x:c r="B2168" s="26"/>
      <x:c r="I2168" s="27"/>
      <x:c r="K2168" s="28"/>
      <x:c r="L2168" s="28"/>
      <x:c r="M2168" s="28"/>
      <x:c r="N2168" s="28"/>
      <x:c r="O2168" s="28"/>
    </x:row>
    <x:row r="2169">
      <x:c r="B2169" s="26"/>
      <x:c r="I2169" s="27"/>
      <x:c r="K2169" s="28"/>
      <x:c r="L2169" s="28"/>
      <x:c r="M2169" s="28"/>
      <x:c r="N2169" s="28"/>
      <x:c r="O2169" s="28"/>
    </x:row>
    <x:row r="2170">
      <x:c r="B2170" s="26"/>
      <x:c r="I2170" s="27"/>
      <x:c r="K2170" s="28"/>
      <x:c r="L2170" s="28"/>
      <x:c r="M2170" s="28"/>
      <x:c r="N2170" s="28"/>
      <x:c r="O2170" s="28"/>
    </x:row>
    <x:row r="2171">
      <x:c r="B2171" s="26"/>
      <x:c r="I2171" s="27"/>
      <x:c r="K2171" s="28"/>
      <x:c r="L2171" s="28"/>
      <x:c r="M2171" s="28"/>
      <x:c r="N2171" s="28"/>
      <x:c r="O2171" s="28"/>
    </x:row>
    <x:row r="2172">
      <x:c r="B2172" s="26"/>
      <x:c r="I2172" s="27"/>
      <x:c r="K2172" s="28"/>
      <x:c r="L2172" s="28"/>
      <x:c r="M2172" s="28"/>
      <x:c r="N2172" s="28"/>
      <x:c r="O2172" s="28"/>
    </x:row>
    <x:row r="2173">
      <x:c r="B2173" s="26"/>
      <x:c r="I2173" s="27"/>
      <x:c r="K2173" s="28"/>
      <x:c r="L2173" s="28"/>
      <x:c r="M2173" s="28"/>
      <x:c r="N2173" s="28"/>
      <x:c r="O2173" s="28"/>
    </x:row>
    <x:row r="2174">
      <x:c r="B2174" s="26"/>
      <x:c r="I2174" s="27"/>
      <x:c r="K2174" s="28"/>
      <x:c r="L2174" s="28"/>
      <x:c r="M2174" s="28"/>
      <x:c r="N2174" s="28"/>
      <x:c r="O2174" s="28"/>
    </x:row>
    <x:row r="2175">
      <x:c r="B2175" s="26"/>
      <x:c r="I2175" s="27"/>
      <x:c r="K2175" s="28"/>
      <x:c r="L2175" s="28"/>
      <x:c r="M2175" s="28"/>
      <x:c r="N2175" s="28"/>
      <x:c r="O2175" s="28"/>
    </x:row>
    <x:row r="2176">
      <x:c r="B2176" s="26"/>
      <x:c r="I2176" s="27"/>
      <x:c r="K2176" s="28"/>
      <x:c r="L2176" s="28"/>
      <x:c r="M2176" s="28"/>
      <x:c r="N2176" s="28"/>
      <x:c r="O2176" s="28"/>
    </x:row>
    <x:row r="2177">
      <x:c r="B2177" s="26"/>
      <x:c r="I2177" s="27"/>
      <x:c r="K2177" s="28"/>
      <x:c r="L2177" s="28"/>
      <x:c r="M2177" s="28"/>
      <x:c r="N2177" s="28"/>
      <x:c r="O2177" s="28"/>
    </x:row>
    <x:row r="2178">
      <x:c r="B2178" s="26"/>
      <x:c r="I2178" s="27"/>
      <x:c r="K2178" s="28"/>
      <x:c r="L2178" s="28"/>
      <x:c r="M2178" s="28"/>
      <x:c r="N2178" s="28"/>
      <x:c r="O2178" s="28"/>
    </x:row>
    <x:row r="2179">
      <x:c r="B2179" s="26"/>
      <x:c r="I2179" s="27"/>
      <x:c r="K2179" s="28"/>
      <x:c r="L2179" s="28"/>
      <x:c r="M2179" s="28"/>
      <x:c r="N2179" s="28"/>
      <x:c r="O2179" s="28"/>
    </x:row>
    <x:row r="2180">
      <x:c r="B2180" s="26"/>
      <x:c r="I2180" s="27"/>
      <x:c r="K2180" s="28"/>
      <x:c r="L2180" s="28"/>
      <x:c r="M2180" s="28"/>
      <x:c r="N2180" s="28"/>
      <x:c r="O2180" s="28"/>
    </x:row>
    <x:row r="2181">
      <x:c r="B2181" s="26"/>
      <x:c r="I2181" s="27"/>
      <x:c r="K2181" s="28"/>
      <x:c r="L2181" s="28"/>
      <x:c r="M2181" s="28"/>
      <x:c r="N2181" s="28"/>
      <x:c r="O2181" s="28"/>
    </x:row>
    <x:row r="2182">
      <x:c r="B2182" s="26"/>
      <x:c r="I2182" s="27"/>
      <x:c r="K2182" s="28"/>
      <x:c r="L2182" s="28"/>
      <x:c r="M2182" s="28"/>
      <x:c r="N2182" s="28"/>
      <x:c r="O2182" s="28"/>
    </x:row>
    <x:row r="2183">
      <x:c r="B2183" s="26"/>
      <x:c r="I2183" s="27"/>
      <x:c r="K2183" s="28"/>
      <x:c r="L2183" s="28"/>
      <x:c r="M2183" s="28"/>
      <x:c r="N2183" s="28"/>
      <x:c r="O2183" s="28"/>
    </x:row>
    <x:row r="2184">
      <x:c r="B2184" s="26"/>
      <x:c r="I2184" s="27"/>
      <x:c r="K2184" s="28"/>
      <x:c r="L2184" s="28"/>
      <x:c r="M2184" s="28"/>
      <x:c r="N2184" s="28"/>
      <x:c r="O2184" s="28"/>
    </x:row>
    <x:row r="2185">
      <x:c r="B2185" s="26"/>
      <x:c r="I2185" s="27"/>
      <x:c r="K2185" s="28"/>
      <x:c r="L2185" s="28"/>
      <x:c r="M2185" s="28"/>
      <x:c r="N2185" s="28"/>
      <x:c r="O2185" s="28"/>
    </x:row>
    <x:row r="2186">
      <x:c r="B2186" s="26"/>
      <x:c r="I2186" s="27"/>
      <x:c r="K2186" s="28"/>
      <x:c r="L2186" s="28"/>
      <x:c r="M2186" s="28"/>
      <x:c r="N2186" s="28"/>
      <x:c r="O2186" s="28"/>
    </x:row>
    <x:row r="2187">
      <x:c r="B2187" s="26"/>
      <x:c r="I2187" s="27"/>
      <x:c r="K2187" s="28"/>
      <x:c r="L2187" s="28"/>
      <x:c r="M2187" s="28"/>
      <x:c r="N2187" s="28"/>
      <x:c r="O2187" s="28"/>
    </x:row>
    <x:row r="2188">
      <x:c r="B2188" s="26"/>
      <x:c r="I2188" s="27"/>
      <x:c r="K2188" s="28"/>
      <x:c r="L2188" s="28"/>
      <x:c r="M2188" s="28"/>
      <x:c r="N2188" s="28"/>
      <x:c r="O2188" s="28"/>
    </x:row>
    <x:row r="2189">
      <x:c r="B2189" s="26"/>
      <x:c r="I2189" s="27"/>
      <x:c r="K2189" s="28"/>
      <x:c r="L2189" s="28"/>
      <x:c r="M2189" s="28"/>
      <x:c r="N2189" s="28"/>
      <x:c r="O2189" s="28"/>
    </x:row>
    <x:row r="2190">
      <x:c r="B2190" s="26"/>
      <x:c r="I2190" s="27"/>
      <x:c r="K2190" s="28"/>
      <x:c r="L2190" s="28"/>
      <x:c r="M2190" s="28"/>
      <x:c r="N2190" s="28"/>
      <x:c r="O2190" s="28"/>
    </x:row>
    <x:row r="2191">
      <x:c r="B2191" s="26"/>
      <x:c r="I2191" s="27"/>
      <x:c r="K2191" s="28"/>
      <x:c r="L2191" s="28"/>
      <x:c r="M2191" s="28"/>
      <x:c r="N2191" s="28"/>
      <x:c r="O2191" s="28"/>
    </x:row>
    <x:row r="2192">
      <x:c r="B2192" s="26"/>
      <x:c r="I2192" s="27"/>
      <x:c r="K2192" s="28"/>
      <x:c r="L2192" s="28"/>
      <x:c r="M2192" s="28"/>
      <x:c r="N2192" s="28"/>
      <x:c r="O2192" s="28"/>
    </x:row>
    <x:row r="2193">
      <x:c r="B2193" s="26"/>
      <x:c r="I2193" s="27"/>
      <x:c r="K2193" s="28"/>
      <x:c r="L2193" s="28"/>
      <x:c r="M2193" s="28"/>
      <x:c r="N2193" s="28"/>
      <x:c r="O2193" s="28"/>
    </x:row>
    <x:row r="2194">
      <x:c r="B2194" s="26"/>
      <x:c r="I2194" s="27"/>
      <x:c r="K2194" s="28"/>
      <x:c r="L2194" s="28"/>
      <x:c r="M2194" s="28"/>
      <x:c r="N2194" s="28"/>
      <x:c r="O2194" s="28"/>
    </x:row>
    <x:row r="2195">
      <x:c r="B2195" s="26"/>
      <x:c r="I2195" s="27"/>
      <x:c r="K2195" s="28"/>
      <x:c r="L2195" s="28"/>
      <x:c r="M2195" s="28"/>
      <x:c r="N2195" s="28"/>
      <x:c r="O2195" s="28"/>
    </x:row>
    <x:row r="2196">
      <x:c r="B2196" s="26"/>
      <x:c r="I2196" s="27"/>
      <x:c r="K2196" s="28"/>
      <x:c r="L2196" s="28"/>
      <x:c r="M2196" s="28"/>
      <x:c r="N2196" s="28"/>
      <x:c r="O2196" s="28"/>
    </x:row>
    <x:row r="2197">
      <x:c r="B2197" s="26"/>
      <x:c r="I2197" s="27"/>
      <x:c r="K2197" s="28"/>
      <x:c r="L2197" s="28"/>
      <x:c r="M2197" s="28"/>
      <x:c r="N2197" s="28"/>
      <x:c r="O2197" s="28"/>
    </x:row>
    <x:row r="2198">
      <x:c r="B2198" s="26"/>
      <x:c r="I2198" s="27"/>
      <x:c r="K2198" s="28"/>
      <x:c r="L2198" s="28"/>
      <x:c r="M2198" s="28"/>
      <x:c r="N2198" s="28"/>
      <x:c r="O2198" s="28"/>
    </x:row>
    <x:row r="2199">
      <x:c r="B2199" s="26"/>
      <x:c r="I2199" s="27"/>
      <x:c r="K2199" s="28"/>
      <x:c r="L2199" s="28"/>
      <x:c r="M2199" s="28"/>
      <x:c r="N2199" s="28"/>
      <x:c r="O2199" s="28"/>
    </x:row>
    <x:row r="2200">
      <x:c r="B2200" s="26"/>
      <x:c r="I2200" s="27"/>
      <x:c r="K2200" s="28"/>
      <x:c r="L2200" s="28"/>
      <x:c r="M2200" s="28"/>
      <x:c r="N2200" s="28"/>
      <x:c r="O2200" s="28"/>
    </x:row>
    <x:row r="2201">
      <x:c r="B2201" s="26"/>
      <x:c r="I2201" s="27"/>
      <x:c r="K2201" s="28"/>
      <x:c r="L2201" s="28"/>
      <x:c r="M2201" s="28"/>
      <x:c r="N2201" s="28"/>
      <x:c r="O2201" s="28"/>
    </x:row>
    <x:row r="2202">
      <x:c r="B2202" s="26"/>
      <x:c r="I2202" s="27"/>
      <x:c r="K2202" s="28"/>
      <x:c r="L2202" s="28"/>
      <x:c r="M2202" s="28"/>
      <x:c r="N2202" s="28"/>
      <x:c r="O2202" s="28"/>
    </x:row>
    <x:row r="2203">
      <x:c r="B2203" s="26"/>
      <x:c r="I2203" s="27"/>
      <x:c r="K2203" s="28"/>
      <x:c r="L2203" s="28"/>
      <x:c r="M2203" s="28"/>
      <x:c r="N2203" s="28"/>
      <x:c r="O2203" s="28"/>
    </x:row>
    <x:row r="2204">
      <x:c r="B2204" s="26"/>
      <x:c r="I2204" s="27"/>
      <x:c r="K2204" s="28"/>
      <x:c r="L2204" s="28"/>
      <x:c r="M2204" s="28"/>
      <x:c r="N2204" s="28"/>
      <x:c r="O2204" s="28"/>
    </x:row>
    <x:row r="2205">
      <x:c r="B2205" s="26"/>
      <x:c r="I2205" s="27"/>
      <x:c r="K2205" s="28"/>
      <x:c r="L2205" s="28"/>
      <x:c r="M2205" s="28"/>
      <x:c r="N2205" s="28"/>
      <x:c r="O2205" s="28"/>
    </x:row>
    <x:row r="2206">
      <x:c r="B2206" s="26"/>
      <x:c r="I2206" s="27"/>
      <x:c r="K2206" s="28"/>
      <x:c r="L2206" s="28"/>
      <x:c r="M2206" s="28"/>
      <x:c r="N2206" s="28"/>
      <x:c r="O2206" s="28"/>
    </x:row>
    <x:row r="2207">
      <x:c r="B2207" s="26"/>
      <x:c r="I2207" s="27"/>
      <x:c r="K2207" s="28"/>
      <x:c r="L2207" s="28"/>
      <x:c r="M2207" s="28"/>
      <x:c r="N2207" s="28"/>
      <x:c r="O2207" s="28"/>
    </x:row>
    <x:row r="2208">
      <x:c r="B2208" s="26"/>
      <x:c r="I2208" s="27"/>
      <x:c r="K2208" s="28"/>
      <x:c r="L2208" s="28"/>
      <x:c r="M2208" s="28"/>
      <x:c r="N2208" s="28"/>
      <x:c r="O2208" s="28"/>
    </x:row>
    <x:row r="2209">
      <x:c r="B2209" s="26"/>
      <x:c r="I2209" s="27"/>
      <x:c r="K2209" s="28"/>
      <x:c r="L2209" s="28"/>
      <x:c r="M2209" s="28"/>
      <x:c r="N2209" s="28"/>
      <x:c r="O2209" s="28"/>
    </x:row>
    <x:row r="2210">
      <x:c r="B2210" s="26"/>
      <x:c r="I2210" s="27"/>
      <x:c r="K2210" s="28"/>
      <x:c r="L2210" s="28"/>
      <x:c r="M2210" s="28"/>
      <x:c r="N2210" s="28"/>
      <x:c r="O2210" s="28"/>
    </x:row>
    <x:row r="2211">
      <x:c r="B2211" s="26"/>
      <x:c r="I2211" s="27"/>
      <x:c r="K2211" s="28"/>
      <x:c r="L2211" s="28"/>
      <x:c r="M2211" s="28"/>
      <x:c r="N2211" s="28"/>
      <x:c r="O2211" s="28"/>
    </x:row>
    <x:row r="2212">
      <x:c r="B2212" s="26"/>
      <x:c r="I2212" s="27"/>
      <x:c r="K2212" s="28"/>
      <x:c r="L2212" s="28"/>
      <x:c r="M2212" s="28"/>
      <x:c r="N2212" s="28"/>
      <x:c r="O2212" s="28"/>
    </x:row>
    <x:row r="2213">
      <x:c r="B2213" s="26"/>
      <x:c r="I2213" s="27"/>
      <x:c r="K2213" s="28"/>
      <x:c r="L2213" s="28"/>
      <x:c r="M2213" s="28"/>
      <x:c r="N2213" s="28"/>
      <x:c r="O2213" s="28"/>
    </x:row>
    <x:row r="2214">
      <x:c r="B2214" s="26"/>
      <x:c r="I2214" s="27"/>
      <x:c r="K2214" s="28"/>
      <x:c r="L2214" s="28"/>
      <x:c r="M2214" s="28"/>
      <x:c r="N2214" s="28"/>
      <x:c r="O2214" s="28"/>
    </x:row>
    <x:row r="2215">
      <x:c r="B2215" s="26"/>
      <x:c r="I2215" s="27"/>
      <x:c r="K2215" s="28"/>
      <x:c r="L2215" s="28"/>
      <x:c r="M2215" s="28"/>
      <x:c r="N2215" s="28"/>
      <x:c r="O2215" s="28"/>
    </x:row>
    <x:row r="2216">
      <x:c r="B2216" s="26"/>
      <x:c r="I2216" s="27"/>
      <x:c r="K2216" s="28"/>
      <x:c r="L2216" s="28"/>
      <x:c r="M2216" s="28"/>
      <x:c r="N2216" s="28"/>
      <x:c r="O2216" s="28"/>
    </x:row>
    <x:row r="2217">
      <x:c r="B2217" s="26"/>
      <x:c r="I2217" s="27"/>
      <x:c r="K2217" s="28"/>
      <x:c r="L2217" s="28"/>
      <x:c r="M2217" s="28"/>
      <x:c r="N2217" s="28"/>
      <x:c r="O2217" s="28"/>
    </x:row>
    <x:row r="2218">
      <x:c r="B2218" s="26"/>
      <x:c r="I2218" s="27"/>
      <x:c r="K2218" s="28"/>
      <x:c r="L2218" s="28"/>
      <x:c r="M2218" s="28"/>
      <x:c r="N2218" s="28"/>
      <x:c r="O2218" s="28"/>
    </x:row>
    <x:row r="2219">
      <x:c r="B2219" s="26"/>
      <x:c r="I2219" s="27"/>
      <x:c r="K2219" s="28"/>
      <x:c r="L2219" s="28"/>
      <x:c r="M2219" s="28"/>
      <x:c r="N2219" s="28"/>
      <x:c r="O2219" s="28"/>
    </x:row>
    <x:row r="2220">
      <x:c r="B2220" s="26"/>
      <x:c r="I2220" s="27"/>
      <x:c r="K2220" s="28"/>
      <x:c r="L2220" s="28"/>
      <x:c r="M2220" s="28"/>
      <x:c r="N2220" s="28"/>
      <x:c r="O2220" s="28"/>
    </x:row>
    <x:row r="2221">
      <x:c r="B2221" s="26"/>
      <x:c r="I2221" s="27"/>
      <x:c r="K2221" s="28"/>
      <x:c r="L2221" s="28"/>
      <x:c r="M2221" s="28"/>
      <x:c r="N2221" s="28"/>
      <x:c r="O2221" s="28"/>
    </x:row>
    <x:row r="2222">
      <x:c r="B2222" s="26"/>
      <x:c r="I2222" s="27"/>
      <x:c r="K2222" s="28"/>
      <x:c r="L2222" s="28"/>
      <x:c r="M2222" s="28"/>
      <x:c r="N2222" s="28"/>
      <x:c r="O2222" s="28"/>
    </x:row>
    <x:row r="2223">
      <x:c r="B2223" s="26"/>
      <x:c r="I2223" s="27"/>
      <x:c r="K2223" s="28"/>
      <x:c r="L2223" s="28"/>
      <x:c r="M2223" s="28"/>
      <x:c r="N2223" s="28"/>
      <x:c r="O2223" s="28"/>
    </x:row>
    <x:row r="2224">
      <x:c r="B2224" s="26"/>
      <x:c r="I2224" s="27"/>
      <x:c r="K2224" s="28"/>
      <x:c r="L2224" s="28"/>
      <x:c r="M2224" s="28"/>
      <x:c r="N2224" s="28"/>
      <x:c r="O2224" s="28"/>
    </x:row>
    <x:row r="2225">
      <x:c r="B2225" s="26"/>
      <x:c r="I2225" s="27"/>
      <x:c r="K2225" s="28"/>
      <x:c r="L2225" s="28"/>
      <x:c r="M2225" s="28"/>
      <x:c r="N2225" s="28"/>
      <x:c r="O2225" s="28"/>
    </x:row>
    <x:row r="2226">
      <x:c r="B2226" s="26"/>
      <x:c r="I2226" s="27"/>
      <x:c r="K2226" s="28"/>
      <x:c r="L2226" s="28"/>
      <x:c r="M2226" s="28"/>
      <x:c r="N2226" s="28"/>
      <x:c r="O2226" s="28"/>
    </x:row>
    <x:row r="2227">
      <x:c r="B2227" s="26"/>
      <x:c r="I2227" s="27"/>
      <x:c r="K2227" s="28"/>
      <x:c r="L2227" s="28"/>
      <x:c r="M2227" s="28"/>
      <x:c r="N2227" s="28"/>
      <x:c r="O2227" s="28"/>
    </x:row>
    <x:row r="2228">
      <x:c r="B2228" s="26"/>
      <x:c r="I2228" s="27"/>
      <x:c r="K2228" s="28"/>
      <x:c r="L2228" s="28"/>
      <x:c r="M2228" s="28"/>
      <x:c r="N2228" s="28"/>
      <x:c r="O2228" s="28"/>
    </x:row>
    <x:row r="2229">
      <x:c r="B2229" s="26"/>
      <x:c r="I2229" s="27"/>
      <x:c r="K2229" s="28"/>
      <x:c r="L2229" s="28"/>
      <x:c r="M2229" s="28"/>
      <x:c r="N2229" s="28"/>
      <x:c r="O2229" s="28"/>
    </x:row>
    <x:row r="2230">
      <x:c r="B2230" s="26"/>
      <x:c r="I2230" s="27"/>
      <x:c r="K2230" s="28"/>
      <x:c r="L2230" s="28"/>
      <x:c r="M2230" s="28"/>
      <x:c r="N2230" s="28"/>
      <x:c r="O2230" s="28"/>
    </x:row>
    <x:row r="2231">
      <x:c r="B2231" s="26"/>
      <x:c r="I2231" s="27"/>
      <x:c r="K2231" s="28"/>
      <x:c r="L2231" s="28"/>
      <x:c r="M2231" s="28"/>
      <x:c r="N2231" s="28"/>
      <x:c r="O2231" s="28"/>
    </x:row>
    <x:row r="2232">
      <x:c r="B2232" s="26"/>
      <x:c r="I2232" s="27"/>
      <x:c r="K2232" s="28"/>
      <x:c r="L2232" s="28"/>
      <x:c r="M2232" s="28"/>
      <x:c r="N2232" s="28"/>
      <x:c r="O2232" s="28"/>
    </x:row>
    <x:row r="2233">
      <x:c r="B2233" s="26"/>
      <x:c r="I2233" s="27"/>
      <x:c r="K2233" s="28"/>
      <x:c r="L2233" s="28"/>
      <x:c r="M2233" s="28"/>
      <x:c r="N2233" s="28"/>
      <x:c r="O2233" s="28"/>
    </x:row>
    <x:row r="2234">
      <x:c r="B2234" s="26"/>
      <x:c r="I2234" s="27"/>
      <x:c r="K2234" s="28"/>
      <x:c r="L2234" s="28"/>
      <x:c r="M2234" s="28"/>
      <x:c r="N2234" s="28"/>
      <x:c r="O2234" s="28"/>
    </x:row>
    <x:row r="2235">
      <x:c r="B2235" s="26"/>
      <x:c r="I2235" s="27"/>
      <x:c r="K2235" s="28"/>
      <x:c r="L2235" s="28"/>
      <x:c r="M2235" s="28"/>
      <x:c r="N2235" s="28"/>
      <x:c r="O2235" s="28"/>
    </x:row>
    <x:row r="2236">
      <x:c r="B2236" s="26"/>
      <x:c r="I2236" s="27"/>
      <x:c r="K2236" s="28"/>
      <x:c r="L2236" s="28"/>
      <x:c r="M2236" s="28"/>
      <x:c r="N2236" s="28"/>
      <x:c r="O2236" s="28"/>
    </x:row>
    <x:row r="2237">
      <x:c r="B2237" s="26"/>
      <x:c r="I2237" s="27"/>
      <x:c r="K2237" s="28"/>
      <x:c r="L2237" s="28"/>
      <x:c r="M2237" s="28"/>
      <x:c r="N2237" s="28"/>
      <x:c r="O2237" s="28"/>
    </x:row>
    <x:row r="2238">
      <x:c r="B2238" s="26"/>
      <x:c r="I2238" s="27"/>
      <x:c r="K2238" s="28"/>
      <x:c r="L2238" s="28"/>
      <x:c r="M2238" s="28"/>
      <x:c r="N2238" s="28"/>
      <x:c r="O2238" s="28"/>
    </x:row>
    <x:row r="2239">
      <x:c r="B2239" s="26"/>
      <x:c r="I2239" s="27"/>
      <x:c r="K2239" s="28"/>
      <x:c r="L2239" s="28"/>
      <x:c r="M2239" s="28"/>
      <x:c r="N2239" s="28"/>
      <x:c r="O2239" s="28"/>
    </x:row>
    <x:row r="2240">
      <x:c r="B2240" s="26"/>
      <x:c r="I2240" s="27"/>
      <x:c r="K2240" s="28"/>
      <x:c r="L2240" s="28"/>
      <x:c r="M2240" s="28"/>
      <x:c r="N2240" s="28"/>
      <x:c r="O2240" s="28"/>
    </x:row>
    <x:row r="2241">
      <x:c r="B2241" s="26"/>
      <x:c r="I2241" s="27"/>
      <x:c r="K2241" s="28"/>
      <x:c r="L2241" s="28"/>
      <x:c r="M2241" s="28"/>
      <x:c r="N2241" s="28"/>
      <x:c r="O2241" s="28"/>
    </x:row>
    <x:row r="2242">
      <x:c r="B2242" s="26"/>
      <x:c r="I2242" s="27"/>
      <x:c r="K2242" s="28"/>
      <x:c r="L2242" s="28"/>
      <x:c r="M2242" s="28"/>
      <x:c r="N2242" s="28"/>
      <x:c r="O2242" s="28"/>
    </x:row>
    <x:row r="2243">
      <x:c r="B2243" s="26"/>
      <x:c r="I2243" s="27"/>
      <x:c r="K2243" s="28"/>
      <x:c r="L2243" s="28"/>
      <x:c r="M2243" s="28"/>
      <x:c r="N2243" s="28"/>
      <x:c r="O2243" s="28"/>
    </x:row>
    <x:row r="2244">
      <x:c r="B2244" s="26"/>
      <x:c r="I2244" s="27"/>
      <x:c r="K2244" s="28"/>
      <x:c r="L2244" s="28"/>
      <x:c r="M2244" s="28"/>
      <x:c r="N2244" s="28"/>
      <x:c r="O2244" s="28"/>
    </x:row>
    <x:row r="2245">
      <x:c r="B2245" s="26"/>
      <x:c r="I2245" s="27"/>
      <x:c r="K2245" s="28"/>
      <x:c r="L2245" s="28"/>
      <x:c r="M2245" s="28"/>
      <x:c r="N2245" s="28"/>
      <x:c r="O2245" s="28"/>
    </x:row>
    <x:row r="2246">
      <x:c r="B2246" s="26"/>
      <x:c r="I2246" s="27"/>
      <x:c r="K2246" s="28"/>
      <x:c r="L2246" s="28"/>
      <x:c r="M2246" s="28"/>
      <x:c r="N2246" s="28"/>
      <x:c r="O2246" s="28"/>
    </x:row>
    <x:row r="2247">
      <x:c r="B2247" s="26"/>
      <x:c r="I2247" s="27"/>
      <x:c r="K2247" s="28"/>
      <x:c r="L2247" s="28"/>
      <x:c r="M2247" s="28"/>
      <x:c r="N2247" s="28"/>
      <x:c r="O2247" s="28"/>
    </x:row>
    <x:row r="2248">
      <x:c r="B2248" s="26"/>
      <x:c r="I2248" s="27"/>
      <x:c r="K2248" s="28"/>
      <x:c r="L2248" s="28"/>
      <x:c r="M2248" s="28"/>
      <x:c r="N2248" s="28"/>
      <x:c r="O2248" s="28"/>
    </x:row>
    <x:row r="2249">
      <x:c r="B2249" s="26"/>
      <x:c r="I2249" s="27"/>
      <x:c r="K2249" s="28"/>
      <x:c r="L2249" s="28"/>
      <x:c r="M2249" s="28"/>
      <x:c r="N2249" s="28"/>
      <x:c r="O2249" s="28"/>
    </x:row>
    <x:row r="2250">
      <x:c r="B2250" s="26"/>
      <x:c r="I2250" s="27"/>
      <x:c r="K2250" s="28"/>
      <x:c r="L2250" s="28"/>
      <x:c r="M2250" s="28"/>
      <x:c r="N2250" s="28"/>
      <x:c r="O2250" s="28"/>
    </x:row>
    <x:row r="2251">
      <x:c r="B2251" s="26"/>
      <x:c r="I2251" s="27"/>
      <x:c r="K2251" s="28"/>
      <x:c r="L2251" s="28"/>
      <x:c r="M2251" s="28"/>
      <x:c r="N2251" s="28"/>
      <x:c r="O2251" s="28"/>
    </x:row>
    <x:row r="2252">
      <x:c r="B2252" s="26"/>
      <x:c r="I2252" s="27"/>
      <x:c r="K2252" s="28"/>
      <x:c r="L2252" s="28"/>
      <x:c r="M2252" s="28"/>
      <x:c r="N2252" s="28"/>
      <x:c r="O2252" s="28"/>
    </x:row>
    <x:row r="2253">
      <x:c r="B2253" s="26"/>
      <x:c r="I2253" s="27"/>
      <x:c r="K2253" s="28"/>
      <x:c r="L2253" s="28"/>
      <x:c r="M2253" s="28"/>
      <x:c r="N2253" s="28"/>
      <x:c r="O2253" s="28"/>
    </x:row>
    <x:row r="2254">
      <x:c r="B2254" s="26"/>
      <x:c r="I2254" s="27"/>
      <x:c r="K2254" s="28"/>
      <x:c r="L2254" s="28"/>
      <x:c r="M2254" s="28"/>
      <x:c r="N2254" s="28"/>
      <x:c r="O2254" s="28"/>
    </x:row>
    <x:row r="2255">
      <x:c r="B2255" s="26"/>
      <x:c r="I2255" s="27"/>
      <x:c r="K2255" s="28"/>
      <x:c r="L2255" s="28"/>
      <x:c r="M2255" s="28"/>
      <x:c r="N2255" s="28"/>
      <x:c r="O2255" s="28"/>
    </x:row>
    <x:row r="2256">
      <x:c r="B2256" s="26"/>
      <x:c r="I2256" s="27"/>
      <x:c r="K2256" s="28"/>
      <x:c r="L2256" s="28"/>
      <x:c r="M2256" s="28"/>
      <x:c r="N2256" s="28"/>
      <x:c r="O2256" s="28"/>
    </x:row>
    <x:row r="2257">
      <x:c r="B2257" s="26"/>
      <x:c r="I2257" s="27"/>
      <x:c r="K2257" s="28"/>
      <x:c r="L2257" s="28"/>
      <x:c r="M2257" s="28"/>
      <x:c r="N2257" s="28"/>
      <x:c r="O2257" s="28"/>
    </x:row>
    <x:row r="2258">
      <x:c r="B2258" s="26"/>
      <x:c r="I2258" s="27"/>
      <x:c r="K2258" s="28"/>
      <x:c r="L2258" s="28"/>
      <x:c r="M2258" s="28"/>
      <x:c r="N2258" s="28"/>
      <x:c r="O2258" s="28"/>
    </x:row>
    <x:row r="2259">
      <x:c r="B2259" s="26"/>
      <x:c r="I2259" s="27"/>
      <x:c r="K2259" s="28"/>
      <x:c r="L2259" s="28"/>
      <x:c r="M2259" s="28"/>
      <x:c r="N2259" s="28"/>
      <x:c r="O2259" s="28"/>
    </x:row>
    <x:row r="2260">
      <x:c r="B2260" s="26"/>
      <x:c r="I2260" s="27"/>
      <x:c r="K2260" s="28"/>
      <x:c r="L2260" s="28"/>
      <x:c r="M2260" s="28"/>
      <x:c r="N2260" s="28"/>
      <x:c r="O2260" s="28"/>
    </x:row>
    <x:row r="2261">
      <x:c r="B2261" s="26"/>
      <x:c r="I2261" s="27"/>
      <x:c r="K2261" s="28"/>
      <x:c r="L2261" s="28"/>
      <x:c r="M2261" s="28"/>
      <x:c r="N2261" s="28"/>
      <x:c r="O2261" s="28"/>
    </x:row>
    <x:row r="2262">
      <x:c r="B2262" s="26"/>
      <x:c r="I2262" s="27"/>
      <x:c r="K2262" s="28"/>
      <x:c r="L2262" s="28"/>
      <x:c r="M2262" s="28"/>
      <x:c r="N2262" s="28"/>
      <x:c r="O2262" s="28"/>
    </x:row>
    <x:row r="2263">
      <x:c r="B2263" s="26"/>
      <x:c r="I2263" s="27"/>
      <x:c r="K2263" s="28"/>
      <x:c r="L2263" s="28"/>
      <x:c r="M2263" s="28"/>
      <x:c r="N2263" s="28"/>
      <x:c r="O2263" s="28"/>
    </x:row>
    <x:row r="2264">
      <x:c r="B2264" s="26"/>
      <x:c r="I2264" s="27"/>
      <x:c r="K2264" s="28"/>
      <x:c r="L2264" s="28"/>
      <x:c r="M2264" s="28"/>
      <x:c r="N2264" s="28"/>
      <x:c r="O2264" s="28"/>
    </x:row>
    <x:row r="2265">
      <x:c r="B2265" s="26"/>
      <x:c r="I2265" s="27"/>
      <x:c r="K2265" s="28"/>
      <x:c r="L2265" s="28"/>
      <x:c r="M2265" s="28"/>
      <x:c r="N2265" s="28"/>
      <x:c r="O2265" s="28"/>
    </x:row>
    <x:row r="2266">
      <x:c r="B2266" s="26"/>
      <x:c r="I2266" s="27"/>
      <x:c r="K2266" s="28"/>
      <x:c r="L2266" s="28"/>
      <x:c r="M2266" s="28"/>
      <x:c r="N2266" s="28"/>
      <x:c r="O2266" s="28"/>
    </x:row>
    <x:row r="2267">
      <x:c r="B2267" s="26"/>
      <x:c r="I2267" s="27"/>
      <x:c r="K2267" s="28"/>
      <x:c r="L2267" s="28"/>
      <x:c r="M2267" s="28"/>
      <x:c r="N2267" s="28"/>
      <x:c r="O2267" s="28"/>
    </x:row>
    <x:row r="2268">
      <x:c r="B2268" s="26"/>
      <x:c r="I2268" s="27"/>
      <x:c r="K2268" s="28"/>
      <x:c r="L2268" s="28"/>
      <x:c r="M2268" s="28"/>
      <x:c r="N2268" s="28"/>
      <x:c r="O2268" s="28"/>
    </x:row>
    <x:row r="2269">
      <x:c r="B2269" s="26"/>
      <x:c r="I2269" s="27"/>
      <x:c r="K2269" s="28"/>
      <x:c r="L2269" s="28"/>
      <x:c r="M2269" s="28"/>
      <x:c r="N2269" s="28"/>
      <x:c r="O2269" s="28"/>
    </x:row>
    <x:row r="2270">
      <x:c r="B2270" s="26"/>
      <x:c r="I2270" s="27"/>
      <x:c r="K2270" s="28"/>
      <x:c r="L2270" s="28"/>
      <x:c r="M2270" s="28"/>
      <x:c r="N2270" s="28"/>
      <x:c r="O2270" s="28"/>
    </x:row>
    <x:row r="2271">
      <x:c r="B2271" s="26"/>
      <x:c r="I2271" s="27"/>
      <x:c r="K2271" s="28"/>
      <x:c r="L2271" s="28"/>
      <x:c r="M2271" s="28"/>
      <x:c r="N2271" s="28"/>
      <x:c r="O2271" s="28"/>
    </x:row>
    <x:row r="2272">
      <x:c r="B2272" s="26"/>
      <x:c r="I2272" s="27"/>
      <x:c r="K2272" s="28"/>
      <x:c r="L2272" s="28"/>
      <x:c r="M2272" s="28"/>
      <x:c r="N2272" s="28"/>
      <x:c r="O2272" s="28"/>
    </x:row>
    <x:row r="2273">
      <x:c r="B2273" s="26"/>
      <x:c r="I2273" s="27"/>
      <x:c r="K2273" s="28"/>
      <x:c r="L2273" s="28"/>
      <x:c r="M2273" s="28"/>
      <x:c r="N2273" s="28"/>
      <x:c r="O2273" s="28"/>
    </x:row>
    <x:row r="2274">
      <x:c r="B2274" s="26"/>
      <x:c r="I2274" s="27"/>
      <x:c r="K2274" s="28"/>
      <x:c r="L2274" s="28"/>
      <x:c r="M2274" s="28"/>
      <x:c r="N2274" s="28"/>
      <x:c r="O2274" s="28"/>
    </x:row>
    <x:row r="2275">
      <x:c r="B2275" s="26"/>
      <x:c r="I2275" s="27"/>
      <x:c r="K2275" s="28"/>
      <x:c r="L2275" s="28"/>
      <x:c r="M2275" s="28"/>
      <x:c r="N2275" s="28"/>
      <x:c r="O2275" s="28"/>
    </x:row>
    <x:row r="2276">
      <x:c r="B2276" s="26"/>
      <x:c r="I2276" s="27"/>
      <x:c r="K2276" s="28"/>
      <x:c r="L2276" s="28"/>
      <x:c r="M2276" s="28"/>
      <x:c r="N2276" s="28"/>
      <x:c r="O2276" s="28"/>
    </x:row>
    <x:row r="2277">
      <x:c r="B2277" s="26"/>
      <x:c r="I2277" s="27"/>
      <x:c r="K2277" s="28"/>
      <x:c r="L2277" s="28"/>
      <x:c r="M2277" s="28"/>
      <x:c r="N2277" s="28"/>
      <x:c r="O2277" s="28"/>
    </x:row>
    <x:row r="2278">
      <x:c r="B2278" s="26"/>
      <x:c r="I2278" s="27"/>
      <x:c r="K2278" s="28"/>
      <x:c r="L2278" s="28"/>
      <x:c r="M2278" s="28"/>
      <x:c r="N2278" s="28"/>
      <x:c r="O2278" s="28"/>
    </x:row>
    <x:row r="2279">
      <x:c r="B2279" s="26"/>
      <x:c r="I2279" s="27"/>
      <x:c r="K2279" s="28"/>
      <x:c r="L2279" s="28"/>
      <x:c r="M2279" s="28"/>
      <x:c r="N2279" s="28"/>
      <x:c r="O2279" s="28"/>
    </x:row>
    <x:row r="2280">
      <x:c r="B2280" s="26"/>
      <x:c r="I2280" s="27"/>
      <x:c r="K2280" s="28"/>
      <x:c r="L2280" s="28"/>
      <x:c r="M2280" s="28"/>
      <x:c r="N2280" s="28"/>
      <x:c r="O2280" s="28"/>
    </x:row>
    <x:row r="2281">
      <x:c r="B2281" s="26"/>
      <x:c r="I2281" s="27"/>
      <x:c r="K2281" s="28"/>
      <x:c r="L2281" s="28"/>
      <x:c r="M2281" s="28"/>
      <x:c r="N2281" s="28"/>
      <x:c r="O2281" s="28"/>
    </x:row>
    <x:row r="2282">
      <x:c r="B2282" s="26"/>
      <x:c r="I2282" s="27"/>
      <x:c r="K2282" s="28"/>
      <x:c r="L2282" s="28"/>
      <x:c r="M2282" s="28"/>
      <x:c r="N2282" s="28"/>
      <x:c r="O2282" s="28"/>
    </x:row>
    <x:row r="2283">
      <x:c r="B2283" s="26"/>
      <x:c r="I2283" s="27"/>
      <x:c r="K2283" s="28"/>
      <x:c r="L2283" s="28"/>
      <x:c r="M2283" s="28"/>
      <x:c r="N2283" s="28"/>
      <x:c r="O2283" s="28"/>
    </x:row>
    <x:row r="2284">
      <x:c r="B2284" s="26"/>
      <x:c r="I2284" s="27"/>
      <x:c r="K2284" s="28"/>
      <x:c r="L2284" s="28"/>
      <x:c r="M2284" s="28"/>
      <x:c r="N2284" s="28"/>
      <x:c r="O2284" s="28"/>
    </x:row>
    <x:row r="2285">
      <x:c r="B2285" s="26"/>
      <x:c r="I2285" s="27"/>
      <x:c r="K2285" s="28"/>
      <x:c r="L2285" s="28"/>
      <x:c r="M2285" s="28"/>
      <x:c r="N2285" s="28"/>
      <x:c r="O2285" s="28"/>
    </x:row>
    <x:row r="2286">
      <x:c r="B2286" s="26"/>
      <x:c r="I2286" s="27"/>
      <x:c r="K2286" s="28"/>
      <x:c r="L2286" s="28"/>
      <x:c r="M2286" s="28"/>
      <x:c r="N2286" s="28"/>
      <x:c r="O2286" s="28"/>
    </x:row>
    <x:row r="2287">
      <x:c r="B2287" s="26"/>
      <x:c r="I2287" s="27"/>
      <x:c r="K2287" s="28"/>
      <x:c r="L2287" s="28"/>
      <x:c r="M2287" s="28"/>
      <x:c r="N2287" s="28"/>
      <x:c r="O2287" s="28"/>
    </x:row>
    <x:row r="2288">
      <x:c r="B2288" s="26"/>
      <x:c r="I2288" s="27"/>
      <x:c r="K2288" s="28"/>
      <x:c r="L2288" s="28"/>
      <x:c r="M2288" s="28"/>
      <x:c r="N2288" s="28"/>
      <x:c r="O2288" s="28"/>
    </x:row>
    <x:row r="2289">
      <x:c r="B2289" s="26"/>
      <x:c r="I2289" s="27"/>
      <x:c r="K2289" s="28"/>
      <x:c r="L2289" s="28"/>
      <x:c r="M2289" s="28"/>
      <x:c r="N2289" s="28"/>
      <x:c r="O2289" s="28"/>
    </x:row>
    <x:row r="2290">
      <x:c r="B2290" s="26"/>
      <x:c r="I2290" s="27"/>
      <x:c r="K2290" s="28"/>
      <x:c r="L2290" s="28"/>
      <x:c r="M2290" s="28"/>
      <x:c r="N2290" s="28"/>
      <x:c r="O2290" s="28"/>
    </x:row>
    <x:row r="2291">
      <x:c r="B2291" s="26"/>
      <x:c r="I2291" s="27"/>
      <x:c r="K2291" s="28"/>
      <x:c r="L2291" s="28"/>
      <x:c r="M2291" s="28"/>
      <x:c r="N2291" s="28"/>
      <x:c r="O2291" s="28"/>
    </x:row>
    <x:row r="2292">
      <x:c r="B2292" s="26"/>
      <x:c r="I2292" s="27"/>
      <x:c r="K2292" s="28"/>
      <x:c r="L2292" s="28"/>
      <x:c r="M2292" s="28"/>
      <x:c r="N2292" s="28"/>
      <x:c r="O2292" s="28"/>
    </x:row>
    <x:row r="2293">
      <x:c r="B2293" s="26"/>
      <x:c r="I2293" s="27"/>
      <x:c r="K2293" s="28"/>
      <x:c r="L2293" s="28"/>
      <x:c r="M2293" s="28"/>
      <x:c r="N2293" s="28"/>
      <x:c r="O2293" s="28"/>
    </x:row>
    <x:row r="2294">
      <x:c r="B2294" s="26"/>
      <x:c r="I2294" s="27"/>
      <x:c r="K2294" s="28"/>
      <x:c r="L2294" s="28"/>
      <x:c r="M2294" s="28"/>
      <x:c r="N2294" s="28"/>
      <x:c r="O2294" s="28"/>
    </x:row>
    <x:row r="2295">
      <x:c r="B2295" s="26"/>
      <x:c r="I2295" s="27"/>
      <x:c r="K2295" s="28"/>
      <x:c r="L2295" s="28"/>
      <x:c r="M2295" s="28"/>
      <x:c r="N2295" s="28"/>
      <x:c r="O2295" s="28"/>
    </x:row>
    <x:row r="2296">
      <x:c r="B2296" s="26"/>
      <x:c r="I2296" s="27"/>
      <x:c r="K2296" s="28"/>
      <x:c r="L2296" s="28"/>
      <x:c r="M2296" s="28"/>
      <x:c r="N2296" s="28"/>
      <x:c r="O2296" s="28"/>
    </x:row>
    <x:row r="2297">
      <x:c r="B2297" s="26"/>
      <x:c r="I2297" s="27"/>
      <x:c r="K2297" s="28"/>
      <x:c r="L2297" s="28"/>
      <x:c r="M2297" s="28"/>
      <x:c r="N2297" s="28"/>
      <x:c r="O2297" s="28"/>
    </x:row>
    <x:row r="2298">
      <x:c r="B2298" s="26"/>
      <x:c r="I2298" s="27"/>
      <x:c r="K2298" s="28"/>
      <x:c r="L2298" s="28"/>
      <x:c r="M2298" s="28"/>
      <x:c r="N2298" s="28"/>
      <x:c r="O2298" s="28"/>
    </x:row>
    <x:row r="2299">
      <x:c r="B2299" s="26"/>
      <x:c r="I2299" s="27"/>
      <x:c r="K2299" s="28"/>
      <x:c r="L2299" s="28"/>
      <x:c r="M2299" s="28"/>
      <x:c r="N2299" s="28"/>
      <x:c r="O2299" s="28"/>
    </x:row>
    <x:row r="2300">
      <x:c r="B2300" s="26"/>
      <x:c r="I2300" s="27"/>
      <x:c r="K2300" s="28"/>
      <x:c r="L2300" s="28"/>
      <x:c r="M2300" s="28"/>
      <x:c r="N2300" s="28"/>
      <x:c r="O2300" s="28"/>
    </x:row>
    <x:row r="2301">
      <x:c r="B2301" s="26"/>
      <x:c r="I2301" s="27"/>
      <x:c r="K2301" s="28"/>
      <x:c r="L2301" s="28"/>
      <x:c r="M2301" s="28"/>
      <x:c r="N2301" s="28"/>
      <x:c r="O2301" s="28"/>
    </x:row>
    <x:row r="2302">
      <x:c r="B2302" s="26"/>
      <x:c r="I2302" s="27"/>
      <x:c r="K2302" s="28"/>
      <x:c r="L2302" s="28"/>
      <x:c r="M2302" s="28"/>
      <x:c r="N2302" s="28"/>
      <x:c r="O2302" s="28"/>
    </x:row>
    <x:row r="2303">
      <x:c r="B2303" s="26"/>
      <x:c r="I2303" s="27"/>
      <x:c r="K2303" s="28"/>
      <x:c r="L2303" s="28"/>
      <x:c r="M2303" s="28"/>
      <x:c r="N2303" s="28"/>
      <x:c r="O2303" s="28"/>
    </x:row>
    <x:row r="2304">
      <x:c r="B2304" s="26"/>
      <x:c r="I2304" s="27"/>
      <x:c r="K2304" s="28"/>
      <x:c r="L2304" s="28"/>
      <x:c r="M2304" s="28"/>
      <x:c r="N2304" s="28"/>
      <x:c r="O2304" s="28"/>
    </x:row>
    <x:row r="2305">
      <x:c r="B2305" s="26"/>
      <x:c r="I2305" s="27"/>
      <x:c r="K2305" s="28"/>
      <x:c r="L2305" s="28"/>
      <x:c r="M2305" s="28"/>
      <x:c r="N2305" s="28"/>
      <x:c r="O2305" s="28"/>
    </x:row>
    <x:row r="2306">
      <x:c r="B2306" s="26"/>
      <x:c r="I2306" s="27"/>
      <x:c r="K2306" s="28"/>
      <x:c r="L2306" s="28"/>
      <x:c r="M2306" s="28"/>
      <x:c r="N2306" s="28"/>
      <x:c r="O2306" s="28"/>
    </x:row>
    <x:row r="2307">
      <x:c r="B2307" s="26"/>
      <x:c r="I2307" s="27"/>
      <x:c r="K2307" s="28"/>
      <x:c r="L2307" s="28"/>
      <x:c r="M2307" s="28"/>
      <x:c r="N2307" s="28"/>
      <x:c r="O2307" s="28"/>
    </x:row>
    <x:row r="2308">
      <x:c r="B2308" s="26"/>
      <x:c r="I2308" s="27"/>
      <x:c r="K2308" s="28"/>
      <x:c r="L2308" s="28"/>
      <x:c r="M2308" s="28"/>
      <x:c r="N2308" s="28"/>
      <x:c r="O2308" s="28"/>
    </x:row>
    <x:row r="2309">
      <x:c r="B2309" s="26"/>
      <x:c r="I2309" s="27"/>
      <x:c r="K2309" s="28"/>
      <x:c r="L2309" s="28"/>
      <x:c r="M2309" s="28"/>
      <x:c r="N2309" s="28"/>
      <x:c r="O2309" s="28"/>
    </x:row>
    <x:row r="2310">
      <x:c r="B2310" s="26"/>
      <x:c r="I2310" s="27"/>
      <x:c r="K2310" s="28"/>
      <x:c r="L2310" s="28"/>
      <x:c r="M2310" s="28"/>
      <x:c r="N2310" s="28"/>
      <x:c r="O2310" s="28"/>
    </x:row>
    <x:row r="2311">
      <x:c r="B2311" s="26"/>
      <x:c r="I2311" s="27"/>
      <x:c r="K2311" s="28"/>
      <x:c r="L2311" s="28"/>
      <x:c r="M2311" s="28"/>
      <x:c r="N2311" s="28"/>
      <x:c r="O2311" s="28"/>
    </x:row>
    <x:row r="2312">
      <x:c r="B2312" s="26"/>
      <x:c r="I2312" s="27"/>
      <x:c r="K2312" s="28"/>
      <x:c r="L2312" s="28"/>
      <x:c r="M2312" s="28"/>
      <x:c r="N2312" s="28"/>
      <x:c r="O2312" s="28"/>
    </x:row>
    <x:row r="2313">
      <x:c r="B2313" s="26"/>
      <x:c r="I2313" s="27"/>
      <x:c r="K2313" s="28"/>
      <x:c r="L2313" s="28"/>
      <x:c r="M2313" s="28"/>
      <x:c r="N2313" s="28"/>
      <x:c r="O2313" s="28"/>
    </x:row>
    <x:row r="2314">
      <x:c r="B2314" s="26"/>
      <x:c r="I2314" s="27"/>
      <x:c r="K2314" s="28"/>
      <x:c r="L2314" s="28"/>
      <x:c r="M2314" s="28"/>
      <x:c r="N2314" s="28"/>
      <x:c r="O2314" s="28"/>
    </x:row>
    <x:row r="2315">
      <x:c r="B2315" s="26"/>
      <x:c r="I2315" s="27"/>
      <x:c r="K2315" s="28"/>
      <x:c r="L2315" s="28"/>
      <x:c r="M2315" s="28"/>
      <x:c r="N2315" s="28"/>
      <x:c r="O2315" s="28"/>
    </x:row>
    <x:row r="2316">
      <x:c r="B2316" s="26"/>
      <x:c r="I2316" s="27"/>
      <x:c r="K2316" s="28"/>
      <x:c r="L2316" s="28"/>
      <x:c r="M2316" s="28"/>
      <x:c r="N2316" s="28"/>
      <x:c r="O2316" s="28"/>
    </x:row>
    <x:row r="2317">
      <x:c r="B2317" s="26"/>
      <x:c r="I2317" s="27"/>
      <x:c r="K2317" s="28"/>
      <x:c r="L2317" s="28"/>
      <x:c r="M2317" s="28"/>
      <x:c r="N2317" s="28"/>
      <x:c r="O2317" s="28"/>
    </x:row>
    <x:row r="2318">
      <x:c r="B2318" s="26"/>
      <x:c r="I2318" s="27"/>
      <x:c r="K2318" s="28"/>
      <x:c r="L2318" s="28"/>
      <x:c r="M2318" s="28"/>
      <x:c r="N2318" s="28"/>
      <x:c r="O2318" s="28"/>
    </x:row>
    <x:row r="2319">
      <x:c r="B2319" s="26"/>
      <x:c r="I2319" s="27"/>
      <x:c r="K2319" s="28"/>
      <x:c r="L2319" s="28"/>
      <x:c r="M2319" s="28"/>
      <x:c r="N2319" s="28"/>
      <x:c r="O2319" s="28"/>
    </x:row>
    <x:row r="2320">
      <x:c r="B2320" s="26"/>
      <x:c r="I2320" s="27"/>
      <x:c r="K2320" s="28"/>
      <x:c r="L2320" s="28"/>
      <x:c r="M2320" s="28"/>
      <x:c r="N2320" s="28"/>
      <x:c r="O2320" s="28"/>
    </x:row>
    <x:row r="2321">
      <x:c r="B2321" s="26"/>
      <x:c r="I2321" s="27"/>
      <x:c r="K2321" s="28"/>
      <x:c r="L2321" s="28"/>
      <x:c r="M2321" s="28"/>
      <x:c r="N2321" s="28"/>
      <x:c r="O2321" s="28"/>
    </x:row>
    <x:row r="2322">
      <x:c r="B2322" s="26"/>
      <x:c r="I2322" s="27"/>
      <x:c r="K2322" s="28"/>
      <x:c r="L2322" s="28"/>
      <x:c r="M2322" s="28"/>
      <x:c r="N2322" s="28"/>
      <x:c r="O2322" s="28"/>
    </x:row>
    <x:row r="2323">
      <x:c r="B2323" s="26"/>
      <x:c r="I2323" s="27"/>
      <x:c r="K2323" s="28"/>
      <x:c r="L2323" s="28"/>
      <x:c r="M2323" s="28"/>
      <x:c r="N2323" s="28"/>
      <x:c r="O2323" s="28"/>
    </x:row>
    <x:row r="2324">
      <x:c r="B2324" s="26"/>
      <x:c r="I2324" s="27"/>
      <x:c r="K2324" s="28"/>
      <x:c r="L2324" s="28"/>
      <x:c r="M2324" s="28"/>
      <x:c r="N2324" s="28"/>
      <x:c r="O2324" s="28"/>
    </x:row>
    <x:row r="2325">
      <x:c r="B2325" s="26"/>
      <x:c r="I2325" s="27"/>
      <x:c r="K2325" s="28"/>
      <x:c r="L2325" s="28"/>
      <x:c r="M2325" s="28"/>
      <x:c r="N2325" s="28"/>
      <x:c r="O2325" s="28"/>
    </x:row>
    <x:row r="2326">
      <x:c r="B2326" s="26"/>
      <x:c r="I2326" s="27"/>
      <x:c r="K2326" s="28"/>
      <x:c r="L2326" s="28"/>
      <x:c r="M2326" s="28"/>
      <x:c r="N2326" s="28"/>
      <x:c r="O2326" s="28"/>
    </x:row>
    <x:row r="2327">
      <x:c r="B2327" s="26"/>
      <x:c r="I2327" s="27"/>
      <x:c r="K2327" s="28"/>
      <x:c r="L2327" s="28"/>
      <x:c r="M2327" s="28"/>
      <x:c r="N2327" s="28"/>
      <x:c r="O2327" s="28"/>
    </x:row>
    <x:row r="2328">
      <x:c r="B2328" s="26"/>
      <x:c r="I2328" s="27"/>
      <x:c r="K2328" s="28"/>
      <x:c r="L2328" s="28"/>
      <x:c r="M2328" s="28"/>
      <x:c r="N2328" s="28"/>
      <x:c r="O2328" s="28"/>
    </x:row>
    <x:row r="2329">
      <x:c r="B2329" s="26"/>
      <x:c r="I2329" s="27"/>
      <x:c r="K2329" s="28"/>
      <x:c r="L2329" s="28"/>
      <x:c r="M2329" s="28"/>
      <x:c r="N2329" s="28"/>
      <x:c r="O2329" s="28"/>
    </x:row>
    <x:row r="2330">
      <x:c r="B2330" s="26"/>
      <x:c r="I2330" s="27"/>
      <x:c r="K2330" s="28"/>
      <x:c r="L2330" s="28"/>
      <x:c r="M2330" s="28"/>
      <x:c r="N2330" s="28"/>
      <x:c r="O2330" s="28"/>
    </x:row>
    <x:row r="2331">
      <x:c r="B2331" s="26"/>
      <x:c r="I2331" s="27"/>
      <x:c r="K2331" s="28"/>
      <x:c r="L2331" s="28"/>
      <x:c r="M2331" s="28"/>
      <x:c r="N2331" s="28"/>
      <x:c r="O2331" s="28"/>
    </x:row>
    <x:row r="2332">
      <x:c r="B2332" s="26"/>
      <x:c r="I2332" s="27"/>
      <x:c r="K2332" s="28"/>
      <x:c r="L2332" s="28"/>
      <x:c r="M2332" s="28"/>
      <x:c r="N2332" s="28"/>
      <x:c r="O2332" s="28"/>
    </x:row>
    <x:row r="2333">
      <x:c r="B2333" s="26"/>
      <x:c r="I2333" s="27"/>
      <x:c r="K2333" s="28"/>
      <x:c r="L2333" s="28"/>
      <x:c r="M2333" s="28"/>
      <x:c r="N2333" s="28"/>
      <x:c r="O2333" s="28"/>
    </x:row>
    <x:row r="2334">
      <x:c r="B2334" s="26"/>
      <x:c r="I2334" s="27"/>
      <x:c r="K2334" s="28"/>
      <x:c r="L2334" s="28"/>
      <x:c r="M2334" s="28"/>
      <x:c r="N2334" s="28"/>
      <x:c r="O2334" s="28"/>
    </x:row>
    <x:row r="2335">
      <x:c r="B2335" s="26"/>
      <x:c r="I2335" s="27"/>
      <x:c r="K2335" s="28"/>
      <x:c r="L2335" s="28"/>
      <x:c r="M2335" s="28"/>
      <x:c r="N2335" s="28"/>
      <x:c r="O2335" s="28"/>
    </x:row>
    <x:row r="2336">
      <x:c r="B2336" s="26"/>
      <x:c r="I2336" s="27"/>
      <x:c r="K2336" s="28"/>
      <x:c r="L2336" s="28"/>
      <x:c r="M2336" s="28"/>
      <x:c r="N2336" s="28"/>
      <x:c r="O2336" s="28"/>
    </x:row>
    <x:row r="2337">
      <x:c r="B2337" s="26"/>
      <x:c r="I2337" s="27"/>
      <x:c r="K2337" s="28"/>
      <x:c r="L2337" s="28"/>
      <x:c r="M2337" s="28"/>
      <x:c r="N2337" s="28"/>
      <x:c r="O2337" s="28"/>
    </x:row>
    <x:row r="2338">
      <x:c r="B2338" s="26"/>
      <x:c r="I2338" s="27"/>
      <x:c r="K2338" s="28"/>
      <x:c r="L2338" s="28"/>
      <x:c r="M2338" s="28"/>
      <x:c r="N2338" s="28"/>
      <x:c r="O2338" s="28"/>
    </x:row>
    <x:row r="2339">
      <x:c r="B2339" s="26"/>
      <x:c r="I2339" s="27"/>
      <x:c r="K2339" s="28"/>
      <x:c r="L2339" s="28"/>
      <x:c r="M2339" s="28"/>
      <x:c r="N2339" s="28"/>
      <x:c r="O2339" s="28"/>
    </x:row>
    <x:row r="2340">
      <x:c r="B2340" s="26"/>
      <x:c r="I2340" s="27"/>
      <x:c r="K2340" s="28"/>
      <x:c r="L2340" s="28"/>
      <x:c r="M2340" s="28"/>
      <x:c r="N2340" s="28"/>
      <x:c r="O2340" s="28"/>
    </x:row>
    <x:row r="2341">
      <x:c r="B2341" s="26"/>
      <x:c r="I2341" s="27"/>
      <x:c r="K2341" s="28"/>
      <x:c r="L2341" s="28"/>
      <x:c r="M2341" s="28"/>
      <x:c r="N2341" s="28"/>
      <x:c r="O2341" s="28"/>
    </x:row>
    <x:row r="2342">
      <x:c r="B2342" s="26"/>
      <x:c r="I2342" s="27"/>
      <x:c r="K2342" s="28"/>
      <x:c r="L2342" s="28"/>
      <x:c r="M2342" s="28"/>
      <x:c r="N2342" s="28"/>
      <x:c r="O2342" s="28"/>
    </x:row>
    <x:row r="2343">
      <x:c r="B2343" s="26"/>
      <x:c r="I2343" s="27"/>
      <x:c r="K2343" s="28"/>
      <x:c r="L2343" s="28"/>
      <x:c r="M2343" s="28"/>
      <x:c r="N2343" s="28"/>
      <x:c r="O2343" s="28"/>
    </x:row>
    <x:row r="2344">
      <x:c r="B2344" s="26"/>
      <x:c r="I2344" s="27"/>
      <x:c r="K2344" s="28"/>
      <x:c r="L2344" s="28"/>
      <x:c r="M2344" s="28"/>
      <x:c r="N2344" s="28"/>
      <x:c r="O2344" s="28"/>
    </x:row>
    <x:row r="2345">
      <x:c r="B2345" s="26"/>
      <x:c r="I2345" s="27"/>
      <x:c r="K2345" s="28"/>
      <x:c r="L2345" s="28"/>
      <x:c r="M2345" s="28"/>
      <x:c r="N2345" s="28"/>
      <x:c r="O2345" s="28"/>
    </x:row>
    <x:row r="2346">
      <x:c r="B2346" s="26"/>
      <x:c r="I2346" s="27"/>
      <x:c r="K2346" s="28"/>
      <x:c r="L2346" s="28"/>
      <x:c r="M2346" s="28"/>
      <x:c r="N2346" s="28"/>
      <x:c r="O2346" s="28"/>
    </x:row>
    <x:row r="2347">
      <x:c r="B2347" s="26"/>
      <x:c r="I2347" s="27"/>
      <x:c r="K2347" s="28"/>
      <x:c r="L2347" s="28"/>
      <x:c r="M2347" s="28"/>
      <x:c r="N2347" s="28"/>
      <x:c r="O2347" s="28"/>
    </x:row>
    <x:row r="2348">
      <x:c r="B2348" s="26"/>
      <x:c r="I2348" s="27"/>
      <x:c r="K2348" s="28"/>
      <x:c r="L2348" s="28"/>
      <x:c r="M2348" s="28"/>
      <x:c r="N2348" s="28"/>
      <x:c r="O2348" s="28"/>
    </x:row>
    <x:row r="2349">
      <x:c r="B2349" s="26"/>
      <x:c r="I2349" s="27"/>
      <x:c r="K2349" s="28"/>
      <x:c r="L2349" s="28"/>
      <x:c r="M2349" s="28"/>
      <x:c r="N2349" s="28"/>
      <x:c r="O2349" s="28"/>
    </x:row>
    <x:row r="2350">
      <x:c r="B2350" s="26"/>
      <x:c r="I2350" s="27"/>
      <x:c r="K2350" s="28"/>
      <x:c r="L2350" s="28"/>
      <x:c r="M2350" s="28"/>
      <x:c r="N2350" s="28"/>
      <x:c r="O2350" s="28"/>
    </x:row>
    <x:row r="2351">
      <x:c r="B2351" s="26"/>
      <x:c r="I2351" s="27"/>
      <x:c r="K2351" s="28"/>
      <x:c r="L2351" s="28"/>
      <x:c r="M2351" s="28"/>
      <x:c r="N2351" s="28"/>
      <x:c r="O2351" s="28"/>
    </x:row>
    <x:row r="2352">
      <x:c r="B2352" s="26"/>
      <x:c r="I2352" s="27"/>
      <x:c r="K2352" s="28"/>
      <x:c r="L2352" s="28"/>
      <x:c r="M2352" s="28"/>
      <x:c r="N2352" s="28"/>
      <x:c r="O2352" s="28"/>
    </x:row>
    <x:row r="2353">
      <x:c r="B2353" s="26"/>
      <x:c r="I2353" s="27"/>
      <x:c r="K2353" s="28"/>
      <x:c r="L2353" s="28"/>
      <x:c r="M2353" s="28"/>
      <x:c r="N2353" s="28"/>
      <x:c r="O2353" s="28"/>
    </x:row>
    <x:row r="2354">
      <x:c r="B2354" s="26"/>
      <x:c r="I2354" s="27"/>
      <x:c r="K2354" s="28"/>
      <x:c r="L2354" s="28"/>
      <x:c r="M2354" s="28"/>
      <x:c r="N2354" s="28"/>
      <x:c r="O2354" s="28"/>
    </x:row>
    <x:row r="2355">
      <x:c r="B2355" s="26"/>
      <x:c r="I2355" s="27"/>
      <x:c r="K2355" s="28"/>
      <x:c r="L2355" s="28"/>
      <x:c r="M2355" s="28"/>
      <x:c r="N2355" s="28"/>
      <x:c r="O2355" s="28"/>
    </x:row>
    <x:row r="2356">
      <x:c r="B2356" s="26"/>
      <x:c r="I2356" s="27"/>
      <x:c r="K2356" s="28"/>
      <x:c r="L2356" s="28"/>
      <x:c r="M2356" s="28"/>
      <x:c r="N2356" s="28"/>
      <x:c r="O2356" s="28"/>
    </x:row>
    <x:row r="2357">
      <x:c r="B2357" s="26"/>
      <x:c r="I2357" s="27"/>
      <x:c r="K2357" s="28"/>
      <x:c r="L2357" s="28"/>
      <x:c r="M2357" s="28"/>
      <x:c r="N2357" s="28"/>
      <x:c r="O2357" s="28"/>
    </x:row>
    <x:row r="2358">
      <x:c r="B2358" s="26"/>
      <x:c r="I2358" s="27"/>
      <x:c r="K2358" s="28"/>
      <x:c r="L2358" s="28"/>
      <x:c r="M2358" s="28"/>
      <x:c r="N2358" s="28"/>
      <x:c r="O2358" s="28"/>
    </x:row>
    <x:row r="2359">
      <x:c r="B2359" s="26"/>
      <x:c r="I2359" s="27"/>
      <x:c r="K2359" s="28"/>
      <x:c r="L2359" s="28"/>
      <x:c r="M2359" s="28"/>
      <x:c r="N2359" s="28"/>
      <x:c r="O2359" s="28"/>
    </x:row>
    <x:row r="2360">
      <x:c r="B2360" s="26"/>
      <x:c r="I2360" s="27"/>
      <x:c r="K2360" s="28"/>
      <x:c r="L2360" s="28"/>
      <x:c r="M2360" s="28"/>
      <x:c r="N2360" s="28"/>
      <x:c r="O2360" s="28"/>
    </x:row>
    <x:row r="2361">
      <x:c r="B2361" s="26"/>
      <x:c r="I2361" s="27"/>
      <x:c r="K2361" s="28"/>
      <x:c r="L2361" s="28"/>
      <x:c r="M2361" s="28"/>
      <x:c r="N2361" s="28"/>
      <x:c r="O2361" s="28"/>
    </x:row>
    <x:row r="2362">
      <x:c r="B2362" s="26"/>
      <x:c r="I2362" s="27"/>
      <x:c r="K2362" s="28"/>
      <x:c r="L2362" s="28"/>
      <x:c r="M2362" s="28"/>
      <x:c r="N2362" s="28"/>
      <x:c r="O2362" s="28"/>
    </x:row>
    <x:row r="2363">
      <x:c r="B2363" s="26"/>
      <x:c r="I2363" s="27"/>
      <x:c r="K2363" s="28"/>
      <x:c r="L2363" s="28"/>
      <x:c r="M2363" s="28"/>
      <x:c r="N2363" s="28"/>
      <x:c r="O2363" s="28"/>
    </x:row>
    <x:row r="2364">
      <x:c r="B2364" s="26"/>
      <x:c r="I2364" s="27"/>
      <x:c r="K2364" s="28"/>
      <x:c r="L2364" s="28"/>
      <x:c r="M2364" s="28"/>
      <x:c r="N2364" s="28"/>
      <x:c r="O2364" s="28"/>
    </x:row>
    <x:row r="2365">
      <x:c r="B2365" s="26"/>
      <x:c r="I2365" s="27"/>
      <x:c r="K2365" s="28"/>
      <x:c r="L2365" s="28"/>
      <x:c r="M2365" s="28"/>
      <x:c r="N2365" s="28"/>
      <x:c r="O2365" s="28"/>
    </x:row>
    <x:row r="2366">
      <x:c r="B2366" s="26"/>
      <x:c r="I2366" s="27"/>
      <x:c r="K2366" s="28"/>
      <x:c r="L2366" s="28"/>
      <x:c r="M2366" s="28"/>
      <x:c r="N2366" s="28"/>
      <x:c r="O2366" s="28"/>
    </x:row>
    <x:row r="2367">
      <x:c r="B2367" s="26"/>
      <x:c r="I2367" s="27"/>
      <x:c r="K2367" s="28"/>
      <x:c r="L2367" s="28"/>
      <x:c r="M2367" s="28"/>
      <x:c r="N2367" s="28"/>
      <x:c r="O2367" s="28"/>
    </x:row>
    <x:row r="2368">
      <x:c r="B2368" s="26"/>
      <x:c r="I2368" s="27"/>
      <x:c r="K2368" s="28"/>
      <x:c r="L2368" s="28"/>
      <x:c r="M2368" s="28"/>
      <x:c r="N2368" s="28"/>
      <x:c r="O2368" s="28"/>
    </x:row>
    <x:row r="2369">
      <x:c r="B2369" s="26"/>
      <x:c r="I2369" s="27"/>
      <x:c r="K2369" s="28"/>
      <x:c r="L2369" s="28"/>
      <x:c r="M2369" s="28"/>
      <x:c r="N2369" s="28"/>
      <x:c r="O2369" s="28"/>
    </x:row>
    <x:row r="2370">
      <x:c r="B2370" s="26"/>
      <x:c r="I2370" s="27"/>
      <x:c r="K2370" s="28"/>
      <x:c r="L2370" s="28"/>
      <x:c r="M2370" s="28"/>
      <x:c r="N2370" s="28"/>
      <x:c r="O2370" s="28"/>
    </x:row>
    <x:row r="2371">
      <x:c r="B2371" s="26"/>
      <x:c r="I2371" s="27"/>
      <x:c r="K2371" s="28"/>
      <x:c r="L2371" s="28"/>
      <x:c r="M2371" s="28"/>
      <x:c r="N2371" s="28"/>
      <x:c r="O2371" s="28"/>
    </x:row>
    <x:row r="2372">
      <x:c r="B2372" s="26"/>
      <x:c r="I2372" s="27"/>
      <x:c r="K2372" s="28"/>
      <x:c r="L2372" s="28"/>
      <x:c r="M2372" s="28"/>
      <x:c r="N2372" s="28"/>
      <x:c r="O2372" s="28"/>
    </x:row>
    <x:row r="2373">
      <x:c r="B2373" s="26"/>
      <x:c r="I2373" s="27"/>
      <x:c r="K2373" s="28"/>
      <x:c r="L2373" s="28"/>
      <x:c r="M2373" s="28"/>
      <x:c r="N2373" s="28"/>
      <x:c r="O2373" s="28"/>
    </x:row>
    <x:row r="2374">
      <x:c r="B2374" s="26"/>
      <x:c r="I2374" s="27"/>
      <x:c r="K2374" s="28"/>
      <x:c r="L2374" s="28"/>
      <x:c r="M2374" s="28"/>
      <x:c r="N2374" s="28"/>
      <x:c r="O2374" s="28"/>
    </x:row>
    <x:row r="2375">
      <x:c r="B2375" s="26"/>
      <x:c r="I2375" s="27"/>
      <x:c r="K2375" s="28"/>
      <x:c r="L2375" s="28"/>
      <x:c r="M2375" s="28"/>
      <x:c r="N2375" s="28"/>
      <x:c r="O2375" s="28"/>
    </x:row>
    <x:row r="2376">
      <x:c r="B2376" s="26"/>
      <x:c r="I2376" s="27"/>
      <x:c r="K2376" s="28"/>
      <x:c r="L2376" s="28"/>
      <x:c r="M2376" s="28"/>
      <x:c r="N2376" s="28"/>
      <x:c r="O2376" s="28"/>
    </x:row>
    <x:row r="2377">
      <x:c r="B2377" s="26"/>
      <x:c r="I2377" s="27"/>
      <x:c r="K2377" s="28"/>
      <x:c r="L2377" s="28"/>
      <x:c r="M2377" s="28"/>
      <x:c r="N2377" s="28"/>
      <x:c r="O2377" s="28"/>
    </x:row>
    <x:row r="2378">
      <x:c r="B2378" s="26"/>
      <x:c r="I2378" s="27"/>
      <x:c r="K2378" s="28"/>
      <x:c r="L2378" s="28"/>
      <x:c r="M2378" s="28"/>
      <x:c r="N2378" s="28"/>
      <x:c r="O2378" s="28"/>
    </x:row>
    <x:row r="2379">
      <x:c r="B2379" s="26"/>
      <x:c r="I2379" s="27"/>
      <x:c r="K2379" s="28"/>
      <x:c r="L2379" s="28"/>
      <x:c r="M2379" s="28"/>
      <x:c r="N2379" s="28"/>
      <x:c r="O2379" s="28"/>
    </x:row>
    <x:row r="2380">
      <x:c r="B2380" s="26"/>
      <x:c r="I2380" s="27"/>
      <x:c r="K2380" s="28"/>
      <x:c r="L2380" s="28"/>
      <x:c r="M2380" s="28"/>
      <x:c r="N2380" s="28"/>
      <x:c r="O2380" s="28"/>
    </x:row>
    <x:row r="2381">
      <x:c r="B2381" s="26"/>
      <x:c r="I2381" s="27"/>
      <x:c r="K2381" s="28"/>
      <x:c r="L2381" s="28"/>
      <x:c r="M2381" s="28"/>
      <x:c r="N2381" s="28"/>
      <x:c r="O2381" s="28"/>
    </x:row>
    <x:row r="2382">
      <x:c r="B2382" s="26"/>
      <x:c r="I2382" s="27"/>
      <x:c r="K2382" s="28"/>
      <x:c r="L2382" s="28"/>
      <x:c r="M2382" s="28"/>
      <x:c r="N2382" s="28"/>
      <x:c r="O2382" s="28"/>
    </x:row>
    <x:row r="2383">
      <x:c r="B2383" s="26"/>
      <x:c r="I2383" s="27"/>
      <x:c r="K2383" s="28"/>
      <x:c r="L2383" s="28"/>
      <x:c r="M2383" s="28"/>
      <x:c r="N2383" s="28"/>
      <x:c r="O2383" s="28"/>
    </x:row>
    <x:row r="2384">
      <x:c r="B2384" s="26"/>
      <x:c r="I2384" s="27"/>
      <x:c r="K2384" s="28"/>
      <x:c r="L2384" s="28"/>
      <x:c r="M2384" s="28"/>
      <x:c r="N2384" s="28"/>
      <x:c r="O2384" s="28"/>
    </x:row>
    <x:row r="2385">
      <x:c r="B2385" s="26"/>
      <x:c r="I2385" s="27"/>
      <x:c r="K2385" s="28"/>
      <x:c r="L2385" s="28"/>
      <x:c r="M2385" s="28"/>
      <x:c r="N2385" s="28"/>
      <x:c r="O2385" s="28"/>
    </x:row>
    <x:row r="2386">
      <x:c r="B2386" s="26"/>
      <x:c r="I2386" s="27"/>
      <x:c r="K2386" s="28"/>
      <x:c r="L2386" s="28"/>
      <x:c r="M2386" s="28"/>
      <x:c r="N2386" s="28"/>
      <x:c r="O2386" s="28"/>
    </x:row>
    <x:row r="2387">
      <x:c r="B2387" s="26"/>
      <x:c r="I2387" s="27"/>
      <x:c r="K2387" s="28"/>
      <x:c r="L2387" s="28"/>
      <x:c r="M2387" s="28"/>
      <x:c r="N2387" s="28"/>
      <x:c r="O2387" s="28"/>
    </x:row>
    <x:row r="2388">
      <x:c r="B2388" s="26"/>
      <x:c r="I2388" s="27"/>
      <x:c r="K2388" s="28"/>
      <x:c r="L2388" s="28"/>
      <x:c r="M2388" s="28"/>
      <x:c r="N2388" s="28"/>
      <x:c r="O2388" s="28"/>
    </x:row>
    <x:row r="2389">
      <x:c r="B2389" s="26"/>
      <x:c r="I2389" s="27"/>
      <x:c r="K2389" s="28"/>
      <x:c r="L2389" s="28"/>
      <x:c r="M2389" s="28"/>
      <x:c r="N2389" s="28"/>
      <x:c r="O2389" s="28"/>
    </x:row>
    <x:row r="2390">
      <x:c r="B2390" s="26"/>
      <x:c r="I2390" s="27"/>
      <x:c r="K2390" s="28"/>
      <x:c r="L2390" s="28"/>
      <x:c r="M2390" s="28"/>
      <x:c r="N2390" s="28"/>
      <x:c r="O2390" s="28"/>
    </x:row>
    <x:row r="2391">
      <x:c r="B2391" s="26"/>
      <x:c r="I2391" s="27"/>
      <x:c r="K2391" s="28"/>
      <x:c r="L2391" s="28"/>
      <x:c r="M2391" s="28"/>
      <x:c r="N2391" s="28"/>
      <x:c r="O2391" s="28"/>
    </x:row>
    <x:row r="2392">
      <x:c r="B2392" s="26"/>
      <x:c r="I2392" s="27"/>
      <x:c r="K2392" s="28"/>
      <x:c r="L2392" s="28"/>
      <x:c r="M2392" s="28"/>
      <x:c r="N2392" s="28"/>
      <x:c r="O2392" s="28"/>
    </x:row>
    <x:row r="2393">
      <x:c r="B2393" s="26"/>
      <x:c r="I2393" s="27"/>
      <x:c r="K2393" s="28"/>
      <x:c r="L2393" s="28"/>
      <x:c r="M2393" s="28"/>
      <x:c r="N2393" s="28"/>
      <x:c r="O2393" s="28"/>
    </x:row>
    <x:row r="2394">
      <x:c r="B2394" s="26"/>
      <x:c r="I2394" s="27"/>
      <x:c r="K2394" s="28"/>
      <x:c r="L2394" s="28"/>
      <x:c r="M2394" s="28"/>
      <x:c r="N2394" s="28"/>
      <x:c r="O2394" s="28"/>
    </x:row>
    <x:row r="2395">
      <x:c r="B2395" s="26"/>
      <x:c r="I2395" s="27"/>
      <x:c r="K2395" s="28"/>
      <x:c r="L2395" s="28"/>
      <x:c r="M2395" s="28"/>
      <x:c r="N2395" s="28"/>
      <x:c r="O2395" s="28"/>
    </x:row>
    <x:row r="2396">
      <x:c r="B2396" s="26"/>
      <x:c r="I2396" s="27"/>
      <x:c r="K2396" s="28"/>
      <x:c r="L2396" s="28"/>
      <x:c r="M2396" s="28"/>
      <x:c r="N2396" s="28"/>
      <x:c r="O2396" s="28"/>
    </x:row>
    <x:row r="2397">
      <x:c r="B2397" s="26"/>
      <x:c r="I2397" s="27"/>
      <x:c r="K2397" s="28"/>
      <x:c r="L2397" s="28"/>
      <x:c r="M2397" s="28"/>
      <x:c r="N2397" s="28"/>
      <x:c r="O2397" s="28"/>
    </x:row>
    <x:row r="2398">
      <x:c r="B2398" s="26"/>
      <x:c r="I2398" s="27"/>
      <x:c r="K2398" s="28"/>
      <x:c r="L2398" s="28"/>
      <x:c r="M2398" s="28"/>
      <x:c r="N2398" s="28"/>
      <x:c r="O2398" s="28"/>
    </x:row>
    <x:row r="2399">
      <x:c r="B2399" s="26"/>
      <x:c r="I2399" s="27"/>
      <x:c r="K2399" s="28"/>
      <x:c r="L2399" s="28"/>
      <x:c r="M2399" s="28"/>
      <x:c r="N2399" s="28"/>
      <x:c r="O2399" s="28"/>
    </x:row>
    <x:row r="2400">
      <x:c r="B2400" s="26"/>
      <x:c r="I2400" s="27"/>
      <x:c r="K2400" s="28"/>
      <x:c r="L2400" s="28"/>
      <x:c r="M2400" s="28"/>
      <x:c r="N2400" s="28"/>
      <x:c r="O2400" s="28"/>
    </x:row>
    <x:row r="2401">
      <x:c r="B2401" s="26"/>
      <x:c r="I2401" s="27"/>
      <x:c r="K2401" s="28"/>
      <x:c r="L2401" s="28"/>
      <x:c r="M2401" s="28"/>
      <x:c r="N2401" s="28"/>
      <x:c r="O2401" s="28"/>
    </x:row>
    <x:row r="2402">
      <x:c r="B2402" s="26"/>
      <x:c r="I2402" s="27"/>
      <x:c r="K2402" s="28"/>
      <x:c r="L2402" s="28"/>
      <x:c r="M2402" s="28"/>
      <x:c r="N2402" s="28"/>
      <x:c r="O2402" s="28"/>
    </x:row>
    <x:row r="2403">
      <x:c r="B2403" s="26"/>
      <x:c r="I2403" s="27"/>
      <x:c r="K2403" s="28"/>
      <x:c r="L2403" s="28"/>
      <x:c r="M2403" s="28"/>
      <x:c r="N2403" s="28"/>
      <x:c r="O2403" s="28"/>
    </x:row>
    <x:row r="2404">
      <x:c r="B2404" s="26"/>
      <x:c r="I2404" s="27"/>
      <x:c r="K2404" s="28"/>
      <x:c r="L2404" s="28"/>
      <x:c r="M2404" s="28"/>
      <x:c r="N2404" s="28"/>
      <x:c r="O2404" s="28"/>
    </x:row>
    <x:row r="2405">
      <x:c r="B2405" s="26"/>
      <x:c r="I2405" s="27"/>
      <x:c r="K2405" s="28"/>
      <x:c r="L2405" s="28"/>
      <x:c r="M2405" s="28"/>
      <x:c r="N2405" s="28"/>
      <x:c r="O2405" s="28"/>
    </x:row>
    <x:row r="2406">
      <x:c r="B2406" s="26"/>
      <x:c r="I2406" s="27"/>
      <x:c r="K2406" s="28"/>
      <x:c r="L2406" s="28"/>
      <x:c r="M2406" s="28"/>
      <x:c r="N2406" s="28"/>
      <x:c r="O2406" s="28"/>
    </x:row>
    <x:row r="2407">
      <x:c r="B2407" s="26"/>
      <x:c r="I2407" s="27"/>
      <x:c r="K2407" s="28"/>
      <x:c r="L2407" s="28"/>
      <x:c r="M2407" s="28"/>
      <x:c r="N2407" s="28"/>
      <x:c r="O2407" s="28"/>
    </x:row>
    <x:row r="2408">
      <x:c r="B2408" s="26"/>
      <x:c r="I2408" s="27"/>
      <x:c r="K2408" s="28"/>
      <x:c r="L2408" s="28"/>
      <x:c r="M2408" s="28"/>
      <x:c r="N2408" s="28"/>
      <x:c r="O2408" s="28"/>
    </x:row>
    <x:row r="2409">
      <x:c r="B2409" s="26"/>
      <x:c r="I2409" s="27"/>
      <x:c r="K2409" s="28"/>
      <x:c r="L2409" s="28"/>
      <x:c r="M2409" s="28"/>
      <x:c r="N2409" s="28"/>
      <x:c r="O2409" s="28"/>
    </x:row>
    <x:row r="2410">
      <x:c r="B2410" s="26"/>
      <x:c r="I2410" s="27"/>
      <x:c r="K2410" s="28"/>
      <x:c r="L2410" s="28"/>
      <x:c r="M2410" s="28"/>
      <x:c r="N2410" s="28"/>
      <x:c r="O2410" s="28"/>
    </x:row>
    <x:row r="2411">
      <x:c r="B2411" s="26"/>
      <x:c r="I2411" s="27"/>
      <x:c r="K2411" s="28"/>
      <x:c r="L2411" s="28"/>
      <x:c r="M2411" s="28"/>
      <x:c r="N2411" s="28"/>
      <x:c r="O2411" s="28"/>
    </x:row>
    <x:row r="2412">
      <x:c r="B2412" s="26"/>
      <x:c r="I2412" s="27"/>
      <x:c r="K2412" s="28"/>
      <x:c r="L2412" s="28"/>
      <x:c r="M2412" s="28"/>
      <x:c r="N2412" s="28"/>
      <x:c r="O2412" s="28"/>
    </x:row>
    <x:row r="2413">
      <x:c r="B2413" s="26"/>
      <x:c r="I2413" s="27"/>
      <x:c r="K2413" s="28"/>
      <x:c r="L2413" s="28"/>
      <x:c r="M2413" s="28"/>
      <x:c r="N2413" s="28"/>
      <x:c r="O2413" s="28"/>
    </x:row>
    <x:row r="2414">
      <x:c r="B2414" s="26"/>
      <x:c r="I2414" s="27"/>
      <x:c r="K2414" s="28"/>
      <x:c r="L2414" s="28"/>
      <x:c r="M2414" s="28"/>
      <x:c r="N2414" s="28"/>
      <x:c r="O2414" s="28"/>
    </x:row>
    <x:row r="2415">
      <x:c r="B2415" s="26"/>
      <x:c r="I2415" s="27"/>
      <x:c r="K2415" s="28"/>
      <x:c r="L2415" s="28"/>
      <x:c r="M2415" s="28"/>
      <x:c r="N2415" s="28"/>
      <x:c r="O2415" s="28"/>
    </x:row>
    <x:row r="2416">
      <x:c r="B2416" s="26"/>
      <x:c r="I2416" s="27"/>
      <x:c r="K2416" s="28"/>
      <x:c r="L2416" s="28"/>
      <x:c r="M2416" s="28"/>
      <x:c r="N2416" s="28"/>
      <x:c r="O2416" s="28"/>
    </x:row>
    <x:row r="2417">
      <x:c r="B2417" s="26"/>
      <x:c r="I2417" s="27"/>
      <x:c r="K2417" s="28"/>
      <x:c r="L2417" s="28"/>
      <x:c r="M2417" s="28"/>
      <x:c r="N2417" s="28"/>
      <x:c r="O2417" s="28"/>
    </x:row>
    <x:row r="2418">
      <x:c r="B2418" s="26"/>
      <x:c r="I2418" s="27"/>
      <x:c r="K2418" s="28"/>
      <x:c r="L2418" s="28"/>
      <x:c r="M2418" s="28"/>
      <x:c r="N2418" s="28"/>
      <x:c r="O2418" s="28"/>
    </x:row>
    <x:row r="2419">
      <x:c r="B2419" s="26"/>
      <x:c r="I2419" s="27"/>
      <x:c r="K2419" s="28"/>
      <x:c r="L2419" s="28"/>
      <x:c r="M2419" s="28"/>
      <x:c r="N2419" s="28"/>
      <x:c r="O2419" s="28"/>
    </x:row>
    <x:row r="2420">
      <x:c r="B2420" s="26"/>
      <x:c r="I2420" s="27"/>
      <x:c r="K2420" s="28"/>
      <x:c r="L2420" s="28"/>
      <x:c r="M2420" s="28"/>
      <x:c r="N2420" s="28"/>
      <x:c r="O2420" s="28"/>
    </x:row>
    <x:row r="2421">
      <x:c r="B2421" s="26"/>
      <x:c r="I2421" s="27"/>
      <x:c r="K2421" s="28"/>
      <x:c r="L2421" s="28"/>
      <x:c r="M2421" s="28"/>
      <x:c r="N2421" s="28"/>
      <x:c r="O2421" s="28"/>
    </x:row>
    <x:row r="2422">
      <x:c r="B2422" s="26"/>
      <x:c r="I2422" s="27"/>
      <x:c r="K2422" s="28"/>
      <x:c r="L2422" s="28"/>
      <x:c r="M2422" s="28"/>
      <x:c r="N2422" s="28"/>
      <x:c r="O2422" s="28"/>
    </x:row>
    <x:row r="2423">
      <x:c r="B2423" s="26"/>
      <x:c r="I2423" s="27"/>
      <x:c r="K2423" s="28"/>
      <x:c r="L2423" s="28"/>
      <x:c r="M2423" s="28"/>
      <x:c r="N2423" s="28"/>
      <x:c r="O2423" s="28"/>
    </x:row>
    <x:row r="2424">
      <x:c r="B2424" s="26"/>
      <x:c r="I2424" s="27"/>
      <x:c r="K2424" s="28"/>
      <x:c r="L2424" s="28"/>
      <x:c r="M2424" s="28"/>
      <x:c r="N2424" s="28"/>
      <x:c r="O2424" s="28"/>
    </x:row>
    <x:row r="2425">
      <x:c r="B2425" s="26"/>
      <x:c r="I2425" s="27"/>
      <x:c r="K2425" s="28"/>
      <x:c r="L2425" s="28"/>
      <x:c r="M2425" s="28"/>
      <x:c r="N2425" s="28"/>
      <x:c r="O2425" s="28"/>
    </x:row>
    <x:row r="2426">
      <x:c r="B2426" s="26"/>
      <x:c r="I2426" s="27"/>
      <x:c r="K2426" s="28"/>
      <x:c r="L2426" s="28"/>
      <x:c r="M2426" s="28"/>
      <x:c r="N2426" s="28"/>
      <x:c r="O2426" s="28"/>
    </x:row>
    <x:row r="2427">
      <x:c r="B2427" s="26"/>
      <x:c r="I2427" s="27"/>
      <x:c r="K2427" s="28"/>
      <x:c r="L2427" s="28"/>
      <x:c r="M2427" s="28"/>
      <x:c r="N2427" s="28"/>
      <x:c r="O2427" s="28"/>
    </x:row>
    <x:row r="2428">
      <x:c r="B2428" s="26"/>
      <x:c r="I2428" s="27"/>
      <x:c r="K2428" s="28"/>
      <x:c r="L2428" s="28"/>
      <x:c r="M2428" s="28"/>
      <x:c r="N2428" s="28"/>
      <x:c r="O2428" s="28"/>
    </x:row>
    <x:row r="2429">
      <x:c r="B2429" s="26"/>
      <x:c r="I2429" s="27"/>
      <x:c r="K2429" s="28"/>
      <x:c r="L2429" s="28"/>
      <x:c r="M2429" s="28"/>
      <x:c r="N2429" s="28"/>
      <x:c r="O2429" s="28"/>
    </x:row>
    <x:row r="2430">
      <x:c r="B2430" s="26"/>
      <x:c r="I2430" s="27"/>
      <x:c r="K2430" s="28"/>
      <x:c r="L2430" s="28"/>
      <x:c r="M2430" s="28"/>
      <x:c r="N2430" s="28"/>
      <x:c r="O2430" s="28"/>
    </x:row>
    <x:row r="2431">
      <x:c r="B2431" s="26"/>
      <x:c r="I2431" s="27"/>
      <x:c r="K2431" s="28"/>
      <x:c r="L2431" s="28"/>
      <x:c r="M2431" s="28"/>
      <x:c r="N2431" s="28"/>
      <x:c r="O2431" s="28"/>
    </x:row>
    <x:row r="2432">
      <x:c r="B2432" s="26"/>
      <x:c r="I2432" s="27"/>
      <x:c r="K2432" s="28"/>
      <x:c r="L2432" s="28"/>
      <x:c r="M2432" s="28"/>
      <x:c r="N2432" s="28"/>
      <x:c r="O2432" s="28"/>
    </x:row>
    <x:row r="2433">
      <x:c r="B2433" s="26"/>
      <x:c r="I2433" s="27"/>
      <x:c r="K2433" s="28"/>
      <x:c r="L2433" s="28"/>
      <x:c r="M2433" s="28"/>
      <x:c r="N2433" s="28"/>
      <x:c r="O2433" s="28"/>
    </x:row>
    <x:row r="2434">
      <x:c r="B2434" s="26"/>
      <x:c r="I2434" s="27"/>
      <x:c r="K2434" s="28"/>
      <x:c r="L2434" s="28"/>
      <x:c r="M2434" s="28"/>
      <x:c r="N2434" s="28"/>
      <x:c r="O2434" s="28"/>
    </x:row>
    <x:row r="2435">
      <x:c r="B2435" s="26"/>
      <x:c r="I2435" s="27"/>
      <x:c r="K2435" s="28"/>
      <x:c r="L2435" s="28"/>
      <x:c r="M2435" s="28"/>
      <x:c r="N2435" s="28"/>
      <x:c r="O2435" s="28"/>
    </x:row>
    <x:row r="2436">
      <x:c r="B2436" s="26"/>
      <x:c r="I2436" s="27"/>
      <x:c r="K2436" s="28"/>
      <x:c r="L2436" s="28"/>
      <x:c r="M2436" s="28"/>
      <x:c r="N2436" s="28"/>
      <x:c r="O2436" s="28"/>
    </x:row>
    <x:row r="2437">
      <x:c r="B2437" s="26"/>
      <x:c r="I2437" s="27"/>
      <x:c r="K2437" s="28"/>
      <x:c r="L2437" s="28"/>
      <x:c r="M2437" s="28"/>
      <x:c r="N2437" s="28"/>
      <x:c r="O2437" s="28"/>
    </x:row>
    <x:row r="2438">
      <x:c r="B2438" s="26"/>
      <x:c r="I2438" s="27"/>
      <x:c r="K2438" s="28"/>
      <x:c r="L2438" s="28"/>
      <x:c r="M2438" s="28"/>
      <x:c r="N2438" s="28"/>
      <x:c r="O2438" s="28"/>
    </x:row>
    <x:row r="2439">
      <x:c r="B2439" s="26"/>
      <x:c r="I2439" s="27"/>
      <x:c r="K2439" s="28"/>
      <x:c r="L2439" s="28"/>
      <x:c r="M2439" s="28"/>
      <x:c r="N2439" s="28"/>
      <x:c r="O2439" s="28"/>
    </x:row>
    <x:row r="2440">
      <x:c r="B2440" s="26"/>
      <x:c r="I2440" s="27"/>
      <x:c r="K2440" s="28"/>
      <x:c r="L2440" s="28"/>
      <x:c r="M2440" s="28"/>
      <x:c r="N2440" s="28"/>
      <x:c r="O2440" s="28"/>
    </x:row>
    <x:row r="2441">
      <x:c r="B2441" s="26"/>
      <x:c r="I2441" s="27"/>
      <x:c r="K2441" s="28"/>
      <x:c r="L2441" s="28"/>
      <x:c r="M2441" s="28"/>
      <x:c r="N2441" s="28"/>
      <x:c r="O2441" s="28"/>
    </x:row>
    <x:row r="2442">
      <x:c r="B2442" s="26"/>
      <x:c r="I2442" s="27"/>
      <x:c r="K2442" s="28"/>
      <x:c r="L2442" s="28"/>
      <x:c r="M2442" s="28"/>
      <x:c r="N2442" s="28"/>
      <x:c r="O2442" s="28"/>
    </x:row>
    <x:row r="2443">
      <x:c r="B2443" s="26"/>
      <x:c r="I2443" s="27"/>
      <x:c r="K2443" s="28"/>
      <x:c r="L2443" s="28"/>
      <x:c r="M2443" s="28"/>
      <x:c r="N2443" s="28"/>
      <x:c r="O2443" s="28"/>
    </x:row>
    <x:row r="2444">
      <x:c r="B2444" s="26"/>
      <x:c r="I2444" s="27"/>
      <x:c r="K2444" s="28"/>
      <x:c r="L2444" s="28"/>
      <x:c r="M2444" s="28"/>
      <x:c r="N2444" s="28"/>
      <x:c r="O2444" s="28"/>
    </x:row>
    <x:row r="2445">
      <x:c r="B2445" s="26"/>
      <x:c r="I2445" s="27"/>
      <x:c r="K2445" s="28"/>
      <x:c r="L2445" s="28"/>
      <x:c r="M2445" s="28"/>
      <x:c r="N2445" s="28"/>
      <x:c r="O2445" s="28"/>
    </x:row>
    <x:row r="2446">
      <x:c r="B2446" s="26"/>
      <x:c r="I2446" s="27"/>
      <x:c r="K2446" s="28"/>
      <x:c r="L2446" s="28"/>
      <x:c r="M2446" s="28"/>
      <x:c r="N2446" s="28"/>
      <x:c r="O2446" s="28"/>
    </x:row>
    <x:row r="2447">
      <x:c r="B2447" s="26"/>
      <x:c r="I2447" s="27"/>
      <x:c r="K2447" s="28"/>
      <x:c r="L2447" s="28"/>
      <x:c r="M2447" s="28"/>
      <x:c r="N2447" s="28"/>
      <x:c r="O2447" s="28"/>
    </x:row>
    <x:row r="2448">
      <x:c r="B2448" s="26"/>
      <x:c r="I2448" s="27"/>
      <x:c r="K2448" s="28"/>
      <x:c r="L2448" s="28"/>
      <x:c r="M2448" s="28"/>
      <x:c r="N2448" s="28"/>
      <x:c r="O2448" s="28"/>
    </x:row>
    <x:row r="2449">
      <x:c r="B2449" s="26"/>
      <x:c r="I2449" s="27"/>
      <x:c r="K2449" s="28"/>
      <x:c r="L2449" s="28"/>
      <x:c r="M2449" s="28"/>
      <x:c r="N2449" s="28"/>
      <x:c r="O2449" s="28"/>
    </x:row>
    <x:row r="2450">
      <x:c r="B2450" s="26"/>
      <x:c r="I2450" s="27"/>
      <x:c r="K2450" s="28"/>
      <x:c r="L2450" s="28"/>
      <x:c r="M2450" s="28"/>
      <x:c r="N2450" s="28"/>
      <x:c r="O2450" s="28"/>
    </x:row>
    <x:row r="2451">
      <x:c r="B2451" s="26"/>
      <x:c r="I2451" s="27"/>
      <x:c r="K2451" s="28"/>
      <x:c r="L2451" s="28"/>
      <x:c r="M2451" s="28"/>
      <x:c r="N2451" s="28"/>
      <x:c r="O2451" s="28"/>
    </x:row>
    <x:row r="2452">
      <x:c r="B2452" s="26"/>
      <x:c r="I2452" s="27"/>
      <x:c r="K2452" s="28"/>
      <x:c r="L2452" s="28"/>
      <x:c r="M2452" s="28"/>
      <x:c r="N2452" s="28"/>
      <x:c r="O2452" s="28"/>
    </x:row>
    <x:row r="2453">
      <x:c r="B2453" s="26"/>
      <x:c r="I2453" s="27"/>
      <x:c r="K2453" s="28"/>
      <x:c r="L2453" s="28"/>
      <x:c r="M2453" s="28"/>
      <x:c r="N2453" s="28"/>
      <x:c r="O2453" s="28"/>
    </x:row>
    <x:row r="2454">
      <x:c r="B2454" s="26"/>
      <x:c r="I2454" s="27"/>
      <x:c r="K2454" s="28"/>
      <x:c r="L2454" s="28"/>
      <x:c r="M2454" s="28"/>
      <x:c r="N2454" s="28"/>
      <x:c r="O2454" s="28"/>
    </x:row>
    <x:row r="2455">
      <x:c r="B2455" s="26"/>
      <x:c r="I2455" s="27"/>
      <x:c r="K2455" s="28"/>
      <x:c r="L2455" s="28"/>
      <x:c r="M2455" s="28"/>
      <x:c r="N2455" s="28"/>
      <x:c r="O2455" s="28"/>
    </x:row>
    <x:row r="2456">
      <x:c r="B2456" s="26"/>
      <x:c r="I2456" s="27"/>
      <x:c r="K2456" s="28"/>
      <x:c r="L2456" s="28"/>
      <x:c r="M2456" s="28"/>
      <x:c r="N2456" s="28"/>
      <x:c r="O2456" s="28"/>
    </x:row>
    <x:row r="2457">
      <x:c r="B2457" s="26"/>
      <x:c r="I2457" s="27"/>
      <x:c r="K2457" s="28"/>
      <x:c r="L2457" s="28"/>
      <x:c r="M2457" s="28"/>
      <x:c r="N2457" s="28"/>
      <x:c r="O2457" s="28"/>
    </x:row>
    <x:row r="2458">
      <x:c r="B2458" s="26"/>
      <x:c r="I2458" s="27"/>
      <x:c r="K2458" s="28"/>
      <x:c r="L2458" s="28"/>
      <x:c r="M2458" s="28"/>
      <x:c r="N2458" s="28"/>
      <x:c r="O2458" s="28"/>
    </x:row>
    <x:row r="2459">
      <x:c r="B2459" s="26"/>
      <x:c r="I2459" s="27"/>
      <x:c r="K2459" s="28"/>
      <x:c r="L2459" s="28"/>
      <x:c r="M2459" s="28"/>
      <x:c r="N2459" s="28"/>
      <x:c r="O2459" s="28"/>
    </x:row>
    <x:row r="2460">
      <x:c r="B2460" s="26"/>
      <x:c r="I2460" s="27"/>
      <x:c r="K2460" s="28"/>
      <x:c r="L2460" s="28"/>
      <x:c r="M2460" s="28"/>
      <x:c r="N2460" s="28"/>
      <x:c r="O2460" s="28"/>
    </x:row>
    <x:row r="2461">
      <x:c r="B2461" s="26"/>
      <x:c r="I2461" s="27"/>
      <x:c r="K2461" s="28"/>
      <x:c r="L2461" s="28"/>
      <x:c r="M2461" s="28"/>
      <x:c r="N2461" s="28"/>
      <x:c r="O2461" s="28"/>
    </x:row>
    <x:row r="2462">
      <x:c r="B2462" s="26"/>
      <x:c r="I2462" s="27"/>
      <x:c r="K2462" s="28"/>
      <x:c r="L2462" s="28"/>
      <x:c r="M2462" s="28"/>
      <x:c r="N2462" s="28"/>
      <x:c r="O2462" s="28"/>
    </x:row>
    <x:row r="2463">
      <x:c r="B2463" s="26"/>
      <x:c r="I2463" s="27"/>
      <x:c r="K2463" s="28"/>
      <x:c r="L2463" s="28"/>
      <x:c r="M2463" s="28"/>
      <x:c r="N2463" s="28"/>
      <x:c r="O2463" s="28"/>
    </x:row>
    <x:row r="2464">
      <x:c r="B2464" s="26"/>
      <x:c r="I2464" s="27"/>
      <x:c r="K2464" s="28"/>
      <x:c r="L2464" s="28"/>
      <x:c r="M2464" s="28"/>
      <x:c r="N2464" s="28"/>
      <x:c r="O2464" s="28"/>
    </x:row>
    <x:row r="2465">
      <x:c r="B2465" s="26"/>
      <x:c r="I2465" s="27"/>
      <x:c r="K2465" s="28"/>
      <x:c r="L2465" s="28"/>
      <x:c r="M2465" s="28"/>
      <x:c r="N2465" s="28"/>
      <x:c r="O2465" s="28"/>
    </x:row>
    <x:row r="2466">
      <x:c r="B2466" s="26"/>
      <x:c r="I2466" s="27"/>
      <x:c r="K2466" s="28"/>
      <x:c r="L2466" s="28"/>
      <x:c r="M2466" s="28"/>
      <x:c r="N2466" s="28"/>
      <x:c r="O2466" s="28"/>
    </x:row>
    <x:row r="2467">
      <x:c r="B2467" s="26"/>
      <x:c r="I2467" s="27"/>
      <x:c r="K2467" s="28"/>
      <x:c r="L2467" s="28"/>
      <x:c r="M2467" s="28"/>
      <x:c r="N2467" s="28"/>
      <x:c r="O2467" s="28"/>
    </x:row>
    <x:row r="2468">
      <x:c r="B2468" s="26"/>
      <x:c r="I2468" s="27"/>
      <x:c r="K2468" s="28"/>
      <x:c r="L2468" s="28"/>
      <x:c r="M2468" s="28"/>
      <x:c r="N2468" s="28"/>
      <x:c r="O2468" s="28"/>
    </x:row>
    <x:row r="2469">
      <x:c r="B2469" s="26"/>
      <x:c r="I2469" s="27"/>
      <x:c r="K2469" s="28"/>
      <x:c r="L2469" s="28"/>
      <x:c r="M2469" s="28"/>
      <x:c r="N2469" s="28"/>
      <x:c r="O2469" s="28"/>
    </x:row>
    <x:row r="2470">
      <x:c r="B2470" s="26"/>
      <x:c r="I2470" s="27"/>
      <x:c r="K2470" s="28"/>
      <x:c r="L2470" s="28"/>
      <x:c r="M2470" s="28"/>
      <x:c r="N2470" s="28"/>
      <x:c r="O2470" s="28"/>
    </x:row>
    <x:row r="2471">
      <x:c r="B2471" s="26"/>
      <x:c r="I2471" s="27"/>
      <x:c r="K2471" s="28"/>
      <x:c r="L2471" s="28"/>
      <x:c r="M2471" s="28"/>
      <x:c r="N2471" s="28"/>
      <x:c r="O2471" s="28"/>
    </x:row>
    <x:row r="2472">
      <x:c r="B2472" s="26"/>
      <x:c r="I2472" s="27"/>
      <x:c r="K2472" s="28"/>
      <x:c r="L2472" s="28"/>
      <x:c r="M2472" s="28"/>
      <x:c r="N2472" s="28"/>
      <x:c r="O2472" s="28"/>
    </x:row>
    <x:row r="2473">
      <x:c r="B2473" s="26"/>
      <x:c r="I2473" s="27"/>
      <x:c r="K2473" s="28"/>
      <x:c r="L2473" s="28"/>
      <x:c r="M2473" s="28"/>
      <x:c r="N2473" s="28"/>
      <x:c r="O2473" s="28"/>
    </x:row>
    <x:row r="2474">
      <x:c r="B2474" s="26"/>
      <x:c r="I2474" s="27"/>
      <x:c r="K2474" s="28"/>
      <x:c r="L2474" s="28"/>
      <x:c r="M2474" s="28"/>
      <x:c r="N2474" s="28"/>
      <x:c r="O2474" s="28"/>
    </x:row>
    <x:row r="2475">
      <x:c r="B2475" s="26"/>
      <x:c r="I2475" s="27"/>
      <x:c r="K2475" s="28"/>
      <x:c r="L2475" s="28"/>
      <x:c r="M2475" s="28"/>
      <x:c r="N2475" s="28"/>
      <x:c r="O2475" s="28"/>
    </x:row>
    <x:row r="2476">
      <x:c r="B2476" s="26"/>
      <x:c r="I2476" s="27"/>
      <x:c r="K2476" s="28"/>
      <x:c r="L2476" s="28"/>
      <x:c r="M2476" s="28"/>
      <x:c r="N2476" s="28"/>
      <x:c r="O2476" s="28"/>
    </x:row>
    <x:row r="2477">
      <x:c r="B2477" s="26"/>
      <x:c r="I2477" s="27"/>
      <x:c r="K2477" s="28"/>
      <x:c r="L2477" s="28"/>
      <x:c r="M2477" s="28"/>
      <x:c r="N2477" s="28"/>
      <x:c r="O2477" s="28"/>
    </x:row>
    <x:row r="2478">
      <x:c r="B2478" s="26"/>
      <x:c r="I2478" s="27"/>
      <x:c r="K2478" s="28"/>
      <x:c r="L2478" s="28"/>
      <x:c r="M2478" s="28"/>
      <x:c r="N2478" s="28"/>
      <x:c r="O2478" s="28"/>
    </x:row>
    <x:row r="2479">
      <x:c r="B2479" s="26"/>
      <x:c r="I2479" s="27"/>
      <x:c r="K2479" s="28"/>
      <x:c r="L2479" s="28"/>
      <x:c r="M2479" s="28"/>
      <x:c r="N2479" s="28"/>
      <x:c r="O2479" s="28"/>
    </x:row>
    <x:row r="2480">
      <x:c r="B2480" s="26"/>
      <x:c r="I2480" s="27"/>
      <x:c r="K2480" s="28"/>
      <x:c r="L2480" s="28"/>
      <x:c r="M2480" s="28"/>
      <x:c r="N2480" s="28"/>
      <x:c r="O2480" s="28"/>
    </x:row>
    <x:row r="2481">
      <x:c r="B2481" s="26"/>
      <x:c r="I2481" s="27"/>
      <x:c r="K2481" s="28"/>
      <x:c r="L2481" s="28"/>
      <x:c r="M2481" s="28"/>
      <x:c r="N2481" s="28"/>
      <x:c r="O2481" s="28"/>
    </x:row>
    <x:row r="2482">
      <x:c r="B2482" s="26"/>
      <x:c r="I2482" s="27"/>
      <x:c r="K2482" s="28"/>
      <x:c r="L2482" s="28"/>
      <x:c r="M2482" s="28"/>
      <x:c r="N2482" s="28"/>
      <x:c r="O2482" s="28"/>
    </x:row>
    <x:row r="2483">
      <x:c r="B2483" s="26"/>
      <x:c r="I2483" s="27"/>
      <x:c r="K2483" s="28"/>
      <x:c r="L2483" s="28"/>
      <x:c r="M2483" s="28"/>
      <x:c r="N2483" s="28"/>
      <x:c r="O2483" s="28"/>
    </x:row>
    <x:row r="2484">
      <x:c r="B2484" s="26"/>
      <x:c r="I2484" s="27"/>
      <x:c r="K2484" s="28"/>
      <x:c r="L2484" s="28"/>
      <x:c r="M2484" s="28"/>
      <x:c r="N2484" s="28"/>
      <x:c r="O2484" s="28"/>
    </x:row>
    <x:row r="2485">
      <x:c r="B2485" s="26"/>
      <x:c r="I2485" s="27"/>
      <x:c r="K2485" s="28"/>
      <x:c r="L2485" s="28"/>
      <x:c r="M2485" s="28"/>
      <x:c r="N2485" s="28"/>
      <x:c r="O2485" s="28"/>
    </x:row>
    <x:row r="2486">
      <x:c r="B2486" s="26"/>
      <x:c r="I2486" s="27"/>
      <x:c r="K2486" s="28"/>
      <x:c r="L2486" s="28"/>
      <x:c r="M2486" s="28"/>
      <x:c r="N2486" s="28"/>
      <x:c r="O2486" s="28"/>
    </x:row>
    <x:row r="2487">
      <x:c r="B2487" s="26"/>
      <x:c r="I2487" s="27"/>
      <x:c r="K2487" s="28"/>
      <x:c r="L2487" s="28"/>
      <x:c r="M2487" s="28"/>
      <x:c r="N2487" s="28"/>
      <x:c r="O2487" s="28"/>
    </x:row>
    <x:row r="2488">
      <x:c r="B2488" s="26"/>
      <x:c r="I2488" s="27"/>
      <x:c r="K2488" s="28"/>
      <x:c r="L2488" s="28"/>
      <x:c r="M2488" s="28"/>
      <x:c r="N2488" s="28"/>
      <x:c r="O2488" s="28"/>
    </x:row>
    <x:row r="2489">
      <x:c r="B2489" s="26"/>
      <x:c r="I2489" s="27"/>
      <x:c r="K2489" s="28"/>
      <x:c r="L2489" s="28"/>
      <x:c r="M2489" s="28"/>
      <x:c r="N2489" s="28"/>
      <x:c r="O2489" s="28"/>
    </x:row>
    <x:row r="2490">
      <x:c r="B2490" s="26"/>
      <x:c r="I2490" s="27"/>
      <x:c r="K2490" s="28"/>
      <x:c r="L2490" s="28"/>
      <x:c r="M2490" s="28"/>
      <x:c r="N2490" s="28"/>
      <x:c r="O2490" s="28"/>
    </x:row>
    <x:row r="2491">
      <x:c r="B2491" s="26"/>
      <x:c r="I2491" s="27"/>
      <x:c r="K2491" s="28"/>
      <x:c r="L2491" s="28"/>
      <x:c r="M2491" s="28"/>
      <x:c r="N2491" s="28"/>
      <x:c r="O2491" s="28"/>
    </x:row>
    <x:row r="2492">
      <x:c r="B2492" s="26"/>
      <x:c r="I2492" s="27"/>
      <x:c r="K2492" s="28"/>
      <x:c r="L2492" s="28"/>
      <x:c r="M2492" s="28"/>
      <x:c r="N2492" s="28"/>
      <x:c r="O2492" s="28"/>
    </x:row>
    <x:row r="2493">
      <x:c r="B2493" s="26"/>
      <x:c r="I2493" s="27"/>
      <x:c r="K2493" s="28"/>
      <x:c r="L2493" s="28"/>
      <x:c r="M2493" s="28"/>
      <x:c r="N2493" s="28"/>
      <x:c r="O2493" s="28"/>
    </x:row>
    <x:row r="2494">
      <x:c r="B2494" s="26"/>
      <x:c r="I2494" s="27"/>
      <x:c r="K2494" s="28"/>
      <x:c r="L2494" s="28"/>
      <x:c r="M2494" s="28"/>
      <x:c r="N2494" s="28"/>
      <x:c r="O2494" s="28"/>
    </x:row>
    <x:row r="2495">
      <x:c r="B2495" s="26"/>
      <x:c r="I2495" s="27"/>
      <x:c r="K2495" s="28"/>
      <x:c r="L2495" s="28"/>
      <x:c r="M2495" s="28"/>
      <x:c r="N2495" s="28"/>
      <x:c r="O2495" s="28"/>
    </x:row>
    <x:row r="2496">
      <x:c r="B2496" s="26"/>
      <x:c r="I2496" s="27"/>
      <x:c r="K2496" s="28"/>
      <x:c r="L2496" s="28"/>
      <x:c r="M2496" s="28"/>
      <x:c r="N2496" s="28"/>
      <x:c r="O2496" s="28"/>
    </x:row>
    <x:row r="2497">
      <x:c r="B2497" s="26"/>
      <x:c r="I2497" s="27"/>
      <x:c r="K2497" s="28"/>
      <x:c r="L2497" s="28"/>
      <x:c r="M2497" s="28"/>
      <x:c r="N2497" s="28"/>
      <x:c r="O2497" s="28"/>
    </x:row>
    <x:row r="2498">
      <x:c r="B2498" s="26"/>
      <x:c r="I2498" s="27"/>
      <x:c r="K2498" s="28"/>
      <x:c r="L2498" s="28"/>
      <x:c r="M2498" s="28"/>
      <x:c r="N2498" s="28"/>
      <x:c r="O2498" s="28"/>
    </x:row>
    <x:row r="2499">
      <x:c r="B2499" s="26"/>
      <x:c r="I2499" s="27"/>
      <x:c r="K2499" s="28"/>
      <x:c r="L2499" s="28"/>
      <x:c r="M2499" s="28"/>
      <x:c r="N2499" s="28"/>
      <x:c r="O2499" s="28"/>
    </x:row>
    <x:row r="2500">
      <x:c r="B2500" s="26"/>
      <x:c r="I2500" s="27"/>
      <x:c r="K2500" s="28"/>
      <x:c r="L2500" s="28"/>
      <x:c r="M2500" s="28"/>
      <x:c r="N2500" s="28"/>
      <x:c r="O2500" s="28"/>
    </x:row>
    <x:row r="2501">
      <x:c r="B2501" s="26"/>
      <x:c r="I2501" s="27"/>
      <x:c r="K2501" s="28"/>
      <x:c r="L2501" s="28"/>
      <x:c r="M2501" s="28"/>
      <x:c r="N2501" s="28"/>
      <x:c r="O2501" s="28"/>
    </x:row>
    <x:row r="2502">
      <x:c r="B2502" s="26"/>
      <x:c r="I2502" s="27"/>
      <x:c r="K2502" s="28"/>
      <x:c r="L2502" s="28"/>
      <x:c r="M2502" s="28"/>
      <x:c r="N2502" s="28"/>
      <x:c r="O2502" s="28"/>
    </x:row>
    <x:row r="2503">
      <x:c r="B2503" s="26"/>
      <x:c r="I2503" s="27"/>
      <x:c r="K2503" s="28"/>
      <x:c r="L2503" s="28"/>
      <x:c r="M2503" s="28"/>
      <x:c r="N2503" s="28"/>
      <x:c r="O2503" s="28"/>
    </x:row>
    <x:row r="2504">
      <x:c r="B2504" s="26"/>
      <x:c r="I2504" s="27"/>
      <x:c r="K2504" s="28"/>
      <x:c r="L2504" s="28"/>
      <x:c r="M2504" s="28"/>
      <x:c r="N2504" s="28"/>
      <x:c r="O2504" s="28"/>
    </x:row>
    <x:row r="2505">
      <x:c r="B2505" s="26"/>
      <x:c r="I2505" s="27"/>
      <x:c r="K2505" s="28"/>
      <x:c r="L2505" s="28"/>
      <x:c r="M2505" s="28"/>
      <x:c r="N2505" s="28"/>
      <x:c r="O2505" s="28"/>
    </x:row>
    <x:row r="2506">
      <x:c r="B2506" s="26"/>
      <x:c r="I2506" s="27"/>
      <x:c r="K2506" s="28"/>
      <x:c r="L2506" s="28"/>
      <x:c r="M2506" s="28"/>
      <x:c r="N2506" s="28"/>
      <x:c r="O2506" s="28"/>
    </x:row>
    <x:row r="2507">
      <x:c r="B2507" s="26"/>
      <x:c r="I2507" s="27"/>
      <x:c r="K2507" s="28"/>
      <x:c r="L2507" s="28"/>
      <x:c r="M2507" s="28"/>
      <x:c r="N2507" s="28"/>
      <x:c r="O2507" s="28"/>
    </x:row>
    <x:row r="2508">
      <x:c r="B2508" s="26"/>
      <x:c r="I2508" s="27"/>
      <x:c r="K2508" s="28"/>
      <x:c r="L2508" s="28"/>
      <x:c r="M2508" s="28"/>
      <x:c r="N2508" s="28"/>
      <x:c r="O2508" s="28"/>
    </x:row>
    <x:row r="2509">
      <x:c r="B2509" s="26"/>
      <x:c r="I2509" s="27"/>
      <x:c r="K2509" s="28"/>
      <x:c r="L2509" s="28"/>
      <x:c r="M2509" s="28"/>
      <x:c r="N2509" s="28"/>
      <x:c r="O2509" s="28"/>
    </x:row>
    <x:row r="2510">
      <x:c r="B2510" s="26"/>
      <x:c r="I2510" s="27"/>
      <x:c r="K2510" s="28"/>
      <x:c r="L2510" s="28"/>
      <x:c r="M2510" s="28"/>
      <x:c r="N2510" s="28"/>
      <x:c r="O2510" s="28"/>
    </x:row>
    <x:row r="2511">
      <x:c r="B2511" s="26"/>
      <x:c r="I2511" s="27"/>
      <x:c r="K2511" s="28"/>
      <x:c r="L2511" s="28"/>
      <x:c r="M2511" s="28"/>
      <x:c r="N2511" s="28"/>
      <x:c r="O2511" s="28"/>
    </x:row>
    <x:row r="2512">
      <x:c r="B2512" s="26"/>
      <x:c r="I2512" s="27"/>
      <x:c r="K2512" s="28"/>
      <x:c r="L2512" s="28"/>
      <x:c r="M2512" s="28"/>
      <x:c r="N2512" s="28"/>
      <x:c r="O2512" s="28"/>
    </x:row>
    <x:row r="2513">
      <x:c r="B2513" s="26"/>
      <x:c r="I2513" s="27"/>
      <x:c r="K2513" s="28"/>
      <x:c r="L2513" s="28"/>
      <x:c r="M2513" s="28"/>
      <x:c r="N2513" s="28"/>
      <x:c r="O2513" s="28"/>
    </x:row>
    <x:row r="2514">
      <x:c r="B2514" s="26"/>
      <x:c r="I2514" s="27"/>
      <x:c r="K2514" s="28"/>
      <x:c r="L2514" s="28"/>
      <x:c r="M2514" s="28"/>
      <x:c r="N2514" s="28"/>
      <x:c r="O2514" s="28"/>
    </x:row>
    <x:row r="2515">
      <x:c r="B2515" s="26"/>
      <x:c r="I2515" s="27"/>
      <x:c r="K2515" s="28"/>
      <x:c r="L2515" s="28"/>
      <x:c r="M2515" s="28"/>
      <x:c r="N2515" s="28"/>
      <x:c r="O2515" s="28"/>
    </x:row>
    <x:row r="2516">
      <x:c r="B2516" s="26"/>
      <x:c r="I2516" s="27"/>
      <x:c r="K2516" s="28"/>
      <x:c r="L2516" s="28"/>
      <x:c r="M2516" s="28"/>
      <x:c r="N2516" s="28"/>
      <x:c r="O2516" s="28"/>
    </x:row>
    <x:row r="2517">
      <x:c r="B2517" s="26"/>
      <x:c r="I2517" s="27"/>
      <x:c r="K2517" s="28"/>
      <x:c r="L2517" s="28"/>
      <x:c r="M2517" s="28"/>
      <x:c r="N2517" s="28"/>
      <x:c r="O2517" s="28"/>
    </x:row>
    <x:row r="2518">
      <x:c r="B2518" s="26"/>
      <x:c r="I2518" s="27"/>
      <x:c r="K2518" s="28"/>
      <x:c r="L2518" s="28"/>
      <x:c r="M2518" s="28"/>
      <x:c r="N2518" s="28"/>
      <x:c r="O2518" s="28"/>
    </x:row>
    <x:row r="2519">
      <x:c r="B2519" s="26"/>
      <x:c r="I2519" s="27"/>
      <x:c r="K2519" s="28"/>
      <x:c r="L2519" s="28"/>
      <x:c r="M2519" s="28"/>
      <x:c r="N2519" s="28"/>
      <x:c r="O2519" s="28"/>
    </x:row>
    <x:row r="2520">
      <x:c r="B2520" s="26"/>
      <x:c r="I2520" s="27"/>
      <x:c r="K2520" s="28"/>
      <x:c r="L2520" s="28"/>
      <x:c r="M2520" s="28"/>
      <x:c r="N2520" s="28"/>
      <x:c r="O2520" s="28"/>
    </x:row>
    <x:row r="2521">
      <x:c r="B2521" s="26"/>
      <x:c r="I2521" s="27"/>
      <x:c r="K2521" s="28"/>
      <x:c r="L2521" s="28"/>
      <x:c r="M2521" s="28"/>
      <x:c r="N2521" s="28"/>
      <x:c r="O2521" s="28"/>
    </x:row>
    <x:row r="2522">
      <x:c r="B2522" s="26"/>
      <x:c r="I2522" s="27"/>
      <x:c r="K2522" s="28"/>
      <x:c r="L2522" s="28"/>
      <x:c r="M2522" s="28"/>
      <x:c r="N2522" s="28"/>
      <x:c r="O2522" s="28"/>
    </x:row>
    <x:row r="2523">
      <x:c r="B2523" s="26"/>
      <x:c r="I2523" s="27"/>
      <x:c r="K2523" s="28"/>
      <x:c r="L2523" s="28"/>
      <x:c r="M2523" s="28"/>
      <x:c r="N2523" s="28"/>
      <x:c r="O2523" s="28"/>
    </x:row>
    <x:row r="2524">
      <x:c r="B2524" s="26"/>
      <x:c r="I2524" s="27"/>
      <x:c r="K2524" s="28"/>
      <x:c r="L2524" s="28"/>
      <x:c r="M2524" s="28"/>
      <x:c r="N2524" s="28"/>
      <x:c r="O2524" s="28"/>
    </x:row>
    <x:row r="2525">
      <x:c r="B2525" s="26"/>
      <x:c r="I2525" s="27"/>
      <x:c r="K2525" s="28"/>
      <x:c r="L2525" s="28"/>
      <x:c r="M2525" s="28"/>
      <x:c r="N2525" s="28"/>
      <x:c r="O2525" s="28"/>
    </x:row>
    <x:row r="2526">
      <x:c r="B2526" s="26"/>
      <x:c r="I2526" s="27"/>
      <x:c r="K2526" s="28"/>
      <x:c r="L2526" s="28"/>
      <x:c r="M2526" s="28"/>
      <x:c r="N2526" s="28"/>
      <x:c r="O2526" s="28"/>
    </x:row>
    <x:row r="2527">
      <x:c r="B2527" s="26"/>
      <x:c r="I2527" s="27"/>
      <x:c r="K2527" s="28"/>
      <x:c r="L2527" s="28"/>
      <x:c r="M2527" s="28"/>
      <x:c r="N2527" s="28"/>
      <x:c r="O2527" s="28"/>
    </x:row>
    <x:row r="2528">
      <x:c r="B2528" s="26"/>
      <x:c r="I2528" s="27"/>
      <x:c r="K2528" s="28"/>
      <x:c r="L2528" s="28"/>
      <x:c r="M2528" s="28"/>
      <x:c r="N2528" s="28"/>
      <x:c r="O2528" s="28"/>
    </x:row>
    <x:row r="2529">
      <x:c r="B2529" s="26"/>
      <x:c r="I2529" s="27"/>
      <x:c r="K2529" s="28"/>
      <x:c r="L2529" s="28"/>
      <x:c r="M2529" s="28"/>
      <x:c r="N2529" s="28"/>
      <x:c r="O2529" s="28"/>
    </x:row>
    <x:row r="2530">
      <x:c r="B2530" s="26"/>
      <x:c r="I2530" s="27"/>
      <x:c r="K2530" s="28"/>
      <x:c r="L2530" s="28"/>
      <x:c r="M2530" s="28"/>
      <x:c r="N2530" s="28"/>
      <x:c r="O2530" s="28"/>
    </x:row>
    <x:row r="2531">
      <x:c r="B2531" s="26"/>
      <x:c r="I2531" s="27"/>
      <x:c r="K2531" s="28"/>
      <x:c r="L2531" s="28"/>
      <x:c r="M2531" s="28"/>
      <x:c r="N2531" s="28"/>
      <x:c r="O2531" s="28"/>
    </x:row>
    <x:row r="2532">
      <x:c r="B2532" s="26"/>
      <x:c r="I2532" s="27"/>
      <x:c r="K2532" s="28"/>
      <x:c r="L2532" s="28"/>
      <x:c r="M2532" s="28"/>
      <x:c r="N2532" s="28"/>
      <x:c r="O2532" s="28"/>
    </x:row>
    <x:row r="2533">
      <x:c r="B2533" s="26"/>
      <x:c r="I2533" s="27"/>
      <x:c r="K2533" s="28"/>
      <x:c r="L2533" s="28"/>
      <x:c r="M2533" s="28"/>
      <x:c r="N2533" s="28"/>
      <x:c r="O2533" s="28"/>
    </x:row>
    <x:row r="2534">
      <x:c r="B2534" s="26"/>
      <x:c r="I2534" s="27"/>
      <x:c r="K2534" s="28"/>
      <x:c r="L2534" s="28"/>
      <x:c r="M2534" s="28"/>
      <x:c r="N2534" s="28"/>
      <x:c r="O2534" s="28"/>
    </x:row>
    <x:row r="2535">
      <x:c r="B2535" s="26"/>
      <x:c r="I2535" s="27"/>
      <x:c r="K2535" s="28"/>
      <x:c r="L2535" s="28"/>
      <x:c r="M2535" s="28"/>
      <x:c r="N2535" s="28"/>
      <x:c r="O2535" s="28"/>
    </x:row>
    <x:row r="2536">
      <x:c r="B2536" s="26"/>
      <x:c r="I2536" s="27"/>
      <x:c r="K2536" s="28"/>
      <x:c r="L2536" s="28"/>
      <x:c r="M2536" s="28"/>
      <x:c r="N2536" s="28"/>
      <x:c r="O2536" s="28"/>
    </x:row>
    <x:row r="2537">
      <x:c r="B2537" s="26"/>
      <x:c r="I2537" s="27"/>
      <x:c r="K2537" s="28"/>
      <x:c r="L2537" s="28"/>
      <x:c r="M2537" s="28"/>
      <x:c r="N2537" s="28"/>
      <x:c r="O2537" s="28"/>
    </x:row>
    <x:row r="2538">
      <x:c r="B2538" s="26"/>
      <x:c r="I2538" s="27"/>
      <x:c r="K2538" s="28"/>
      <x:c r="L2538" s="28"/>
      <x:c r="M2538" s="28"/>
      <x:c r="N2538" s="28"/>
      <x:c r="O2538" s="28"/>
    </x:row>
    <x:row r="2539">
      <x:c r="B2539" s="26"/>
      <x:c r="I2539" s="27"/>
      <x:c r="K2539" s="28"/>
      <x:c r="L2539" s="28"/>
      <x:c r="M2539" s="28"/>
      <x:c r="N2539" s="28"/>
      <x:c r="O2539" s="28"/>
    </x:row>
    <x:row r="2540">
      <x:c r="B2540" s="26"/>
      <x:c r="I2540" s="27"/>
      <x:c r="K2540" s="28"/>
      <x:c r="L2540" s="28"/>
      <x:c r="M2540" s="28"/>
      <x:c r="N2540" s="28"/>
      <x:c r="O2540" s="28"/>
    </x:row>
    <x:row r="2541">
      <x:c r="B2541" s="26"/>
      <x:c r="I2541" s="27"/>
      <x:c r="K2541" s="28"/>
      <x:c r="L2541" s="28"/>
      <x:c r="M2541" s="28"/>
      <x:c r="N2541" s="28"/>
      <x:c r="O2541" s="28"/>
    </x:row>
    <x:row r="2542">
      <x:c r="B2542" s="26"/>
      <x:c r="I2542" s="27"/>
      <x:c r="K2542" s="28"/>
      <x:c r="L2542" s="28"/>
      <x:c r="M2542" s="28"/>
      <x:c r="N2542" s="28"/>
      <x:c r="O2542" s="28"/>
    </x:row>
    <x:row r="2543">
      <x:c r="B2543" s="26"/>
      <x:c r="I2543" s="27"/>
      <x:c r="K2543" s="28"/>
      <x:c r="L2543" s="28"/>
      <x:c r="M2543" s="28"/>
      <x:c r="N2543" s="28"/>
      <x:c r="O2543" s="28"/>
    </x:row>
    <x:row r="2544">
      <x:c r="B2544" s="26"/>
      <x:c r="I2544" s="27"/>
      <x:c r="K2544" s="28"/>
      <x:c r="L2544" s="28"/>
      <x:c r="M2544" s="28"/>
      <x:c r="N2544" s="28"/>
      <x:c r="O2544" s="28"/>
    </x:row>
    <x:row r="2545">
      <x:c r="B2545" s="26"/>
      <x:c r="I2545" s="27"/>
      <x:c r="K2545" s="28"/>
      <x:c r="L2545" s="28"/>
      <x:c r="M2545" s="28"/>
      <x:c r="N2545" s="28"/>
      <x:c r="O2545" s="28"/>
    </x:row>
    <x:row r="2546">
      <x:c r="B2546" s="26"/>
      <x:c r="I2546" s="27"/>
      <x:c r="K2546" s="28"/>
      <x:c r="L2546" s="28"/>
      <x:c r="M2546" s="28"/>
      <x:c r="N2546" s="28"/>
      <x:c r="O2546" s="28"/>
    </x:row>
    <x:row r="2547">
      <x:c r="B2547" s="26"/>
      <x:c r="I2547" s="27"/>
      <x:c r="K2547" s="28"/>
      <x:c r="L2547" s="28"/>
      <x:c r="M2547" s="28"/>
      <x:c r="N2547" s="28"/>
      <x:c r="O2547" s="28"/>
    </x:row>
    <x:row r="2548">
      <x:c r="B2548" s="26"/>
      <x:c r="I2548" s="27"/>
      <x:c r="K2548" s="28"/>
      <x:c r="L2548" s="28"/>
      <x:c r="M2548" s="28"/>
      <x:c r="N2548" s="28"/>
      <x:c r="O2548" s="28"/>
    </x:row>
    <x:row r="2549">
      <x:c r="B2549" s="26"/>
      <x:c r="I2549" s="27"/>
      <x:c r="K2549" s="28"/>
      <x:c r="L2549" s="28"/>
      <x:c r="M2549" s="28"/>
      <x:c r="N2549" s="28"/>
      <x:c r="O2549" s="28"/>
    </x:row>
    <x:row r="2550">
      <x:c r="B2550" s="26"/>
      <x:c r="I2550" s="27"/>
      <x:c r="K2550" s="28"/>
      <x:c r="L2550" s="28"/>
      <x:c r="M2550" s="28"/>
      <x:c r="N2550" s="28"/>
      <x:c r="O2550" s="28"/>
    </x:row>
    <x:row r="2551">
      <x:c r="B2551" s="26"/>
      <x:c r="I2551" s="27"/>
      <x:c r="K2551" s="28"/>
      <x:c r="L2551" s="28"/>
      <x:c r="M2551" s="28"/>
      <x:c r="N2551" s="28"/>
      <x:c r="O2551" s="28"/>
    </x:row>
    <x:row r="2552">
      <x:c r="B2552" s="26"/>
      <x:c r="I2552" s="27"/>
      <x:c r="K2552" s="28"/>
      <x:c r="L2552" s="28"/>
      <x:c r="M2552" s="28"/>
      <x:c r="N2552" s="28"/>
      <x:c r="O2552" s="28"/>
    </x:row>
    <x:row r="2553">
      <x:c r="B2553" s="26"/>
      <x:c r="I2553" s="27"/>
      <x:c r="K2553" s="28"/>
      <x:c r="L2553" s="28"/>
      <x:c r="M2553" s="28"/>
      <x:c r="N2553" s="28"/>
      <x:c r="O2553" s="28"/>
    </x:row>
    <x:row r="2554">
      <x:c r="B2554" s="26"/>
      <x:c r="I2554" s="27"/>
      <x:c r="K2554" s="28"/>
      <x:c r="L2554" s="28"/>
      <x:c r="M2554" s="28"/>
      <x:c r="N2554" s="28"/>
      <x:c r="O2554" s="28"/>
    </x:row>
    <x:row r="2555">
      <x:c r="B2555" s="26"/>
      <x:c r="I2555" s="27"/>
      <x:c r="K2555" s="28"/>
      <x:c r="L2555" s="28"/>
      <x:c r="M2555" s="28"/>
      <x:c r="N2555" s="28"/>
      <x:c r="O2555" s="28"/>
    </x:row>
    <x:row r="2556">
      <x:c r="B2556" s="26"/>
      <x:c r="I2556" s="27"/>
      <x:c r="K2556" s="28"/>
      <x:c r="L2556" s="28"/>
      <x:c r="M2556" s="28"/>
      <x:c r="N2556" s="28"/>
      <x:c r="O2556" s="28"/>
    </x:row>
    <x:row r="2557">
      <x:c r="B2557" s="26"/>
      <x:c r="I2557" s="27"/>
      <x:c r="K2557" s="28"/>
      <x:c r="L2557" s="28"/>
      <x:c r="M2557" s="28"/>
      <x:c r="N2557" s="28"/>
      <x:c r="O2557" s="28"/>
    </x:row>
    <x:row r="2558">
      <x:c r="B2558" s="26"/>
      <x:c r="I2558" s="27"/>
      <x:c r="K2558" s="28"/>
      <x:c r="L2558" s="28"/>
      <x:c r="M2558" s="28"/>
      <x:c r="N2558" s="28"/>
      <x:c r="O2558" s="28"/>
    </x:row>
    <x:row r="2559">
      <x:c r="B2559" s="26"/>
      <x:c r="I2559" s="27"/>
      <x:c r="K2559" s="28"/>
      <x:c r="L2559" s="28"/>
      <x:c r="M2559" s="28"/>
      <x:c r="N2559" s="28"/>
      <x:c r="O2559" s="28"/>
    </x:row>
    <x:row r="2560">
      <x:c r="B2560" s="26"/>
      <x:c r="I2560" s="27"/>
      <x:c r="K2560" s="28"/>
      <x:c r="L2560" s="28"/>
      <x:c r="M2560" s="28"/>
      <x:c r="N2560" s="28"/>
      <x:c r="O2560" s="28"/>
    </x:row>
    <x:row r="2561">
      <x:c r="B2561" s="26"/>
      <x:c r="I2561" s="27"/>
      <x:c r="K2561" s="28"/>
      <x:c r="L2561" s="28"/>
      <x:c r="M2561" s="28"/>
      <x:c r="N2561" s="28"/>
      <x:c r="O2561" s="28"/>
    </x:row>
    <x:row r="2562">
      <x:c r="B2562" s="26"/>
      <x:c r="I2562" s="27"/>
      <x:c r="K2562" s="28"/>
      <x:c r="L2562" s="28"/>
      <x:c r="M2562" s="28"/>
      <x:c r="N2562" s="28"/>
      <x:c r="O2562" s="28"/>
    </x:row>
    <x:row r="2563">
      <x:c r="B2563" s="26"/>
      <x:c r="I2563" s="27"/>
      <x:c r="K2563" s="28"/>
      <x:c r="L2563" s="28"/>
      <x:c r="M2563" s="28"/>
      <x:c r="N2563" s="28"/>
      <x:c r="O2563" s="28"/>
    </x:row>
    <x:row r="2564">
      <x:c r="B2564" s="26"/>
      <x:c r="I2564" s="27"/>
      <x:c r="K2564" s="28"/>
      <x:c r="L2564" s="28"/>
      <x:c r="M2564" s="28"/>
      <x:c r="N2564" s="28"/>
      <x:c r="O2564" s="28"/>
    </x:row>
    <x:row r="2565">
      <x:c r="B2565" s="26"/>
      <x:c r="I2565" s="27"/>
      <x:c r="K2565" s="28"/>
      <x:c r="L2565" s="28"/>
      <x:c r="M2565" s="28"/>
      <x:c r="N2565" s="28"/>
      <x:c r="O2565" s="28"/>
    </x:row>
    <x:row r="2566">
      <x:c r="B2566" s="26"/>
      <x:c r="I2566" s="27"/>
      <x:c r="K2566" s="28"/>
      <x:c r="L2566" s="28"/>
      <x:c r="M2566" s="28"/>
      <x:c r="N2566" s="28"/>
      <x:c r="O2566" s="28"/>
    </x:row>
    <x:row r="2567">
      <x:c r="B2567" s="26"/>
      <x:c r="I2567" s="27"/>
      <x:c r="K2567" s="28"/>
      <x:c r="L2567" s="28"/>
      <x:c r="M2567" s="28"/>
      <x:c r="N2567" s="28"/>
      <x:c r="O2567" s="28"/>
    </x:row>
    <x:row r="2568">
      <x:c r="B2568" s="26"/>
      <x:c r="I2568" s="27"/>
      <x:c r="K2568" s="28"/>
      <x:c r="L2568" s="28"/>
      <x:c r="M2568" s="28"/>
      <x:c r="N2568" s="28"/>
      <x:c r="O2568" s="28"/>
    </x:row>
    <x:row r="2569">
      <x:c r="B2569" s="26"/>
      <x:c r="I2569" s="27"/>
      <x:c r="K2569" s="28"/>
      <x:c r="L2569" s="28"/>
      <x:c r="M2569" s="28"/>
      <x:c r="N2569" s="28"/>
      <x:c r="O2569" s="28"/>
    </x:row>
    <x:row r="2570">
      <x:c r="B2570" s="26"/>
      <x:c r="I2570" s="27"/>
      <x:c r="K2570" s="28"/>
      <x:c r="L2570" s="28"/>
      <x:c r="M2570" s="28"/>
      <x:c r="N2570" s="28"/>
      <x:c r="O2570" s="28"/>
    </x:row>
    <x:row r="2571">
      <x:c r="B2571" s="26"/>
      <x:c r="I2571" s="27"/>
      <x:c r="K2571" s="28"/>
      <x:c r="L2571" s="28"/>
      <x:c r="M2571" s="28"/>
      <x:c r="N2571" s="28"/>
      <x:c r="O2571" s="28"/>
    </x:row>
    <x:row r="2572">
      <x:c r="B2572" s="26"/>
      <x:c r="I2572" s="27"/>
      <x:c r="K2572" s="28"/>
      <x:c r="L2572" s="28"/>
      <x:c r="M2572" s="28"/>
      <x:c r="N2572" s="28"/>
      <x:c r="O2572" s="28"/>
    </x:row>
    <x:row r="2573">
      <x:c r="B2573" s="26"/>
      <x:c r="I2573" s="27"/>
      <x:c r="K2573" s="28"/>
      <x:c r="L2573" s="28"/>
      <x:c r="M2573" s="28"/>
      <x:c r="N2573" s="28"/>
      <x:c r="O2573" s="28"/>
    </x:row>
    <x:row r="2574">
      <x:c r="B2574" s="26"/>
      <x:c r="I2574" s="27"/>
      <x:c r="K2574" s="28"/>
      <x:c r="L2574" s="28"/>
      <x:c r="M2574" s="28"/>
      <x:c r="N2574" s="28"/>
      <x:c r="O2574" s="28"/>
    </x:row>
    <x:row r="2575">
      <x:c r="B2575" s="26"/>
      <x:c r="I2575" s="27"/>
      <x:c r="K2575" s="28"/>
      <x:c r="L2575" s="28"/>
      <x:c r="M2575" s="28"/>
      <x:c r="N2575" s="28"/>
      <x:c r="O2575" s="28"/>
    </x:row>
    <x:row r="2576">
      <x:c r="B2576" s="26"/>
      <x:c r="I2576" s="27"/>
      <x:c r="K2576" s="28"/>
      <x:c r="L2576" s="28"/>
      <x:c r="M2576" s="28"/>
      <x:c r="N2576" s="28"/>
      <x:c r="O2576" s="28"/>
    </x:row>
    <x:row r="2577">
      <x:c r="B2577" s="26"/>
      <x:c r="I2577" s="27"/>
      <x:c r="K2577" s="28"/>
      <x:c r="L2577" s="28"/>
      <x:c r="M2577" s="28"/>
      <x:c r="N2577" s="28"/>
      <x:c r="O2577" s="28"/>
    </x:row>
    <x:row r="2578">
      <x:c r="B2578" s="26"/>
      <x:c r="I2578" s="27"/>
      <x:c r="K2578" s="28"/>
      <x:c r="L2578" s="28"/>
      <x:c r="M2578" s="28"/>
      <x:c r="N2578" s="28"/>
      <x:c r="O2578" s="28"/>
    </x:row>
    <x:row r="2579">
      <x:c r="B2579" s="26"/>
      <x:c r="I2579" s="27"/>
      <x:c r="K2579" s="28"/>
      <x:c r="L2579" s="28"/>
      <x:c r="M2579" s="28"/>
      <x:c r="N2579" s="28"/>
      <x:c r="O2579" s="28"/>
    </x:row>
    <x:row r="2580">
      <x:c r="B2580" s="26"/>
      <x:c r="I2580" s="27"/>
      <x:c r="K2580" s="28"/>
      <x:c r="L2580" s="28"/>
      <x:c r="M2580" s="28"/>
      <x:c r="N2580" s="28"/>
      <x:c r="O2580" s="28"/>
    </x:row>
    <x:row r="2581">
      <x:c r="B2581" s="26"/>
      <x:c r="I2581" s="27"/>
      <x:c r="K2581" s="28"/>
      <x:c r="L2581" s="28"/>
      <x:c r="M2581" s="28"/>
      <x:c r="N2581" s="28"/>
      <x:c r="O2581" s="28"/>
    </x:row>
    <x:row r="2582">
      <x:c r="B2582" s="26"/>
      <x:c r="I2582" s="27"/>
      <x:c r="K2582" s="28"/>
      <x:c r="L2582" s="28"/>
      <x:c r="M2582" s="28"/>
      <x:c r="N2582" s="28"/>
      <x:c r="O2582" s="28"/>
    </x:row>
    <x:row r="2583">
      <x:c r="B2583" s="26"/>
      <x:c r="I2583" s="27"/>
      <x:c r="K2583" s="28"/>
      <x:c r="L2583" s="28"/>
      <x:c r="M2583" s="28"/>
      <x:c r="N2583" s="28"/>
      <x:c r="O2583" s="28"/>
    </x:row>
    <x:row r="2584">
      <x:c r="B2584" s="26"/>
      <x:c r="I2584" s="27"/>
      <x:c r="K2584" s="28"/>
      <x:c r="L2584" s="28"/>
      <x:c r="M2584" s="28"/>
      <x:c r="N2584" s="28"/>
      <x:c r="O2584" s="28"/>
    </x:row>
    <x:row r="2585">
      <x:c r="B2585" s="26"/>
      <x:c r="I2585" s="27"/>
      <x:c r="K2585" s="28"/>
      <x:c r="L2585" s="28"/>
      <x:c r="M2585" s="28"/>
      <x:c r="N2585" s="28"/>
      <x:c r="O2585" s="28"/>
    </x:row>
    <x:row r="2586">
      <x:c r="B2586" s="26"/>
      <x:c r="I2586" s="27"/>
      <x:c r="K2586" s="28"/>
      <x:c r="L2586" s="28"/>
      <x:c r="M2586" s="28"/>
      <x:c r="N2586" s="28"/>
      <x:c r="O2586" s="28"/>
    </x:row>
    <x:row r="2587">
      <x:c r="B2587" s="26"/>
      <x:c r="I2587" s="27"/>
      <x:c r="K2587" s="28"/>
      <x:c r="L2587" s="28"/>
      <x:c r="M2587" s="28"/>
      <x:c r="N2587" s="28"/>
      <x:c r="O2587" s="28"/>
    </x:row>
    <x:row r="2588">
      <x:c r="B2588" s="26"/>
      <x:c r="I2588" s="27"/>
      <x:c r="K2588" s="28"/>
      <x:c r="L2588" s="28"/>
      <x:c r="M2588" s="28"/>
      <x:c r="N2588" s="28"/>
      <x:c r="O2588" s="28"/>
    </x:row>
    <x:row r="2589">
      <x:c r="B2589" s="26"/>
      <x:c r="I2589" s="27"/>
      <x:c r="K2589" s="28"/>
      <x:c r="L2589" s="28"/>
      <x:c r="M2589" s="28"/>
      <x:c r="N2589" s="28"/>
      <x:c r="O2589" s="28"/>
    </x:row>
    <x:row r="2590">
      <x:c r="B2590" s="26"/>
      <x:c r="I2590" s="27"/>
      <x:c r="K2590" s="28"/>
      <x:c r="L2590" s="28"/>
      <x:c r="M2590" s="28"/>
      <x:c r="N2590" s="28"/>
      <x:c r="O2590" s="28"/>
    </x:row>
    <x:row r="2591">
      <x:c r="B2591" s="26"/>
      <x:c r="I2591" s="27"/>
      <x:c r="K2591" s="28"/>
      <x:c r="L2591" s="28"/>
      <x:c r="M2591" s="28"/>
      <x:c r="N2591" s="28"/>
      <x:c r="O2591" s="28"/>
    </x:row>
    <x:row r="2592">
      <x:c r="B2592" s="26"/>
      <x:c r="I2592" s="27"/>
      <x:c r="K2592" s="28"/>
      <x:c r="L2592" s="28"/>
      <x:c r="M2592" s="28"/>
      <x:c r="N2592" s="28"/>
      <x:c r="O2592" s="28"/>
    </x:row>
    <x:row r="2593">
      <x:c r="B2593" s="26"/>
      <x:c r="I2593" s="27"/>
      <x:c r="K2593" s="28"/>
      <x:c r="L2593" s="28"/>
      <x:c r="M2593" s="28"/>
      <x:c r="N2593" s="28"/>
      <x:c r="O2593" s="28"/>
    </x:row>
    <x:row r="2594">
      <x:c r="B2594" s="26"/>
      <x:c r="I2594" s="27"/>
      <x:c r="K2594" s="28"/>
      <x:c r="L2594" s="28"/>
      <x:c r="M2594" s="28"/>
      <x:c r="N2594" s="28"/>
      <x:c r="O2594" s="28"/>
    </x:row>
    <x:row r="2595">
      <x:c r="B2595" s="26"/>
      <x:c r="I2595" s="27"/>
      <x:c r="K2595" s="28"/>
      <x:c r="L2595" s="28"/>
      <x:c r="M2595" s="28"/>
      <x:c r="N2595" s="28"/>
      <x:c r="O2595" s="28"/>
    </x:row>
    <x:row r="2596">
      <x:c r="B2596" s="26"/>
      <x:c r="I2596" s="27"/>
      <x:c r="K2596" s="28"/>
      <x:c r="L2596" s="28"/>
      <x:c r="M2596" s="28"/>
      <x:c r="N2596" s="28"/>
      <x:c r="O2596" s="28"/>
    </x:row>
    <x:row r="2597">
      <x:c r="B2597" s="26"/>
      <x:c r="I2597" s="27"/>
      <x:c r="K2597" s="28"/>
      <x:c r="L2597" s="28"/>
      <x:c r="M2597" s="28"/>
      <x:c r="N2597" s="28"/>
      <x:c r="O2597" s="28"/>
    </x:row>
    <x:row r="2598">
      <x:c r="B2598" s="26"/>
      <x:c r="I2598" s="27"/>
      <x:c r="K2598" s="28"/>
      <x:c r="L2598" s="28"/>
      <x:c r="M2598" s="28"/>
      <x:c r="N2598" s="28"/>
      <x:c r="O2598" s="28"/>
    </x:row>
    <x:row r="2599">
      <x:c r="B2599" s="26"/>
      <x:c r="I2599" s="27"/>
      <x:c r="K2599" s="28"/>
      <x:c r="L2599" s="28"/>
      <x:c r="M2599" s="28"/>
      <x:c r="N2599" s="28"/>
      <x:c r="O2599" s="28"/>
    </x:row>
    <x:row r="2600">
      <x:c r="B2600" s="26"/>
      <x:c r="I2600" s="27"/>
      <x:c r="K2600" s="28"/>
      <x:c r="L2600" s="28"/>
      <x:c r="M2600" s="28"/>
      <x:c r="N2600" s="28"/>
      <x:c r="O2600" s="28"/>
    </x:row>
    <x:row r="2601">
      <x:c r="B2601" s="26"/>
      <x:c r="I2601" s="27"/>
      <x:c r="K2601" s="28"/>
      <x:c r="L2601" s="28"/>
      <x:c r="M2601" s="28"/>
      <x:c r="N2601" s="28"/>
      <x:c r="O2601" s="28"/>
    </x:row>
    <x:row r="2602">
      <x:c r="B2602" s="26"/>
      <x:c r="I2602" s="27"/>
      <x:c r="K2602" s="28"/>
      <x:c r="L2602" s="28"/>
      <x:c r="M2602" s="28"/>
      <x:c r="N2602" s="28"/>
      <x:c r="O2602" s="28"/>
    </x:row>
    <x:row r="2603">
      <x:c r="B2603" s="26"/>
      <x:c r="I2603" s="27"/>
      <x:c r="K2603" s="28"/>
      <x:c r="L2603" s="28"/>
      <x:c r="M2603" s="28"/>
      <x:c r="N2603" s="28"/>
      <x:c r="O2603" s="28"/>
    </x:row>
    <x:row r="2604">
      <x:c r="B2604" s="26"/>
      <x:c r="I2604" s="27"/>
      <x:c r="K2604" s="28"/>
      <x:c r="L2604" s="28"/>
      <x:c r="M2604" s="28"/>
      <x:c r="N2604" s="28"/>
      <x:c r="O2604" s="28"/>
    </x:row>
    <x:row r="2605">
      <x:c r="B2605" s="26"/>
      <x:c r="I2605" s="27"/>
      <x:c r="K2605" s="28"/>
      <x:c r="L2605" s="28"/>
      <x:c r="M2605" s="28"/>
      <x:c r="N2605" s="28"/>
      <x:c r="O2605" s="28"/>
    </x:row>
    <x:row r="2606">
      <x:c r="B2606" s="26"/>
      <x:c r="I2606" s="27"/>
      <x:c r="K2606" s="28"/>
      <x:c r="L2606" s="28"/>
      <x:c r="M2606" s="28"/>
      <x:c r="N2606" s="28"/>
      <x:c r="O2606" s="28"/>
    </x:row>
    <x:row r="2607">
      <x:c r="B2607" s="26"/>
      <x:c r="I2607" s="27"/>
      <x:c r="K2607" s="28"/>
      <x:c r="L2607" s="28"/>
      <x:c r="M2607" s="28"/>
      <x:c r="N2607" s="28"/>
      <x:c r="O2607" s="28"/>
    </x:row>
    <x:row r="2608">
      <x:c r="B2608" s="26"/>
      <x:c r="I2608" s="27"/>
      <x:c r="K2608" s="28"/>
      <x:c r="L2608" s="28"/>
      <x:c r="M2608" s="28"/>
      <x:c r="N2608" s="28"/>
      <x:c r="O2608" s="28"/>
    </x:row>
    <x:row r="2609">
      <x:c r="B2609" s="26"/>
      <x:c r="I2609" s="27"/>
      <x:c r="K2609" s="28"/>
      <x:c r="L2609" s="28"/>
      <x:c r="M2609" s="28"/>
      <x:c r="N2609" s="28"/>
      <x:c r="O2609" s="28"/>
    </x:row>
    <x:row r="2610">
      <x:c r="B2610" s="26"/>
      <x:c r="I2610" s="27"/>
      <x:c r="K2610" s="28"/>
      <x:c r="L2610" s="28"/>
      <x:c r="M2610" s="28"/>
      <x:c r="N2610" s="28"/>
      <x:c r="O2610" s="28"/>
    </x:row>
    <x:row r="2611">
      <x:c r="B2611" s="26"/>
      <x:c r="I2611" s="27"/>
      <x:c r="K2611" s="28"/>
      <x:c r="L2611" s="28"/>
      <x:c r="M2611" s="28"/>
      <x:c r="N2611" s="28"/>
      <x:c r="O2611" s="28"/>
    </x:row>
    <x:row r="2612">
      <x:c r="B2612" s="26"/>
      <x:c r="I2612" s="27"/>
      <x:c r="K2612" s="28"/>
      <x:c r="L2612" s="28"/>
      <x:c r="M2612" s="28"/>
      <x:c r="N2612" s="28"/>
      <x:c r="O2612" s="28"/>
    </x:row>
    <x:row r="2613">
      <x:c r="B2613" s="26"/>
      <x:c r="I2613" s="27"/>
      <x:c r="K2613" s="28"/>
      <x:c r="L2613" s="28"/>
      <x:c r="M2613" s="28"/>
      <x:c r="N2613" s="28"/>
      <x:c r="O2613" s="28"/>
    </x:row>
    <x:row r="2614">
      <x:c r="B2614" s="26"/>
      <x:c r="I2614" s="27"/>
      <x:c r="K2614" s="28"/>
      <x:c r="L2614" s="28"/>
      <x:c r="M2614" s="28"/>
      <x:c r="N2614" s="28"/>
      <x:c r="O2614" s="28"/>
    </x:row>
    <x:row r="2615">
      <x:c r="B2615" s="26"/>
      <x:c r="I2615" s="27"/>
      <x:c r="K2615" s="28"/>
      <x:c r="L2615" s="28"/>
      <x:c r="M2615" s="28"/>
      <x:c r="N2615" s="28"/>
      <x:c r="O2615" s="28"/>
    </x:row>
    <x:row r="2616">
      <x:c r="B2616" s="26"/>
      <x:c r="I2616" s="27"/>
      <x:c r="K2616" s="28"/>
      <x:c r="L2616" s="28"/>
      <x:c r="M2616" s="28"/>
      <x:c r="N2616" s="28"/>
      <x:c r="O2616" s="28"/>
    </x:row>
    <x:row r="2617">
      <x:c r="B2617" s="26"/>
      <x:c r="I2617" s="27"/>
      <x:c r="K2617" s="28"/>
      <x:c r="L2617" s="28"/>
      <x:c r="M2617" s="28"/>
      <x:c r="N2617" s="28"/>
      <x:c r="O2617" s="28"/>
    </x:row>
    <x:row r="2618">
      <x:c r="B2618" s="26"/>
      <x:c r="I2618" s="27"/>
      <x:c r="K2618" s="28"/>
      <x:c r="L2618" s="28"/>
      <x:c r="M2618" s="28"/>
      <x:c r="N2618" s="28"/>
      <x:c r="O2618" s="28"/>
    </x:row>
    <x:row r="2619">
      <x:c r="B2619" s="26"/>
      <x:c r="I2619" s="27"/>
      <x:c r="K2619" s="28"/>
      <x:c r="L2619" s="28"/>
      <x:c r="M2619" s="28"/>
      <x:c r="N2619" s="28"/>
      <x:c r="O2619" s="28"/>
    </x:row>
    <x:row r="2620">
      <x:c r="B2620" s="26"/>
      <x:c r="I2620" s="27"/>
      <x:c r="K2620" s="28"/>
      <x:c r="L2620" s="28"/>
      <x:c r="M2620" s="28"/>
      <x:c r="N2620" s="28"/>
      <x:c r="O2620" s="28"/>
    </x:row>
    <x:row r="2621">
      <x:c r="B2621" s="26"/>
      <x:c r="I2621" s="27"/>
      <x:c r="K2621" s="28"/>
      <x:c r="L2621" s="28"/>
      <x:c r="M2621" s="28"/>
      <x:c r="N2621" s="28"/>
      <x:c r="O2621" s="28"/>
    </x:row>
    <x:row r="2622">
      <x:c r="B2622" s="26"/>
      <x:c r="I2622" s="27"/>
      <x:c r="K2622" s="28"/>
      <x:c r="L2622" s="28"/>
      <x:c r="M2622" s="28"/>
      <x:c r="N2622" s="28"/>
      <x:c r="O2622" s="28"/>
    </x:row>
    <x:row r="2623">
      <x:c r="B2623" s="26"/>
      <x:c r="I2623" s="27"/>
      <x:c r="K2623" s="28"/>
      <x:c r="L2623" s="28"/>
      <x:c r="M2623" s="28"/>
      <x:c r="N2623" s="28"/>
      <x:c r="O2623" s="28"/>
    </x:row>
    <x:row r="2624">
      <x:c r="B2624" s="26"/>
      <x:c r="I2624" s="27"/>
      <x:c r="K2624" s="28"/>
      <x:c r="L2624" s="28"/>
      <x:c r="M2624" s="28"/>
      <x:c r="N2624" s="28"/>
      <x:c r="O2624" s="28"/>
    </x:row>
    <x:row r="2625">
      <x:c r="B2625" s="26"/>
      <x:c r="I2625" s="27"/>
      <x:c r="K2625" s="28"/>
      <x:c r="L2625" s="28"/>
      <x:c r="M2625" s="28"/>
      <x:c r="N2625" s="28"/>
      <x:c r="O2625" s="28"/>
    </x:row>
    <x:row r="2626">
      <x:c r="B2626" s="26"/>
      <x:c r="I2626" s="27"/>
      <x:c r="K2626" s="28"/>
      <x:c r="L2626" s="28"/>
      <x:c r="M2626" s="28"/>
      <x:c r="N2626" s="28"/>
      <x:c r="O2626" s="28"/>
    </x:row>
    <x:row r="2627">
      <x:c r="B2627" s="26"/>
      <x:c r="I2627" s="27"/>
      <x:c r="K2627" s="28"/>
      <x:c r="L2627" s="28"/>
      <x:c r="M2627" s="28"/>
      <x:c r="N2627" s="28"/>
      <x:c r="O2627" s="28"/>
    </x:row>
    <x:row r="2628">
      <x:c r="B2628" s="26"/>
      <x:c r="I2628" s="27"/>
      <x:c r="K2628" s="28"/>
      <x:c r="L2628" s="28"/>
      <x:c r="M2628" s="28"/>
      <x:c r="N2628" s="28"/>
      <x:c r="O2628" s="28"/>
    </x:row>
    <x:row r="2629">
      <x:c r="B2629" s="26"/>
      <x:c r="I2629" s="27"/>
      <x:c r="K2629" s="28"/>
      <x:c r="L2629" s="28"/>
      <x:c r="M2629" s="28"/>
      <x:c r="N2629" s="28"/>
      <x:c r="O2629" s="28"/>
    </x:row>
    <x:row r="2630">
      <x:c r="B2630" s="26"/>
      <x:c r="I2630" s="27"/>
      <x:c r="K2630" s="28"/>
      <x:c r="L2630" s="28"/>
      <x:c r="M2630" s="28"/>
      <x:c r="N2630" s="28"/>
      <x:c r="O2630" s="28"/>
    </x:row>
    <x:row r="2631">
      <x:c r="B2631" s="26"/>
      <x:c r="I2631" s="27"/>
      <x:c r="K2631" s="28"/>
      <x:c r="L2631" s="28"/>
      <x:c r="M2631" s="28"/>
      <x:c r="N2631" s="28"/>
      <x:c r="O2631" s="28"/>
    </x:row>
    <x:row r="2632">
      <x:c r="B2632" s="26"/>
      <x:c r="I2632" s="27"/>
      <x:c r="K2632" s="28"/>
      <x:c r="L2632" s="28"/>
      <x:c r="M2632" s="28"/>
      <x:c r="N2632" s="28"/>
      <x:c r="O2632" s="28"/>
    </x:row>
    <x:row r="2633">
      <x:c r="B2633" s="26"/>
      <x:c r="I2633" s="27"/>
      <x:c r="K2633" s="28"/>
      <x:c r="L2633" s="28"/>
      <x:c r="M2633" s="28"/>
      <x:c r="N2633" s="28"/>
      <x:c r="O2633" s="28"/>
    </x:row>
    <x:row r="2634">
      <x:c r="B2634" s="26"/>
      <x:c r="I2634" s="27"/>
      <x:c r="K2634" s="28"/>
      <x:c r="L2634" s="28"/>
      <x:c r="M2634" s="28"/>
      <x:c r="N2634" s="28"/>
      <x:c r="O2634" s="28"/>
    </x:row>
    <x:row r="2635">
      <x:c r="B2635" s="26"/>
      <x:c r="I2635" s="27"/>
      <x:c r="K2635" s="28"/>
      <x:c r="L2635" s="28"/>
      <x:c r="M2635" s="28"/>
      <x:c r="N2635" s="28"/>
      <x:c r="O2635" s="28"/>
    </x:row>
    <x:row r="2636">
      <x:c r="B2636" s="26"/>
      <x:c r="I2636" s="27"/>
      <x:c r="K2636" s="28"/>
      <x:c r="L2636" s="28"/>
      <x:c r="M2636" s="28"/>
      <x:c r="N2636" s="28"/>
      <x:c r="O2636" s="28"/>
    </x:row>
    <x:row r="2637">
      <x:c r="B2637" s="26"/>
      <x:c r="I2637" s="27"/>
      <x:c r="K2637" s="28"/>
      <x:c r="L2637" s="28"/>
      <x:c r="M2637" s="28"/>
      <x:c r="N2637" s="28"/>
      <x:c r="O2637" s="28"/>
    </x:row>
    <x:row r="2638">
      <x:c r="B2638" s="26"/>
      <x:c r="I2638" s="27"/>
      <x:c r="K2638" s="28"/>
      <x:c r="L2638" s="28"/>
      <x:c r="M2638" s="28"/>
      <x:c r="N2638" s="28"/>
      <x:c r="O2638" s="28"/>
    </x:row>
    <x:row r="2639">
      <x:c r="B2639" s="26"/>
      <x:c r="I2639" s="27"/>
      <x:c r="K2639" s="28"/>
      <x:c r="L2639" s="28"/>
      <x:c r="M2639" s="28"/>
      <x:c r="N2639" s="28"/>
      <x:c r="O2639" s="28"/>
    </x:row>
    <x:row r="2640">
      <x:c r="B2640" s="26"/>
      <x:c r="I2640" s="27"/>
      <x:c r="K2640" s="28"/>
      <x:c r="L2640" s="28"/>
      <x:c r="M2640" s="28"/>
      <x:c r="N2640" s="28"/>
      <x:c r="O2640" s="28"/>
    </x:row>
    <x:row r="2641">
      <x:c r="B2641" s="26"/>
      <x:c r="I2641" s="27"/>
      <x:c r="K2641" s="28"/>
      <x:c r="L2641" s="28"/>
      <x:c r="M2641" s="28"/>
      <x:c r="N2641" s="28"/>
      <x:c r="O2641" s="28"/>
    </x:row>
    <x:row r="2642">
      <x:c r="B2642" s="26"/>
      <x:c r="I2642" s="27"/>
      <x:c r="K2642" s="28"/>
      <x:c r="L2642" s="28"/>
      <x:c r="M2642" s="28"/>
      <x:c r="N2642" s="28"/>
      <x:c r="O2642" s="28"/>
    </x:row>
    <x:row r="2643">
      <x:c r="B2643" s="26"/>
      <x:c r="I2643" s="27"/>
      <x:c r="K2643" s="28"/>
      <x:c r="L2643" s="28"/>
      <x:c r="M2643" s="28"/>
      <x:c r="N2643" s="28"/>
      <x:c r="O2643" s="28"/>
    </x:row>
    <x:row r="2644">
      <x:c r="B2644" s="26"/>
      <x:c r="I2644" s="27"/>
      <x:c r="K2644" s="28"/>
      <x:c r="L2644" s="28"/>
      <x:c r="M2644" s="28"/>
      <x:c r="N2644" s="28"/>
      <x:c r="O2644" s="28"/>
    </x:row>
    <x:row r="2645">
      <x:c r="B2645" s="26"/>
      <x:c r="I2645" s="27"/>
      <x:c r="K2645" s="28"/>
      <x:c r="L2645" s="28"/>
      <x:c r="M2645" s="28"/>
      <x:c r="N2645" s="28"/>
      <x:c r="O2645" s="28"/>
    </x:row>
    <x:row r="2646">
      <x:c r="B2646" s="26"/>
      <x:c r="I2646" s="27"/>
      <x:c r="K2646" s="28"/>
      <x:c r="L2646" s="28"/>
      <x:c r="M2646" s="28"/>
      <x:c r="N2646" s="28"/>
      <x:c r="O2646" s="28"/>
    </x:row>
    <x:row r="2647">
      <x:c r="B2647" s="26"/>
      <x:c r="I2647" s="27"/>
      <x:c r="K2647" s="28"/>
      <x:c r="L2647" s="28"/>
      <x:c r="M2647" s="28"/>
      <x:c r="N2647" s="28"/>
      <x:c r="O2647" s="28"/>
    </x:row>
    <x:row r="2648">
      <x:c r="B2648" s="26"/>
      <x:c r="I2648" s="27"/>
      <x:c r="K2648" s="28"/>
      <x:c r="L2648" s="28"/>
      <x:c r="M2648" s="28"/>
      <x:c r="N2648" s="28"/>
      <x:c r="O2648" s="28"/>
    </x:row>
    <x:row r="2649">
      <x:c r="B2649" s="26"/>
      <x:c r="I2649" s="27"/>
      <x:c r="K2649" s="28"/>
      <x:c r="L2649" s="28"/>
      <x:c r="M2649" s="28"/>
      <x:c r="N2649" s="28"/>
      <x:c r="O2649" s="28"/>
    </x:row>
    <x:row r="2650">
      <x:c r="B2650" s="26"/>
      <x:c r="I2650" s="27"/>
      <x:c r="K2650" s="28"/>
      <x:c r="L2650" s="28"/>
      <x:c r="M2650" s="28"/>
      <x:c r="N2650" s="28"/>
      <x:c r="O2650" s="28"/>
    </x:row>
    <x:row r="2651">
      <x:c r="B2651" s="26"/>
      <x:c r="I2651" s="27"/>
      <x:c r="K2651" s="28"/>
      <x:c r="L2651" s="28"/>
      <x:c r="M2651" s="28"/>
      <x:c r="N2651" s="28"/>
      <x:c r="O2651" s="28"/>
    </x:row>
    <x:row r="2652">
      <x:c r="B2652" s="26"/>
      <x:c r="I2652" s="27"/>
      <x:c r="K2652" s="28"/>
      <x:c r="L2652" s="28"/>
      <x:c r="M2652" s="28"/>
      <x:c r="N2652" s="28"/>
      <x:c r="O2652" s="28"/>
    </x:row>
    <x:row r="2653">
      <x:c r="B2653" s="26"/>
      <x:c r="I2653" s="27"/>
      <x:c r="K2653" s="28"/>
      <x:c r="L2653" s="28"/>
      <x:c r="M2653" s="28"/>
      <x:c r="N2653" s="28"/>
      <x:c r="O2653" s="28"/>
    </x:row>
    <x:row r="2654">
      <x:c r="B2654" s="26"/>
      <x:c r="I2654" s="27"/>
      <x:c r="K2654" s="28"/>
      <x:c r="L2654" s="28"/>
      <x:c r="M2654" s="28"/>
      <x:c r="N2654" s="28"/>
      <x:c r="O2654" s="28"/>
    </x:row>
    <x:row r="2655">
      <x:c r="B2655" s="26"/>
      <x:c r="I2655" s="27"/>
      <x:c r="K2655" s="28"/>
      <x:c r="L2655" s="28"/>
      <x:c r="M2655" s="28"/>
      <x:c r="N2655" s="28"/>
      <x:c r="O2655" s="28"/>
    </x:row>
    <x:row r="2656">
      <x:c r="B2656" s="26"/>
      <x:c r="I2656" s="27"/>
      <x:c r="K2656" s="28"/>
      <x:c r="L2656" s="28"/>
      <x:c r="M2656" s="28"/>
      <x:c r="N2656" s="28"/>
      <x:c r="O2656" s="28"/>
    </x:row>
    <x:row r="2657">
      <x:c r="B2657" s="26"/>
      <x:c r="I2657" s="27"/>
      <x:c r="K2657" s="28"/>
      <x:c r="L2657" s="28"/>
      <x:c r="M2657" s="28"/>
      <x:c r="N2657" s="28"/>
      <x:c r="O2657" s="28"/>
    </x:row>
    <x:row r="2658">
      <x:c r="B2658" s="26"/>
      <x:c r="I2658" s="27"/>
      <x:c r="K2658" s="28"/>
      <x:c r="L2658" s="28"/>
      <x:c r="M2658" s="28"/>
      <x:c r="N2658" s="28"/>
      <x:c r="O2658" s="28"/>
    </x:row>
    <x:row r="2659">
      <x:c r="B2659" s="26"/>
      <x:c r="I2659" s="27"/>
      <x:c r="K2659" s="28"/>
      <x:c r="L2659" s="28"/>
      <x:c r="M2659" s="28"/>
      <x:c r="N2659" s="28"/>
      <x:c r="O2659" s="28"/>
    </x:row>
    <x:row r="2660">
      <x:c r="B2660" s="26"/>
      <x:c r="I2660" s="27"/>
      <x:c r="K2660" s="28"/>
      <x:c r="L2660" s="28"/>
      <x:c r="M2660" s="28"/>
      <x:c r="N2660" s="28"/>
      <x:c r="O2660" s="28"/>
    </x:row>
    <x:row r="2661">
      <x:c r="B2661" s="26"/>
      <x:c r="I2661" s="27"/>
      <x:c r="K2661" s="28"/>
      <x:c r="L2661" s="28"/>
      <x:c r="M2661" s="28"/>
      <x:c r="N2661" s="28"/>
      <x:c r="O2661" s="28"/>
    </x:row>
    <x:row r="2662">
      <x:c r="B2662" s="26"/>
      <x:c r="I2662" s="27"/>
      <x:c r="K2662" s="28"/>
      <x:c r="L2662" s="28"/>
      <x:c r="M2662" s="28"/>
      <x:c r="N2662" s="28"/>
      <x:c r="O2662" s="28"/>
    </x:row>
    <x:row r="2663">
      <x:c r="B2663" s="26"/>
      <x:c r="I2663" s="27"/>
      <x:c r="K2663" s="28"/>
      <x:c r="L2663" s="28"/>
      <x:c r="M2663" s="28"/>
      <x:c r="N2663" s="28"/>
      <x:c r="O2663" s="28"/>
    </x:row>
    <x:row r="2664">
      <x:c r="B2664" s="26"/>
      <x:c r="I2664" s="27"/>
      <x:c r="K2664" s="28"/>
      <x:c r="L2664" s="28"/>
      <x:c r="M2664" s="28"/>
      <x:c r="N2664" s="28"/>
      <x:c r="O2664" s="28"/>
    </x:row>
    <x:row r="2665">
      <x:c r="B2665" s="26"/>
      <x:c r="I2665" s="27"/>
      <x:c r="K2665" s="28"/>
      <x:c r="L2665" s="28"/>
      <x:c r="M2665" s="28"/>
      <x:c r="N2665" s="28"/>
      <x:c r="O2665" s="28"/>
    </x:row>
    <x:row r="2666">
      <x:c r="B2666" s="26"/>
      <x:c r="I2666" s="27"/>
      <x:c r="K2666" s="28"/>
      <x:c r="L2666" s="28"/>
      <x:c r="M2666" s="28"/>
      <x:c r="N2666" s="28"/>
      <x:c r="O2666" s="28"/>
    </x:row>
    <x:row r="2667">
      <x:c r="B2667" s="26"/>
      <x:c r="I2667" s="27"/>
      <x:c r="K2667" s="28"/>
      <x:c r="L2667" s="28"/>
      <x:c r="M2667" s="28"/>
      <x:c r="N2667" s="28"/>
      <x:c r="O2667" s="28"/>
    </x:row>
    <x:row r="2668">
      <x:c r="B2668" s="26"/>
      <x:c r="I2668" s="27"/>
      <x:c r="K2668" s="28"/>
      <x:c r="L2668" s="28"/>
      <x:c r="M2668" s="28"/>
      <x:c r="N2668" s="28"/>
      <x:c r="O2668" s="28"/>
    </x:row>
    <x:row r="2669">
      <x:c r="B2669" s="26"/>
      <x:c r="I2669" s="27"/>
      <x:c r="K2669" s="28"/>
      <x:c r="L2669" s="28"/>
      <x:c r="M2669" s="28"/>
      <x:c r="N2669" s="28"/>
      <x:c r="O2669" s="28"/>
    </x:row>
    <x:row r="2670">
      <x:c r="B2670" s="26"/>
      <x:c r="I2670" s="27"/>
      <x:c r="K2670" s="28"/>
      <x:c r="L2670" s="28"/>
      <x:c r="M2670" s="28"/>
      <x:c r="N2670" s="28"/>
      <x:c r="O2670" s="28"/>
    </x:row>
    <x:row r="2671">
      <x:c r="B2671" s="26"/>
      <x:c r="I2671" s="27"/>
      <x:c r="K2671" s="28"/>
      <x:c r="L2671" s="28"/>
      <x:c r="M2671" s="28"/>
      <x:c r="N2671" s="28"/>
      <x:c r="O2671" s="28"/>
    </x:row>
    <x:row r="2672">
      <x:c r="B2672" s="26"/>
      <x:c r="I2672" s="27"/>
      <x:c r="K2672" s="28"/>
      <x:c r="L2672" s="28"/>
      <x:c r="M2672" s="28"/>
      <x:c r="N2672" s="28"/>
      <x:c r="O2672" s="28"/>
    </x:row>
    <x:row r="2673">
      <x:c r="B2673" s="26"/>
      <x:c r="I2673" s="27"/>
      <x:c r="K2673" s="28"/>
      <x:c r="L2673" s="28"/>
      <x:c r="M2673" s="28"/>
      <x:c r="N2673" s="28"/>
      <x:c r="O2673" s="28"/>
    </x:row>
    <x:row r="2674">
      <x:c r="B2674" s="26"/>
      <x:c r="I2674" s="27"/>
      <x:c r="K2674" s="28"/>
      <x:c r="L2674" s="28"/>
      <x:c r="M2674" s="28"/>
      <x:c r="N2674" s="28"/>
      <x:c r="O2674" s="28"/>
    </x:row>
    <x:row r="2675">
      <x:c r="B2675" s="26"/>
      <x:c r="I2675" s="27"/>
      <x:c r="K2675" s="28"/>
      <x:c r="L2675" s="28"/>
      <x:c r="M2675" s="28"/>
      <x:c r="N2675" s="28"/>
      <x:c r="O2675" s="28"/>
    </x:row>
    <x:row r="2676">
      <x:c r="B2676" s="26"/>
      <x:c r="I2676" s="27"/>
      <x:c r="K2676" s="28"/>
      <x:c r="L2676" s="28"/>
      <x:c r="M2676" s="28"/>
      <x:c r="N2676" s="28"/>
      <x:c r="O2676" s="28"/>
    </x:row>
    <x:row r="2677">
      <x:c r="B2677" s="26"/>
      <x:c r="I2677" s="27"/>
      <x:c r="K2677" s="28"/>
      <x:c r="L2677" s="28"/>
      <x:c r="M2677" s="28"/>
      <x:c r="N2677" s="28"/>
      <x:c r="O2677" s="28"/>
    </x:row>
    <x:row r="2678">
      <x:c r="B2678" s="26"/>
      <x:c r="I2678" s="27"/>
      <x:c r="K2678" s="28"/>
      <x:c r="L2678" s="28"/>
      <x:c r="M2678" s="28"/>
      <x:c r="N2678" s="28"/>
      <x:c r="O2678" s="28"/>
    </x:row>
    <x:row r="2679">
      <x:c r="B2679" s="26"/>
      <x:c r="I2679" s="27"/>
      <x:c r="K2679" s="28"/>
      <x:c r="L2679" s="28"/>
      <x:c r="M2679" s="28"/>
      <x:c r="N2679" s="28"/>
      <x:c r="O2679" s="28"/>
    </x:row>
    <x:row r="2680">
      <x:c r="B2680" s="26"/>
      <x:c r="I2680" s="27"/>
      <x:c r="K2680" s="28"/>
      <x:c r="L2680" s="28"/>
      <x:c r="M2680" s="28"/>
      <x:c r="N2680" s="28"/>
      <x:c r="O2680" s="28"/>
    </x:row>
    <x:row r="2681">
      <x:c r="B2681" s="26"/>
      <x:c r="I2681" s="27"/>
      <x:c r="K2681" s="28"/>
      <x:c r="L2681" s="28"/>
      <x:c r="M2681" s="28"/>
      <x:c r="N2681" s="28"/>
      <x:c r="O2681" s="28"/>
    </x:row>
    <x:row r="2682">
      <x:c r="B2682" s="26"/>
      <x:c r="I2682" s="27"/>
      <x:c r="K2682" s="28"/>
      <x:c r="L2682" s="28"/>
      <x:c r="M2682" s="28"/>
      <x:c r="N2682" s="28"/>
      <x:c r="O2682" s="28"/>
    </x:row>
    <x:row r="2683">
      <x:c r="B2683" s="26"/>
      <x:c r="I2683" s="27"/>
      <x:c r="K2683" s="28"/>
      <x:c r="L2683" s="28"/>
      <x:c r="M2683" s="28"/>
      <x:c r="N2683" s="28"/>
      <x:c r="O2683" s="28"/>
    </x:row>
    <x:row r="2684">
      <x:c r="B2684" s="26"/>
      <x:c r="I2684" s="27"/>
      <x:c r="K2684" s="28"/>
      <x:c r="L2684" s="28"/>
      <x:c r="M2684" s="28"/>
      <x:c r="N2684" s="28"/>
      <x:c r="O2684" s="28"/>
    </x:row>
    <x:row r="2685">
      <x:c r="B2685" s="26"/>
      <x:c r="I2685" s="27"/>
      <x:c r="K2685" s="28"/>
      <x:c r="L2685" s="28"/>
      <x:c r="M2685" s="28"/>
      <x:c r="N2685" s="28"/>
      <x:c r="O2685" s="28"/>
    </x:row>
    <x:row r="2686">
      <x:c r="B2686" s="26"/>
      <x:c r="I2686" s="27"/>
      <x:c r="K2686" s="28"/>
      <x:c r="L2686" s="28"/>
      <x:c r="M2686" s="28"/>
      <x:c r="N2686" s="28"/>
      <x:c r="O2686" s="28"/>
    </x:row>
    <x:row r="2687">
      <x:c r="B2687" s="26"/>
      <x:c r="I2687" s="27"/>
      <x:c r="K2687" s="28"/>
      <x:c r="L2687" s="28"/>
      <x:c r="M2687" s="28"/>
      <x:c r="N2687" s="28"/>
      <x:c r="O2687" s="28"/>
    </x:row>
    <x:row r="2688">
      <x:c r="B2688" s="26"/>
      <x:c r="I2688" s="27"/>
      <x:c r="K2688" s="28"/>
      <x:c r="L2688" s="28"/>
      <x:c r="M2688" s="28"/>
      <x:c r="N2688" s="28"/>
      <x:c r="O2688" s="28"/>
    </x:row>
    <x:row r="2689">
      <x:c r="B2689" s="26"/>
      <x:c r="I2689" s="27"/>
      <x:c r="K2689" s="28"/>
      <x:c r="L2689" s="28"/>
      <x:c r="M2689" s="28"/>
      <x:c r="N2689" s="28"/>
      <x:c r="O2689" s="28"/>
    </x:row>
    <x:row r="2690">
      <x:c r="B2690" s="26"/>
      <x:c r="I2690" s="27"/>
      <x:c r="K2690" s="28"/>
      <x:c r="L2690" s="28"/>
      <x:c r="M2690" s="28"/>
      <x:c r="N2690" s="28"/>
      <x:c r="O2690" s="28"/>
    </x:row>
    <x:row r="2691">
      <x:c r="B2691" s="26"/>
      <x:c r="I2691" s="27"/>
      <x:c r="K2691" s="28"/>
      <x:c r="L2691" s="28"/>
      <x:c r="M2691" s="28"/>
      <x:c r="N2691" s="28"/>
      <x:c r="O2691" s="28"/>
    </x:row>
    <x:row r="2692">
      <x:c r="B2692" s="26"/>
      <x:c r="I2692" s="27"/>
      <x:c r="K2692" s="28"/>
      <x:c r="L2692" s="28"/>
      <x:c r="M2692" s="28"/>
      <x:c r="N2692" s="28"/>
      <x:c r="O2692" s="28"/>
    </x:row>
    <x:row r="2693">
      <x:c r="B2693" s="26"/>
      <x:c r="I2693" s="27"/>
      <x:c r="K2693" s="28"/>
      <x:c r="L2693" s="28"/>
      <x:c r="M2693" s="28"/>
      <x:c r="N2693" s="28"/>
      <x:c r="O2693" s="28"/>
    </x:row>
    <x:row r="2694">
      <x:c r="B2694" s="26"/>
      <x:c r="I2694" s="27"/>
      <x:c r="K2694" s="28"/>
      <x:c r="L2694" s="28"/>
      <x:c r="M2694" s="28"/>
      <x:c r="N2694" s="28"/>
      <x:c r="O2694" s="28"/>
    </x:row>
    <x:row r="2695">
      <x:c r="B2695" s="26"/>
      <x:c r="I2695" s="27"/>
      <x:c r="K2695" s="28"/>
      <x:c r="L2695" s="28"/>
      <x:c r="M2695" s="28"/>
      <x:c r="N2695" s="28"/>
      <x:c r="O2695" s="28"/>
    </x:row>
    <x:row r="2696">
      <x:c r="B2696" s="26"/>
      <x:c r="I2696" s="27"/>
      <x:c r="K2696" s="28"/>
      <x:c r="L2696" s="28"/>
      <x:c r="M2696" s="28"/>
      <x:c r="N2696" s="28"/>
      <x:c r="O2696" s="28"/>
    </x:row>
    <x:row r="2697">
      <x:c r="B2697" s="26"/>
      <x:c r="I2697" s="27"/>
      <x:c r="K2697" s="28"/>
      <x:c r="L2697" s="28"/>
      <x:c r="M2697" s="28"/>
      <x:c r="N2697" s="28"/>
      <x:c r="O2697" s="28"/>
    </x:row>
    <x:row r="2698">
      <x:c r="B2698" s="26"/>
      <x:c r="I2698" s="27"/>
      <x:c r="K2698" s="28"/>
      <x:c r="L2698" s="28"/>
      <x:c r="M2698" s="28"/>
      <x:c r="N2698" s="28"/>
      <x:c r="O2698" s="28"/>
    </x:row>
    <x:row r="2699">
      <x:c r="B2699" s="26"/>
      <x:c r="I2699" s="27"/>
      <x:c r="K2699" s="28"/>
      <x:c r="L2699" s="28"/>
      <x:c r="M2699" s="28"/>
      <x:c r="N2699" s="28"/>
      <x:c r="O2699" s="28"/>
    </x:row>
    <x:row r="2700">
      <x:c r="B2700" s="26"/>
      <x:c r="I2700" s="27"/>
      <x:c r="K2700" s="28"/>
      <x:c r="L2700" s="28"/>
      <x:c r="M2700" s="28"/>
      <x:c r="N2700" s="28"/>
      <x:c r="O2700" s="28"/>
    </x:row>
    <x:row r="2701">
      <x:c r="B2701" s="26"/>
      <x:c r="I2701" s="27"/>
      <x:c r="K2701" s="28"/>
      <x:c r="L2701" s="28"/>
      <x:c r="M2701" s="28"/>
      <x:c r="N2701" s="28"/>
      <x:c r="O2701" s="28"/>
    </x:row>
    <x:row r="2702">
      <x:c r="B2702" s="26"/>
      <x:c r="I2702" s="27"/>
      <x:c r="K2702" s="28"/>
      <x:c r="L2702" s="28"/>
      <x:c r="M2702" s="28"/>
      <x:c r="N2702" s="28"/>
      <x:c r="O2702" s="28"/>
    </x:row>
    <x:row r="2703">
      <x:c r="B2703" s="26"/>
      <x:c r="I2703" s="27"/>
      <x:c r="K2703" s="28"/>
      <x:c r="L2703" s="28"/>
      <x:c r="M2703" s="28"/>
      <x:c r="N2703" s="28"/>
      <x:c r="O2703" s="28"/>
    </x:row>
    <x:row r="2704">
      <x:c r="B2704" s="26"/>
      <x:c r="I2704" s="27"/>
      <x:c r="K2704" s="28"/>
      <x:c r="L2704" s="28"/>
      <x:c r="M2704" s="28"/>
      <x:c r="N2704" s="28"/>
      <x:c r="O2704" s="28"/>
    </x:row>
    <x:row r="2705">
      <x:c r="B2705" s="26"/>
      <x:c r="I2705" s="27"/>
      <x:c r="K2705" s="28"/>
      <x:c r="L2705" s="28"/>
      <x:c r="M2705" s="28"/>
      <x:c r="N2705" s="28"/>
      <x:c r="O2705" s="28"/>
    </x:row>
    <x:row r="2706">
      <x:c r="B2706" s="26"/>
      <x:c r="I2706" s="27"/>
      <x:c r="K2706" s="28"/>
      <x:c r="L2706" s="28"/>
      <x:c r="M2706" s="28"/>
      <x:c r="N2706" s="28"/>
      <x:c r="O2706" s="28"/>
    </x:row>
    <x:row r="2707">
      <x:c r="B2707" s="26"/>
      <x:c r="I2707" s="27"/>
      <x:c r="K2707" s="28"/>
      <x:c r="L2707" s="28"/>
      <x:c r="M2707" s="28"/>
      <x:c r="N2707" s="28"/>
      <x:c r="O2707" s="28"/>
    </x:row>
    <x:row r="2708">
      <x:c r="B2708" s="26"/>
      <x:c r="I2708" s="27"/>
      <x:c r="K2708" s="28"/>
      <x:c r="L2708" s="28"/>
      <x:c r="M2708" s="28"/>
      <x:c r="N2708" s="28"/>
      <x:c r="O2708" s="28"/>
    </x:row>
    <x:row r="2709">
      <x:c r="B2709" s="26"/>
      <x:c r="I2709" s="27"/>
      <x:c r="K2709" s="28"/>
      <x:c r="L2709" s="28"/>
      <x:c r="M2709" s="28"/>
      <x:c r="N2709" s="28"/>
      <x:c r="O2709" s="28"/>
    </x:row>
    <x:row r="2710">
      <x:c r="B2710" s="26"/>
      <x:c r="I2710" s="27"/>
      <x:c r="K2710" s="28"/>
      <x:c r="L2710" s="28"/>
      <x:c r="M2710" s="28"/>
      <x:c r="N2710" s="28"/>
      <x:c r="O2710" s="28"/>
    </x:row>
    <x:row r="2711">
      <x:c r="B2711" s="26"/>
      <x:c r="I2711" s="27"/>
      <x:c r="K2711" s="28"/>
      <x:c r="L2711" s="28"/>
      <x:c r="M2711" s="28"/>
      <x:c r="N2711" s="28"/>
      <x:c r="O2711" s="28"/>
    </x:row>
    <x:row r="2712">
      <x:c r="B2712" s="26"/>
      <x:c r="I2712" s="27"/>
      <x:c r="K2712" s="28"/>
      <x:c r="L2712" s="28"/>
      <x:c r="M2712" s="28"/>
      <x:c r="N2712" s="28"/>
      <x:c r="O2712" s="28"/>
    </x:row>
    <x:row r="2713">
      <x:c r="B2713" s="26"/>
      <x:c r="I2713" s="27"/>
      <x:c r="K2713" s="28"/>
      <x:c r="L2713" s="28"/>
      <x:c r="M2713" s="28"/>
      <x:c r="N2713" s="28"/>
      <x:c r="O2713" s="28"/>
    </x:row>
    <x:row r="2714">
      <x:c r="B2714" s="26"/>
      <x:c r="I2714" s="27"/>
      <x:c r="K2714" s="28"/>
      <x:c r="L2714" s="28"/>
      <x:c r="M2714" s="28"/>
      <x:c r="N2714" s="28"/>
      <x:c r="O2714" s="28"/>
    </x:row>
    <x:row r="2715">
      <x:c r="B2715" s="26"/>
      <x:c r="I2715" s="27"/>
      <x:c r="K2715" s="28"/>
      <x:c r="L2715" s="28"/>
      <x:c r="M2715" s="28"/>
      <x:c r="N2715" s="28"/>
      <x:c r="O2715" s="28"/>
    </x:row>
    <x:row r="2716">
      <x:c r="B2716" s="26"/>
      <x:c r="I2716" s="27"/>
      <x:c r="K2716" s="28"/>
      <x:c r="L2716" s="28"/>
      <x:c r="M2716" s="28"/>
      <x:c r="N2716" s="28"/>
      <x:c r="O2716" s="28"/>
    </x:row>
    <x:row r="2717">
      <x:c r="B2717" s="26"/>
      <x:c r="I2717" s="27"/>
      <x:c r="K2717" s="28"/>
      <x:c r="L2717" s="28"/>
      <x:c r="M2717" s="28"/>
      <x:c r="N2717" s="28"/>
      <x:c r="O2717" s="28"/>
    </x:row>
    <x:row r="2718">
      <x:c r="B2718" s="26"/>
      <x:c r="I2718" s="27"/>
      <x:c r="K2718" s="28"/>
      <x:c r="L2718" s="28"/>
      <x:c r="M2718" s="28"/>
      <x:c r="N2718" s="28"/>
      <x:c r="O2718" s="28"/>
    </x:row>
    <x:row r="2719">
      <x:c r="B2719" s="26"/>
      <x:c r="I2719" s="27"/>
      <x:c r="K2719" s="28"/>
      <x:c r="L2719" s="28"/>
      <x:c r="M2719" s="28"/>
      <x:c r="N2719" s="28"/>
      <x:c r="O2719" s="28"/>
    </x:row>
    <x:row r="2720">
      <x:c r="B2720" s="26"/>
      <x:c r="I2720" s="27"/>
      <x:c r="K2720" s="28"/>
      <x:c r="L2720" s="28"/>
      <x:c r="M2720" s="28"/>
      <x:c r="N2720" s="28"/>
      <x:c r="O2720" s="28"/>
    </x:row>
    <x:row r="2721">
      <x:c r="B2721" s="26"/>
      <x:c r="I2721" s="27"/>
      <x:c r="K2721" s="28"/>
      <x:c r="L2721" s="28"/>
      <x:c r="M2721" s="28"/>
      <x:c r="N2721" s="28"/>
      <x:c r="O2721" s="28"/>
    </x:row>
    <x:row r="2722">
      <x:c r="B2722" s="26"/>
      <x:c r="I2722" s="27"/>
      <x:c r="K2722" s="28"/>
      <x:c r="L2722" s="28"/>
      <x:c r="M2722" s="28"/>
      <x:c r="N2722" s="28"/>
      <x:c r="O2722" s="28"/>
    </x:row>
    <x:row r="2723">
      <x:c r="B2723" s="26"/>
      <x:c r="I2723" s="27"/>
      <x:c r="K2723" s="28"/>
      <x:c r="L2723" s="28"/>
      <x:c r="M2723" s="28"/>
      <x:c r="N2723" s="28"/>
      <x:c r="O2723" s="28"/>
    </x:row>
    <x:row r="2724">
      <x:c r="B2724" s="26"/>
      <x:c r="I2724" s="27"/>
      <x:c r="K2724" s="28"/>
      <x:c r="L2724" s="28"/>
      <x:c r="M2724" s="28"/>
      <x:c r="N2724" s="28"/>
      <x:c r="O2724" s="28"/>
    </x:row>
    <x:row r="2725">
      <x:c r="B2725" s="26"/>
      <x:c r="I2725" s="27"/>
      <x:c r="K2725" s="28"/>
      <x:c r="L2725" s="28"/>
      <x:c r="M2725" s="28"/>
      <x:c r="N2725" s="28"/>
      <x:c r="O2725" s="28"/>
    </x:row>
    <x:row r="2726">
      <x:c r="B2726" s="26"/>
      <x:c r="I2726" s="27"/>
      <x:c r="K2726" s="28"/>
      <x:c r="L2726" s="28"/>
      <x:c r="M2726" s="28"/>
      <x:c r="N2726" s="28"/>
      <x:c r="O2726" s="28"/>
    </x:row>
    <x:row r="2727">
      <x:c r="B2727" s="26"/>
      <x:c r="I2727" s="27"/>
      <x:c r="K2727" s="28"/>
      <x:c r="L2727" s="28"/>
      <x:c r="M2727" s="28"/>
      <x:c r="N2727" s="28"/>
      <x:c r="O2727" s="28"/>
    </x:row>
    <x:row r="2728">
      <x:c r="B2728" s="26"/>
      <x:c r="I2728" s="27"/>
      <x:c r="K2728" s="28"/>
      <x:c r="L2728" s="28"/>
      <x:c r="M2728" s="28"/>
      <x:c r="N2728" s="28"/>
      <x:c r="O2728" s="28"/>
    </x:row>
    <x:row r="2729">
      <x:c r="B2729" s="26"/>
      <x:c r="I2729" s="27"/>
      <x:c r="K2729" s="28"/>
      <x:c r="L2729" s="28"/>
      <x:c r="M2729" s="28"/>
      <x:c r="N2729" s="28"/>
      <x:c r="O2729" s="28"/>
    </x:row>
    <x:row r="2730">
      <x:c r="B2730" s="26"/>
      <x:c r="I2730" s="27"/>
      <x:c r="K2730" s="28"/>
      <x:c r="L2730" s="28"/>
      <x:c r="M2730" s="28"/>
      <x:c r="N2730" s="28"/>
      <x:c r="O2730" s="28"/>
    </x:row>
    <x:row r="2731">
      <x:c r="B2731" s="26"/>
      <x:c r="I2731" s="27"/>
      <x:c r="K2731" s="28"/>
      <x:c r="L2731" s="28"/>
      <x:c r="M2731" s="28"/>
      <x:c r="N2731" s="28"/>
      <x:c r="O2731" s="28"/>
    </x:row>
    <x:row r="2732">
      <x:c r="B2732" s="26"/>
      <x:c r="I2732" s="27"/>
      <x:c r="K2732" s="28"/>
      <x:c r="L2732" s="28"/>
      <x:c r="M2732" s="28"/>
      <x:c r="N2732" s="28"/>
      <x:c r="O2732" s="28"/>
    </x:row>
    <x:row r="2733">
      <x:c r="B2733" s="26"/>
      <x:c r="I2733" s="27"/>
      <x:c r="K2733" s="28"/>
      <x:c r="L2733" s="28"/>
      <x:c r="M2733" s="28"/>
      <x:c r="N2733" s="28"/>
      <x:c r="O2733" s="28"/>
    </x:row>
    <x:row r="2734">
      <x:c r="B2734" s="26"/>
      <x:c r="I2734" s="27"/>
      <x:c r="K2734" s="28"/>
      <x:c r="L2734" s="28"/>
      <x:c r="M2734" s="28"/>
      <x:c r="N2734" s="28"/>
      <x:c r="O2734" s="28"/>
    </x:row>
    <x:row r="2735">
      <x:c r="B2735" s="26"/>
      <x:c r="I2735" s="27"/>
      <x:c r="K2735" s="28"/>
      <x:c r="L2735" s="28"/>
      <x:c r="M2735" s="28"/>
      <x:c r="N2735" s="28"/>
      <x:c r="O2735" s="28"/>
    </x:row>
    <x:row r="2736">
      <x:c r="B2736" s="26"/>
      <x:c r="I2736" s="27"/>
      <x:c r="K2736" s="28"/>
      <x:c r="L2736" s="28"/>
      <x:c r="M2736" s="28"/>
      <x:c r="N2736" s="28"/>
      <x:c r="O2736" s="28"/>
    </x:row>
    <x:row r="2737">
      <x:c r="B2737" s="26"/>
      <x:c r="I2737" s="27"/>
      <x:c r="K2737" s="28"/>
      <x:c r="L2737" s="28"/>
      <x:c r="M2737" s="28"/>
      <x:c r="N2737" s="28"/>
      <x:c r="O2737" s="28"/>
    </x:row>
    <x:row r="2738">
      <x:c r="B2738" s="26"/>
      <x:c r="I2738" s="27"/>
      <x:c r="K2738" s="28"/>
      <x:c r="L2738" s="28"/>
      <x:c r="M2738" s="28"/>
      <x:c r="N2738" s="28"/>
      <x:c r="O2738" s="28"/>
    </x:row>
    <x:row r="2739">
      <x:c r="B2739" s="26"/>
      <x:c r="I2739" s="27"/>
      <x:c r="K2739" s="28"/>
      <x:c r="L2739" s="28"/>
      <x:c r="M2739" s="28"/>
      <x:c r="N2739" s="28"/>
      <x:c r="O2739" s="28"/>
    </x:row>
    <x:row r="2740">
      <x:c r="B2740" s="26"/>
      <x:c r="I2740" s="27"/>
      <x:c r="K2740" s="28"/>
      <x:c r="L2740" s="28"/>
      <x:c r="M2740" s="28"/>
      <x:c r="N2740" s="28"/>
      <x:c r="O2740" s="28"/>
    </x:row>
    <x:row r="2741">
      <x:c r="B2741" s="26"/>
      <x:c r="I2741" s="27"/>
      <x:c r="K2741" s="28"/>
      <x:c r="L2741" s="28"/>
      <x:c r="M2741" s="28"/>
      <x:c r="N2741" s="28"/>
      <x:c r="O2741" s="28"/>
    </x:row>
    <x:row r="2742">
      <x:c r="B2742" s="26"/>
      <x:c r="I2742" s="27"/>
      <x:c r="K2742" s="28"/>
      <x:c r="L2742" s="28"/>
      <x:c r="M2742" s="28"/>
      <x:c r="N2742" s="28"/>
      <x:c r="O2742" s="28"/>
    </x:row>
    <x:row r="2743">
      <x:c r="B2743" s="26"/>
      <x:c r="I2743" s="27"/>
      <x:c r="K2743" s="28"/>
      <x:c r="L2743" s="28"/>
      <x:c r="M2743" s="28"/>
      <x:c r="N2743" s="28"/>
      <x:c r="O2743" s="28"/>
    </x:row>
    <x:row r="2744">
      <x:c r="B2744" s="26"/>
      <x:c r="I2744" s="27"/>
      <x:c r="K2744" s="28"/>
      <x:c r="L2744" s="28"/>
      <x:c r="M2744" s="28"/>
      <x:c r="N2744" s="28"/>
      <x:c r="O2744" s="28"/>
    </x:row>
    <x:row r="2745">
      <x:c r="B2745" s="26"/>
      <x:c r="I2745" s="27"/>
      <x:c r="K2745" s="28"/>
      <x:c r="L2745" s="28"/>
      <x:c r="M2745" s="28"/>
      <x:c r="N2745" s="28"/>
      <x:c r="O2745" s="28"/>
    </x:row>
    <x:row r="2746">
      <x:c r="B2746" s="26"/>
      <x:c r="I2746" s="27"/>
      <x:c r="K2746" s="28"/>
      <x:c r="L2746" s="28"/>
      <x:c r="M2746" s="28"/>
      <x:c r="N2746" s="28"/>
      <x:c r="O2746" s="28"/>
    </x:row>
    <x:row r="2747">
      <x:c r="B2747" s="26"/>
      <x:c r="I2747" s="27"/>
      <x:c r="K2747" s="28"/>
      <x:c r="L2747" s="28"/>
      <x:c r="M2747" s="28"/>
      <x:c r="N2747" s="28"/>
      <x:c r="O2747" s="28"/>
    </x:row>
    <x:row r="2748">
      <x:c r="B2748" s="26"/>
      <x:c r="I2748" s="27"/>
      <x:c r="K2748" s="28"/>
      <x:c r="L2748" s="28"/>
      <x:c r="M2748" s="28"/>
      <x:c r="N2748" s="28"/>
      <x:c r="O2748" s="28"/>
    </x:row>
    <x:row r="2749">
      <x:c r="B2749" s="26"/>
      <x:c r="I2749" s="27"/>
      <x:c r="K2749" s="28"/>
      <x:c r="L2749" s="28"/>
      <x:c r="M2749" s="28"/>
      <x:c r="N2749" s="28"/>
      <x:c r="O2749" s="28"/>
    </x:row>
    <x:row r="2750">
      <x:c r="B2750" s="26"/>
      <x:c r="I2750" s="27"/>
      <x:c r="K2750" s="28"/>
      <x:c r="L2750" s="28"/>
      <x:c r="M2750" s="28"/>
      <x:c r="N2750" s="28"/>
      <x:c r="O2750" s="28"/>
    </x:row>
    <x:row r="2751">
      <x:c r="B2751" s="26"/>
      <x:c r="I2751" s="27"/>
      <x:c r="K2751" s="28"/>
      <x:c r="L2751" s="28"/>
      <x:c r="M2751" s="28"/>
      <x:c r="N2751" s="28"/>
      <x:c r="O2751" s="28"/>
    </x:row>
    <x:row r="2752">
      <x:c r="B2752" s="26"/>
      <x:c r="I2752" s="27"/>
      <x:c r="K2752" s="28"/>
      <x:c r="L2752" s="28"/>
      <x:c r="M2752" s="28"/>
      <x:c r="N2752" s="28"/>
      <x:c r="O2752" s="28"/>
    </x:row>
    <x:row r="2753">
      <x:c r="B2753" s="26"/>
      <x:c r="I2753" s="27"/>
      <x:c r="K2753" s="28"/>
      <x:c r="L2753" s="28"/>
      <x:c r="M2753" s="28"/>
      <x:c r="N2753" s="28"/>
      <x:c r="O2753" s="28"/>
    </x:row>
    <x:row r="2754">
      <x:c r="B2754" s="26"/>
      <x:c r="I2754" s="27"/>
      <x:c r="K2754" s="28"/>
      <x:c r="L2754" s="28"/>
      <x:c r="M2754" s="28"/>
      <x:c r="N2754" s="28"/>
      <x:c r="O2754" s="28"/>
    </x:row>
    <x:row r="2755">
      <x:c r="B2755" s="26"/>
      <x:c r="I2755" s="27"/>
      <x:c r="K2755" s="28"/>
      <x:c r="L2755" s="28"/>
      <x:c r="M2755" s="28"/>
      <x:c r="N2755" s="28"/>
      <x:c r="O2755" s="28"/>
    </x:row>
    <x:row r="2756">
      <x:c r="B2756" s="26"/>
      <x:c r="I2756" s="27"/>
      <x:c r="K2756" s="28"/>
      <x:c r="L2756" s="28"/>
      <x:c r="M2756" s="28"/>
      <x:c r="N2756" s="28"/>
      <x:c r="O2756" s="28"/>
    </x:row>
    <x:row r="2757">
      <x:c r="B2757" s="26"/>
      <x:c r="I2757" s="27"/>
      <x:c r="K2757" s="28"/>
      <x:c r="L2757" s="28"/>
      <x:c r="M2757" s="28"/>
      <x:c r="N2757" s="28"/>
      <x:c r="O2757" s="28"/>
    </x:row>
    <x:row r="2758">
      <x:c r="B2758" s="26"/>
      <x:c r="I2758" s="27"/>
      <x:c r="K2758" s="28"/>
      <x:c r="L2758" s="28"/>
      <x:c r="M2758" s="28"/>
      <x:c r="N2758" s="28"/>
      <x:c r="O2758" s="28"/>
    </x:row>
    <x:row r="2759">
      <x:c r="B2759" s="26"/>
      <x:c r="I2759" s="27"/>
      <x:c r="K2759" s="28"/>
      <x:c r="L2759" s="28"/>
      <x:c r="M2759" s="28"/>
      <x:c r="N2759" s="28"/>
      <x:c r="O2759" s="28"/>
    </x:row>
    <x:row r="2760">
      <x:c r="B2760" s="26"/>
      <x:c r="I2760" s="27"/>
      <x:c r="K2760" s="28"/>
      <x:c r="L2760" s="28"/>
      <x:c r="M2760" s="28"/>
      <x:c r="N2760" s="28"/>
      <x:c r="O2760" s="28"/>
    </x:row>
    <x:row r="2761">
      <x:c r="B2761" s="26"/>
      <x:c r="I2761" s="27"/>
      <x:c r="K2761" s="28"/>
      <x:c r="L2761" s="28"/>
      <x:c r="M2761" s="28"/>
      <x:c r="N2761" s="28"/>
      <x:c r="O2761" s="28"/>
    </x:row>
    <x:row r="2762">
      <x:c r="B2762" s="26"/>
      <x:c r="I2762" s="27"/>
      <x:c r="K2762" s="28"/>
      <x:c r="L2762" s="28"/>
      <x:c r="M2762" s="28"/>
      <x:c r="N2762" s="28"/>
      <x:c r="O2762" s="28"/>
    </x:row>
    <x:row r="2763">
      <x:c r="B2763" s="26"/>
      <x:c r="I2763" s="27"/>
      <x:c r="K2763" s="28"/>
      <x:c r="L2763" s="28"/>
      <x:c r="M2763" s="28"/>
      <x:c r="N2763" s="28"/>
      <x:c r="O2763" s="28"/>
    </x:row>
    <x:row r="2764">
      <x:c r="B2764" s="26"/>
      <x:c r="I2764" s="27"/>
      <x:c r="K2764" s="28"/>
      <x:c r="L2764" s="28"/>
      <x:c r="M2764" s="28"/>
      <x:c r="N2764" s="28"/>
      <x:c r="O2764" s="28"/>
    </x:row>
    <x:row r="2765">
      <x:c r="B2765" s="26"/>
      <x:c r="I2765" s="27"/>
      <x:c r="K2765" s="28"/>
      <x:c r="L2765" s="28"/>
      <x:c r="M2765" s="28"/>
      <x:c r="N2765" s="28"/>
      <x:c r="O2765" s="28"/>
    </x:row>
    <x:row r="2766">
      <x:c r="B2766" s="26"/>
      <x:c r="I2766" s="27"/>
      <x:c r="K2766" s="28"/>
      <x:c r="L2766" s="28"/>
      <x:c r="M2766" s="28"/>
      <x:c r="N2766" s="28"/>
      <x:c r="O2766" s="28"/>
    </x:row>
    <x:row r="2767">
      <x:c r="B2767" s="26"/>
      <x:c r="I2767" s="27"/>
      <x:c r="K2767" s="28"/>
      <x:c r="L2767" s="28"/>
      <x:c r="M2767" s="28"/>
      <x:c r="N2767" s="28"/>
      <x:c r="O2767" s="28"/>
    </x:row>
    <x:row r="2768">
      <x:c r="B2768" s="26"/>
      <x:c r="I2768" s="27"/>
      <x:c r="K2768" s="28"/>
      <x:c r="L2768" s="28"/>
      <x:c r="M2768" s="28"/>
      <x:c r="N2768" s="28"/>
      <x:c r="O2768" s="28"/>
    </x:row>
    <x:row r="2769">
      <x:c r="B2769" s="26"/>
      <x:c r="I2769" s="27"/>
      <x:c r="K2769" s="28"/>
      <x:c r="L2769" s="28"/>
      <x:c r="M2769" s="28"/>
      <x:c r="N2769" s="28"/>
      <x:c r="O2769" s="28"/>
    </x:row>
    <x:row r="2770">
      <x:c r="B2770" s="26"/>
      <x:c r="I2770" s="27"/>
      <x:c r="K2770" s="28"/>
      <x:c r="L2770" s="28"/>
      <x:c r="M2770" s="28"/>
      <x:c r="N2770" s="28"/>
      <x:c r="O2770" s="28"/>
    </x:row>
    <x:row r="2771">
      <x:c r="B2771" s="26"/>
      <x:c r="I2771" s="27"/>
      <x:c r="K2771" s="28"/>
      <x:c r="L2771" s="28"/>
      <x:c r="M2771" s="28"/>
      <x:c r="N2771" s="28"/>
      <x:c r="O2771" s="28"/>
    </x:row>
    <x:row r="2772">
      <x:c r="B2772" s="26"/>
      <x:c r="I2772" s="27"/>
      <x:c r="K2772" s="28"/>
      <x:c r="L2772" s="28"/>
      <x:c r="M2772" s="28"/>
      <x:c r="N2772" s="28"/>
      <x:c r="O2772" s="28"/>
    </x:row>
    <x:row r="2773">
      <x:c r="B2773" s="26"/>
      <x:c r="I2773" s="27"/>
      <x:c r="K2773" s="28"/>
      <x:c r="L2773" s="28"/>
      <x:c r="M2773" s="28"/>
      <x:c r="N2773" s="28"/>
      <x:c r="O2773" s="28"/>
    </x:row>
    <x:row r="2774">
      <x:c r="B2774" s="26"/>
      <x:c r="I2774" s="27"/>
      <x:c r="K2774" s="28"/>
      <x:c r="L2774" s="28"/>
      <x:c r="M2774" s="28"/>
      <x:c r="N2774" s="28"/>
      <x:c r="O2774" s="28"/>
    </x:row>
    <x:row r="2775">
      <x:c r="B2775" s="26"/>
      <x:c r="I2775" s="27"/>
      <x:c r="K2775" s="28"/>
      <x:c r="L2775" s="28"/>
      <x:c r="M2775" s="28"/>
      <x:c r="N2775" s="28"/>
      <x:c r="O2775" s="28"/>
    </x:row>
    <x:row r="2776">
      <x:c r="B2776" s="26"/>
      <x:c r="I2776" s="27"/>
      <x:c r="K2776" s="28"/>
      <x:c r="L2776" s="28"/>
      <x:c r="M2776" s="28"/>
      <x:c r="N2776" s="28"/>
      <x:c r="O2776" s="28"/>
    </x:row>
    <x:row r="2777">
      <x:c r="B2777" s="26"/>
      <x:c r="I2777" s="27"/>
      <x:c r="K2777" s="28"/>
      <x:c r="L2777" s="28"/>
      <x:c r="M2777" s="28"/>
      <x:c r="N2777" s="28"/>
      <x:c r="O2777" s="28"/>
    </x:row>
    <x:row r="2778">
      <x:c r="B2778" s="26"/>
      <x:c r="I2778" s="27"/>
      <x:c r="K2778" s="28"/>
      <x:c r="L2778" s="28"/>
      <x:c r="M2778" s="28"/>
      <x:c r="N2778" s="28"/>
      <x:c r="O2778" s="28"/>
    </x:row>
    <x:row r="2779">
      <x:c r="B2779" s="26"/>
      <x:c r="I2779" s="27"/>
      <x:c r="K2779" s="28"/>
      <x:c r="L2779" s="28"/>
      <x:c r="M2779" s="28"/>
      <x:c r="N2779" s="28"/>
      <x:c r="O2779" s="28"/>
    </x:row>
    <x:row r="2780">
      <x:c r="B2780" s="26"/>
      <x:c r="I2780" s="27"/>
      <x:c r="K2780" s="28"/>
      <x:c r="L2780" s="28"/>
      <x:c r="M2780" s="28"/>
      <x:c r="N2780" s="28"/>
      <x:c r="O2780" s="28"/>
    </x:row>
    <x:row r="2781">
      <x:c r="B2781" s="26"/>
      <x:c r="I2781" s="27"/>
      <x:c r="K2781" s="28"/>
      <x:c r="L2781" s="28"/>
      <x:c r="M2781" s="28"/>
      <x:c r="N2781" s="28"/>
      <x:c r="O2781" s="28"/>
    </x:row>
    <x:row r="2782">
      <x:c r="B2782" s="26"/>
      <x:c r="I2782" s="27"/>
      <x:c r="K2782" s="28"/>
      <x:c r="L2782" s="28"/>
      <x:c r="M2782" s="28"/>
      <x:c r="N2782" s="28"/>
      <x:c r="O2782" s="28"/>
    </x:row>
    <x:row r="2783">
      <x:c r="B2783" s="26"/>
      <x:c r="I2783" s="27"/>
      <x:c r="K2783" s="28"/>
      <x:c r="L2783" s="28"/>
      <x:c r="M2783" s="28"/>
      <x:c r="N2783" s="28"/>
      <x:c r="O2783" s="28"/>
    </x:row>
    <x:row r="2784">
      <x:c r="B2784" s="26"/>
      <x:c r="I2784" s="27"/>
      <x:c r="K2784" s="28"/>
      <x:c r="L2784" s="28"/>
      <x:c r="M2784" s="28"/>
      <x:c r="N2784" s="28"/>
      <x:c r="O2784" s="28"/>
    </x:row>
    <x:row r="2785">
      <x:c r="B2785" s="26"/>
      <x:c r="I2785" s="27"/>
      <x:c r="K2785" s="28"/>
      <x:c r="L2785" s="28"/>
      <x:c r="M2785" s="28"/>
      <x:c r="N2785" s="28"/>
      <x:c r="O2785" s="28"/>
    </x:row>
    <x:row r="2786">
      <x:c r="B2786" s="26"/>
      <x:c r="I2786" s="27"/>
      <x:c r="K2786" s="28"/>
      <x:c r="L2786" s="28"/>
      <x:c r="M2786" s="28"/>
      <x:c r="N2786" s="28"/>
      <x:c r="O2786" s="28"/>
    </x:row>
    <x:row r="2787">
      <x:c r="B2787" s="26"/>
      <x:c r="I2787" s="27"/>
      <x:c r="K2787" s="28"/>
      <x:c r="L2787" s="28"/>
      <x:c r="M2787" s="28"/>
      <x:c r="N2787" s="28"/>
      <x:c r="O2787" s="28"/>
    </x:row>
    <x:row r="2788">
      <x:c r="B2788" s="26"/>
      <x:c r="I2788" s="27"/>
      <x:c r="K2788" s="28"/>
      <x:c r="L2788" s="28"/>
      <x:c r="M2788" s="28"/>
      <x:c r="N2788" s="28"/>
      <x:c r="O2788" s="28"/>
    </x:row>
    <x:row r="2789">
      <x:c r="B2789" s="26"/>
      <x:c r="I2789" s="27"/>
      <x:c r="K2789" s="28"/>
      <x:c r="L2789" s="28"/>
      <x:c r="M2789" s="28"/>
      <x:c r="N2789" s="28"/>
      <x:c r="O2789" s="28"/>
    </x:row>
    <x:row r="2790">
      <x:c r="B2790" s="26"/>
      <x:c r="I2790" s="27"/>
      <x:c r="K2790" s="28"/>
      <x:c r="L2790" s="28"/>
      <x:c r="M2790" s="28"/>
      <x:c r="N2790" s="28"/>
      <x:c r="O2790" s="28"/>
    </x:row>
    <x:row r="2791">
      <x:c r="B2791" s="26"/>
      <x:c r="I2791" s="27"/>
      <x:c r="K2791" s="28"/>
      <x:c r="L2791" s="28"/>
      <x:c r="M2791" s="28"/>
      <x:c r="N2791" s="28"/>
      <x:c r="O2791" s="28"/>
    </x:row>
    <x:row r="2792">
      <x:c r="B2792" s="26"/>
      <x:c r="I2792" s="27"/>
      <x:c r="K2792" s="28"/>
      <x:c r="L2792" s="28"/>
      <x:c r="M2792" s="28"/>
      <x:c r="N2792" s="28"/>
      <x:c r="O2792" s="28"/>
    </x:row>
    <x:row r="2793">
      <x:c r="B2793" s="26"/>
      <x:c r="I2793" s="27"/>
      <x:c r="K2793" s="28"/>
      <x:c r="L2793" s="28"/>
      <x:c r="M2793" s="28"/>
      <x:c r="N2793" s="28"/>
      <x:c r="O2793" s="28"/>
    </x:row>
    <x:row r="2794">
      <x:c r="B2794" s="26"/>
      <x:c r="I2794" s="27"/>
      <x:c r="K2794" s="28"/>
      <x:c r="L2794" s="28"/>
      <x:c r="M2794" s="28"/>
      <x:c r="N2794" s="28"/>
      <x:c r="O2794" s="28"/>
    </x:row>
    <x:row r="2795">
      <x:c r="B2795" s="26"/>
      <x:c r="I2795" s="27"/>
      <x:c r="K2795" s="28"/>
      <x:c r="L2795" s="28"/>
      <x:c r="M2795" s="28"/>
      <x:c r="N2795" s="28"/>
      <x:c r="O2795" s="28"/>
    </x:row>
    <x:row r="2796">
      <x:c r="B2796" s="26"/>
      <x:c r="I2796" s="27"/>
      <x:c r="K2796" s="28"/>
      <x:c r="L2796" s="28"/>
      <x:c r="M2796" s="28"/>
      <x:c r="N2796" s="28"/>
      <x:c r="O2796" s="28"/>
    </x:row>
    <x:row r="2797">
      <x:c r="B2797" s="26"/>
      <x:c r="I2797" s="27"/>
      <x:c r="K2797" s="28"/>
      <x:c r="L2797" s="28"/>
      <x:c r="M2797" s="28"/>
      <x:c r="N2797" s="28"/>
      <x:c r="O2797" s="28"/>
    </x:row>
    <x:row r="2798">
      <x:c r="B2798" s="26"/>
      <x:c r="I2798" s="27"/>
      <x:c r="K2798" s="28"/>
      <x:c r="L2798" s="28"/>
      <x:c r="M2798" s="28"/>
      <x:c r="N2798" s="28"/>
      <x:c r="O2798" s="28"/>
    </x:row>
    <x:row r="2799">
      <x:c r="B2799" s="26"/>
      <x:c r="I2799" s="27"/>
      <x:c r="K2799" s="28"/>
      <x:c r="L2799" s="28"/>
      <x:c r="M2799" s="28"/>
      <x:c r="N2799" s="28"/>
      <x:c r="O2799" s="28"/>
    </x:row>
    <x:row r="2800">
      <x:c r="B2800" s="26"/>
      <x:c r="I2800" s="27"/>
      <x:c r="K2800" s="28"/>
      <x:c r="L2800" s="28"/>
      <x:c r="M2800" s="28"/>
      <x:c r="N2800" s="28"/>
      <x:c r="O2800" s="28"/>
    </x:row>
    <x:row r="2801">
      <x:c r="B2801" s="26"/>
      <x:c r="I2801" s="27"/>
      <x:c r="K2801" s="28"/>
      <x:c r="L2801" s="28"/>
      <x:c r="M2801" s="28"/>
      <x:c r="N2801" s="28"/>
      <x:c r="O2801" s="28"/>
    </x:row>
    <x:row r="2802">
      <x:c r="B2802" s="26"/>
      <x:c r="I2802" s="27"/>
      <x:c r="K2802" s="28"/>
      <x:c r="L2802" s="28"/>
      <x:c r="M2802" s="28"/>
      <x:c r="N2802" s="28"/>
      <x:c r="O2802" s="28"/>
    </x:row>
    <x:row r="2803">
      <x:c r="B2803" s="26"/>
      <x:c r="I2803" s="27"/>
      <x:c r="K2803" s="28"/>
      <x:c r="L2803" s="28"/>
      <x:c r="M2803" s="28"/>
      <x:c r="N2803" s="28"/>
      <x:c r="O2803" s="28"/>
    </x:row>
    <x:row r="2804">
      <x:c r="B2804" s="26"/>
      <x:c r="I2804" s="27"/>
      <x:c r="K2804" s="28"/>
      <x:c r="L2804" s="28"/>
      <x:c r="M2804" s="28"/>
      <x:c r="N2804" s="28"/>
      <x:c r="O2804" s="28"/>
    </x:row>
    <x:row r="2805">
      <x:c r="B2805" s="26"/>
      <x:c r="I2805" s="27"/>
      <x:c r="K2805" s="28"/>
      <x:c r="L2805" s="28"/>
      <x:c r="M2805" s="28"/>
      <x:c r="N2805" s="28"/>
      <x:c r="O2805" s="28"/>
    </x:row>
    <x:row r="2806">
      <x:c r="B2806" s="26"/>
      <x:c r="I2806" s="27"/>
      <x:c r="K2806" s="28"/>
      <x:c r="L2806" s="28"/>
      <x:c r="M2806" s="28"/>
      <x:c r="N2806" s="28"/>
      <x:c r="O2806" s="28"/>
    </x:row>
    <x:row r="2807">
      <x:c r="B2807" s="26"/>
      <x:c r="I2807" s="27"/>
      <x:c r="K2807" s="28"/>
      <x:c r="L2807" s="28"/>
      <x:c r="M2807" s="28"/>
      <x:c r="N2807" s="28"/>
      <x:c r="O2807" s="28"/>
    </x:row>
    <x:row r="2808">
      <x:c r="B2808" s="26"/>
      <x:c r="I2808" s="27"/>
      <x:c r="K2808" s="28"/>
      <x:c r="L2808" s="28"/>
      <x:c r="M2808" s="28"/>
      <x:c r="N2808" s="28"/>
      <x:c r="O2808" s="28"/>
    </x:row>
    <x:row r="2809">
      <x:c r="B2809" s="26"/>
      <x:c r="I2809" s="27"/>
      <x:c r="K2809" s="28"/>
      <x:c r="L2809" s="28"/>
      <x:c r="M2809" s="28"/>
      <x:c r="N2809" s="28"/>
      <x:c r="O2809" s="28"/>
    </x:row>
    <x:row r="2810">
      <x:c r="B2810" s="26"/>
      <x:c r="I2810" s="27"/>
      <x:c r="K2810" s="28"/>
      <x:c r="L2810" s="28"/>
      <x:c r="M2810" s="28"/>
      <x:c r="N2810" s="28"/>
      <x:c r="O2810" s="28"/>
    </x:row>
    <x:row r="2811">
      <x:c r="B2811" s="26"/>
      <x:c r="I2811" s="27"/>
      <x:c r="K2811" s="28"/>
      <x:c r="L2811" s="28"/>
      <x:c r="M2811" s="28"/>
      <x:c r="N2811" s="28"/>
      <x:c r="O2811" s="28"/>
    </x:row>
    <x:row r="2812">
      <x:c r="B2812" s="26"/>
      <x:c r="I2812" s="27"/>
      <x:c r="K2812" s="28"/>
      <x:c r="L2812" s="28"/>
      <x:c r="M2812" s="28"/>
      <x:c r="N2812" s="28"/>
      <x:c r="O2812" s="28"/>
    </x:row>
    <x:row r="2813">
      <x:c r="B2813" s="26"/>
      <x:c r="I2813" s="27"/>
      <x:c r="K2813" s="28"/>
      <x:c r="L2813" s="28"/>
      <x:c r="M2813" s="28"/>
      <x:c r="N2813" s="28"/>
      <x:c r="O2813" s="28"/>
    </x:row>
    <x:row r="2814">
      <x:c r="B2814" s="26"/>
      <x:c r="I2814" s="27"/>
      <x:c r="K2814" s="28"/>
      <x:c r="L2814" s="28"/>
      <x:c r="M2814" s="28"/>
      <x:c r="N2814" s="28"/>
      <x:c r="O2814" s="28"/>
    </x:row>
    <x:row r="2815">
      <x:c r="B2815" s="26"/>
      <x:c r="I2815" s="27"/>
      <x:c r="K2815" s="28"/>
      <x:c r="L2815" s="28"/>
      <x:c r="M2815" s="28"/>
      <x:c r="N2815" s="28"/>
      <x:c r="O2815" s="28"/>
    </x:row>
    <x:row r="2816">
      <x:c r="B2816" s="26"/>
      <x:c r="I2816" s="27"/>
      <x:c r="K2816" s="28"/>
      <x:c r="L2816" s="28"/>
      <x:c r="M2816" s="28"/>
      <x:c r="N2816" s="28"/>
      <x:c r="O2816" s="28"/>
    </x:row>
    <x:row r="2817">
      <x:c r="B2817" s="26"/>
      <x:c r="I2817" s="27"/>
      <x:c r="K2817" s="28"/>
      <x:c r="L2817" s="28"/>
      <x:c r="M2817" s="28"/>
      <x:c r="N2817" s="28"/>
      <x:c r="O2817" s="28"/>
    </x:row>
    <x:row r="2818">
      <x:c r="B2818" s="26"/>
      <x:c r="I2818" s="27"/>
      <x:c r="K2818" s="28"/>
      <x:c r="L2818" s="28"/>
      <x:c r="M2818" s="28"/>
      <x:c r="N2818" s="28"/>
      <x:c r="O2818" s="28"/>
    </x:row>
    <x:row r="2819">
      <x:c r="B2819" s="26"/>
      <x:c r="I2819" s="27"/>
      <x:c r="K2819" s="28"/>
      <x:c r="L2819" s="28"/>
      <x:c r="M2819" s="28"/>
      <x:c r="N2819" s="28"/>
      <x:c r="O2819" s="28"/>
    </x:row>
    <x:row r="2820">
      <x:c r="B2820" s="26"/>
      <x:c r="I2820" s="27"/>
      <x:c r="K2820" s="28"/>
      <x:c r="L2820" s="28"/>
      <x:c r="M2820" s="28"/>
      <x:c r="N2820" s="28"/>
      <x:c r="O2820" s="28"/>
    </x:row>
    <x:row r="2821">
      <x:c r="B2821" s="26"/>
      <x:c r="I2821" s="27"/>
      <x:c r="K2821" s="28"/>
      <x:c r="L2821" s="28"/>
      <x:c r="M2821" s="28"/>
      <x:c r="N2821" s="28"/>
      <x:c r="O2821" s="28"/>
    </x:row>
    <x:row r="2822">
      <x:c r="B2822" s="26"/>
      <x:c r="I2822" s="27"/>
      <x:c r="K2822" s="28"/>
      <x:c r="L2822" s="28"/>
      <x:c r="M2822" s="28"/>
      <x:c r="N2822" s="28"/>
      <x:c r="O2822" s="28"/>
    </x:row>
    <x:row r="2823">
      <x:c r="B2823" s="26"/>
      <x:c r="I2823" s="27"/>
      <x:c r="K2823" s="28"/>
      <x:c r="L2823" s="28"/>
      <x:c r="M2823" s="28"/>
      <x:c r="N2823" s="28"/>
      <x:c r="O2823" s="28"/>
    </x:row>
    <x:row r="2824">
      <x:c r="B2824" s="26"/>
      <x:c r="I2824" s="27"/>
      <x:c r="K2824" s="28"/>
      <x:c r="L2824" s="28"/>
      <x:c r="M2824" s="28"/>
      <x:c r="N2824" s="28"/>
      <x:c r="O2824" s="28"/>
    </x:row>
    <x:row r="2825">
      <x:c r="B2825" s="26"/>
      <x:c r="I2825" s="27"/>
      <x:c r="K2825" s="28"/>
      <x:c r="L2825" s="28"/>
      <x:c r="M2825" s="28"/>
      <x:c r="N2825" s="28"/>
      <x:c r="O2825" s="28"/>
    </x:row>
    <x:row r="2826">
      <x:c r="B2826" s="26"/>
      <x:c r="I2826" s="27"/>
      <x:c r="K2826" s="28"/>
      <x:c r="L2826" s="28"/>
      <x:c r="M2826" s="28"/>
      <x:c r="N2826" s="28"/>
      <x:c r="O2826" s="28"/>
    </x:row>
    <x:row r="2827">
      <x:c r="B2827" s="26"/>
      <x:c r="I2827" s="27"/>
      <x:c r="K2827" s="28"/>
      <x:c r="L2827" s="28"/>
      <x:c r="M2827" s="28"/>
      <x:c r="N2827" s="28"/>
      <x:c r="O2827" s="28"/>
    </x:row>
    <x:row r="2828">
      <x:c r="B2828" s="26"/>
      <x:c r="I2828" s="27"/>
      <x:c r="K2828" s="28"/>
      <x:c r="L2828" s="28"/>
      <x:c r="M2828" s="28"/>
      <x:c r="N2828" s="28"/>
      <x:c r="O2828" s="28"/>
    </x:row>
    <x:row r="2829">
      <x:c r="B2829" s="26"/>
      <x:c r="I2829" s="27"/>
      <x:c r="K2829" s="28"/>
      <x:c r="L2829" s="28"/>
      <x:c r="M2829" s="28"/>
      <x:c r="N2829" s="28"/>
      <x:c r="O2829" s="28"/>
    </x:row>
    <x:row r="2830">
      <x:c r="B2830" s="26"/>
      <x:c r="I2830" s="27"/>
      <x:c r="K2830" s="28"/>
      <x:c r="L2830" s="28"/>
      <x:c r="M2830" s="28"/>
      <x:c r="N2830" s="28"/>
      <x:c r="O2830" s="28"/>
    </x:row>
    <x:row r="2831">
      <x:c r="B2831" s="26"/>
      <x:c r="I2831" s="27"/>
      <x:c r="K2831" s="28"/>
      <x:c r="L2831" s="28"/>
      <x:c r="M2831" s="28"/>
      <x:c r="N2831" s="28"/>
      <x:c r="O2831" s="28"/>
    </x:row>
    <x:row r="2832">
      <x:c r="B2832" s="26"/>
      <x:c r="I2832" s="27"/>
      <x:c r="K2832" s="28"/>
      <x:c r="L2832" s="28"/>
      <x:c r="M2832" s="28"/>
      <x:c r="N2832" s="28"/>
      <x:c r="O2832" s="28"/>
    </x:row>
    <x:row r="2833">
      <x:c r="B2833" s="26"/>
      <x:c r="I2833" s="27"/>
      <x:c r="K2833" s="28"/>
      <x:c r="L2833" s="28"/>
      <x:c r="M2833" s="28"/>
      <x:c r="N2833" s="28"/>
      <x:c r="O2833" s="28"/>
    </x:row>
    <x:row r="2834">
      <x:c r="B2834" s="26"/>
      <x:c r="I2834" s="27"/>
      <x:c r="K2834" s="28"/>
      <x:c r="L2834" s="28"/>
      <x:c r="M2834" s="28"/>
      <x:c r="N2834" s="28"/>
      <x:c r="O2834" s="28"/>
    </x:row>
    <x:row r="2835">
      <x:c r="B2835" s="26"/>
      <x:c r="I2835" s="27"/>
      <x:c r="K2835" s="28"/>
      <x:c r="L2835" s="28"/>
      <x:c r="M2835" s="28"/>
      <x:c r="N2835" s="28"/>
      <x:c r="O2835" s="28"/>
    </x:row>
    <x:row r="2836">
      <x:c r="B2836" s="26"/>
      <x:c r="I2836" s="27"/>
      <x:c r="K2836" s="28"/>
      <x:c r="L2836" s="28"/>
      <x:c r="M2836" s="28"/>
      <x:c r="N2836" s="28"/>
      <x:c r="O2836" s="28"/>
    </x:row>
    <x:row r="2837">
      <x:c r="B2837" s="26"/>
      <x:c r="I2837" s="27"/>
      <x:c r="K2837" s="28"/>
      <x:c r="L2837" s="28"/>
      <x:c r="M2837" s="28"/>
      <x:c r="N2837" s="28"/>
      <x:c r="O2837" s="28"/>
    </x:row>
    <x:row r="2838">
      <x:c r="B2838" s="26"/>
      <x:c r="I2838" s="27"/>
      <x:c r="K2838" s="28"/>
      <x:c r="L2838" s="28"/>
      <x:c r="M2838" s="28"/>
      <x:c r="N2838" s="28"/>
      <x:c r="O2838" s="28"/>
    </x:row>
    <x:row r="2839">
      <x:c r="B2839" s="26"/>
      <x:c r="I2839" s="27"/>
      <x:c r="K2839" s="28"/>
      <x:c r="L2839" s="28"/>
      <x:c r="M2839" s="28"/>
      <x:c r="N2839" s="28"/>
      <x:c r="O2839" s="28"/>
    </x:row>
    <x:row r="2840">
      <x:c r="B2840" s="26"/>
      <x:c r="I2840" s="27"/>
      <x:c r="K2840" s="28"/>
      <x:c r="L2840" s="28"/>
      <x:c r="M2840" s="28"/>
      <x:c r="N2840" s="28"/>
      <x:c r="O2840" s="28"/>
    </x:row>
    <x:row r="2841">
      <x:c r="B2841" s="26"/>
      <x:c r="I2841" s="27"/>
      <x:c r="K2841" s="28"/>
      <x:c r="L2841" s="28"/>
      <x:c r="M2841" s="28"/>
      <x:c r="N2841" s="28"/>
      <x:c r="O2841" s="28"/>
    </x:row>
    <x:row r="2842">
      <x:c r="B2842" s="26"/>
      <x:c r="I2842" s="27"/>
      <x:c r="K2842" s="28"/>
      <x:c r="L2842" s="28"/>
      <x:c r="M2842" s="28"/>
      <x:c r="N2842" s="28"/>
      <x:c r="O2842" s="28"/>
    </x:row>
    <x:row r="2843">
      <x:c r="B2843" s="26"/>
      <x:c r="I2843" s="27"/>
      <x:c r="K2843" s="28"/>
      <x:c r="L2843" s="28"/>
      <x:c r="M2843" s="28"/>
      <x:c r="N2843" s="28"/>
      <x:c r="O2843" s="28"/>
    </x:row>
    <x:row r="2844">
      <x:c r="B2844" s="26"/>
      <x:c r="I2844" s="27"/>
      <x:c r="K2844" s="28"/>
      <x:c r="L2844" s="28"/>
      <x:c r="M2844" s="28"/>
      <x:c r="N2844" s="28"/>
      <x:c r="O2844" s="28"/>
    </x:row>
    <x:row r="2845">
      <x:c r="B2845" s="26"/>
      <x:c r="I2845" s="27"/>
      <x:c r="K2845" s="28"/>
      <x:c r="L2845" s="28"/>
      <x:c r="M2845" s="28"/>
      <x:c r="N2845" s="28"/>
      <x:c r="O2845" s="28"/>
    </x:row>
    <x:row r="2846">
      <x:c r="B2846" s="26"/>
      <x:c r="I2846" s="27"/>
      <x:c r="K2846" s="28"/>
      <x:c r="L2846" s="28"/>
      <x:c r="M2846" s="28"/>
      <x:c r="N2846" s="28"/>
      <x:c r="O2846" s="28"/>
    </x:row>
    <x:row r="2847">
      <x:c r="B2847" s="26"/>
      <x:c r="I2847" s="27"/>
      <x:c r="K2847" s="28"/>
      <x:c r="L2847" s="28"/>
      <x:c r="M2847" s="28"/>
      <x:c r="N2847" s="28"/>
      <x:c r="O2847" s="28"/>
    </x:row>
    <x:row r="2848">
      <x:c r="B2848" s="26"/>
      <x:c r="I2848" s="27"/>
      <x:c r="K2848" s="28"/>
      <x:c r="L2848" s="28"/>
      <x:c r="M2848" s="28"/>
      <x:c r="N2848" s="28"/>
      <x:c r="O2848" s="28"/>
    </x:row>
    <x:row r="2849">
      <x:c r="B2849" s="26"/>
      <x:c r="I2849" s="27"/>
      <x:c r="K2849" s="28"/>
      <x:c r="L2849" s="28"/>
      <x:c r="M2849" s="28"/>
      <x:c r="N2849" s="28"/>
      <x:c r="O2849" s="28"/>
    </x:row>
    <x:row r="2850">
      <x:c r="B2850" s="26"/>
      <x:c r="I2850" s="27"/>
      <x:c r="K2850" s="28"/>
      <x:c r="L2850" s="28"/>
      <x:c r="M2850" s="28"/>
      <x:c r="N2850" s="28"/>
      <x:c r="O2850" s="28"/>
    </x:row>
    <x:row r="2851">
      <x:c r="B2851" s="26"/>
      <x:c r="I2851" s="27"/>
      <x:c r="K2851" s="28"/>
      <x:c r="L2851" s="28"/>
      <x:c r="M2851" s="28"/>
      <x:c r="N2851" s="28"/>
      <x:c r="O2851" s="28"/>
    </x:row>
    <x:row r="2852">
      <x:c r="B2852" s="26"/>
      <x:c r="I2852" s="27"/>
      <x:c r="K2852" s="28"/>
      <x:c r="L2852" s="28"/>
      <x:c r="M2852" s="28"/>
      <x:c r="N2852" s="28"/>
      <x:c r="O2852" s="28"/>
    </x:row>
    <x:row r="2853">
      <x:c r="B2853" s="26"/>
      <x:c r="I2853" s="27"/>
      <x:c r="K2853" s="28"/>
      <x:c r="L2853" s="28"/>
      <x:c r="M2853" s="28"/>
      <x:c r="N2853" s="28"/>
      <x:c r="O2853" s="28"/>
    </x:row>
    <x:row r="2854">
      <x:c r="B2854" s="26"/>
      <x:c r="I2854" s="27"/>
      <x:c r="K2854" s="28"/>
      <x:c r="L2854" s="28"/>
      <x:c r="M2854" s="28"/>
      <x:c r="N2854" s="28"/>
      <x:c r="O2854" s="28"/>
    </x:row>
    <x:row r="2855">
      <x:c r="B2855" s="26"/>
      <x:c r="I2855" s="27"/>
      <x:c r="K2855" s="28"/>
      <x:c r="L2855" s="28"/>
      <x:c r="M2855" s="28"/>
      <x:c r="N2855" s="28"/>
      <x:c r="O2855" s="28"/>
    </x:row>
    <x:row r="2856">
      <x:c r="B2856" s="26"/>
      <x:c r="I2856" s="27"/>
      <x:c r="K2856" s="28"/>
      <x:c r="L2856" s="28"/>
      <x:c r="M2856" s="28"/>
      <x:c r="N2856" s="28"/>
      <x:c r="O2856" s="28"/>
    </x:row>
    <x:row r="2857">
      <x:c r="B2857" s="26"/>
      <x:c r="I2857" s="27"/>
      <x:c r="K2857" s="28"/>
      <x:c r="L2857" s="28"/>
      <x:c r="M2857" s="28"/>
      <x:c r="N2857" s="28"/>
      <x:c r="O2857" s="28"/>
    </x:row>
    <x:row r="2858">
      <x:c r="B2858" s="26"/>
      <x:c r="I2858" s="27"/>
      <x:c r="K2858" s="28"/>
      <x:c r="L2858" s="28"/>
      <x:c r="M2858" s="28"/>
      <x:c r="N2858" s="28"/>
      <x:c r="O2858" s="28"/>
    </x:row>
    <x:row r="2859">
      <x:c r="B2859" s="26"/>
      <x:c r="I2859" s="27"/>
      <x:c r="K2859" s="28"/>
      <x:c r="L2859" s="28"/>
      <x:c r="M2859" s="28"/>
      <x:c r="N2859" s="28"/>
      <x:c r="O2859" s="28"/>
    </x:row>
    <x:row r="2860">
      <x:c r="B2860" s="26"/>
      <x:c r="I2860" s="27"/>
      <x:c r="K2860" s="28"/>
      <x:c r="L2860" s="28"/>
      <x:c r="M2860" s="28"/>
      <x:c r="N2860" s="28"/>
      <x:c r="O2860" s="28"/>
    </x:row>
    <x:row r="2861">
      <x:c r="B2861" s="26"/>
      <x:c r="I2861" s="27"/>
      <x:c r="K2861" s="28"/>
      <x:c r="L2861" s="28"/>
      <x:c r="M2861" s="28"/>
      <x:c r="N2861" s="28"/>
      <x:c r="O2861" s="28"/>
    </x:row>
    <x:row r="2862">
      <x:c r="B2862" s="26"/>
      <x:c r="I2862" s="27"/>
      <x:c r="K2862" s="28"/>
      <x:c r="L2862" s="28"/>
      <x:c r="M2862" s="28"/>
      <x:c r="N2862" s="28"/>
      <x:c r="O2862" s="28"/>
    </x:row>
    <x:row r="2863">
      <x:c r="B2863" s="26"/>
      <x:c r="I2863" s="27"/>
      <x:c r="K2863" s="28"/>
      <x:c r="L2863" s="28"/>
      <x:c r="M2863" s="28"/>
      <x:c r="N2863" s="28"/>
      <x:c r="O2863" s="28"/>
    </x:row>
    <x:row r="2864">
      <x:c r="B2864" s="26"/>
      <x:c r="I2864" s="27"/>
      <x:c r="K2864" s="28"/>
      <x:c r="L2864" s="28"/>
      <x:c r="M2864" s="28"/>
      <x:c r="N2864" s="28"/>
      <x:c r="O2864" s="28"/>
    </x:row>
    <x:row r="2865">
      <x:c r="B2865" s="26"/>
      <x:c r="I2865" s="27"/>
      <x:c r="K2865" s="28"/>
      <x:c r="L2865" s="28"/>
      <x:c r="M2865" s="28"/>
      <x:c r="N2865" s="28"/>
      <x:c r="O2865" s="28"/>
    </x:row>
    <x:row r="2866">
      <x:c r="B2866" s="26"/>
      <x:c r="I2866" s="27"/>
      <x:c r="K2866" s="28"/>
      <x:c r="L2866" s="28"/>
      <x:c r="M2866" s="28"/>
      <x:c r="N2866" s="28"/>
      <x:c r="O2866" s="28"/>
    </x:row>
    <x:row r="2867">
      <x:c r="B2867" s="26"/>
      <x:c r="I2867" s="27"/>
      <x:c r="K2867" s="28"/>
      <x:c r="L2867" s="28"/>
      <x:c r="M2867" s="28"/>
      <x:c r="N2867" s="28"/>
      <x:c r="O2867" s="28"/>
    </x:row>
    <x:row r="2868">
      <x:c r="B2868" s="26"/>
      <x:c r="I2868" s="27"/>
      <x:c r="K2868" s="28"/>
      <x:c r="L2868" s="28"/>
      <x:c r="M2868" s="28"/>
      <x:c r="N2868" s="28"/>
      <x:c r="O2868" s="28"/>
    </x:row>
    <x:row r="2869">
      <x:c r="B2869" s="26"/>
      <x:c r="I2869" s="27"/>
      <x:c r="K2869" s="28"/>
      <x:c r="L2869" s="28"/>
      <x:c r="M2869" s="28"/>
      <x:c r="N2869" s="28"/>
      <x:c r="O2869" s="28"/>
    </x:row>
    <x:row r="2870">
      <x:c r="B2870" s="26"/>
      <x:c r="I2870" s="27"/>
      <x:c r="K2870" s="28"/>
      <x:c r="L2870" s="28"/>
      <x:c r="M2870" s="28"/>
      <x:c r="N2870" s="28"/>
      <x:c r="O2870" s="28"/>
    </x:row>
    <x:row r="2871">
      <x:c r="B2871" s="26"/>
      <x:c r="I2871" s="27"/>
      <x:c r="K2871" s="28"/>
      <x:c r="L2871" s="28"/>
      <x:c r="M2871" s="28"/>
      <x:c r="N2871" s="28"/>
      <x:c r="O2871" s="28"/>
    </x:row>
    <x:row r="2872">
      <x:c r="B2872" s="26"/>
      <x:c r="I2872" s="27"/>
      <x:c r="K2872" s="28"/>
      <x:c r="L2872" s="28"/>
      <x:c r="M2872" s="28"/>
      <x:c r="N2872" s="28"/>
      <x:c r="O2872" s="28"/>
    </x:row>
    <x:row r="2873">
      <x:c r="B2873" s="26"/>
      <x:c r="I2873" s="27"/>
      <x:c r="K2873" s="28"/>
      <x:c r="L2873" s="28"/>
      <x:c r="M2873" s="28"/>
      <x:c r="N2873" s="28"/>
      <x:c r="O2873" s="28"/>
    </x:row>
    <x:row r="2874">
      <x:c r="B2874" s="26"/>
      <x:c r="I2874" s="27"/>
      <x:c r="K2874" s="28"/>
      <x:c r="L2874" s="28"/>
      <x:c r="M2874" s="28"/>
      <x:c r="N2874" s="28"/>
      <x:c r="O2874" s="28"/>
    </x:row>
    <x:row r="2875">
      <x:c r="B2875" s="26"/>
      <x:c r="I2875" s="27"/>
      <x:c r="K2875" s="28"/>
      <x:c r="L2875" s="28"/>
      <x:c r="M2875" s="28"/>
      <x:c r="N2875" s="28"/>
      <x:c r="O2875" s="28"/>
    </x:row>
    <x:row r="2876">
      <x:c r="B2876" s="26"/>
      <x:c r="I2876" s="27"/>
      <x:c r="K2876" s="28"/>
      <x:c r="L2876" s="28"/>
      <x:c r="M2876" s="28"/>
      <x:c r="N2876" s="28"/>
      <x:c r="O2876" s="28"/>
    </x:row>
    <x:row r="2877">
      <x:c r="B2877" s="26"/>
      <x:c r="I2877" s="27"/>
      <x:c r="K2877" s="28"/>
      <x:c r="L2877" s="28"/>
      <x:c r="M2877" s="28"/>
      <x:c r="N2877" s="28"/>
      <x:c r="O2877" s="28"/>
    </x:row>
    <x:row r="2878">
      <x:c r="B2878" s="26"/>
      <x:c r="I2878" s="27"/>
      <x:c r="K2878" s="28"/>
      <x:c r="L2878" s="28"/>
      <x:c r="M2878" s="28"/>
      <x:c r="N2878" s="28"/>
      <x:c r="O2878" s="28"/>
    </x:row>
    <x:row r="2879">
      <x:c r="B2879" s="26"/>
      <x:c r="I2879" s="27"/>
      <x:c r="K2879" s="28"/>
      <x:c r="L2879" s="28"/>
      <x:c r="M2879" s="28"/>
      <x:c r="N2879" s="28"/>
      <x:c r="O2879" s="28"/>
    </x:row>
    <x:row r="2880">
      <x:c r="B2880" s="26"/>
      <x:c r="I2880" s="27"/>
      <x:c r="K2880" s="28"/>
      <x:c r="L2880" s="28"/>
      <x:c r="M2880" s="28"/>
      <x:c r="N2880" s="28"/>
      <x:c r="O2880" s="28"/>
    </x:row>
    <x:row r="2881">
      <x:c r="B2881" s="26"/>
      <x:c r="I2881" s="27"/>
      <x:c r="K2881" s="28"/>
      <x:c r="L2881" s="28"/>
      <x:c r="M2881" s="28"/>
      <x:c r="N2881" s="28"/>
      <x:c r="O2881" s="28"/>
    </x:row>
    <x:row r="2882">
      <x:c r="B2882" s="26"/>
      <x:c r="I2882" s="27"/>
      <x:c r="K2882" s="28"/>
      <x:c r="L2882" s="28"/>
      <x:c r="M2882" s="28"/>
      <x:c r="N2882" s="28"/>
      <x:c r="O2882" s="28"/>
    </x:row>
    <x:row r="2883">
      <x:c r="B2883" s="26"/>
      <x:c r="I2883" s="27"/>
      <x:c r="K2883" s="28"/>
      <x:c r="L2883" s="28"/>
      <x:c r="M2883" s="28"/>
      <x:c r="N2883" s="28"/>
      <x:c r="O2883" s="28"/>
    </x:row>
    <x:row r="2884">
      <x:c r="B2884" s="26"/>
      <x:c r="I2884" s="27"/>
      <x:c r="K2884" s="28"/>
      <x:c r="L2884" s="28"/>
      <x:c r="M2884" s="28"/>
      <x:c r="N2884" s="28"/>
      <x:c r="O2884" s="28"/>
    </x:row>
    <x:row r="2885">
      <x:c r="B2885" s="26"/>
      <x:c r="I2885" s="27"/>
      <x:c r="K2885" s="28"/>
      <x:c r="L2885" s="28"/>
      <x:c r="M2885" s="28"/>
      <x:c r="N2885" s="28"/>
      <x:c r="O2885" s="28"/>
    </x:row>
    <x:row r="2886">
      <x:c r="B2886" s="26"/>
      <x:c r="I2886" s="27"/>
      <x:c r="K2886" s="28"/>
      <x:c r="L2886" s="28"/>
      <x:c r="M2886" s="28"/>
      <x:c r="N2886" s="28"/>
      <x:c r="O2886" s="28"/>
    </x:row>
    <x:row r="2887">
      <x:c r="B2887" s="26"/>
      <x:c r="I2887" s="27"/>
      <x:c r="K2887" s="28"/>
      <x:c r="L2887" s="28"/>
      <x:c r="M2887" s="28"/>
      <x:c r="N2887" s="28"/>
      <x:c r="O2887" s="28"/>
    </x:row>
    <x:row r="2888">
      <x:c r="B2888" s="26"/>
      <x:c r="I2888" s="27"/>
      <x:c r="K2888" s="28"/>
      <x:c r="L2888" s="28"/>
      <x:c r="M2888" s="28"/>
      <x:c r="N2888" s="28"/>
      <x:c r="O2888" s="28"/>
    </x:row>
    <x:row r="2889">
      <x:c r="B2889" s="26"/>
      <x:c r="I2889" s="27"/>
      <x:c r="K2889" s="28"/>
      <x:c r="L2889" s="28"/>
      <x:c r="M2889" s="28"/>
      <x:c r="N2889" s="28"/>
      <x:c r="O2889" s="28"/>
    </x:row>
    <x:row r="2890">
      <x:c r="B2890" s="26"/>
      <x:c r="I2890" s="27"/>
      <x:c r="K2890" s="28"/>
      <x:c r="L2890" s="28"/>
      <x:c r="M2890" s="28"/>
      <x:c r="N2890" s="28"/>
      <x:c r="O2890" s="28"/>
    </x:row>
    <x:row r="2891">
      <x:c r="B2891" s="26"/>
      <x:c r="I2891" s="27"/>
      <x:c r="K2891" s="28"/>
      <x:c r="L2891" s="28"/>
      <x:c r="M2891" s="28"/>
      <x:c r="N2891" s="28"/>
      <x:c r="O2891" s="28"/>
    </x:row>
    <x:row r="2892">
      <x:c r="B2892" s="26"/>
      <x:c r="I2892" s="27"/>
      <x:c r="K2892" s="28"/>
      <x:c r="L2892" s="28"/>
      <x:c r="M2892" s="28"/>
      <x:c r="N2892" s="28"/>
      <x:c r="O2892" s="28"/>
    </x:row>
    <x:row r="2893">
      <x:c r="B2893" s="26"/>
      <x:c r="I2893" s="27"/>
      <x:c r="K2893" s="28"/>
      <x:c r="L2893" s="28"/>
      <x:c r="M2893" s="28"/>
      <x:c r="N2893" s="28"/>
      <x:c r="O2893" s="28"/>
    </x:row>
    <x:row r="2894">
      <x:c r="B2894" s="26"/>
      <x:c r="I2894" s="27"/>
      <x:c r="K2894" s="28"/>
      <x:c r="L2894" s="28"/>
      <x:c r="M2894" s="28"/>
      <x:c r="N2894" s="28"/>
      <x:c r="O2894" s="28"/>
    </x:row>
    <x:row r="2895">
      <x:c r="B2895" s="26"/>
      <x:c r="I2895" s="27"/>
      <x:c r="K2895" s="28"/>
      <x:c r="L2895" s="28"/>
      <x:c r="M2895" s="28"/>
      <x:c r="N2895" s="28"/>
      <x:c r="O2895" s="28"/>
    </x:row>
    <x:row r="2896">
      <x:c r="B2896" s="26"/>
      <x:c r="I2896" s="27"/>
      <x:c r="K2896" s="28"/>
      <x:c r="L2896" s="28"/>
      <x:c r="M2896" s="28"/>
      <x:c r="N2896" s="28"/>
      <x:c r="O2896" s="28"/>
    </x:row>
    <x:row r="2897">
      <x:c r="B2897" s="26"/>
      <x:c r="I2897" s="27"/>
      <x:c r="K2897" s="28"/>
      <x:c r="L2897" s="28"/>
      <x:c r="M2897" s="28"/>
      <x:c r="N2897" s="28"/>
      <x:c r="O2897" s="28"/>
    </x:row>
    <x:row r="2898">
      <x:c r="B2898" s="26"/>
      <x:c r="I2898" s="27"/>
      <x:c r="K2898" s="28"/>
      <x:c r="L2898" s="28"/>
      <x:c r="M2898" s="28"/>
      <x:c r="N2898" s="28"/>
      <x:c r="O2898" s="28"/>
    </x:row>
    <x:row r="2899">
      <x:c r="B2899" s="26"/>
      <x:c r="I2899" s="27"/>
      <x:c r="K2899" s="28"/>
      <x:c r="L2899" s="28"/>
      <x:c r="M2899" s="28"/>
      <x:c r="N2899" s="28"/>
      <x:c r="O2899" s="28"/>
    </x:row>
    <x:row r="2900">
      <x:c r="B2900" s="26"/>
      <x:c r="I2900" s="27"/>
      <x:c r="K2900" s="28"/>
      <x:c r="L2900" s="28"/>
      <x:c r="M2900" s="28"/>
      <x:c r="N2900" s="28"/>
      <x:c r="O2900" s="28"/>
    </x:row>
    <x:row r="2901">
      <x:c r="B2901" s="26"/>
      <x:c r="I2901" s="27"/>
      <x:c r="K2901" s="28"/>
      <x:c r="L2901" s="28"/>
      <x:c r="M2901" s="28"/>
      <x:c r="N2901" s="28"/>
      <x:c r="O2901" s="28"/>
    </x:row>
    <x:row r="2902">
      <x:c r="B2902" s="26"/>
      <x:c r="I2902" s="27"/>
      <x:c r="K2902" s="28"/>
      <x:c r="L2902" s="28"/>
      <x:c r="M2902" s="28"/>
      <x:c r="N2902" s="28"/>
      <x:c r="O2902" s="28"/>
    </x:row>
    <x:row r="2903">
      <x:c r="B2903" s="26"/>
      <x:c r="I2903" s="27"/>
      <x:c r="K2903" s="28"/>
      <x:c r="L2903" s="28"/>
      <x:c r="M2903" s="28"/>
      <x:c r="N2903" s="28"/>
      <x:c r="O2903" s="28"/>
    </x:row>
    <x:row r="2904">
      <x:c r="B2904" s="26"/>
      <x:c r="I2904" s="27"/>
      <x:c r="K2904" s="28"/>
      <x:c r="L2904" s="28"/>
      <x:c r="M2904" s="28"/>
      <x:c r="N2904" s="28"/>
      <x:c r="O2904" s="28"/>
    </x:row>
    <x:row r="2905">
      <x:c r="B2905" s="26"/>
      <x:c r="I2905" s="27"/>
      <x:c r="K2905" s="28"/>
      <x:c r="L2905" s="28"/>
      <x:c r="M2905" s="28"/>
      <x:c r="N2905" s="28"/>
      <x:c r="O2905" s="28"/>
    </x:row>
    <x:row r="2906">
      <x:c r="B2906" s="26"/>
      <x:c r="I2906" s="27"/>
      <x:c r="K2906" s="28"/>
      <x:c r="L2906" s="28"/>
      <x:c r="M2906" s="28"/>
      <x:c r="N2906" s="28"/>
      <x:c r="O2906" s="28"/>
    </x:row>
    <x:row r="2907">
      <x:c r="B2907" s="26"/>
      <x:c r="I2907" s="27"/>
      <x:c r="K2907" s="28"/>
      <x:c r="L2907" s="28"/>
      <x:c r="M2907" s="28"/>
      <x:c r="N2907" s="28"/>
      <x:c r="O2907" s="28"/>
    </x:row>
    <x:row r="2908">
      <x:c r="B2908" s="26"/>
      <x:c r="I2908" s="27"/>
      <x:c r="K2908" s="28"/>
      <x:c r="L2908" s="28"/>
      <x:c r="M2908" s="28"/>
      <x:c r="N2908" s="28"/>
      <x:c r="O2908" s="28"/>
    </x:row>
    <x:row r="2909">
      <x:c r="B2909" s="26"/>
      <x:c r="I2909" s="27"/>
      <x:c r="K2909" s="28"/>
      <x:c r="L2909" s="28"/>
      <x:c r="M2909" s="28"/>
      <x:c r="N2909" s="28"/>
      <x:c r="O2909" s="28"/>
    </x:row>
    <x:row r="2910">
      <x:c r="B2910" s="26"/>
      <x:c r="I2910" s="27"/>
      <x:c r="K2910" s="28"/>
      <x:c r="L2910" s="28"/>
      <x:c r="M2910" s="28"/>
      <x:c r="N2910" s="28"/>
      <x:c r="O2910" s="28"/>
    </x:row>
    <x:row r="2911">
      <x:c r="B2911" s="26"/>
      <x:c r="I2911" s="27"/>
      <x:c r="K2911" s="28"/>
      <x:c r="L2911" s="28"/>
      <x:c r="M2911" s="28"/>
      <x:c r="N2911" s="28"/>
      <x:c r="O2911" s="28"/>
    </x:row>
    <x:row r="2912">
      <x:c r="B2912" s="26"/>
      <x:c r="I2912" s="27"/>
      <x:c r="K2912" s="28"/>
      <x:c r="L2912" s="28"/>
      <x:c r="M2912" s="28"/>
      <x:c r="N2912" s="28"/>
      <x:c r="O2912" s="28"/>
    </x:row>
    <x:row r="2913">
      <x:c r="B2913" s="26"/>
      <x:c r="I2913" s="27"/>
      <x:c r="K2913" s="28"/>
      <x:c r="L2913" s="28"/>
      <x:c r="M2913" s="28"/>
      <x:c r="N2913" s="28"/>
      <x:c r="O2913" s="28"/>
    </x:row>
    <x:row r="2914">
      <x:c r="B2914" s="26"/>
      <x:c r="I2914" s="27"/>
      <x:c r="K2914" s="28"/>
      <x:c r="L2914" s="28"/>
      <x:c r="M2914" s="28"/>
      <x:c r="N2914" s="28"/>
      <x:c r="O2914" s="28"/>
    </x:row>
    <x:row r="2915">
      <x:c r="B2915" s="26"/>
      <x:c r="I2915" s="27"/>
      <x:c r="K2915" s="28"/>
      <x:c r="L2915" s="28"/>
      <x:c r="M2915" s="28"/>
      <x:c r="N2915" s="28"/>
      <x:c r="O2915" s="28"/>
    </x:row>
    <x:row r="2916">
      <x:c r="B2916" s="26"/>
      <x:c r="I2916" s="27"/>
      <x:c r="K2916" s="28"/>
      <x:c r="L2916" s="28"/>
      <x:c r="M2916" s="28"/>
      <x:c r="N2916" s="28"/>
      <x:c r="O2916" s="28"/>
    </x:row>
    <x:row r="2917">
      <x:c r="B2917" s="26"/>
      <x:c r="I2917" s="27"/>
      <x:c r="K2917" s="28"/>
      <x:c r="L2917" s="28"/>
      <x:c r="M2917" s="28"/>
      <x:c r="N2917" s="28"/>
      <x:c r="O2917" s="28"/>
    </x:row>
    <x:row r="2918">
      <x:c r="B2918" s="26"/>
      <x:c r="I2918" s="27"/>
      <x:c r="K2918" s="28"/>
      <x:c r="L2918" s="28"/>
      <x:c r="M2918" s="28"/>
      <x:c r="N2918" s="28"/>
      <x:c r="O2918" s="28"/>
    </x:row>
    <x:row r="2919">
      <x:c r="B2919" s="26"/>
      <x:c r="I2919" s="27"/>
      <x:c r="K2919" s="28"/>
      <x:c r="L2919" s="28"/>
      <x:c r="M2919" s="28"/>
      <x:c r="N2919" s="28"/>
      <x:c r="O2919" s="28"/>
    </x:row>
    <x:row r="2920">
      <x:c r="B2920" s="26"/>
      <x:c r="I2920" s="27"/>
      <x:c r="K2920" s="28"/>
      <x:c r="L2920" s="28"/>
      <x:c r="M2920" s="28"/>
      <x:c r="N2920" s="28"/>
      <x:c r="O2920" s="28"/>
    </x:row>
    <x:row r="2921">
      <x:c r="B2921" s="26"/>
      <x:c r="I2921" s="27"/>
      <x:c r="K2921" s="28"/>
      <x:c r="L2921" s="28"/>
      <x:c r="M2921" s="28"/>
      <x:c r="N2921" s="28"/>
      <x:c r="O2921" s="28"/>
    </x:row>
    <x:row r="2922">
      <x:c r="B2922" s="26"/>
      <x:c r="I2922" s="27"/>
      <x:c r="K2922" s="28"/>
      <x:c r="L2922" s="28"/>
      <x:c r="M2922" s="28"/>
      <x:c r="N2922" s="28"/>
      <x:c r="O2922" s="28"/>
    </x:row>
    <x:row r="2923">
      <x:c r="B2923" s="26"/>
      <x:c r="I2923" s="27"/>
      <x:c r="K2923" s="28"/>
      <x:c r="L2923" s="28"/>
      <x:c r="M2923" s="28"/>
      <x:c r="N2923" s="28"/>
      <x:c r="O2923" s="28"/>
    </x:row>
    <x:row r="2924">
      <x:c r="B2924" s="26"/>
      <x:c r="I2924" s="27"/>
      <x:c r="K2924" s="28"/>
      <x:c r="L2924" s="28"/>
      <x:c r="M2924" s="28"/>
      <x:c r="N2924" s="28"/>
      <x:c r="O2924" s="28"/>
    </x:row>
    <x:row r="2925">
      <x:c r="B2925" s="26"/>
      <x:c r="I2925" s="27"/>
      <x:c r="K2925" s="28"/>
      <x:c r="L2925" s="28"/>
      <x:c r="M2925" s="28"/>
      <x:c r="N2925" s="28"/>
      <x:c r="O2925" s="28"/>
    </x:row>
    <x:row r="2926">
      <x:c r="B2926" s="26"/>
      <x:c r="I2926" s="27"/>
      <x:c r="K2926" s="28"/>
      <x:c r="L2926" s="28"/>
      <x:c r="M2926" s="28"/>
      <x:c r="N2926" s="28"/>
      <x:c r="O2926" s="28"/>
    </x:row>
    <x:row r="2927">
      <x:c r="B2927" s="26"/>
      <x:c r="I2927" s="27"/>
      <x:c r="K2927" s="28"/>
      <x:c r="L2927" s="28"/>
      <x:c r="M2927" s="28"/>
      <x:c r="N2927" s="28"/>
      <x:c r="O2927" s="28"/>
    </x:row>
    <x:row r="2928">
      <x:c r="B2928" s="26"/>
      <x:c r="I2928" s="27"/>
      <x:c r="K2928" s="28"/>
      <x:c r="L2928" s="28"/>
      <x:c r="M2928" s="28"/>
      <x:c r="N2928" s="28"/>
      <x:c r="O2928" s="28"/>
    </x:row>
    <x:row r="2929">
      <x:c r="B2929" s="26"/>
      <x:c r="I2929" s="27"/>
      <x:c r="K2929" s="28"/>
      <x:c r="L2929" s="28"/>
      <x:c r="M2929" s="28"/>
      <x:c r="N2929" s="28"/>
      <x:c r="O2929" s="28"/>
    </x:row>
    <x:row r="2930">
      <x:c r="B2930" s="26"/>
      <x:c r="I2930" s="27"/>
      <x:c r="K2930" s="28"/>
      <x:c r="L2930" s="28"/>
      <x:c r="M2930" s="28"/>
      <x:c r="N2930" s="28"/>
      <x:c r="O2930" s="28"/>
    </x:row>
    <x:row r="2931">
      <x:c r="B2931" s="26"/>
      <x:c r="I2931" s="27"/>
      <x:c r="K2931" s="28"/>
      <x:c r="L2931" s="28"/>
      <x:c r="M2931" s="28"/>
      <x:c r="N2931" s="28"/>
      <x:c r="O2931" s="28"/>
    </x:row>
    <x:row r="2932">
      <x:c r="B2932" s="26"/>
      <x:c r="I2932" s="27"/>
      <x:c r="K2932" s="28"/>
      <x:c r="L2932" s="28"/>
      <x:c r="M2932" s="28"/>
      <x:c r="N2932" s="28"/>
      <x:c r="O2932" s="28"/>
    </x:row>
    <x:row r="2933">
      <x:c r="B2933" s="26"/>
      <x:c r="I2933" s="27"/>
      <x:c r="K2933" s="28"/>
      <x:c r="L2933" s="28"/>
      <x:c r="M2933" s="28"/>
      <x:c r="N2933" s="28"/>
      <x:c r="O2933" s="28"/>
    </x:row>
    <x:row r="2934">
      <x:c r="B2934" s="26"/>
      <x:c r="I2934" s="27"/>
      <x:c r="K2934" s="28"/>
      <x:c r="L2934" s="28"/>
      <x:c r="M2934" s="28"/>
      <x:c r="N2934" s="28"/>
      <x:c r="O2934" s="28"/>
    </x:row>
    <x:row r="2935">
      <x:c r="B2935" s="26"/>
      <x:c r="I2935" s="27"/>
      <x:c r="K2935" s="28"/>
      <x:c r="L2935" s="28"/>
      <x:c r="M2935" s="28"/>
      <x:c r="N2935" s="28"/>
      <x:c r="O2935" s="28"/>
    </x:row>
    <x:row r="2936">
      <x:c r="B2936" s="26"/>
      <x:c r="I2936" s="27"/>
      <x:c r="K2936" s="28"/>
      <x:c r="L2936" s="28"/>
      <x:c r="M2936" s="28"/>
      <x:c r="N2936" s="28"/>
      <x:c r="O2936" s="28"/>
    </x:row>
    <x:row r="2937">
      <x:c r="B2937" s="26"/>
      <x:c r="I2937" s="27"/>
      <x:c r="K2937" s="28"/>
      <x:c r="L2937" s="28"/>
      <x:c r="M2937" s="28"/>
      <x:c r="N2937" s="28"/>
      <x:c r="O2937" s="28"/>
    </x:row>
    <x:row r="2938">
      <x:c r="B2938" s="26"/>
      <x:c r="I2938" s="27"/>
      <x:c r="K2938" s="28"/>
      <x:c r="L2938" s="28"/>
      <x:c r="M2938" s="28"/>
      <x:c r="N2938" s="28"/>
      <x:c r="O2938" s="28"/>
    </x:row>
    <x:row r="2939">
      <x:c r="B2939" s="26"/>
      <x:c r="I2939" s="27"/>
      <x:c r="K2939" s="28"/>
      <x:c r="L2939" s="28"/>
      <x:c r="M2939" s="28"/>
      <x:c r="N2939" s="28"/>
      <x:c r="O2939" s="28"/>
    </x:row>
    <x:row r="2940">
      <x:c r="B2940" s="26"/>
      <x:c r="I2940" s="27"/>
      <x:c r="K2940" s="28"/>
      <x:c r="L2940" s="28"/>
      <x:c r="M2940" s="28"/>
      <x:c r="N2940" s="28"/>
      <x:c r="O2940" s="28"/>
    </x:row>
    <x:row r="2941">
      <x:c r="B2941" s="26"/>
      <x:c r="I2941" s="27"/>
      <x:c r="K2941" s="28"/>
      <x:c r="L2941" s="28"/>
      <x:c r="M2941" s="28"/>
      <x:c r="N2941" s="28"/>
      <x:c r="O2941" s="28"/>
    </x:row>
    <x:row r="2942">
      <x:c r="B2942" s="26"/>
      <x:c r="I2942" s="27"/>
      <x:c r="K2942" s="28"/>
      <x:c r="L2942" s="28"/>
      <x:c r="M2942" s="28"/>
      <x:c r="N2942" s="28"/>
      <x:c r="O2942" s="28"/>
    </x:row>
    <x:row r="2943">
      <x:c r="B2943" s="26"/>
      <x:c r="I2943" s="27"/>
      <x:c r="K2943" s="28"/>
      <x:c r="L2943" s="28"/>
      <x:c r="M2943" s="28"/>
      <x:c r="N2943" s="28"/>
      <x:c r="O2943" s="28"/>
    </x:row>
    <x:row r="2944">
      <x:c r="B2944" s="26"/>
      <x:c r="I2944" s="27"/>
      <x:c r="K2944" s="28"/>
      <x:c r="L2944" s="28"/>
      <x:c r="M2944" s="28"/>
      <x:c r="N2944" s="28"/>
      <x:c r="O2944" s="28"/>
    </x:row>
    <x:row r="2945">
      <x:c r="B2945" s="26"/>
      <x:c r="I2945" s="27"/>
      <x:c r="K2945" s="28"/>
      <x:c r="L2945" s="28"/>
      <x:c r="M2945" s="28"/>
      <x:c r="N2945" s="28"/>
      <x:c r="O2945" s="28"/>
    </x:row>
    <x:row r="2946">
      <x:c r="B2946" s="26"/>
      <x:c r="I2946" s="27"/>
      <x:c r="K2946" s="28"/>
      <x:c r="L2946" s="28"/>
      <x:c r="M2946" s="28"/>
      <x:c r="N2946" s="28"/>
      <x:c r="O2946" s="28"/>
    </x:row>
    <x:row r="2947">
      <x:c r="B2947" s="26"/>
      <x:c r="I2947" s="27"/>
      <x:c r="K2947" s="28"/>
      <x:c r="L2947" s="28"/>
      <x:c r="M2947" s="28"/>
      <x:c r="N2947" s="28"/>
      <x:c r="O2947" s="28"/>
    </x:row>
    <x:row r="2948">
      <x:c r="B2948" s="26"/>
      <x:c r="I2948" s="27"/>
      <x:c r="K2948" s="28"/>
      <x:c r="L2948" s="28"/>
      <x:c r="M2948" s="28"/>
      <x:c r="N2948" s="28"/>
      <x:c r="O2948" s="28"/>
    </x:row>
    <x:row r="2949">
      <x:c r="B2949" s="26"/>
      <x:c r="I2949" s="27"/>
      <x:c r="K2949" s="28"/>
      <x:c r="L2949" s="28"/>
      <x:c r="M2949" s="28"/>
      <x:c r="N2949" s="28"/>
      <x:c r="O2949" s="28"/>
    </x:row>
    <x:row r="2950">
      <x:c r="B2950" s="26"/>
      <x:c r="I2950" s="27"/>
      <x:c r="K2950" s="28"/>
      <x:c r="L2950" s="28"/>
      <x:c r="M2950" s="28"/>
      <x:c r="N2950" s="28"/>
      <x:c r="O2950" s="28"/>
    </x:row>
    <x:row r="2951">
      <x:c r="B2951" s="26"/>
      <x:c r="I2951" s="27"/>
      <x:c r="K2951" s="28"/>
      <x:c r="L2951" s="28"/>
      <x:c r="M2951" s="28"/>
      <x:c r="N2951" s="28"/>
      <x:c r="O2951" s="28"/>
    </x:row>
    <x:row r="2952">
      <x:c r="B2952" s="26"/>
      <x:c r="I2952" s="27"/>
      <x:c r="K2952" s="28"/>
      <x:c r="L2952" s="28"/>
      <x:c r="M2952" s="28"/>
      <x:c r="N2952" s="28"/>
      <x:c r="O2952" s="28"/>
    </x:row>
    <x:row r="2953">
      <x:c r="B2953" s="26"/>
      <x:c r="I2953" s="27"/>
      <x:c r="K2953" s="28"/>
      <x:c r="L2953" s="28"/>
      <x:c r="M2953" s="28"/>
      <x:c r="N2953" s="28"/>
      <x:c r="O2953" s="28"/>
    </x:row>
    <x:row r="2954">
      <x:c r="B2954" s="26"/>
      <x:c r="I2954" s="27"/>
      <x:c r="K2954" s="28"/>
      <x:c r="L2954" s="28"/>
      <x:c r="M2954" s="28"/>
      <x:c r="N2954" s="28"/>
      <x:c r="O2954" s="28"/>
    </x:row>
    <x:row r="2955">
      <x:c r="B2955" s="26"/>
      <x:c r="I2955" s="27"/>
      <x:c r="K2955" s="28"/>
      <x:c r="L2955" s="28"/>
      <x:c r="M2955" s="28"/>
      <x:c r="N2955" s="28"/>
      <x:c r="O2955" s="28"/>
    </x:row>
    <x:row r="2956">
      <x:c r="B2956" s="26"/>
      <x:c r="I2956" s="27"/>
      <x:c r="K2956" s="28"/>
      <x:c r="L2956" s="28"/>
      <x:c r="M2956" s="28"/>
      <x:c r="N2956" s="28"/>
      <x:c r="O2956" s="28"/>
    </x:row>
    <x:row r="2957">
      <x:c r="B2957" s="26"/>
      <x:c r="I2957" s="27"/>
      <x:c r="K2957" s="28"/>
      <x:c r="L2957" s="28"/>
      <x:c r="M2957" s="28"/>
      <x:c r="N2957" s="28"/>
      <x:c r="O2957" s="28"/>
    </x:row>
    <x:row r="2958">
      <x:c r="B2958" s="26"/>
      <x:c r="I2958" s="27"/>
      <x:c r="K2958" s="28"/>
      <x:c r="L2958" s="28"/>
      <x:c r="M2958" s="28"/>
      <x:c r="N2958" s="28"/>
      <x:c r="O2958" s="28"/>
    </x:row>
    <x:row r="2959">
      <x:c r="B2959" s="26"/>
      <x:c r="I2959" s="27"/>
      <x:c r="K2959" s="28"/>
      <x:c r="L2959" s="28"/>
      <x:c r="M2959" s="28"/>
      <x:c r="N2959" s="28"/>
      <x:c r="O2959" s="28"/>
    </x:row>
    <x:row r="2960">
      <x:c r="B2960" s="26"/>
      <x:c r="I2960" s="27"/>
      <x:c r="K2960" s="28"/>
      <x:c r="L2960" s="28"/>
      <x:c r="M2960" s="28"/>
      <x:c r="N2960" s="28"/>
      <x:c r="O2960" s="28"/>
    </x:row>
    <x:row r="2961">
      <x:c r="B2961" s="26"/>
      <x:c r="I2961" s="27"/>
      <x:c r="K2961" s="28"/>
      <x:c r="L2961" s="28"/>
      <x:c r="M2961" s="28"/>
      <x:c r="N2961" s="28"/>
      <x:c r="O2961" s="28"/>
    </x:row>
    <x:row r="2962">
      <x:c r="B2962" s="26"/>
      <x:c r="I2962" s="27"/>
      <x:c r="K2962" s="28"/>
      <x:c r="L2962" s="28"/>
      <x:c r="M2962" s="28"/>
      <x:c r="N2962" s="28"/>
      <x:c r="O2962" s="28"/>
    </x:row>
    <x:row r="2963">
      <x:c r="B2963" s="26"/>
      <x:c r="I2963" s="27"/>
      <x:c r="K2963" s="28"/>
      <x:c r="L2963" s="28"/>
      <x:c r="M2963" s="28"/>
      <x:c r="N2963" s="28"/>
      <x:c r="O2963" s="28"/>
    </x:row>
    <x:row r="2964">
      <x:c r="B2964" s="26"/>
      <x:c r="I2964" s="27"/>
      <x:c r="K2964" s="28"/>
      <x:c r="L2964" s="28"/>
      <x:c r="M2964" s="28"/>
      <x:c r="N2964" s="28"/>
      <x:c r="O2964" s="28"/>
    </x:row>
    <x:row r="2965">
      <x:c r="B2965" s="26"/>
      <x:c r="I2965" s="27"/>
      <x:c r="K2965" s="28"/>
      <x:c r="L2965" s="28"/>
      <x:c r="M2965" s="28"/>
      <x:c r="N2965" s="28"/>
      <x:c r="O2965" s="28"/>
    </x:row>
    <x:row r="2966">
      <x:c r="B2966" s="26"/>
      <x:c r="I2966" s="27"/>
      <x:c r="K2966" s="28"/>
      <x:c r="L2966" s="28"/>
      <x:c r="M2966" s="28"/>
      <x:c r="N2966" s="28"/>
      <x:c r="O2966" s="28"/>
    </x:row>
    <x:row r="2967">
      <x:c r="B2967" s="26"/>
      <x:c r="I2967" s="27"/>
      <x:c r="K2967" s="28"/>
      <x:c r="L2967" s="28"/>
      <x:c r="M2967" s="28"/>
      <x:c r="N2967" s="28"/>
      <x:c r="O2967" s="28"/>
    </x:row>
    <x:row r="2968">
      <x:c r="B2968" s="26"/>
      <x:c r="I2968" s="27"/>
      <x:c r="K2968" s="28"/>
      <x:c r="L2968" s="28"/>
      <x:c r="M2968" s="28"/>
      <x:c r="N2968" s="28"/>
      <x:c r="O2968" s="28"/>
    </x:row>
    <x:row r="2969">
      <x:c r="B2969" s="26"/>
      <x:c r="I2969" s="27"/>
      <x:c r="K2969" s="28"/>
      <x:c r="L2969" s="28"/>
      <x:c r="M2969" s="28"/>
      <x:c r="N2969" s="28"/>
      <x:c r="O2969" s="28"/>
    </x:row>
    <x:row r="2970">
      <x:c r="B2970" s="26"/>
      <x:c r="I2970" s="27"/>
      <x:c r="K2970" s="28"/>
      <x:c r="L2970" s="28"/>
      <x:c r="M2970" s="28"/>
      <x:c r="N2970" s="28"/>
      <x:c r="O2970" s="28"/>
    </x:row>
    <x:row r="2971">
      <x:c r="B2971" s="26"/>
      <x:c r="I2971" s="27"/>
      <x:c r="K2971" s="28"/>
      <x:c r="L2971" s="28"/>
      <x:c r="M2971" s="28"/>
      <x:c r="N2971" s="28"/>
      <x:c r="O2971" s="28"/>
    </x:row>
    <x:row r="2972">
      <x:c r="B2972" s="26"/>
      <x:c r="I2972" s="27"/>
      <x:c r="K2972" s="28"/>
      <x:c r="L2972" s="28"/>
      <x:c r="M2972" s="28"/>
      <x:c r="N2972" s="28"/>
      <x:c r="O2972" s="28"/>
    </x:row>
    <x:row r="2973">
      <x:c r="B2973" s="26"/>
      <x:c r="I2973" s="27"/>
      <x:c r="K2973" s="28"/>
      <x:c r="L2973" s="28"/>
      <x:c r="M2973" s="28"/>
      <x:c r="N2973" s="28"/>
      <x:c r="O2973" s="28"/>
    </x:row>
    <x:row r="2974">
      <x:c r="B2974" s="26"/>
      <x:c r="I2974" s="27"/>
      <x:c r="K2974" s="28"/>
      <x:c r="L2974" s="28"/>
      <x:c r="M2974" s="28"/>
      <x:c r="N2974" s="28"/>
      <x:c r="O2974" s="28"/>
    </x:row>
    <x:row r="2975">
      <x:c r="B2975" s="26"/>
      <x:c r="I2975" s="27"/>
      <x:c r="K2975" s="28"/>
      <x:c r="L2975" s="28"/>
      <x:c r="M2975" s="28"/>
      <x:c r="N2975" s="28"/>
      <x:c r="O2975" s="28"/>
    </x:row>
    <x:row r="2976">
      <x:c r="B2976" s="26"/>
      <x:c r="I2976" s="27"/>
      <x:c r="K2976" s="28"/>
      <x:c r="L2976" s="28"/>
      <x:c r="M2976" s="28"/>
      <x:c r="N2976" s="28"/>
      <x:c r="O2976" s="28"/>
    </x:row>
    <x:row r="2977">
      <x:c r="B2977" s="26"/>
      <x:c r="I2977" s="27"/>
      <x:c r="K2977" s="28"/>
      <x:c r="L2977" s="28"/>
      <x:c r="M2977" s="28"/>
      <x:c r="N2977" s="28"/>
      <x:c r="O2977" s="28"/>
    </x:row>
    <x:row r="2978">
      <x:c r="B2978" s="26"/>
      <x:c r="I2978" s="27"/>
      <x:c r="K2978" s="28"/>
      <x:c r="L2978" s="28"/>
      <x:c r="M2978" s="28"/>
      <x:c r="N2978" s="28"/>
      <x:c r="O2978" s="28"/>
    </x:row>
    <x:row r="2979">
      <x:c r="B2979" s="26"/>
      <x:c r="I2979" s="27"/>
      <x:c r="K2979" s="28"/>
      <x:c r="L2979" s="28"/>
      <x:c r="M2979" s="28"/>
      <x:c r="N2979" s="28"/>
      <x:c r="O2979" s="28"/>
    </x:row>
    <x:row r="2980">
      <x:c r="B2980" s="26"/>
      <x:c r="I2980" s="27"/>
      <x:c r="K2980" s="28"/>
      <x:c r="L2980" s="28"/>
      <x:c r="M2980" s="28"/>
      <x:c r="N2980" s="28"/>
      <x:c r="O2980" s="28"/>
    </x:row>
    <x:row r="2981">
      <x:c r="B2981" s="26"/>
      <x:c r="I2981" s="27"/>
      <x:c r="K2981" s="28"/>
      <x:c r="L2981" s="28"/>
      <x:c r="M2981" s="28"/>
      <x:c r="N2981" s="28"/>
      <x:c r="O2981" s="28"/>
    </x:row>
    <x:row r="2982">
      <x:c r="B2982" s="26"/>
      <x:c r="I2982" s="27"/>
      <x:c r="K2982" s="28"/>
      <x:c r="L2982" s="28"/>
      <x:c r="M2982" s="28"/>
      <x:c r="N2982" s="28"/>
      <x:c r="O2982" s="28"/>
    </x:row>
    <x:row r="2983">
      <x:c r="B2983" s="26"/>
      <x:c r="I2983" s="27"/>
      <x:c r="K2983" s="28"/>
      <x:c r="L2983" s="28"/>
      <x:c r="M2983" s="28"/>
      <x:c r="N2983" s="28"/>
      <x:c r="O2983" s="28"/>
    </x:row>
    <x:row r="2984">
      <x:c r="B2984" s="26"/>
      <x:c r="I2984" s="27"/>
      <x:c r="K2984" s="28"/>
      <x:c r="L2984" s="28"/>
      <x:c r="M2984" s="28"/>
      <x:c r="N2984" s="28"/>
      <x:c r="O2984" s="28"/>
    </x:row>
    <x:row r="2985">
      <x:c r="B2985" s="26"/>
      <x:c r="I2985" s="27"/>
      <x:c r="K2985" s="28"/>
      <x:c r="L2985" s="28"/>
      <x:c r="M2985" s="28"/>
      <x:c r="N2985" s="28"/>
      <x:c r="O2985" s="28"/>
    </x:row>
    <x:row r="2986">
      <x:c r="B2986" s="26"/>
      <x:c r="I2986" s="27"/>
      <x:c r="K2986" s="28"/>
      <x:c r="L2986" s="28"/>
      <x:c r="M2986" s="28"/>
      <x:c r="N2986" s="28"/>
      <x:c r="O2986" s="28"/>
    </x:row>
    <x:row r="2987">
      <x:c r="B2987" s="26"/>
      <x:c r="I2987" s="27"/>
      <x:c r="K2987" s="28"/>
      <x:c r="L2987" s="28"/>
      <x:c r="M2987" s="28"/>
      <x:c r="N2987" s="28"/>
      <x:c r="O2987" s="28"/>
    </x:row>
    <x:row r="2988">
      <x:c r="B2988" s="26"/>
      <x:c r="I2988" s="27"/>
      <x:c r="K2988" s="28"/>
      <x:c r="L2988" s="28"/>
      <x:c r="M2988" s="28"/>
      <x:c r="N2988" s="28"/>
      <x:c r="O2988" s="28"/>
    </x:row>
    <x:row r="2989">
      <x:c r="B2989" s="26"/>
      <x:c r="I2989" s="27"/>
      <x:c r="K2989" s="28"/>
      <x:c r="L2989" s="28"/>
      <x:c r="M2989" s="28"/>
      <x:c r="N2989" s="28"/>
      <x:c r="O2989" s="28"/>
    </x:row>
    <x:row r="2990">
      <x:c r="B2990" s="26"/>
      <x:c r="I2990" s="27"/>
      <x:c r="K2990" s="28"/>
      <x:c r="L2990" s="28"/>
      <x:c r="M2990" s="28"/>
      <x:c r="N2990" s="28"/>
      <x:c r="O2990" s="28"/>
    </x:row>
    <x:row r="2991">
      <x:c r="B2991" s="26"/>
      <x:c r="I2991" s="27"/>
      <x:c r="K2991" s="28"/>
      <x:c r="L2991" s="28"/>
      <x:c r="M2991" s="28"/>
      <x:c r="N2991" s="28"/>
      <x:c r="O2991" s="28"/>
    </x:row>
    <x:row r="2992">
      <x:c r="B2992" s="26"/>
      <x:c r="I2992" s="27"/>
      <x:c r="K2992" s="28"/>
      <x:c r="L2992" s="28"/>
      <x:c r="M2992" s="28"/>
      <x:c r="N2992" s="28"/>
      <x:c r="O2992" s="28"/>
    </x:row>
    <x:row r="2993">
      <x:c r="B2993" s="26"/>
      <x:c r="I2993" s="27"/>
      <x:c r="K2993" s="28"/>
      <x:c r="L2993" s="28"/>
      <x:c r="M2993" s="28"/>
      <x:c r="N2993" s="28"/>
      <x:c r="O2993" s="28"/>
    </x:row>
    <x:row r="2994">
      <x:c r="B2994" s="26"/>
      <x:c r="I2994" s="27"/>
      <x:c r="K2994" s="28"/>
      <x:c r="L2994" s="28"/>
      <x:c r="M2994" s="28"/>
      <x:c r="N2994" s="28"/>
      <x:c r="O2994" s="28"/>
    </x:row>
    <x:row r="2995">
      <x:c r="B2995" s="26"/>
      <x:c r="I2995" s="27"/>
      <x:c r="K2995" s="28"/>
      <x:c r="L2995" s="28"/>
      <x:c r="M2995" s="28"/>
      <x:c r="N2995" s="28"/>
      <x:c r="O2995" s="28"/>
    </x:row>
    <x:row r="2996">
      <x:c r="B2996" s="26"/>
      <x:c r="I2996" s="27"/>
      <x:c r="K2996" s="28"/>
      <x:c r="L2996" s="28"/>
      <x:c r="M2996" s="28"/>
      <x:c r="N2996" s="28"/>
      <x:c r="O2996" s="28"/>
    </x:row>
    <x:row r="2997">
      <x:c r="B2997" s="26"/>
      <x:c r="I2997" s="27"/>
      <x:c r="K2997" s="28"/>
      <x:c r="L2997" s="28"/>
      <x:c r="M2997" s="28"/>
      <x:c r="N2997" s="28"/>
      <x:c r="O2997" s="28"/>
    </x:row>
    <x:row r="2998">
      <x:c r="B2998" s="26"/>
      <x:c r="I2998" s="27"/>
      <x:c r="K2998" s="28"/>
      <x:c r="L2998" s="28"/>
      <x:c r="M2998" s="28"/>
      <x:c r="N2998" s="28"/>
      <x:c r="O2998" s="28"/>
    </x:row>
    <x:row r="2999">
      <x:c r="B2999" s="26"/>
      <x:c r="I2999" s="27"/>
      <x:c r="K2999" s="28"/>
      <x:c r="L2999" s="28"/>
      <x:c r="M2999" s="28"/>
      <x:c r="N2999" s="28"/>
      <x:c r="O2999" s="28"/>
    </x:row>
    <x:row r="3000">
      <x:c r="B3000" s="26"/>
      <x:c r="I3000" s="27"/>
      <x:c r="K3000" s="28"/>
      <x:c r="L3000" s="28"/>
      <x:c r="M3000" s="28"/>
      <x:c r="N3000" s="28"/>
      <x:c r="O3000" s="28"/>
    </x:row>
    <x:row r="3001">
      <x:c r="B3001" s="26"/>
      <x:c r="I3001" s="27"/>
      <x:c r="K3001" s="28"/>
      <x:c r="L3001" s="28"/>
      <x:c r="M3001" s="28"/>
      <x:c r="N3001" s="28"/>
      <x:c r="O3001" s="28"/>
    </x:row>
    <x:row r="3002">
      <x:c r="B3002" s="26"/>
      <x:c r="I3002" s="27"/>
      <x:c r="K3002" s="28"/>
      <x:c r="L3002" s="28"/>
      <x:c r="M3002" s="28"/>
      <x:c r="N3002" s="28"/>
      <x:c r="O3002" s="28"/>
    </x:row>
    <x:row r="3003">
      <x:c r="B3003" s="26"/>
      <x:c r="I3003" s="27"/>
      <x:c r="K3003" s="28"/>
      <x:c r="L3003" s="28"/>
      <x:c r="M3003" s="28"/>
      <x:c r="N3003" s="28"/>
      <x:c r="O3003" s="28"/>
    </x:row>
    <x:row r="3004">
      <x:c r="B3004" s="26"/>
      <x:c r="I3004" s="27"/>
      <x:c r="K3004" s="28"/>
      <x:c r="L3004" s="28"/>
      <x:c r="M3004" s="28"/>
      <x:c r="N3004" s="28"/>
      <x:c r="O3004" s="28"/>
    </x:row>
    <x:row r="3005">
      <x:c r="B3005" s="26"/>
      <x:c r="I3005" s="27"/>
      <x:c r="K3005" s="28"/>
      <x:c r="L3005" s="28"/>
      <x:c r="M3005" s="28"/>
      <x:c r="N3005" s="28"/>
      <x:c r="O3005" s="28"/>
    </x:row>
    <x:row r="3006">
      <x:c r="B3006" s="26"/>
      <x:c r="I3006" s="27"/>
      <x:c r="K3006" s="28"/>
      <x:c r="L3006" s="28"/>
      <x:c r="M3006" s="28"/>
      <x:c r="N3006" s="28"/>
      <x:c r="O3006" s="28"/>
    </x:row>
    <x:row r="3007">
      <x:c r="B3007" s="26"/>
      <x:c r="I3007" s="27"/>
      <x:c r="K3007" s="28"/>
      <x:c r="L3007" s="28"/>
      <x:c r="M3007" s="28"/>
      <x:c r="N3007" s="28"/>
      <x:c r="O3007" s="28"/>
    </x:row>
    <x:row r="3008">
      <x:c r="B3008" s="26"/>
      <x:c r="I3008" s="27"/>
      <x:c r="K3008" s="28"/>
      <x:c r="L3008" s="28"/>
      <x:c r="M3008" s="28"/>
      <x:c r="N3008" s="28"/>
      <x:c r="O3008" s="28"/>
    </x:row>
    <x:row r="3009">
      <x:c r="B3009" s="26"/>
      <x:c r="I3009" s="27"/>
      <x:c r="K3009" s="28"/>
      <x:c r="L3009" s="28"/>
      <x:c r="M3009" s="28"/>
      <x:c r="N3009" s="28"/>
      <x:c r="O3009" s="28"/>
    </x:row>
    <x:row r="3010">
      <x:c r="B3010" s="26"/>
      <x:c r="I3010" s="27"/>
      <x:c r="K3010" s="28"/>
      <x:c r="L3010" s="28"/>
      <x:c r="M3010" s="28"/>
      <x:c r="N3010" s="28"/>
      <x:c r="O3010" s="28"/>
    </x:row>
    <x:row r="3011">
      <x:c r="B3011" s="26"/>
      <x:c r="I3011" s="27"/>
      <x:c r="K3011" s="28"/>
      <x:c r="L3011" s="28"/>
      <x:c r="M3011" s="28"/>
      <x:c r="N3011" s="28"/>
      <x:c r="O3011" s="28"/>
    </x:row>
    <x:row r="3012">
      <x:c r="B3012" s="26"/>
      <x:c r="I3012" s="27"/>
      <x:c r="K3012" s="28"/>
      <x:c r="L3012" s="28"/>
      <x:c r="M3012" s="28"/>
      <x:c r="N3012" s="28"/>
      <x:c r="O3012" s="28"/>
    </x:row>
    <x:row r="3013">
      <x:c r="B3013" s="26"/>
      <x:c r="I3013" s="27"/>
      <x:c r="K3013" s="28"/>
      <x:c r="L3013" s="28"/>
      <x:c r="M3013" s="28"/>
      <x:c r="N3013" s="28"/>
      <x:c r="O3013" s="28"/>
    </x:row>
    <x:row r="3014">
      <x:c r="B3014" s="26"/>
      <x:c r="I3014" s="27"/>
      <x:c r="K3014" s="28"/>
      <x:c r="L3014" s="28"/>
      <x:c r="M3014" s="28"/>
      <x:c r="N3014" s="28"/>
      <x:c r="O3014" s="28"/>
    </x:row>
    <x:row r="3015">
      <x:c r="B3015" s="26"/>
      <x:c r="I3015" s="27"/>
      <x:c r="K3015" s="28"/>
      <x:c r="L3015" s="28"/>
      <x:c r="M3015" s="28"/>
      <x:c r="N3015" s="28"/>
      <x:c r="O3015" s="28"/>
    </x:row>
    <x:row r="3016">
      <x:c r="B3016" s="26"/>
      <x:c r="I3016" s="27"/>
      <x:c r="K3016" s="28"/>
      <x:c r="L3016" s="28"/>
      <x:c r="M3016" s="28"/>
      <x:c r="N3016" s="28"/>
      <x:c r="O3016" s="28"/>
    </x:row>
    <x:row r="3017">
      <x:c r="B3017" s="26"/>
      <x:c r="I3017" s="27"/>
      <x:c r="K3017" s="28"/>
      <x:c r="L3017" s="28"/>
      <x:c r="M3017" s="28"/>
      <x:c r="N3017" s="28"/>
      <x:c r="O3017" s="28"/>
    </x:row>
    <x:row r="3018">
      <x:c r="B3018" s="26"/>
      <x:c r="I3018" s="27"/>
      <x:c r="K3018" s="28"/>
      <x:c r="L3018" s="28"/>
      <x:c r="M3018" s="28"/>
      <x:c r="N3018" s="28"/>
      <x:c r="O3018" s="28"/>
    </x:row>
    <x:row r="3019">
      <x:c r="B3019" s="26"/>
      <x:c r="I3019" s="27"/>
      <x:c r="K3019" s="28"/>
      <x:c r="L3019" s="28"/>
      <x:c r="M3019" s="28"/>
      <x:c r="N3019" s="28"/>
      <x:c r="O3019" s="28"/>
    </x:row>
    <x:row r="3020">
      <x:c r="B3020" s="26"/>
      <x:c r="I3020" s="27"/>
      <x:c r="K3020" s="28"/>
      <x:c r="L3020" s="28"/>
      <x:c r="M3020" s="28"/>
      <x:c r="N3020" s="28"/>
      <x:c r="O3020" s="28"/>
    </x:row>
    <x:row r="3021">
      <x:c r="B3021" s="26"/>
      <x:c r="I3021" s="27"/>
      <x:c r="K3021" s="28"/>
      <x:c r="L3021" s="28"/>
      <x:c r="M3021" s="28"/>
      <x:c r="N3021" s="28"/>
      <x:c r="O3021" s="28"/>
    </x:row>
    <x:row r="3022">
      <x:c r="B3022" s="26"/>
      <x:c r="I3022" s="27"/>
      <x:c r="K3022" s="28"/>
      <x:c r="L3022" s="28"/>
      <x:c r="M3022" s="28"/>
      <x:c r="N3022" s="28"/>
      <x:c r="O3022" s="28"/>
    </x:row>
    <x:row r="3023">
      <x:c r="B3023" s="26"/>
      <x:c r="I3023" s="27"/>
      <x:c r="K3023" s="28"/>
      <x:c r="L3023" s="28"/>
      <x:c r="M3023" s="28"/>
      <x:c r="N3023" s="28"/>
      <x:c r="O3023" s="28"/>
    </x:row>
    <x:row r="3024">
      <x:c r="B3024" s="26"/>
      <x:c r="I3024" s="27"/>
      <x:c r="K3024" s="28"/>
      <x:c r="L3024" s="28"/>
      <x:c r="M3024" s="28"/>
      <x:c r="N3024" s="28"/>
      <x:c r="O3024" s="28"/>
    </x:row>
    <x:row r="3025">
      <x:c r="B3025" s="26"/>
      <x:c r="I3025" s="27"/>
      <x:c r="K3025" s="28"/>
      <x:c r="L3025" s="28"/>
      <x:c r="M3025" s="28"/>
      <x:c r="N3025" s="28"/>
      <x:c r="O3025" s="28"/>
    </x:row>
    <x:row r="3026">
      <x:c r="B3026" s="26"/>
      <x:c r="I3026" s="27"/>
      <x:c r="K3026" s="28"/>
      <x:c r="L3026" s="28"/>
      <x:c r="M3026" s="28"/>
      <x:c r="N3026" s="28"/>
      <x:c r="O3026" s="28"/>
    </x:row>
    <x:row r="3027">
      <x:c r="B3027" s="26"/>
      <x:c r="I3027" s="27"/>
      <x:c r="K3027" s="28"/>
      <x:c r="L3027" s="28"/>
      <x:c r="M3027" s="28"/>
      <x:c r="N3027" s="28"/>
      <x:c r="O3027" s="28"/>
    </x:row>
    <x:row r="3028">
      <x:c r="B3028" s="26"/>
      <x:c r="I3028" s="27"/>
      <x:c r="K3028" s="28"/>
      <x:c r="L3028" s="28"/>
      <x:c r="M3028" s="28"/>
      <x:c r="N3028" s="28"/>
      <x:c r="O3028" s="28"/>
    </x:row>
    <x:row r="3029">
      <x:c r="B3029" s="26"/>
      <x:c r="I3029" s="27"/>
      <x:c r="K3029" s="28"/>
      <x:c r="L3029" s="28"/>
      <x:c r="M3029" s="28"/>
      <x:c r="N3029" s="28"/>
      <x:c r="O3029" s="28"/>
    </x:row>
    <x:row r="3030">
      <x:c r="B3030" s="26"/>
      <x:c r="I3030" s="27"/>
      <x:c r="K3030" s="28"/>
      <x:c r="L3030" s="28"/>
      <x:c r="M3030" s="28"/>
      <x:c r="N3030" s="28"/>
      <x:c r="O3030" s="28"/>
    </x:row>
    <x:row r="3031">
      <x:c r="B3031" s="26"/>
      <x:c r="I3031" s="27"/>
      <x:c r="K3031" s="28"/>
      <x:c r="L3031" s="28"/>
      <x:c r="M3031" s="28"/>
      <x:c r="N3031" s="28"/>
      <x:c r="O3031" s="28"/>
    </x:row>
    <x:row r="3032">
      <x:c r="B3032" s="26"/>
      <x:c r="I3032" s="27"/>
      <x:c r="K3032" s="28"/>
      <x:c r="L3032" s="28"/>
      <x:c r="M3032" s="28"/>
      <x:c r="N3032" s="28"/>
      <x:c r="O3032" s="28"/>
    </x:row>
    <x:row r="3033">
      <x:c r="B3033" s="26"/>
      <x:c r="I3033" s="27"/>
      <x:c r="K3033" s="28"/>
      <x:c r="L3033" s="28"/>
      <x:c r="M3033" s="28"/>
      <x:c r="N3033" s="28"/>
      <x:c r="O3033" s="28"/>
    </x:row>
    <x:row r="3034">
      <x:c r="B3034" s="26"/>
      <x:c r="I3034" s="27"/>
      <x:c r="K3034" s="28"/>
      <x:c r="L3034" s="28"/>
      <x:c r="M3034" s="28"/>
      <x:c r="N3034" s="28"/>
      <x:c r="O3034" s="28"/>
    </x:row>
    <x:row r="3035">
      <x:c r="B3035" s="26"/>
      <x:c r="I3035" s="27"/>
      <x:c r="K3035" s="28"/>
      <x:c r="L3035" s="28"/>
      <x:c r="M3035" s="28"/>
      <x:c r="N3035" s="28"/>
      <x:c r="O3035" s="28"/>
    </x:row>
    <x:row r="3036">
      <x:c r="B3036" s="26"/>
      <x:c r="I3036" s="27"/>
      <x:c r="K3036" s="28"/>
      <x:c r="L3036" s="28"/>
      <x:c r="M3036" s="28"/>
      <x:c r="N3036" s="28"/>
      <x:c r="O3036" s="28"/>
    </x:row>
    <x:row r="3037">
      <x:c r="B3037" s="26"/>
      <x:c r="I3037" s="27"/>
      <x:c r="K3037" s="28"/>
      <x:c r="L3037" s="28"/>
      <x:c r="M3037" s="28"/>
      <x:c r="N3037" s="28"/>
      <x:c r="O3037" s="28"/>
    </x:row>
    <x:row r="3038">
      <x:c r="B3038" s="26"/>
      <x:c r="I3038" s="27"/>
      <x:c r="K3038" s="28"/>
      <x:c r="L3038" s="28"/>
      <x:c r="M3038" s="28"/>
      <x:c r="N3038" s="28"/>
      <x:c r="O3038" s="28"/>
    </x:row>
    <x:row r="3039">
      <x:c r="B3039" s="26"/>
      <x:c r="I3039" s="27"/>
      <x:c r="K3039" s="28"/>
      <x:c r="L3039" s="28"/>
      <x:c r="M3039" s="28"/>
      <x:c r="N3039" s="28"/>
      <x:c r="O3039" s="28"/>
    </x:row>
    <x:row r="3040">
      <x:c r="B3040" s="26"/>
      <x:c r="I3040" s="27"/>
      <x:c r="K3040" s="28"/>
      <x:c r="L3040" s="28"/>
      <x:c r="M3040" s="28"/>
      <x:c r="N3040" s="28"/>
      <x:c r="O3040" s="28"/>
    </x:row>
    <x:row r="3041">
      <x:c r="B3041" s="26"/>
      <x:c r="I3041" s="27"/>
      <x:c r="K3041" s="28"/>
      <x:c r="L3041" s="28"/>
      <x:c r="M3041" s="28"/>
      <x:c r="N3041" s="28"/>
      <x:c r="O3041" s="28"/>
    </x:row>
    <x:row r="3042">
      <x:c r="B3042" s="26"/>
      <x:c r="I3042" s="27"/>
      <x:c r="K3042" s="28"/>
      <x:c r="L3042" s="28"/>
      <x:c r="M3042" s="28"/>
      <x:c r="N3042" s="28"/>
      <x:c r="O3042" s="28"/>
    </x:row>
    <x:row r="3043">
      <x:c r="B3043" s="26"/>
      <x:c r="I3043" s="27"/>
      <x:c r="K3043" s="28"/>
      <x:c r="L3043" s="28"/>
      <x:c r="M3043" s="28"/>
      <x:c r="N3043" s="28"/>
      <x:c r="O3043" s="28"/>
    </x:row>
    <x:row r="3044">
      <x:c r="B3044" s="26"/>
      <x:c r="I3044" s="27"/>
      <x:c r="K3044" s="28"/>
      <x:c r="L3044" s="28"/>
      <x:c r="M3044" s="28"/>
      <x:c r="N3044" s="28"/>
      <x:c r="O3044" s="28"/>
    </x:row>
    <x:row r="3045">
      <x:c r="B3045" s="26"/>
      <x:c r="I3045" s="27"/>
      <x:c r="K3045" s="28"/>
      <x:c r="L3045" s="28"/>
      <x:c r="M3045" s="28"/>
      <x:c r="N3045" s="28"/>
      <x:c r="O3045" s="28"/>
    </x:row>
    <x:row r="3046">
      <x:c r="B3046" s="26"/>
      <x:c r="I3046" s="27"/>
      <x:c r="K3046" s="28"/>
      <x:c r="L3046" s="28"/>
      <x:c r="M3046" s="28"/>
      <x:c r="N3046" s="28"/>
      <x:c r="O3046" s="28"/>
    </x:row>
    <x:row r="3047">
      <x:c r="B3047" s="26"/>
      <x:c r="I3047" s="27"/>
      <x:c r="K3047" s="28"/>
      <x:c r="L3047" s="28"/>
      <x:c r="M3047" s="28"/>
      <x:c r="N3047" s="28"/>
      <x:c r="O3047" s="28"/>
    </x:row>
    <x:row r="3048">
      <x:c r="B3048" s="26"/>
      <x:c r="I3048" s="27"/>
      <x:c r="K3048" s="28"/>
      <x:c r="L3048" s="28"/>
      <x:c r="M3048" s="28"/>
      <x:c r="N3048" s="28"/>
      <x:c r="O3048" s="28"/>
    </x:row>
    <x:row r="3049">
      <x:c r="B3049" s="26"/>
      <x:c r="I3049" s="27"/>
      <x:c r="K3049" s="28"/>
      <x:c r="L3049" s="28"/>
      <x:c r="M3049" s="28"/>
      <x:c r="N3049" s="28"/>
      <x:c r="O3049" s="28"/>
    </x:row>
    <x:row r="3050">
      <x:c r="B3050" s="26"/>
      <x:c r="I3050" s="27"/>
      <x:c r="K3050" s="28"/>
      <x:c r="L3050" s="28"/>
      <x:c r="M3050" s="28"/>
      <x:c r="N3050" s="28"/>
      <x:c r="O3050" s="28"/>
    </x:row>
    <x:row r="3051">
      <x:c r="B3051" s="26"/>
      <x:c r="I3051" s="27"/>
      <x:c r="K3051" s="28"/>
      <x:c r="L3051" s="28"/>
      <x:c r="M3051" s="28"/>
      <x:c r="N3051" s="28"/>
      <x:c r="O3051" s="28"/>
    </x:row>
    <x:row r="3052">
      <x:c r="B3052" s="26"/>
      <x:c r="I3052" s="27"/>
      <x:c r="K3052" s="28"/>
      <x:c r="L3052" s="28"/>
      <x:c r="M3052" s="28"/>
      <x:c r="N3052" s="28"/>
      <x:c r="O3052" s="28"/>
    </x:row>
    <x:row r="3053">
      <x:c r="B3053" s="26"/>
      <x:c r="I3053" s="27"/>
      <x:c r="K3053" s="28"/>
      <x:c r="L3053" s="28"/>
      <x:c r="M3053" s="28"/>
      <x:c r="N3053" s="28"/>
      <x:c r="O3053" s="28"/>
    </x:row>
    <x:row r="3054">
      <x:c r="B3054" s="26"/>
      <x:c r="I3054" s="27"/>
      <x:c r="K3054" s="28"/>
      <x:c r="L3054" s="28"/>
      <x:c r="M3054" s="28"/>
      <x:c r="N3054" s="28"/>
      <x:c r="O3054" s="28"/>
    </x:row>
    <x:row r="3055">
      <x:c r="B3055" s="26"/>
      <x:c r="I3055" s="27"/>
      <x:c r="K3055" s="28"/>
      <x:c r="L3055" s="28"/>
      <x:c r="M3055" s="28"/>
      <x:c r="N3055" s="28"/>
      <x:c r="O3055" s="28"/>
    </x:row>
    <x:row r="3056">
      <x:c r="B3056" s="26"/>
      <x:c r="I3056" s="27"/>
      <x:c r="K3056" s="28"/>
      <x:c r="L3056" s="28"/>
      <x:c r="M3056" s="28"/>
      <x:c r="N3056" s="28"/>
      <x:c r="O3056" s="28"/>
    </x:row>
    <x:row r="3057">
      <x:c r="B3057" s="26"/>
      <x:c r="I3057" s="27"/>
      <x:c r="K3057" s="28"/>
      <x:c r="L3057" s="28"/>
      <x:c r="M3057" s="28"/>
      <x:c r="N3057" s="28"/>
      <x:c r="O3057" s="28"/>
    </x:row>
    <x:row r="3058">
      <x:c r="B3058" s="26"/>
      <x:c r="I3058" s="27"/>
      <x:c r="K3058" s="28"/>
      <x:c r="L3058" s="28"/>
      <x:c r="M3058" s="28"/>
      <x:c r="N3058" s="28"/>
      <x:c r="O3058" s="28"/>
    </x:row>
    <x:row r="3059">
      <x:c r="B3059" s="26"/>
      <x:c r="I3059" s="27"/>
      <x:c r="K3059" s="28"/>
      <x:c r="L3059" s="28"/>
      <x:c r="M3059" s="28"/>
      <x:c r="N3059" s="28"/>
      <x:c r="O3059" s="28"/>
    </x:row>
    <x:row r="3060">
      <x:c r="B3060" s="26"/>
      <x:c r="I3060" s="27"/>
      <x:c r="K3060" s="28"/>
      <x:c r="L3060" s="28"/>
      <x:c r="M3060" s="28"/>
      <x:c r="N3060" s="28"/>
      <x:c r="O3060" s="28"/>
    </x:row>
    <x:row r="3061">
      <x:c r="B3061" s="26"/>
      <x:c r="I3061" s="27"/>
      <x:c r="K3061" s="28"/>
      <x:c r="L3061" s="28"/>
      <x:c r="M3061" s="28"/>
      <x:c r="N3061" s="28"/>
      <x:c r="O3061" s="28"/>
    </x:row>
    <x:row r="3062">
      <x:c r="B3062" s="26"/>
      <x:c r="I3062" s="27"/>
      <x:c r="K3062" s="28"/>
      <x:c r="L3062" s="28"/>
      <x:c r="M3062" s="28"/>
      <x:c r="N3062" s="28"/>
      <x:c r="O3062" s="28"/>
    </x:row>
    <x:row r="3063">
      <x:c r="B3063" s="26"/>
      <x:c r="I3063" s="27"/>
      <x:c r="K3063" s="28"/>
      <x:c r="L3063" s="28"/>
      <x:c r="M3063" s="28"/>
      <x:c r="N3063" s="28"/>
      <x:c r="O3063" s="28"/>
    </x:row>
    <x:row r="3064">
      <x:c r="B3064" s="26"/>
      <x:c r="I3064" s="27"/>
      <x:c r="K3064" s="28"/>
      <x:c r="L3064" s="28"/>
      <x:c r="M3064" s="28"/>
      <x:c r="N3064" s="28"/>
      <x:c r="O3064" s="28"/>
    </x:row>
    <x:row r="3065">
      <x:c r="B3065" s="26"/>
      <x:c r="I3065" s="27"/>
      <x:c r="K3065" s="28"/>
      <x:c r="L3065" s="28"/>
      <x:c r="M3065" s="28"/>
      <x:c r="N3065" s="28"/>
      <x:c r="O3065" s="28"/>
    </x:row>
    <x:row r="3066">
      <x:c r="B3066" s="26"/>
      <x:c r="I3066" s="27"/>
      <x:c r="K3066" s="28"/>
      <x:c r="L3066" s="28"/>
      <x:c r="M3066" s="28"/>
      <x:c r="N3066" s="28"/>
      <x:c r="O3066" s="28"/>
    </x:row>
    <x:row r="3067">
      <x:c r="B3067" s="26"/>
      <x:c r="I3067" s="27"/>
      <x:c r="K3067" s="28"/>
      <x:c r="L3067" s="28"/>
      <x:c r="M3067" s="28"/>
      <x:c r="N3067" s="28"/>
      <x:c r="O3067" s="28"/>
    </x:row>
    <x:row r="3068">
      <x:c r="B3068" s="26"/>
      <x:c r="I3068" s="27"/>
      <x:c r="K3068" s="28"/>
      <x:c r="L3068" s="28"/>
      <x:c r="M3068" s="28"/>
      <x:c r="N3068" s="28"/>
      <x:c r="O3068" s="28"/>
    </x:row>
    <x:row r="3069">
      <x:c r="B3069" s="26"/>
      <x:c r="I3069" s="27"/>
      <x:c r="K3069" s="28"/>
      <x:c r="L3069" s="28"/>
      <x:c r="M3069" s="28"/>
      <x:c r="N3069" s="28"/>
      <x:c r="O3069" s="28"/>
    </x:row>
    <x:row r="3070">
      <x:c r="B3070" s="26"/>
      <x:c r="I3070" s="27"/>
      <x:c r="K3070" s="28"/>
      <x:c r="L3070" s="28"/>
      <x:c r="M3070" s="28"/>
      <x:c r="N3070" s="28"/>
      <x:c r="O3070" s="28"/>
    </x:row>
    <x:row r="3071">
      <x:c r="B3071" s="26"/>
      <x:c r="I3071" s="27"/>
      <x:c r="K3071" s="28"/>
      <x:c r="L3071" s="28"/>
      <x:c r="M3071" s="28"/>
      <x:c r="N3071" s="28"/>
      <x:c r="O3071" s="28"/>
    </x:row>
    <x:row r="3072">
      <x:c r="B3072" s="26"/>
      <x:c r="I3072" s="27"/>
      <x:c r="K3072" s="28"/>
      <x:c r="L3072" s="28"/>
      <x:c r="M3072" s="28"/>
      <x:c r="N3072" s="28"/>
      <x:c r="O3072" s="28"/>
    </x:row>
    <x:row r="3073">
      <x:c r="B3073" s="26"/>
      <x:c r="I3073" s="27"/>
      <x:c r="K3073" s="28"/>
      <x:c r="L3073" s="28"/>
      <x:c r="M3073" s="28"/>
      <x:c r="N3073" s="28"/>
      <x:c r="O3073" s="28"/>
    </x:row>
    <x:row r="3074">
      <x:c r="B3074" s="26"/>
      <x:c r="I3074" s="27"/>
      <x:c r="K3074" s="28"/>
      <x:c r="L3074" s="28"/>
      <x:c r="M3074" s="28"/>
      <x:c r="N3074" s="28"/>
      <x:c r="O3074" s="28"/>
    </x:row>
    <x:row r="3075">
      <x:c r="B3075" s="26"/>
      <x:c r="I3075" s="27"/>
      <x:c r="K3075" s="28"/>
      <x:c r="L3075" s="28"/>
      <x:c r="M3075" s="28"/>
      <x:c r="N3075" s="28"/>
      <x:c r="O3075" s="28"/>
    </x:row>
    <x:row r="3076">
      <x:c r="B3076" s="26"/>
      <x:c r="I3076" s="27"/>
      <x:c r="K3076" s="28"/>
      <x:c r="L3076" s="28"/>
      <x:c r="M3076" s="28"/>
      <x:c r="N3076" s="28"/>
      <x:c r="O3076" s="28"/>
    </x:row>
    <x:row r="3077">
      <x:c r="B3077" s="26"/>
      <x:c r="I3077" s="27"/>
      <x:c r="K3077" s="28"/>
      <x:c r="L3077" s="28"/>
      <x:c r="M3077" s="28"/>
      <x:c r="N3077" s="28"/>
      <x:c r="O3077" s="28"/>
    </x:row>
    <x:row r="3078">
      <x:c r="B3078" s="26"/>
      <x:c r="I3078" s="27"/>
      <x:c r="K3078" s="28"/>
      <x:c r="L3078" s="28"/>
      <x:c r="M3078" s="28"/>
      <x:c r="N3078" s="28"/>
      <x:c r="O3078" s="28"/>
    </x:row>
    <x:row r="3079">
      <x:c r="B3079" s="26"/>
      <x:c r="I3079" s="27"/>
      <x:c r="K3079" s="28"/>
      <x:c r="L3079" s="28"/>
      <x:c r="M3079" s="28"/>
      <x:c r="N3079" s="28"/>
      <x:c r="O3079" s="28"/>
    </x:row>
    <x:row r="3080">
      <x:c r="B3080" s="26"/>
      <x:c r="I3080" s="27"/>
      <x:c r="K3080" s="28"/>
      <x:c r="L3080" s="28"/>
      <x:c r="M3080" s="28"/>
      <x:c r="N3080" s="28"/>
      <x:c r="O3080" s="28"/>
    </x:row>
    <x:row r="3081">
      <x:c r="B3081" s="26"/>
      <x:c r="I3081" s="27"/>
      <x:c r="K3081" s="28"/>
      <x:c r="L3081" s="28"/>
      <x:c r="M3081" s="28"/>
      <x:c r="N3081" s="28"/>
      <x:c r="O3081" s="28"/>
    </x:row>
    <x:row r="3082">
      <x:c r="B3082" s="26"/>
      <x:c r="I3082" s="27"/>
      <x:c r="K3082" s="28"/>
      <x:c r="L3082" s="28"/>
      <x:c r="M3082" s="28"/>
      <x:c r="N3082" s="28"/>
      <x:c r="O3082" s="28"/>
    </x:row>
    <x:row r="3083">
      <x:c r="B3083" s="26"/>
      <x:c r="I3083" s="27"/>
      <x:c r="K3083" s="28"/>
      <x:c r="L3083" s="28"/>
      <x:c r="M3083" s="28"/>
      <x:c r="N3083" s="28"/>
      <x:c r="O3083" s="28"/>
    </x:row>
    <x:row r="3084">
      <x:c r="B3084" s="26"/>
      <x:c r="I3084" s="27"/>
      <x:c r="K3084" s="28"/>
      <x:c r="L3084" s="28"/>
      <x:c r="M3084" s="28"/>
      <x:c r="N3084" s="28"/>
      <x:c r="O3084" s="28"/>
    </x:row>
    <x:row r="3085">
      <x:c r="B3085" s="26"/>
      <x:c r="I3085" s="27"/>
      <x:c r="K3085" s="28"/>
      <x:c r="L3085" s="28"/>
      <x:c r="M3085" s="28"/>
      <x:c r="N3085" s="28"/>
      <x:c r="O3085" s="28"/>
    </x:row>
    <x:row r="3086">
      <x:c r="B3086" s="26"/>
      <x:c r="I3086" s="27"/>
      <x:c r="K3086" s="28"/>
      <x:c r="L3086" s="28"/>
      <x:c r="M3086" s="28"/>
      <x:c r="N3086" s="28"/>
      <x:c r="O3086" s="28"/>
    </x:row>
    <x:row r="3087">
      <x:c r="B3087" s="26"/>
      <x:c r="I3087" s="27"/>
      <x:c r="K3087" s="28"/>
      <x:c r="L3087" s="28"/>
      <x:c r="M3087" s="28"/>
      <x:c r="N3087" s="28"/>
      <x:c r="O3087" s="28"/>
    </x:row>
    <x:row r="3088">
      <x:c r="B3088" s="26"/>
      <x:c r="I3088" s="27"/>
      <x:c r="K3088" s="28"/>
      <x:c r="L3088" s="28"/>
      <x:c r="M3088" s="28"/>
      <x:c r="N3088" s="28"/>
      <x:c r="O3088" s="28"/>
    </x:row>
    <x:row r="3089">
      <x:c r="B3089" s="26"/>
      <x:c r="I3089" s="27"/>
      <x:c r="K3089" s="28"/>
      <x:c r="L3089" s="28"/>
      <x:c r="M3089" s="28"/>
      <x:c r="N3089" s="28"/>
      <x:c r="O3089" s="28"/>
    </x:row>
    <x:row r="3090">
      <x:c r="B3090" s="26"/>
      <x:c r="I3090" s="27"/>
      <x:c r="K3090" s="28"/>
      <x:c r="L3090" s="28"/>
      <x:c r="M3090" s="28"/>
      <x:c r="N3090" s="28"/>
      <x:c r="O3090" s="28"/>
    </x:row>
    <x:row r="3091">
      <x:c r="B3091" s="26"/>
      <x:c r="I3091" s="27"/>
      <x:c r="K3091" s="28"/>
      <x:c r="L3091" s="28"/>
      <x:c r="M3091" s="28"/>
      <x:c r="N3091" s="28"/>
      <x:c r="O3091" s="28"/>
    </x:row>
    <x:row r="3092">
      <x:c r="B3092" s="26"/>
      <x:c r="I3092" s="27"/>
      <x:c r="K3092" s="28"/>
      <x:c r="L3092" s="28"/>
      <x:c r="M3092" s="28"/>
      <x:c r="N3092" s="28"/>
      <x:c r="O3092" s="28"/>
    </x:row>
    <x:row r="3093">
      <x:c r="B3093" s="26"/>
      <x:c r="I3093" s="27"/>
      <x:c r="K3093" s="28"/>
      <x:c r="L3093" s="28"/>
      <x:c r="M3093" s="28"/>
      <x:c r="N3093" s="28"/>
      <x:c r="O3093" s="28"/>
    </x:row>
    <x:row r="3094">
      <x:c r="B3094" s="26"/>
      <x:c r="I3094" s="27"/>
      <x:c r="K3094" s="28"/>
      <x:c r="L3094" s="28"/>
      <x:c r="M3094" s="28"/>
      <x:c r="N3094" s="28"/>
      <x:c r="O3094" s="28"/>
    </x:row>
    <x:row r="3095">
      <x:c r="B3095" s="26"/>
      <x:c r="I3095" s="27"/>
      <x:c r="K3095" s="28"/>
      <x:c r="L3095" s="28"/>
      <x:c r="M3095" s="28"/>
      <x:c r="N3095" s="28"/>
      <x:c r="O3095" s="28"/>
    </x:row>
    <x:row r="3096">
      <x:c r="B3096" s="26"/>
      <x:c r="I3096" s="27"/>
      <x:c r="K3096" s="28"/>
      <x:c r="L3096" s="28"/>
      <x:c r="M3096" s="28"/>
      <x:c r="N3096" s="28"/>
      <x:c r="O3096" s="28"/>
    </x:row>
    <x:row r="3097">
      <x:c r="B3097" s="26"/>
      <x:c r="I3097" s="27"/>
      <x:c r="K3097" s="28"/>
      <x:c r="L3097" s="28"/>
      <x:c r="M3097" s="28"/>
      <x:c r="N3097" s="28"/>
      <x:c r="O3097" s="28"/>
    </x:row>
    <x:row r="3098">
      <x:c r="B3098" s="26"/>
      <x:c r="I3098" s="27"/>
      <x:c r="K3098" s="28"/>
      <x:c r="L3098" s="28"/>
      <x:c r="M3098" s="28"/>
      <x:c r="N3098" s="28"/>
      <x:c r="O3098" s="28"/>
    </x:row>
    <x:row r="3099">
      <x:c r="B3099" s="26"/>
      <x:c r="I3099" s="27"/>
      <x:c r="K3099" s="28"/>
      <x:c r="L3099" s="28"/>
      <x:c r="M3099" s="28"/>
      <x:c r="N3099" s="28"/>
      <x:c r="O3099" s="28"/>
    </x:row>
    <x:row r="3100">
      <x:c r="B3100" s="26"/>
      <x:c r="I3100" s="27"/>
      <x:c r="K3100" s="28"/>
      <x:c r="L3100" s="28"/>
      <x:c r="M3100" s="28"/>
      <x:c r="N3100" s="28"/>
      <x:c r="O3100" s="28"/>
    </x:row>
    <x:row r="3101">
      <x:c r="B3101" s="26"/>
      <x:c r="I3101" s="27"/>
      <x:c r="K3101" s="28"/>
      <x:c r="L3101" s="28"/>
      <x:c r="M3101" s="28"/>
      <x:c r="N3101" s="28"/>
      <x:c r="O3101" s="28"/>
    </x:row>
    <x:row r="3102">
      <x:c r="B3102" s="26"/>
      <x:c r="I3102" s="27"/>
      <x:c r="K3102" s="28"/>
      <x:c r="L3102" s="28"/>
      <x:c r="M3102" s="28"/>
      <x:c r="N3102" s="28"/>
      <x:c r="O3102" s="28"/>
    </x:row>
    <x:row r="3103">
      <x:c r="B3103" s="26"/>
      <x:c r="I3103" s="27"/>
      <x:c r="K3103" s="28"/>
      <x:c r="L3103" s="28"/>
      <x:c r="M3103" s="28"/>
      <x:c r="N3103" s="28"/>
      <x:c r="O3103" s="28"/>
    </x:row>
    <x:row r="3104">
      <x:c r="B3104" s="26"/>
      <x:c r="I3104" s="27"/>
      <x:c r="K3104" s="28"/>
      <x:c r="L3104" s="28"/>
      <x:c r="M3104" s="28"/>
      <x:c r="N3104" s="28"/>
      <x:c r="O3104" s="28"/>
    </x:row>
    <x:row r="3105">
      <x:c r="B3105" s="26"/>
      <x:c r="I3105" s="27"/>
      <x:c r="K3105" s="28"/>
      <x:c r="L3105" s="28"/>
      <x:c r="M3105" s="28"/>
      <x:c r="N3105" s="28"/>
      <x:c r="O3105" s="28"/>
    </x:row>
    <x:row r="3106">
      <x:c r="B3106" s="26"/>
      <x:c r="I3106" s="27"/>
      <x:c r="K3106" s="28"/>
      <x:c r="L3106" s="28"/>
      <x:c r="M3106" s="28"/>
      <x:c r="N3106" s="28"/>
      <x:c r="O3106" s="28"/>
    </x:row>
    <x:row r="3107">
      <x:c r="B3107" s="26"/>
      <x:c r="I3107" s="27"/>
      <x:c r="K3107" s="28"/>
      <x:c r="L3107" s="28"/>
      <x:c r="M3107" s="28"/>
      <x:c r="N3107" s="28"/>
      <x:c r="O3107" s="28"/>
    </x:row>
    <x:row r="3108">
      <x:c r="B3108" s="26"/>
      <x:c r="I3108" s="27"/>
      <x:c r="K3108" s="28"/>
      <x:c r="L3108" s="28"/>
      <x:c r="M3108" s="28"/>
      <x:c r="N3108" s="28"/>
      <x:c r="O3108" s="28"/>
    </x:row>
    <x:row r="3109">
      <x:c r="B3109" s="26"/>
      <x:c r="I3109" s="27"/>
      <x:c r="K3109" s="28"/>
      <x:c r="L3109" s="28"/>
      <x:c r="M3109" s="28"/>
      <x:c r="N3109" s="28"/>
      <x:c r="O3109" s="28"/>
    </x:row>
    <x:row r="3110">
      <x:c r="B3110" s="26"/>
      <x:c r="I3110" s="27"/>
      <x:c r="K3110" s="28"/>
      <x:c r="L3110" s="28"/>
      <x:c r="M3110" s="28"/>
      <x:c r="N3110" s="28"/>
      <x:c r="O3110" s="28"/>
    </x:row>
    <x:row r="3111">
      <x:c r="B3111" s="26"/>
      <x:c r="I3111" s="27"/>
      <x:c r="K3111" s="28"/>
      <x:c r="L3111" s="28"/>
      <x:c r="M3111" s="28"/>
      <x:c r="N3111" s="28"/>
      <x:c r="O3111" s="28"/>
    </x:row>
    <x:row r="3112">
      <x:c r="B3112" s="26"/>
      <x:c r="I3112" s="27"/>
      <x:c r="K3112" s="28"/>
      <x:c r="L3112" s="28"/>
      <x:c r="M3112" s="28"/>
      <x:c r="N3112" s="28"/>
      <x:c r="O3112" s="28"/>
    </x:row>
    <x:row r="3113">
      <x:c r="B3113" s="26"/>
      <x:c r="I3113" s="27"/>
      <x:c r="K3113" s="28"/>
      <x:c r="L3113" s="28"/>
      <x:c r="M3113" s="28"/>
      <x:c r="N3113" s="28"/>
      <x:c r="O3113" s="28"/>
    </x:row>
    <x:row r="3114">
      <x:c r="B3114" s="26"/>
      <x:c r="I3114" s="27"/>
      <x:c r="K3114" s="28"/>
      <x:c r="L3114" s="28"/>
      <x:c r="M3114" s="28"/>
      <x:c r="N3114" s="28"/>
      <x:c r="O3114" s="28"/>
    </x:row>
    <x:row r="3115">
      <x:c r="B3115" s="26"/>
      <x:c r="I3115" s="27"/>
      <x:c r="K3115" s="28"/>
      <x:c r="L3115" s="28"/>
      <x:c r="M3115" s="28"/>
      <x:c r="N3115" s="28"/>
      <x:c r="O3115" s="28"/>
    </x:row>
    <x:row r="3116">
      <x:c r="B3116" s="26"/>
      <x:c r="I3116" s="27"/>
      <x:c r="K3116" s="28"/>
      <x:c r="L3116" s="28"/>
      <x:c r="M3116" s="28"/>
      <x:c r="N3116" s="28"/>
      <x:c r="O3116" s="28"/>
    </x:row>
    <x:row r="3117">
      <x:c r="B3117" s="26"/>
      <x:c r="I3117" s="27"/>
      <x:c r="K3117" s="28"/>
      <x:c r="L3117" s="28"/>
      <x:c r="M3117" s="28"/>
      <x:c r="N3117" s="28"/>
      <x:c r="O3117" s="28"/>
    </x:row>
    <x:row r="3118">
      <x:c r="B3118" s="26"/>
      <x:c r="I3118" s="27"/>
      <x:c r="K3118" s="28"/>
      <x:c r="L3118" s="28"/>
      <x:c r="M3118" s="28"/>
      <x:c r="N3118" s="28"/>
      <x:c r="O3118" s="28"/>
    </x:row>
    <x:row r="3119">
      <x:c r="B3119" s="26"/>
      <x:c r="I3119" s="27"/>
      <x:c r="K3119" s="28"/>
      <x:c r="L3119" s="28"/>
      <x:c r="M3119" s="28"/>
      <x:c r="N3119" s="28"/>
      <x:c r="O3119" s="28"/>
    </x:row>
    <x:row r="3120">
      <x:c r="B3120" s="26"/>
      <x:c r="I3120" s="27"/>
      <x:c r="K3120" s="28"/>
      <x:c r="L3120" s="28"/>
      <x:c r="M3120" s="28"/>
      <x:c r="N3120" s="28"/>
      <x:c r="O3120" s="28"/>
    </x:row>
    <x:row r="3121">
      <x:c r="B3121" s="26"/>
      <x:c r="I3121" s="27"/>
      <x:c r="K3121" s="28"/>
      <x:c r="L3121" s="28"/>
      <x:c r="M3121" s="28"/>
      <x:c r="N3121" s="28"/>
      <x:c r="O3121" s="28"/>
    </x:row>
    <x:row r="3122">
      <x:c r="B3122" s="26"/>
      <x:c r="I3122" s="27"/>
      <x:c r="K3122" s="28"/>
      <x:c r="L3122" s="28"/>
      <x:c r="M3122" s="28"/>
      <x:c r="N3122" s="28"/>
      <x:c r="O3122" s="28"/>
    </x:row>
    <x:row r="3123">
      <x:c r="B3123" s="26"/>
      <x:c r="I3123" s="27"/>
      <x:c r="K3123" s="28"/>
      <x:c r="L3123" s="28"/>
      <x:c r="M3123" s="28"/>
      <x:c r="N3123" s="28"/>
      <x:c r="O3123" s="28"/>
    </x:row>
    <x:row r="3124">
      <x:c r="B3124" s="26"/>
      <x:c r="I3124" s="27"/>
      <x:c r="K3124" s="28"/>
      <x:c r="L3124" s="28"/>
      <x:c r="M3124" s="28"/>
      <x:c r="N3124" s="28"/>
      <x:c r="O3124" s="28"/>
    </x:row>
    <x:row r="3125">
      <x:c r="B3125" s="26"/>
      <x:c r="I3125" s="27"/>
      <x:c r="K3125" s="28"/>
      <x:c r="L3125" s="28"/>
      <x:c r="M3125" s="28"/>
      <x:c r="N3125" s="28"/>
      <x:c r="O3125" s="28"/>
    </x:row>
    <x:row r="3126">
      <x:c r="B3126" s="26"/>
      <x:c r="I3126" s="27"/>
      <x:c r="K3126" s="28"/>
      <x:c r="L3126" s="28"/>
      <x:c r="M3126" s="28"/>
      <x:c r="N3126" s="28"/>
      <x:c r="O3126" s="28"/>
    </x:row>
    <x:row r="3127">
      <x:c r="B3127" s="26"/>
      <x:c r="I3127" s="27"/>
      <x:c r="K3127" s="28"/>
      <x:c r="L3127" s="28"/>
      <x:c r="M3127" s="28"/>
      <x:c r="N3127" s="28"/>
      <x:c r="O3127" s="28"/>
    </x:row>
    <x:row r="3128">
      <x:c r="B3128" s="26"/>
      <x:c r="I3128" s="27"/>
      <x:c r="K3128" s="28"/>
      <x:c r="L3128" s="28"/>
      <x:c r="M3128" s="28"/>
      <x:c r="N3128" s="28"/>
      <x:c r="O3128" s="28"/>
    </x:row>
    <x:row r="3129">
      <x:c r="B3129" s="26"/>
      <x:c r="I3129" s="27"/>
      <x:c r="K3129" s="28"/>
      <x:c r="L3129" s="28"/>
      <x:c r="M3129" s="28"/>
      <x:c r="N3129" s="28"/>
      <x:c r="O3129" s="28"/>
    </x:row>
    <x:row r="3130">
      <x:c r="B3130" s="26"/>
      <x:c r="I3130" s="27"/>
      <x:c r="K3130" s="28"/>
      <x:c r="L3130" s="28"/>
      <x:c r="M3130" s="28"/>
      <x:c r="N3130" s="28"/>
      <x:c r="O3130" s="28"/>
    </x:row>
    <x:row r="3131">
      <x:c r="B3131" s="26"/>
      <x:c r="I3131" s="27"/>
      <x:c r="K3131" s="28"/>
      <x:c r="L3131" s="28"/>
      <x:c r="M3131" s="28"/>
      <x:c r="N3131" s="28"/>
      <x:c r="O3131" s="28"/>
    </x:row>
    <x:row r="3132">
      <x:c r="B3132" s="26"/>
      <x:c r="I3132" s="27"/>
      <x:c r="K3132" s="28"/>
      <x:c r="L3132" s="28"/>
      <x:c r="M3132" s="28"/>
      <x:c r="N3132" s="28"/>
      <x:c r="O3132" s="28"/>
    </x:row>
    <x:row r="3133">
      <x:c r="B3133" s="26"/>
      <x:c r="I3133" s="27"/>
      <x:c r="K3133" s="28"/>
      <x:c r="L3133" s="28"/>
      <x:c r="M3133" s="28"/>
      <x:c r="N3133" s="28"/>
      <x:c r="O3133" s="28"/>
    </x:row>
    <x:row r="3134">
      <x:c r="B3134" s="26"/>
      <x:c r="I3134" s="27"/>
      <x:c r="K3134" s="28"/>
      <x:c r="L3134" s="28"/>
      <x:c r="M3134" s="28"/>
      <x:c r="N3134" s="28"/>
      <x:c r="O3134" s="28"/>
    </x:row>
    <x:row r="3135">
      <x:c r="B3135" s="26"/>
      <x:c r="I3135" s="27"/>
      <x:c r="K3135" s="28"/>
      <x:c r="L3135" s="28"/>
      <x:c r="M3135" s="28"/>
      <x:c r="N3135" s="28"/>
      <x:c r="O3135" s="28"/>
    </x:row>
    <x:row r="3136">
      <x:c r="B3136" s="26"/>
      <x:c r="I3136" s="27"/>
      <x:c r="K3136" s="28"/>
      <x:c r="L3136" s="28"/>
      <x:c r="M3136" s="28"/>
      <x:c r="N3136" s="28"/>
      <x:c r="O3136" s="28"/>
    </x:row>
    <x:row r="3137">
      <x:c r="B3137" s="26"/>
      <x:c r="I3137" s="27"/>
      <x:c r="K3137" s="28"/>
      <x:c r="L3137" s="28"/>
      <x:c r="M3137" s="28"/>
      <x:c r="N3137" s="28"/>
      <x:c r="O3137" s="28"/>
    </x:row>
    <x:row r="3138">
      <x:c r="B3138" s="26"/>
      <x:c r="I3138" s="27"/>
      <x:c r="K3138" s="28"/>
      <x:c r="L3138" s="28"/>
      <x:c r="M3138" s="28"/>
      <x:c r="N3138" s="28"/>
      <x:c r="O3138" s="28"/>
    </x:row>
    <x:row r="3139">
      <x:c r="B3139" s="26"/>
      <x:c r="I3139" s="27"/>
      <x:c r="K3139" s="28"/>
      <x:c r="L3139" s="28"/>
      <x:c r="M3139" s="28"/>
      <x:c r="N3139" s="28"/>
      <x:c r="O3139" s="28"/>
    </x:row>
    <x:row r="3140">
      <x:c r="B3140" s="26"/>
      <x:c r="I3140" s="27"/>
      <x:c r="K3140" s="28"/>
      <x:c r="L3140" s="28"/>
      <x:c r="M3140" s="28"/>
      <x:c r="N3140" s="28"/>
      <x:c r="O3140" s="28"/>
    </x:row>
    <x:row r="3141">
      <x:c r="B3141" s="26"/>
      <x:c r="I3141" s="27"/>
      <x:c r="K3141" s="28"/>
      <x:c r="L3141" s="28"/>
      <x:c r="M3141" s="28"/>
      <x:c r="N3141" s="28"/>
      <x:c r="O3141" s="28"/>
    </x:row>
    <x:row r="3142">
      <x:c r="B3142" s="26"/>
      <x:c r="I3142" s="27"/>
      <x:c r="K3142" s="28"/>
      <x:c r="L3142" s="28"/>
      <x:c r="M3142" s="28"/>
      <x:c r="N3142" s="28"/>
      <x:c r="O3142" s="28"/>
    </x:row>
    <x:row r="3143">
      <x:c r="B3143" s="26"/>
      <x:c r="I3143" s="27"/>
      <x:c r="K3143" s="28"/>
      <x:c r="L3143" s="28"/>
      <x:c r="M3143" s="28"/>
      <x:c r="N3143" s="28"/>
      <x:c r="O3143" s="28"/>
    </x:row>
    <x:row r="3144">
      <x:c r="B3144" s="26"/>
      <x:c r="I3144" s="27"/>
      <x:c r="K3144" s="28"/>
      <x:c r="L3144" s="28"/>
      <x:c r="M3144" s="28"/>
      <x:c r="N3144" s="28"/>
      <x:c r="O3144" s="28"/>
    </x:row>
    <x:row r="3145">
      <x:c r="B3145" s="26"/>
      <x:c r="I3145" s="27"/>
      <x:c r="K3145" s="28"/>
      <x:c r="L3145" s="28"/>
      <x:c r="M3145" s="28"/>
      <x:c r="N3145" s="28"/>
      <x:c r="O3145" s="28"/>
    </x:row>
    <x:row r="3146">
      <x:c r="B3146" s="26"/>
      <x:c r="I3146" s="27"/>
      <x:c r="K3146" s="28"/>
      <x:c r="L3146" s="28"/>
      <x:c r="M3146" s="28"/>
      <x:c r="N3146" s="28"/>
      <x:c r="O3146" s="28"/>
    </x:row>
    <x:row r="3147">
      <x:c r="B3147" s="26"/>
      <x:c r="I3147" s="27"/>
      <x:c r="K3147" s="28"/>
      <x:c r="L3147" s="28"/>
      <x:c r="M3147" s="28"/>
      <x:c r="N3147" s="28"/>
      <x:c r="O3147" s="28"/>
    </x:row>
    <x:row r="3148">
      <x:c r="B3148" s="26"/>
      <x:c r="I3148" s="27"/>
      <x:c r="K3148" s="28"/>
      <x:c r="L3148" s="28"/>
      <x:c r="M3148" s="28"/>
      <x:c r="N3148" s="28"/>
      <x:c r="O3148" s="28"/>
    </x:row>
    <x:row r="3149">
      <x:c r="B3149" s="26"/>
      <x:c r="I3149" s="27"/>
      <x:c r="K3149" s="28"/>
      <x:c r="L3149" s="28"/>
      <x:c r="M3149" s="28"/>
      <x:c r="N3149" s="28"/>
      <x:c r="O3149" s="28"/>
    </x:row>
    <x:row r="3150">
      <x:c r="B3150" s="26"/>
      <x:c r="I3150" s="27"/>
      <x:c r="K3150" s="28"/>
      <x:c r="L3150" s="28"/>
      <x:c r="M3150" s="28"/>
      <x:c r="N3150" s="28"/>
      <x:c r="O3150" s="28"/>
    </x:row>
    <x:row r="3151">
      <x:c r="B3151" s="26"/>
      <x:c r="I3151" s="27"/>
      <x:c r="K3151" s="28"/>
      <x:c r="L3151" s="28"/>
      <x:c r="M3151" s="28"/>
      <x:c r="N3151" s="28"/>
      <x:c r="O3151" s="28"/>
    </x:row>
    <x:row r="3152">
      <x:c r="B3152" s="26"/>
      <x:c r="I3152" s="27"/>
      <x:c r="K3152" s="28"/>
      <x:c r="L3152" s="28"/>
      <x:c r="M3152" s="28"/>
      <x:c r="N3152" s="28"/>
      <x:c r="O3152" s="28"/>
    </x:row>
    <x:row r="3153">
      <x:c r="B3153" s="26"/>
      <x:c r="I3153" s="27"/>
      <x:c r="K3153" s="28"/>
      <x:c r="L3153" s="28"/>
      <x:c r="M3153" s="28"/>
      <x:c r="N3153" s="28"/>
      <x:c r="O3153" s="28"/>
    </x:row>
    <x:row r="3154">
      <x:c r="B3154" s="26"/>
      <x:c r="I3154" s="27"/>
      <x:c r="K3154" s="28"/>
      <x:c r="L3154" s="28"/>
      <x:c r="M3154" s="28"/>
      <x:c r="N3154" s="28"/>
      <x:c r="O3154" s="28"/>
    </x:row>
    <x:row r="3155">
      <x:c r="B3155" s="26"/>
      <x:c r="I3155" s="27"/>
      <x:c r="K3155" s="28"/>
      <x:c r="L3155" s="28"/>
      <x:c r="M3155" s="28"/>
      <x:c r="N3155" s="28"/>
      <x:c r="O3155" s="28"/>
    </x:row>
    <x:row r="3156">
      <x:c r="B3156" s="26"/>
      <x:c r="I3156" s="27"/>
      <x:c r="K3156" s="28"/>
      <x:c r="L3156" s="28"/>
      <x:c r="M3156" s="28"/>
      <x:c r="N3156" s="28"/>
      <x:c r="O3156" s="28"/>
    </x:row>
    <x:row r="3157">
      <x:c r="B3157" s="26"/>
      <x:c r="I3157" s="27"/>
      <x:c r="K3157" s="28"/>
      <x:c r="L3157" s="28"/>
      <x:c r="M3157" s="28"/>
      <x:c r="N3157" s="28"/>
      <x:c r="O3157" s="28"/>
    </x:row>
    <x:row r="3158">
      <x:c r="B3158" s="26"/>
      <x:c r="I3158" s="27"/>
      <x:c r="K3158" s="28"/>
      <x:c r="L3158" s="28"/>
      <x:c r="M3158" s="28"/>
      <x:c r="N3158" s="28"/>
      <x:c r="O3158" s="28"/>
    </x:row>
    <x:row r="3159">
      <x:c r="B3159" s="26"/>
      <x:c r="I3159" s="27"/>
      <x:c r="K3159" s="28"/>
      <x:c r="L3159" s="28"/>
      <x:c r="M3159" s="28"/>
      <x:c r="N3159" s="28"/>
      <x:c r="O3159" s="28"/>
    </x:row>
    <x:row r="3160">
      <x:c r="B3160" s="26"/>
      <x:c r="I3160" s="27"/>
      <x:c r="K3160" s="28"/>
      <x:c r="L3160" s="28"/>
      <x:c r="M3160" s="28"/>
      <x:c r="N3160" s="28"/>
      <x:c r="O3160" s="28"/>
    </x:row>
    <x:row r="3161">
      <x:c r="B3161" s="26"/>
      <x:c r="I3161" s="27"/>
      <x:c r="K3161" s="28"/>
      <x:c r="L3161" s="28"/>
      <x:c r="M3161" s="28"/>
      <x:c r="N3161" s="28"/>
      <x:c r="O3161" s="28"/>
    </x:row>
    <x:row r="3162">
      <x:c r="B3162" s="26"/>
      <x:c r="I3162" s="27"/>
      <x:c r="K3162" s="28"/>
      <x:c r="L3162" s="28"/>
      <x:c r="M3162" s="28"/>
      <x:c r="N3162" s="28"/>
      <x:c r="O3162" s="28"/>
    </x:row>
    <x:row r="3163">
      <x:c r="B3163" s="26"/>
      <x:c r="I3163" s="27"/>
      <x:c r="K3163" s="28"/>
      <x:c r="L3163" s="28"/>
      <x:c r="M3163" s="28"/>
      <x:c r="N3163" s="28"/>
      <x:c r="O3163" s="28"/>
    </x:row>
    <x:row r="3164">
      <x:c r="B3164" s="26"/>
      <x:c r="I3164" s="27"/>
      <x:c r="K3164" s="28"/>
      <x:c r="L3164" s="28"/>
      <x:c r="M3164" s="28"/>
      <x:c r="N3164" s="28"/>
      <x:c r="O3164" s="28"/>
    </x:row>
    <x:row r="3165">
      <x:c r="B3165" s="26"/>
      <x:c r="I3165" s="27"/>
      <x:c r="K3165" s="28"/>
      <x:c r="L3165" s="28"/>
      <x:c r="M3165" s="28"/>
      <x:c r="N3165" s="28"/>
      <x:c r="O3165" s="28"/>
    </x:row>
    <x:row r="3166">
      <x:c r="B3166" s="26"/>
      <x:c r="I3166" s="27"/>
      <x:c r="K3166" s="28"/>
      <x:c r="L3166" s="28"/>
      <x:c r="M3166" s="28"/>
      <x:c r="N3166" s="28"/>
      <x:c r="O3166" s="28"/>
    </x:row>
    <x:row r="3167">
      <x:c r="B3167" s="26"/>
      <x:c r="I3167" s="27"/>
      <x:c r="K3167" s="28"/>
      <x:c r="L3167" s="28"/>
      <x:c r="M3167" s="28"/>
      <x:c r="N3167" s="28"/>
      <x:c r="O3167" s="28"/>
    </x:row>
    <x:row r="3168">
      <x:c r="B3168" s="26"/>
      <x:c r="I3168" s="27"/>
      <x:c r="K3168" s="28"/>
      <x:c r="L3168" s="28"/>
      <x:c r="M3168" s="28"/>
      <x:c r="N3168" s="28"/>
      <x:c r="O3168" s="28"/>
    </x:row>
    <x:row r="3169">
      <x:c r="B3169" s="26"/>
      <x:c r="I3169" s="27"/>
      <x:c r="K3169" s="28"/>
      <x:c r="L3169" s="28"/>
      <x:c r="M3169" s="28"/>
      <x:c r="N3169" s="28"/>
      <x:c r="O3169" s="28"/>
    </x:row>
    <x:row r="3170">
      <x:c r="B3170" s="26"/>
      <x:c r="I3170" s="27"/>
      <x:c r="K3170" s="28"/>
      <x:c r="L3170" s="28"/>
      <x:c r="M3170" s="28"/>
      <x:c r="N3170" s="28"/>
      <x:c r="O3170" s="28"/>
    </x:row>
    <x:row r="3171">
      <x:c r="B3171" s="26"/>
      <x:c r="I3171" s="27"/>
      <x:c r="K3171" s="28"/>
      <x:c r="L3171" s="28"/>
      <x:c r="M3171" s="28"/>
      <x:c r="N3171" s="28"/>
      <x:c r="O3171" s="28"/>
    </x:row>
    <x:row r="3172">
      <x:c r="B3172" s="26"/>
      <x:c r="I3172" s="27"/>
      <x:c r="K3172" s="28"/>
      <x:c r="L3172" s="28"/>
      <x:c r="M3172" s="28"/>
      <x:c r="N3172" s="28"/>
      <x:c r="O3172" s="28"/>
    </x:row>
    <x:row r="3173">
      <x:c r="B3173" s="26"/>
      <x:c r="I3173" s="27"/>
      <x:c r="K3173" s="28"/>
      <x:c r="L3173" s="28"/>
      <x:c r="M3173" s="28"/>
      <x:c r="N3173" s="28"/>
      <x:c r="O3173" s="28"/>
    </x:row>
    <x:row r="3174">
      <x:c r="B3174" s="26"/>
      <x:c r="I3174" s="27"/>
      <x:c r="K3174" s="28"/>
      <x:c r="L3174" s="28"/>
      <x:c r="M3174" s="28"/>
      <x:c r="N3174" s="28"/>
      <x:c r="O3174" s="28"/>
    </x:row>
    <x:row r="3175">
      <x:c r="B3175" s="26"/>
      <x:c r="I3175" s="27"/>
      <x:c r="K3175" s="28"/>
      <x:c r="L3175" s="28"/>
      <x:c r="M3175" s="28"/>
      <x:c r="N3175" s="28"/>
      <x:c r="O3175" s="28"/>
    </x:row>
    <x:row r="3176">
      <x:c r="B3176" s="26"/>
      <x:c r="I3176" s="27"/>
      <x:c r="K3176" s="28"/>
      <x:c r="L3176" s="28"/>
      <x:c r="M3176" s="28"/>
      <x:c r="N3176" s="28"/>
      <x:c r="O3176" s="28"/>
    </x:row>
    <x:row r="3177">
      <x:c r="B3177" s="26"/>
      <x:c r="I3177" s="27"/>
      <x:c r="K3177" s="28"/>
      <x:c r="L3177" s="28"/>
      <x:c r="M3177" s="28"/>
      <x:c r="N3177" s="28"/>
      <x:c r="O3177" s="28"/>
    </x:row>
    <x:row r="3178">
      <x:c r="B3178" s="26"/>
      <x:c r="I3178" s="27"/>
      <x:c r="K3178" s="28"/>
      <x:c r="L3178" s="28"/>
      <x:c r="M3178" s="28"/>
      <x:c r="N3178" s="28"/>
      <x:c r="O3178" s="28"/>
    </x:row>
    <x:row r="3179">
      <x:c r="B3179" s="26"/>
      <x:c r="I3179" s="27"/>
      <x:c r="K3179" s="28"/>
      <x:c r="L3179" s="28"/>
      <x:c r="M3179" s="28"/>
      <x:c r="N3179" s="28"/>
      <x:c r="O3179" s="28"/>
    </x:row>
    <x:row r="3180">
      <x:c r="B3180" s="26"/>
      <x:c r="I3180" s="27"/>
      <x:c r="K3180" s="28"/>
      <x:c r="L3180" s="28"/>
      <x:c r="M3180" s="28"/>
      <x:c r="N3180" s="28"/>
      <x:c r="O3180" s="28"/>
    </x:row>
    <x:row r="3181">
      <x:c r="B3181" s="26"/>
      <x:c r="I3181" s="27"/>
      <x:c r="K3181" s="28"/>
      <x:c r="L3181" s="28"/>
      <x:c r="M3181" s="28"/>
      <x:c r="N3181" s="28"/>
      <x:c r="O3181" s="28"/>
    </x:row>
    <x:row r="3182">
      <x:c r="B3182" s="26"/>
      <x:c r="I3182" s="27"/>
      <x:c r="K3182" s="28"/>
      <x:c r="L3182" s="28"/>
      <x:c r="M3182" s="28"/>
      <x:c r="N3182" s="28"/>
      <x:c r="O3182" s="28"/>
    </x:row>
    <x:row r="3183">
      <x:c r="B3183" s="26"/>
      <x:c r="I3183" s="27"/>
      <x:c r="K3183" s="28"/>
      <x:c r="L3183" s="28"/>
      <x:c r="M3183" s="28"/>
      <x:c r="N3183" s="28"/>
      <x:c r="O3183" s="28"/>
    </x:row>
    <x:row r="3184">
      <x:c r="B3184" s="26"/>
      <x:c r="I3184" s="27"/>
      <x:c r="K3184" s="28"/>
      <x:c r="L3184" s="28"/>
      <x:c r="M3184" s="28"/>
      <x:c r="N3184" s="28"/>
      <x:c r="O3184" s="28"/>
    </x:row>
    <x:row r="3185">
      <x:c r="B3185" s="26"/>
      <x:c r="I3185" s="27"/>
      <x:c r="K3185" s="28"/>
      <x:c r="L3185" s="28"/>
      <x:c r="M3185" s="28"/>
      <x:c r="N3185" s="28"/>
      <x:c r="O3185" s="28"/>
    </x:row>
    <x:row r="3186">
      <x:c r="B3186" s="26"/>
      <x:c r="I3186" s="27"/>
      <x:c r="K3186" s="28"/>
      <x:c r="L3186" s="28"/>
      <x:c r="M3186" s="28"/>
      <x:c r="N3186" s="28"/>
      <x:c r="O3186" s="28"/>
    </x:row>
    <x:row r="3187">
      <x:c r="B3187" s="26"/>
      <x:c r="I3187" s="27"/>
      <x:c r="K3187" s="28"/>
      <x:c r="L3187" s="28"/>
      <x:c r="M3187" s="28"/>
      <x:c r="N3187" s="28"/>
      <x:c r="O3187" s="28"/>
    </x:row>
    <x:row r="3188">
      <x:c r="B3188" s="26"/>
      <x:c r="I3188" s="27"/>
      <x:c r="K3188" s="28"/>
      <x:c r="L3188" s="28"/>
      <x:c r="M3188" s="28"/>
      <x:c r="N3188" s="28"/>
      <x:c r="O3188" s="28"/>
    </x:row>
    <x:row r="3189">
      <x:c r="B3189" s="26"/>
      <x:c r="I3189" s="27"/>
      <x:c r="K3189" s="28"/>
      <x:c r="L3189" s="28"/>
      <x:c r="M3189" s="28"/>
      <x:c r="N3189" s="28"/>
      <x:c r="O3189" s="28"/>
    </x:row>
    <x:row r="3190">
      <x:c r="B3190" s="26"/>
      <x:c r="I3190" s="27"/>
      <x:c r="K3190" s="28"/>
      <x:c r="L3190" s="28"/>
      <x:c r="M3190" s="28"/>
      <x:c r="N3190" s="28"/>
      <x:c r="O3190" s="28"/>
    </x:row>
    <x:row r="3191">
      <x:c r="B3191" s="26"/>
      <x:c r="I3191" s="27"/>
      <x:c r="K3191" s="28"/>
      <x:c r="L3191" s="28"/>
      <x:c r="M3191" s="28"/>
      <x:c r="N3191" s="28"/>
      <x:c r="O3191" s="28"/>
    </x:row>
    <x:row r="3192">
      <x:c r="B3192" s="26"/>
      <x:c r="I3192" s="27"/>
      <x:c r="K3192" s="28"/>
      <x:c r="L3192" s="28"/>
      <x:c r="M3192" s="28"/>
      <x:c r="N3192" s="28"/>
      <x:c r="O3192" s="28"/>
    </x:row>
    <x:row r="3193">
      <x:c r="B3193" s="26"/>
      <x:c r="I3193" s="27"/>
      <x:c r="K3193" s="28"/>
      <x:c r="L3193" s="28"/>
      <x:c r="M3193" s="28"/>
      <x:c r="N3193" s="28"/>
      <x:c r="O3193" s="28"/>
    </x:row>
    <x:row r="3194">
      <x:c r="B3194" s="26"/>
      <x:c r="I3194" s="27"/>
      <x:c r="K3194" s="28"/>
      <x:c r="L3194" s="28"/>
      <x:c r="M3194" s="28"/>
      <x:c r="N3194" s="28"/>
      <x:c r="O3194" s="28"/>
    </x:row>
    <x:row r="3195">
      <x:c r="B3195" s="26"/>
      <x:c r="I3195" s="27"/>
      <x:c r="K3195" s="28"/>
      <x:c r="L3195" s="28"/>
      <x:c r="M3195" s="28"/>
      <x:c r="N3195" s="28"/>
      <x:c r="O3195" s="28"/>
    </x:row>
    <x:row r="3196">
      <x:c r="B3196" s="26"/>
      <x:c r="I3196" s="27"/>
      <x:c r="K3196" s="28"/>
      <x:c r="L3196" s="28"/>
      <x:c r="M3196" s="28"/>
      <x:c r="N3196" s="28"/>
      <x:c r="O3196" s="28"/>
    </x:row>
    <x:row r="3197">
      <x:c r="B3197" s="26"/>
      <x:c r="I3197" s="27"/>
      <x:c r="K3197" s="28"/>
      <x:c r="L3197" s="28"/>
      <x:c r="M3197" s="28"/>
      <x:c r="N3197" s="28"/>
      <x:c r="O3197" s="28"/>
    </x:row>
    <x:row r="3198">
      <x:c r="B3198" s="26"/>
      <x:c r="I3198" s="27"/>
      <x:c r="K3198" s="28"/>
      <x:c r="L3198" s="28"/>
      <x:c r="M3198" s="28"/>
      <x:c r="N3198" s="28"/>
      <x:c r="O3198" s="28"/>
    </x:row>
    <x:row r="3199">
      <x:c r="B3199" s="26"/>
      <x:c r="I3199" s="27"/>
      <x:c r="K3199" s="28"/>
      <x:c r="L3199" s="28"/>
      <x:c r="M3199" s="28"/>
      <x:c r="N3199" s="28"/>
      <x:c r="O3199" s="28"/>
    </x:row>
    <x:row r="3200">
      <x:c r="B3200" s="26"/>
      <x:c r="I3200" s="27"/>
      <x:c r="K3200" s="28"/>
      <x:c r="L3200" s="28"/>
      <x:c r="M3200" s="28"/>
      <x:c r="N3200" s="28"/>
      <x:c r="O3200" s="28"/>
    </x:row>
    <x:row r="3201">
      <x:c r="B3201" s="26"/>
      <x:c r="I3201" s="27"/>
      <x:c r="K3201" s="28"/>
      <x:c r="L3201" s="28"/>
      <x:c r="M3201" s="28"/>
      <x:c r="N3201" s="28"/>
      <x:c r="O3201" s="28"/>
    </x:row>
    <x:row r="3202">
      <x:c r="B3202" s="26"/>
      <x:c r="I3202" s="27"/>
      <x:c r="K3202" s="28"/>
      <x:c r="L3202" s="28"/>
      <x:c r="M3202" s="28"/>
      <x:c r="N3202" s="28"/>
      <x:c r="O3202" s="28"/>
    </x:row>
    <x:row r="3203">
      <x:c r="B3203" s="26"/>
      <x:c r="I3203" s="27"/>
      <x:c r="K3203" s="28"/>
      <x:c r="L3203" s="28"/>
      <x:c r="M3203" s="28"/>
      <x:c r="N3203" s="28"/>
      <x:c r="O3203" s="28"/>
    </x:row>
    <x:row r="3204">
      <x:c r="B3204" s="26"/>
      <x:c r="I3204" s="27"/>
      <x:c r="K3204" s="28"/>
      <x:c r="L3204" s="28"/>
      <x:c r="M3204" s="28"/>
      <x:c r="N3204" s="28"/>
      <x:c r="O3204" s="28"/>
    </x:row>
    <x:row r="3205">
      <x:c r="B3205" s="26"/>
      <x:c r="I3205" s="27"/>
      <x:c r="K3205" s="28"/>
      <x:c r="L3205" s="28"/>
      <x:c r="M3205" s="28"/>
      <x:c r="N3205" s="28"/>
      <x:c r="O3205" s="28"/>
    </x:row>
    <x:row r="3206">
      <x:c r="B3206" s="26"/>
      <x:c r="I3206" s="27"/>
      <x:c r="K3206" s="28"/>
      <x:c r="L3206" s="28"/>
      <x:c r="M3206" s="28"/>
      <x:c r="N3206" s="28"/>
      <x:c r="O3206" s="28"/>
    </x:row>
    <x:row r="3207">
      <x:c r="B3207" s="26"/>
      <x:c r="I3207" s="27"/>
      <x:c r="K3207" s="28"/>
      <x:c r="L3207" s="28"/>
      <x:c r="M3207" s="28"/>
      <x:c r="N3207" s="28"/>
      <x:c r="O3207" s="28"/>
    </x:row>
    <x:row r="3208">
      <x:c r="B3208" s="26"/>
      <x:c r="I3208" s="27"/>
      <x:c r="K3208" s="28"/>
      <x:c r="L3208" s="28"/>
      <x:c r="M3208" s="28"/>
      <x:c r="N3208" s="28"/>
      <x:c r="O3208" s="28"/>
    </x:row>
    <x:row r="3209">
      <x:c r="B3209" s="26"/>
      <x:c r="I3209" s="27"/>
      <x:c r="K3209" s="28"/>
      <x:c r="L3209" s="28"/>
      <x:c r="M3209" s="28"/>
      <x:c r="N3209" s="28"/>
      <x:c r="O3209" s="28"/>
    </x:row>
    <x:row r="3210">
      <x:c r="B3210" s="26"/>
      <x:c r="I3210" s="27"/>
      <x:c r="K3210" s="28"/>
      <x:c r="L3210" s="28"/>
      <x:c r="M3210" s="28"/>
      <x:c r="N3210" s="28"/>
      <x:c r="O3210" s="28"/>
    </x:row>
    <x:row r="3211">
      <x:c r="B3211" s="26"/>
      <x:c r="I3211" s="27"/>
      <x:c r="K3211" s="28"/>
      <x:c r="L3211" s="28"/>
      <x:c r="M3211" s="28"/>
      <x:c r="N3211" s="28"/>
      <x:c r="O3211" s="28"/>
    </x:row>
    <x:row r="3212">
      <x:c r="B3212" s="26"/>
      <x:c r="I3212" s="27"/>
      <x:c r="K3212" s="28"/>
      <x:c r="L3212" s="28"/>
      <x:c r="M3212" s="28"/>
      <x:c r="N3212" s="28"/>
      <x:c r="O3212" s="28"/>
    </x:row>
    <x:row r="3213">
      <x:c r="B3213" s="26"/>
      <x:c r="I3213" s="27"/>
      <x:c r="K3213" s="28"/>
      <x:c r="L3213" s="28"/>
      <x:c r="M3213" s="28"/>
      <x:c r="N3213" s="28"/>
      <x:c r="O3213" s="28"/>
    </x:row>
    <x:row r="3214">
      <x:c r="B3214" s="26"/>
      <x:c r="I3214" s="27"/>
      <x:c r="K3214" s="28"/>
      <x:c r="L3214" s="28"/>
      <x:c r="M3214" s="28"/>
      <x:c r="N3214" s="28"/>
      <x:c r="O3214" s="28"/>
    </x:row>
    <x:row r="3215">
      <x:c r="B3215" s="26"/>
      <x:c r="I3215" s="27"/>
      <x:c r="K3215" s="28"/>
      <x:c r="L3215" s="28"/>
      <x:c r="M3215" s="28"/>
      <x:c r="N3215" s="28"/>
      <x:c r="O3215" s="28"/>
    </x:row>
    <x:row r="3216">
      <x:c r="B3216" s="26"/>
      <x:c r="I3216" s="27"/>
      <x:c r="K3216" s="28"/>
      <x:c r="L3216" s="28"/>
      <x:c r="M3216" s="28"/>
      <x:c r="N3216" s="28"/>
      <x:c r="O3216" s="28"/>
    </x:row>
    <x:row r="3217">
      <x:c r="B3217" s="26"/>
      <x:c r="I3217" s="27"/>
      <x:c r="K3217" s="28"/>
      <x:c r="L3217" s="28"/>
      <x:c r="M3217" s="28"/>
      <x:c r="N3217" s="28"/>
      <x:c r="O3217" s="28"/>
    </x:row>
    <x:row r="3218">
      <x:c r="B3218" s="26"/>
      <x:c r="I3218" s="27"/>
      <x:c r="K3218" s="28"/>
      <x:c r="L3218" s="28"/>
      <x:c r="M3218" s="28"/>
      <x:c r="N3218" s="28"/>
      <x:c r="O3218" s="28"/>
    </x:row>
    <x:row r="3219">
      <x:c r="B3219" s="26"/>
      <x:c r="I3219" s="27"/>
      <x:c r="K3219" s="28"/>
      <x:c r="L3219" s="28"/>
      <x:c r="M3219" s="28"/>
      <x:c r="N3219" s="28"/>
      <x:c r="O3219" s="28"/>
    </x:row>
    <x:row r="3220">
      <x:c r="B3220" s="26"/>
      <x:c r="I3220" s="27"/>
      <x:c r="K3220" s="28"/>
      <x:c r="L3220" s="28"/>
      <x:c r="M3220" s="28"/>
      <x:c r="N3220" s="28"/>
      <x:c r="O3220" s="28"/>
    </x:row>
    <x:row r="3221">
      <x:c r="B3221" s="26"/>
      <x:c r="I3221" s="27"/>
      <x:c r="K3221" s="28"/>
      <x:c r="L3221" s="28"/>
      <x:c r="M3221" s="28"/>
      <x:c r="N3221" s="28"/>
      <x:c r="O3221" s="28"/>
    </x:row>
    <x:row r="3222">
      <x:c r="B3222" s="26"/>
      <x:c r="I3222" s="27"/>
      <x:c r="K3222" s="28"/>
      <x:c r="L3222" s="28"/>
      <x:c r="M3222" s="28"/>
      <x:c r="N3222" s="28"/>
      <x:c r="O3222" s="28"/>
    </x:row>
    <x:row r="3223">
      <x:c r="B3223" s="26"/>
      <x:c r="I3223" s="27"/>
      <x:c r="K3223" s="28"/>
      <x:c r="L3223" s="28"/>
      <x:c r="M3223" s="28"/>
      <x:c r="N3223" s="28"/>
      <x:c r="O3223" s="28"/>
    </x:row>
    <x:row r="3224">
      <x:c r="B3224" s="26"/>
      <x:c r="I3224" s="27"/>
      <x:c r="K3224" s="28"/>
      <x:c r="L3224" s="28"/>
      <x:c r="M3224" s="28"/>
      <x:c r="N3224" s="28"/>
      <x:c r="O3224" s="28"/>
    </x:row>
    <x:row r="3225">
      <x:c r="B3225" s="26"/>
      <x:c r="I3225" s="27"/>
      <x:c r="K3225" s="28"/>
      <x:c r="L3225" s="28"/>
      <x:c r="M3225" s="28"/>
      <x:c r="N3225" s="28"/>
      <x:c r="O3225" s="28"/>
    </x:row>
    <x:row r="3226">
      <x:c r="B3226" s="26"/>
      <x:c r="I3226" s="27"/>
      <x:c r="K3226" s="28"/>
      <x:c r="L3226" s="28"/>
      <x:c r="M3226" s="28"/>
      <x:c r="N3226" s="28"/>
      <x:c r="O3226" s="28"/>
    </x:row>
    <x:row r="3227">
      <x:c r="B3227" s="26"/>
      <x:c r="I3227" s="27"/>
      <x:c r="K3227" s="28"/>
      <x:c r="L3227" s="28"/>
      <x:c r="M3227" s="28"/>
      <x:c r="N3227" s="28"/>
      <x:c r="O3227" s="28"/>
    </x:row>
    <x:row r="3228">
      <x:c r="B3228" s="26"/>
      <x:c r="I3228" s="27"/>
      <x:c r="K3228" s="28"/>
      <x:c r="L3228" s="28"/>
      <x:c r="M3228" s="28"/>
      <x:c r="N3228" s="28"/>
      <x:c r="O3228" s="28"/>
    </x:row>
    <x:row r="3229">
      <x:c r="B3229" s="26"/>
      <x:c r="I3229" s="27"/>
      <x:c r="K3229" s="28"/>
      <x:c r="L3229" s="28"/>
      <x:c r="M3229" s="28"/>
      <x:c r="N3229" s="28"/>
      <x:c r="O3229" s="28"/>
    </x:row>
    <x:row r="3230">
      <x:c r="B3230" s="26"/>
      <x:c r="I3230" s="27"/>
      <x:c r="K3230" s="28"/>
      <x:c r="L3230" s="28"/>
      <x:c r="M3230" s="28"/>
      <x:c r="N3230" s="28"/>
      <x:c r="O3230" s="28"/>
    </x:row>
    <x:row r="3231">
      <x:c r="B3231" s="26"/>
      <x:c r="I3231" s="27"/>
      <x:c r="K3231" s="28"/>
      <x:c r="L3231" s="28"/>
      <x:c r="M3231" s="28"/>
      <x:c r="N3231" s="28"/>
      <x:c r="O3231" s="28"/>
    </x:row>
    <x:row r="3232">
      <x:c r="B3232" s="26"/>
      <x:c r="I3232" s="27"/>
      <x:c r="K3232" s="28"/>
      <x:c r="L3232" s="28"/>
      <x:c r="M3232" s="28"/>
      <x:c r="N3232" s="28"/>
      <x:c r="O3232" s="28"/>
    </x:row>
    <x:row r="3233">
      <x:c r="B3233" s="26"/>
      <x:c r="I3233" s="27"/>
      <x:c r="K3233" s="28"/>
      <x:c r="L3233" s="28"/>
      <x:c r="M3233" s="28"/>
      <x:c r="N3233" s="28"/>
      <x:c r="O3233" s="28"/>
    </x:row>
    <x:row r="3234">
      <x:c r="B3234" s="26"/>
      <x:c r="I3234" s="27"/>
      <x:c r="K3234" s="28"/>
      <x:c r="L3234" s="28"/>
      <x:c r="M3234" s="28"/>
      <x:c r="N3234" s="28"/>
      <x:c r="O3234" s="28"/>
    </x:row>
    <x:row r="3235">
      <x:c r="B3235" s="26"/>
      <x:c r="I3235" s="27"/>
      <x:c r="K3235" s="28"/>
      <x:c r="L3235" s="28"/>
      <x:c r="M3235" s="28"/>
      <x:c r="N3235" s="28"/>
      <x:c r="O3235" s="28"/>
    </x:row>
    <x:row r="3236">
      <x:c r="B3236" s="26"/>
      <x:c r="I3236" s="27"/>
      <x:c r="K3236" s="28"/>
      <x:c r="L3236" s="28"/>
      <x:c r="M3236" s="28"/>
      <x:c r="N3236" s="28"/>
      <x:c r="O3236" s="28"/>
    </x:row>
    <x:row r="3237">
      <x:c r="B3237" s="26"/>
      <x:c r="I3237" s="27"/>
      <x:c r="K3237" s="28"/>
      <x:c r="L3237" s="28"/>
      <x:c r="M3237" s="28"/>
      <x:c r="N3237" s="28"/>
      <x:c r="O3237" s="28"/>
    </x:row>
    <x:row r="3238">
      <x:c r="B3238" s="26"/>
      <x:c r="I3238" s="27"/>
      <x:c r="K3238" s="28"/>
      <x:c r="L3238" s="28"/>
      <x:c r="M3238" s="28"/>
      <x:c r="N3238" s="28"/>
      <x:c r="O3238" s="28"/>
    </x:row>
    <x:row r="3239">
      <x:c r="B3239" s="26"/>
      <x:c r="I3239" s="27"/>
      <x:c r="K3239" s="28"/>
      <x:c r="L3239" s="28"/>
      <x:c r="M3239" s="28"/>
      <x:c r="N3239" s="28"/>
      <x:c r="O3239" s="28"/>
    </x:row>
    <x:row r="3240">
      <x:c r="B3240" s="26"/>
      <x:c r="I3240" s="27"/>
      <x:c r="K3240" s="28"/>
      <x:c r="L3240" s="28"/>
      <x:c r="M3240" s="28"/>
      <x:c r="N3240" s="28"/>
      <x:c r="O3240" s="28"/>
    </x:row>
    <x:row r="3241">
      <x:c r="B3241" s="26"/>
      <x:c r="I3241" s="27"/>
      <x:c r="K3241" s="28"/>
      <x:c r="L3241" s="28"/>
      <x:c r="M3241" s="28"/>
      <x:c r="N3241" s="28"/>
      <x:c r="O3241" s="28"/>
    </x:row>
    <x:row r="3242">
      <x:c r="B3242" s="26"/>
      <x:c r="I3242" s="27"/>
      <x:c r="K3242" s="28"/>
      <x:c r="L3242" s="28"/>
      <x:c r="M3242" s="28"/>
      <x:c r="N3242" s="28"/>
      <x:c r="O3242" s="28"/>
    </x:row>
    <x:row r="3243">
      <x:c r="B3243" s="26"/>
      <x:c r="I3243" s="27"/>
      <x:c r="K3243" s="28"/>
      <x:c r="L3243" s="28"/>
      <x:c r="M3243" s="28"/>
      <x:c r="N3243" s="28"/>
      <x:c r="O3243" s="28"/>
    </x:row>
    <x:row r="3244">
      <x:c r="B3244" s="26"/>
      <x:c r="I3244" s="27"/>
      <x:c r="K3244" s="28"/>
      <x:c r="L3244" s="28"/>
      <x:c r="M3244" s="28"/>
      <x:c r="N3244" s="28"/>
      <x:c r="O3244" s="28"/>
    </x:row>
    <x:row r="3245">
      <x:c r="B3245" s="26"/>
      <x:c r="I3245" s="27"/>
      <x:c r="K3245" s="28"/>
      <x:c r="L3245" s="28"/>
      <x:c r="M3245" s="28"/>
      <x:c r="N3245" s="28"/>
      <x:c r="O3245" s="28"/>
    </x:row>
    <x:row r="3246">
      <x:c r="B3246" s="26"/>
      <x:c r="I3246" s="27"/>
      <x:c r="K3246" s="28"/>
      <x:c r="L3246" s="28"/>
      <x:c r="M3246" s="28"/>
      <x:c r="N3246" s="28"/>
      <x:c r="O3246" s="28"/>
    </x:row>
    <x:row r="3247">
      <x:c r="B3247" s="26"/>
      <x:c r="I3247" s="27"/>
      <x:c r="K3247" s="28"/>
      <x:c r="L3247" s="28"/>
      <x:c r="M3247" s="28"/>
      <x:c r="N3247" s="28"/>
      <x:c r="O3247" s="28"/>
    </x:row>
    <x:row r="3248">
      <x:c r="B3248" s="26"/>
      <x:c r="I3248" s="27"/>
      <x:c r="K3248" s="28"/>
      <x:c r="L3248" s="28"/>
      <x:c r="M3248" s="28"/>
      <x:c r="N3248" s="28"/>
      <x:c r="O3248" s="28"/>
    </x:row>
    <x:row r="3249">
      <x:c r="B3249" s="26"/>
      <x:c r="I3249" s="27"/>
      <x:c r="K3249" s="28"/>
      <x:c r="L3249" s="28"/>
      <x:c r="M3249" s="28"/>
      <x:c r="N3249" s="28"/>
      <x:c r="O3249" s="28"/>
    </x:row>
    <x:row r="3250">
      <x:c r="B3250" s="26"/>
      <x:c r="I3250" s="27"/>
      <x:c r="K3250" s="28"/>
      <x:c r="L3250" s="28"/>
      <x:c r="M3250" s="28"/>
      <x:c r="N3250" s="28"/>
      <x:c r="O3250" s="28"/>
    </x:row>
    <x:row r="3251">
      <x:c r="B3251" s="26"/>
      <x:c r="I3251" s="27"/>
      <x:c r="K3251" s="28"/>
      <x:c r="L3251" s="28"/>
      <x:c r="M3251" s="28"/>
      <x:c r="N3251" s="28"/>
      <x:c r="O3251" s="28"/>
    </x:row>
    <x:row r="3252">
      <x:c r="B3252" s="26"/>
      <x:c r="I3252" s="27"/>
      <x:c r="K3252" s="28"/>
      <x:c r="L3252" s="28"/>
      <x:c r="M3252" s="28"/>
      <x:c r="N3252" s="28"/>
      <x:c r="O3252" s="28"/>
    </x:row>
    <x:row r="3253">
      <x:c r="B3253" s="26"/>
      <x:c r="I3253" s="27"/>
      <x:c r="K3253" s="28"/>
      <x:c r="L3253" s="28"/>
      <x:c r="M3253" s="28"/>
      <x:c r="N3253" s="28"/>
      <x:c r="O3253" s="28"/>
    </x:row>
    <x:row r="3254">
      <x:c r="B3254" s="26"/>
      <x:c r="I3254" s="27"/>
      <x:c r="K3254" s="28"/>
      <x:c r="L3254" s="28"/>
      <x:c r="M3254" s="28"/>
      <x:c r="N3254" s="28"/>
      <x:c r="O3254" s="28"/>
    </x:row>
    <x:row r="3255">
      <x:c r="B3255" s="26"/>
      <x:c r="I3255" s="27"/>
      <x:c r="K3255" s="28"/>
      <x:c r="L3255" s="28"/>
      <x:c r="M3255" s="28"/>
      <x:c r="N3255" s="28"/>
      <x:c r="O3255" s="28"/>
    </x:row>
    <x:row r="3256">
      <x:c r="B3256" s="26"/>
      <x:c r="I3256" s="27"/>
      <x:c r="K3256" s="28"/>
      <x:c r="L3256" s="28"/>
      <x:c r="M3256" s="28"/>
      <x:c r="N3256" s="28"/>
      <x:c r="O3256" s="28"/>
    </x:row>
    <x:row r="3257">
      <x:c r="B3257" s="26"/>
      <x:c r="I3257" s="27"/>
      <x:c r="K3257" s="28"/>
      <x:c r="L3257" s="28"/>
      <x:c r="M3257" s="28"/>
      <x:c r="N3257" s="28"/>
      <x:c r="O3257" s="28"/>
    </x:row>
    <x:row r="3258">
      <x:c r="B3258" s="26"/>
      <x:c r="I3258" s="27"/>
      <x:c r="K3258" s="28"/>
      <x:c r="L3258" s="28"/>
      <x:c r="M3258" s="28"/>
      <x:c r="N3258" s="28"/>
      <x:c r="O3258" s="28"/>
    </x:row>
    <x:row r="3259">
      <x:c r="B3259" s="26"/>
      <x:c r="I3259" s="27"/>
      <x:c r="K3259" s="28"/>
      <x:c r="L3259" s="28"/>
      <x:c r="M3259" s="28"/>
      <x:c r="N3259" s="28"/>
      <x:c r="O3259" s="28"/>
    </x:row>
    <x:row r="3260">
      <x:c r="B3260" s="26"/>
      <x:c r="I3260" s="27"/>
      <x:c r="K3260" s="28"/>
      <x:c r="L3260" s="28"/>
      <x:c r="M3260" s="28"/>
      <x:c r="N3260" s="28"/>
      <x:c r="O3260" s="28"/>
    </x:row>
    <x:row r="3261">
      <x:c r="B3261" s="26"/>
      <x:c r="I3261" s="27"/>
      <x:c r="K3261" s="28"/>
      <x:c r="L3261" s="28"/>
      <x:c r="M3261" s="28"/>
      <x:c r="N3261" s="28"/>
      <x:c r="O3261" s="28"/>
    </x:row>
    <x:row r="3262">
      <x:c r="B3262" s="26"/>
      <x:c r="I3262" s="27"/>
      <x:c r="K3262" s="28"/>
      <x:c r="L3262" s="28"/>
      <x:c r="M3262" s="28"/>
      <x:c r="N3262" s="28"/>
      <x:c r="O3262" s="28"/>
    </x:row>
    <x:row r="3263">
      <x:c r="B3263" s="26"/>
      <x:c r="I3263" s="27"/>
      <x:c r="K3263" s="28"/>
      <x:c r="L3263" s="28"/>
      <x:c r="M3263" s="28"/>
      <x:c r="N3263" s="28"/>
      <x:c r="O3263" s="28"/>
    </x:row>
    <x:row r="3264">
      <x:c r="B3264" s="26"/>
      <x:c r="I3264" s="27"/>
      <x:c r="K3264" s="28"/>
      <x:c r="L3264" s="28"/>
      <x:c r="M3264" s="28"/>
      <x:c r="N3264" s="28"/>
      <x:c r="O3264" s="28"/>
    </x:row>
    <x:row r="3265">
      <x:c r="B3265" s="26"/>
      <x:c r="I3265" s="27"/>
      <x:c r="K3265" s="28"/>
      <x:c r="L3265" s="28"/>
      <x:c r="M3265" s="28"/>
      <x:c r="N3265" s="28"/>
      <x:c r="O3265" s="28"/>
    </x:row>
    <x:row r="3266">
      <x:c r="B3266" s="26"/>
      <x:c r="I3266" s="27"/>
      <x:c r="K3266" s="28"/>
      <x:c r="L3266" s="28"/>
      <x:c r="M3266" s="28"/>
      <x:c r="N3266" s="28"/>
      <x:c r="O3266" s="28"/>
    </x:row>
    <x:row r="3267">
      <x:c r="B3267" s="26"/>
      <x:c r="I3267" s="27"/>
      <x:c r="K3267" s="28"/>
      <x:c r="L3267" s="28"/>
      <x:c r="M3267" s="28"/>
      <x:c r="N3267" s="28"/>
      <x:c r="O3267" s="28"/>
    </x:row>
    <x:row r="3268">
      <x:c r="B3268" s="26"/>
      <x:c r="I3268" s="27"/>
      <x:c r="K3268" s="28"/>
      <x:c r="L3268" s="28"/>
      <x:c r="M3268" s="28"/>
      <x:c r="N3268" s="28"/>
      <x:c r="O3268" s="28"/>
    </x:row>
    <x:row r="3269">
      <x:c r="B3269" s="26"/>
      <x:c r="I3269" s="27"/>
      <x:c r="K3269" s="28"/>
      <x:c r="L3269" s="28"/>
      <x:c r="M3269" s="28"/>
      <x:c r="N3269" s="28"/>
      <x:c r="O3269" s="28"/>
    </x:row>
    <x:row r="3270">
      <x:c r="B3270" s="26"/>
      <x:c r="I3270" s="27"/>
      <x:c r="K3270" s="28"/>
      <x:c r="L3270" s="28"/>
      <x:c r="M3270" s="28"/>
      <x:c r="N3270" s="28"/>
      <x:c r="O3270" s="28"/>
    </x:row>
    <x:row r="3271">
      <x:c r="B3271" s="26"/>
      <x:c r="I3271" s="27"/>
      <x:c r="K3271" s="28"/>
      <x:c r="L3271" s="28"/>
      <x:c r="M3271" s="28"/>
      <x:c r="N3271" s="28"/>
      <x:c r="O3271" s="28"/>
    </x:row>
    <x:row r="3272">
      <x:c r="B3272" s="26"/>
      <x:c r="I3272" s="27"/>
      <x:c r="K3272" s="28"/>
      <x:c r="L3272" s="28"/>
      <x:c r="M3272" s="28"/>
      <x:c r="N3272" s="28"/>
      <x:c r="O3272" s="28"/>
    </x:row>
    <x:row r="3273">
      <x:c r="B3273" s="26"/>
      <x:c r="I3273" s="27"/>
      <x:c r="K3273" s="28"/>
      <x:c r="L3273" s="28"/>
      <x:c r="M3273" s="28"/>
      <x:c r="N3273" s="28"/>
      <x:c r="O3273" s="28"/>
    </x:row>
    <x:row r="3274">
      <x:c r="B3274" s="26"/>
      <x:c r="I3274" s="27"/>
      <x:c r="K3274" s="28"/>
      <x:c r="L3274" s="28"/>
      <x:c r="M3274" s="28"/>
      <x:c r="N3274" s="28"/>
      <x:c r="O3274" s="28"/>
    </x:row>
    <x:row r="3275">
      <x:c r="B3275" s="26"/>
      <x:c r="I3275" s="27"/>
      <x:c r="K3275" s="28"/>
      <x:c r="L3275" s="28"/>
      <x:c r="M3275" s="28"/>
      <x:c r="N3275" s="28"/>
      <x:c r="O3275" s="28"/>
    </x:row>
    <x:row r="3276">
      <x:c r="B3276" s="26"/>
      <x:c r="I3276" s="27"/>
      <x:c r="K3276" s="28"/>
      <x:c r="L3276" s="28"/>
      <x:c r="M3276" s="28"/>
      <x:c r="N3276" s="28"/>
      <x:c r="O3276" s="28"/>
    </x:row>
    <x:row r="3277">
      <x:c r="B3277" s="26"/>
      <x:c r="I3277" s="27"/>
      <x:c r="K3277" s="28"/>
      <x:c r="L3277" s="28"/>
      <x:c r="M3277" s="28"/>
      <x:c r="N3277" s="28"/>
      <x:c r="O3277" s="28"/>
    </x:row>
    <x:row r="3278">
      <x:c r="B3278" s="26"/>
      <x:c r="I3278" s="27"/>
      <x:c r="K3278" s="28"/>
      <x:c r="L3278" s="28"/>
      <x:c r="M3278" s="28"/>
      <x:c r="N3278" s="28"/>
      <x:c r="O3278" s="28"/>
    </x:row>
    <x:row r="3279">
      <x:c r="B3279" s="26"/>
      <x:c r="I3279" s="27"/>
      <x:c r="K3279" s="28"/>
      <x:c r="L3279" s="28"/>
      <x:c r="M3279" s="28"/>
      <x:c r="N3279" s="28"/>
      <x:c r="O3279" s="28"/>
    </x:row>
    <x:row r="3280">
      <x:c r="B3280" s="26"/>
      <x:c r="I3280" s="27"/>
      <x:c r="K3280" s="28"/>
      <x:c r="L3280" s="28"/>
      <x:c r="M3280" s="28"/>
      <x:c r="N3280" s="28"/>
      <x:c r="O3280" s="28"/>
    </x:row>
    <x:row r="3281">
      <x:c r="B3281" s="26"/>
      <x:c r="I3281" s="27"/>
      <x:c r="K3281" s="28"/>
      <x:c r="L3281" s="28"/>
      <x:c r="M3281" s="28"/>
      <x:c r="N3281" s="28"/>
      <x:c r="O3281" s="28"/>
    </x:row>
    <x:row r="3282">
      <x:c r="B3282" s="26"/>
      <x:c r="I3282" s="27"/>
      <x:c r="K3282" s="28"/>
      <x:c r="L3282" s="28"/>
      <x:c r="M3282" s="28"/>
      <x:c r="N3282" s="28"/>
      <x:c r="O3282" s="28"/>
    </x:row>
    <x:row r="3283">
      <x:c r="B3283" s="26"/>
      <x:c r="I3283" s="27"/>
      <x:c r="K3283" s="28"/>
      <x:c r="L3283" s="28"/>
      <x:c r="M3283" s="28"/>
      <x:c r="N3283" s="28"/>
      <x:c r="O3283" s="28"/>
    </x:row>
    <x:row r="3284">
      <x:c r="B3284" s="26"/>
      <x:c r="I3284" s="27"/>
      <x:c r="K3284" s="28"/>
      <x:c r="L3284" s="28"/>
      <x:c r="M3284" s="28"/>
      <x:c r="N3284" s="28"/>
      <x:c r="O3284" s="28"/>
    </x:row>
    <x:row r="3285">
      <x:c r="B3285" s="26"/>
      <x:c r="I3285" s="27"/>
      <x:c r="K3285" s="28"/>
      <x:c r="L3285" s="28"/>
      <x:c r="M3285" s="28"/>
      <x:c r="N3285" s="28"/>
      <x:c r="O3285" s="28"/>
    </x:row>
    <x:row r="3286">
      <x:c r="B3286" s="26"/>
      <x:c r="I3286" s="27"/>
      <x:c r="K3286" s="28"/>
      <x:c r="L3286" s="28"/>
      <x:c r="M3286" s="28"/>
      <x:c r="N3286" s="28"/>
      <x:c r="O3286" s="28"/>
    </x:row>
    <x:row r="3287">
      <x:c r="B3287" s="26"/>
      <x:c r="I3287" s="27"/>
      <x:c r="K3287" s="28"/>
      <x:c r="L3287" s="28"/>
      <x:c r="M3287" s="28"/>
      <x:c r="N3287" s="28"/>
      <x:c r="O3287" s="28"/>
    </x:row>
    <x:row r="3288">
      <x:c r="B3288" s="26"/>
      <x:c r="I3288" s="27"/>
      <x:c r="K3288" s="28"/>
      <x:c r="L3288" s="28"/>
      <x:c r="M3288" s="28"/>
      <x:c r="N3288" s="28"/>
      <x:c r="O3288" s="28"/>
    </x:row>
    <x:row r="3289">
      <x:c r="B3289" s="26"/>
      <x:c r="I3289" s="27"/>
      <x:c r="K3289" s="28"/>
      <x:c r="L3289" s="28"/>
      <x:c r="M3289" s="28"/>
      <x:c r="N3289" s="28"/>
      <x:c r="O3289" s="28"/>
    </x:row>
    <x:row r="3290">
      <x:c r="B3290" s="26"/>
      <x:c r="I3290" s="27"/>
      <x:c r="K3290" s="28"/>
      <x:c r="L3290" s="28"/>
      <x:c r="M3290" s="28"/>
      <x:c r="N3290" s="28"/>
      <x:c r="O3290" s="28"/>
    </x:row>
    <x:row r="3291">
      <x:c r="B3291" s="26"/>
      <x:c r="I3291" s="27"/>
      <x:c r="K3291" s="28"/>
      <x:c r="L3291" s="28"/>
      <x:c r="M3291" s="28"/>
      <x:c r="N3291" s="28"/>
      <x:c r="O3291" s="28"/>
    </x:row>
    <x:row r="3292">
      <x:c r="B3292" s="26"/>
      <x:c r="I3292" s="27"/>
      <x:c r="K3292" s="28"/>
      <x:c r="L3292" s="28"/>
      <x:c r="M3292" s="28"/>
      <x:c r="N3292" s="28"/>
      <x:c r="O3292" s="28"/>
    </x:row>
    <x:row r="3293">
      <x:c r="B3293" s="26"/>
      <x:c r="I3293" s="27"/>
      <x:c r="K3293" s="28"/>
      <x:c r="L3293" s="28"/>
      <x:c r="M3293" s="28"/>
      <x:c r="N3293" s="28"/>
      <x:c r="O3293" s="28"/>
    </x:row>
    <x:row r="3294">
      <x:c r="B3294" s="26"/>
      <x:c r="I3294" s="27"/>
      <x:c r="K3294" s="28"/>
      <x:c r="L3294" s="28"/>
      <x:c r="M3294" s="28"/>
      <x:c r="N3294" s="28"/>
      <x:c r="O3294" s="28"/>
    </x:row>
    <x:row r="3295">
      <x:c r="B3295" s="26"/>
      <x:c r="I3295" s="27"/>
      <x:c r="K3295" s="28"/>
      <x:c r="L3295" s="28"/>
      <x:c r="M3295" s="28"/>
      <x:c r="N3295" s="28"/>
      <x:c r="O3295" s="28"/>
    </x:row>
    <x:row r="3296">
      <x:c r="B3296" s="26"/>
      <x:c r="I3296" s="27"/>
      <x:c r="K3296" s="28"/>
      <x:c r="L3296" s="28"/>
      <x:c r="M3296" s="28"/>
      <x:c r="N3296" s="28"/>
      <x:c r="O3296" s="28"/>
    </x:row>
    <x:row r="3297">
      <x:c r="B3297" s="26"/>
      <x:c r="I3297" s="27"/>
      <x:c r="K3297" s="28"/>
      <x:c r="L3297" s="28"/>
      <x:c r="M3297" s="28"/>
      <x:c r="N3297" s="28"/>
      <x:c r="O3297" s="28"/>
    </x:row>
    <x:row r="3298">
      <x:c r="B3298" s="26"/>
      <x:c r="I3298" s="27"/>
      <x:c r="K3298" s="28"/>
      <x:c r="L3298" s="28"/>
      <x:c r="M3298" s="28"/>
      <x:c r="N3298" s="28"/>
      <x:c r="O3298" s="28"/>
    </x:row>
    <x:row r="3299">
      <x:c r="B3299" s="26"/>
      <x:c r="I3299" s="27"/>
      <x:c r="K3299" s="28"/>
      <x:c r="L3299" s="28"/>
      <x:c r="M3299" s="28"/>
      <x:c r="N3299" s="28"/>
      <x:c r="O3299" s="28"/>
    </x:row>
    <x:row r="3300">
      <x:c r="B3300" s="26"/>
      <x:c r="I3300" s="27"/>
      <x:c r="K3300" s="28"/>
      <x:c r="L3300" s="28"/>
      <x:c r="M3300" s="28"/>
      <x:c r="N3300" s="28"/>
      <x:c r="O3300" s="28"/>
    </x:row>
    <x:row r="3301">
      <x:c r="B3301" s="26"/>
      <x:c r="I3301" s="27"/>
      <x:c r="K3301" s="28"/>
      <x:c r="L3301" s="28"/>
      <x:c r="M3301" s="28"/>
      <x:c r="N3301" s="28"/>
      <x:c r="O3301" s="28"/>
    </x:row>
    <x:row r="3302">
      <x:c r="B3302" s="26"/>
      <x:c r="I3302" s="27"/>
      <x:c r="K3302" s="28"/>
      <x:c r="L3302" s="28"/>
      <x:c r="M3302" s="28"/>
      <x:c r="N3302" s="28"/>
      <x:c r="O3302" s="28"/>
    </x:row>
    <x:row r="3303">
      <x:c r="B3303" s="26"/>
      <x:c r="I3303" s="27"/>
      <x:c r="K3303" s="28"/>
      <x:c r="L3303" s="28"/>
      <x:c r="M3303" s="28"/>
      <x:c r="N3303" s="28"/>
      <x:c r="O3303" s="28"/>
    </x:row>
    <x:row r="3304">
      <x:c r="B3304" s="26"/>
      <x:c r="I3304" s="27"/>
      <x:c r="K3304" s="28"/>
      <x:c r="L3304" s="28"/>
      <x:c r="M3304" s="28"/>
      <x:c r="N3304" s="28"/>
      <x:c r="O3304" s="28"/>
    </x:row>
    <x:row r="3305">
      <x:c r="B3305" s="26"/>
      <x:c r="I3305" s="27"/>
      <x:c r="K3305" s="28"/>
      <x:c r="L3305" s="28"/>
      <x:c r="M3305" s="28"/>
      <x:c r="N3305" s="28"/>
      <x:c r="O3305" s="28"/>
    </x:row>
    <x:row r="3306">
      <x:c r="B3306" s="26"/>
      <x:c r="I3306" s="27"/>
      <x:c r="K3306" s="28"/>
      <x:c r="L3306" s="28"/>
      <x:c r="M3306" s="28"/>
      <x:c r="N3306" s="28"/>
      <x:c r="O3306" s="28"/>
    </x:row>
    <x:row r="3307">
      <x:c r="B3307" s="26"/>
      <x:c r="I3307" s="27"/>
      <x:c r="K3307" s="28"/>
      <x:c r="L3307" s="28"/>
      <x:c r="M3307" s="28"/>
      <x:c r="N3307" s="28"/>
      <x:c r="O3307" s="28"/>
    </x:row>
    <x:row r="3308">
      <x:c r="B3308" s="26"/>
      <x:c r="I3308" s="27"/>
      <x:c r="K3308" s="28"/>
      <x:c r="L3308" s="28"/>
      <x:c r="M3308" s="28"/>
      <x:c r="N3308" s="28"/>
      <x:c r="O3308" s="28"/>
    </x:row>
    <x:row r="3309">
      <x:c r="B3309" s="26"/>
      <x:c r="I3309" s="27"/>
      <x:c r="K3309" s="28"/>
      <x:c r="L3309" s="28"/>
      <x:c r="M3309" s="28"/>
      <x:c r="N3309" s="28"/>
      <x:c r="O3309" s="28"/>
    </x:row>
    <x:row r="3310">
      <x:c r="B3310" s="26"/>
      <x:c r="I3310" s="27"/>
      <x:c r="K3310" s="28"/>
      <x:c r="L3310" s="28"/>
      <x:c r="M3310" s="28"/>
      <x:c r="N3310" s="28"/>
      <x:c r="O3310" s="28"/>
    </x:row>
    <x:row r="3311">
      <x:c r="B3311" s="26"/>
      <x:c r="I3311" s="27"/>
      <x:c r="K3311" s="28"/>
      <x:c r="L3311" s="28"/>
      <x:c r="M3311" s="28"/>
      <x:c r="N3311" s="28"/>
      <x:c r="O3311" s="28"/>
    </x:row>
    <x:row r="3312">
      <x:c r="B3312" s="26"/>
      <x:c r="I3312" s="27"/>
      <x:c r="K3312" s="28"/>
      <x:c r="L3312" s="28"/>
      <x:c r="M3312" s="28"/>
      <x:c r="N3312" s="28"/>
      <x:c r="O3312" s="28"/>
    </x:row>
    <x:row r="3313">
      <x:c r="B3313" s="26"/>
      <x:c r="I3313" s="27"/>
      <x:c r="K3313" s="28"/>
      <x:c r="L3313" s="28"/>
      <x:c r="M3313" s="28"/>
      <x:c r="N3313" s="28"/>
      <x:c r="O3313" s="28"/>
    </x:row>
    <x:row r="3314">
      <x:c r="B3314" s="26"/>
      <x:c r="I3314" s="27"/>
      <x:c r="K3314" s="28"/>
      <x:c r="L3314" s="28"/>
      <x:c r="M3314" s="28"/>
      <x:c r="N3314" s="28"/>
      <x:c r="O3314" s="28"/>
    </x:row>
    <x:row r="3315">
      <x:c r="B3315" s="26"/>
      <x:c r="I3315" s="27"/>
      <x:c r="K3315" s="28"/>
      <x:c r="L3315" s="28"/>
      <x:c r="M3315" s="28"/>
      <x:c r="N3315" s="28"/>
      <x:c r="O3315" s="28"/>
    </x:row>
    <x:row r="3316">
      <x:c r="B3316" s="26"/>
      <x:c r="I3316" s="27"/>
      <x:c r="K3316" s="28"/>
      <x:c r="L3316" s="28"/>
      <x:c r="M3316" s="28"/>
      <x:c r="N3316" s="28"/>
      <x:c r="O3316" s="28"/>
    </x:row>
    <x:row r="3317">
      <x:c r="B3317" s="26"/>
      <x:c r="I3317" s="27"/>
      <x:c r="K3317" s="28"/>
      <x:c r="L3317" s="28"/>
      <x:c r="M3317" s="28"/>
      <x:c r="N3317" s="28"/>
      <x:c r="O3317" s="28"/>
    </x:row>
    <x:row r="3318">
      <x:c r="B3318" s="26"/>
      <x:c r="I3318" s="27"/>
      <x:c r="K3318" s="28"/>
      <x:c r="L3318" s="28"/>
      <x:c r="M3318" s="28"/>
      <x:c r="N3318" s="28"/>
      <x:c r="O3318" s="28"/>
    </x:row>
    <x:row r="3319">
      <x:c r="B3319" s="26"/>
      <x:c r="I3319" s="27"/>
      <x:c r="K3319" s="28"/>
      <x:c r="L3319" s="28"/>
      <x:c r="M3319" s="28"/>
      <x:c r="N3319" s="28"/>
      <x:c r="O3319" s="28"/>
    </x:row>
    <x:row r="3320">
      <x:c r="B3320" s="26"/>
      <x:c r="I3320" s="27"/>
      <x:c r="K3320" s="28"/>
      <x:c r="L3320" s="28"/>
      <x:c r="M3320" s="28"/>
      <x:c r="N3320" s="28"/>
      <x:c r="O3320" s="28"/>
    </x:row>
    <x:row r="3321">
      <x:c r="B3321" s="26"/>
      <x:c r="I3321" s="27"/>
      <x:c r="K3321" s="28"/>
      <x:c r="L3321" s="28"/>
      <x:c r="M3321" s="28"/>
      <x:c r="N3321" s="28"/>
      <x:c r="O3321" s="28"/>
    </x:row>
    <x:row r="3322">
      <x:c r="B3322" s="26"/>
      <x:c r="I3322" s="27"/>
      <x:c r="K3322" s="28"/>
      <x:c r="L3322" s="28"/>
      <x:c r="M3322" s="28"/>
      <x:c r="N3322" s="28"/>
      <x:c r="O3322" s="28"/>
    </x:row>
    <x:row r="3323">
      <x:c r="B3323" s="26"/>
      <x:c r="I3323" s="27"/>
      <x:c r="K3323" s="28"/>
      <x:c r="L3323" s="28"/>
      <x:c r="M3323" s="28"/>
      <x:c r="N3323" s="28"/>
      <x:c r="O3323" s="28"/>
    </x:row>
    <x:row r="3324">
      <x:c r="B3324" s="26"/>
      <x:c r="I3324" s="27"/>
      <x:c r="K3324" s="28"/>
      <x:c r="L3324" s="28"/>
      <x:c r="M3324" s="28"/>
      <x:c r="N3324" s="28"/>
      <x:c r="O3324" s="28"/>
    </x:row>
    <x:row r="3325">
      <x:c r="B3325" s="26"/>
      <x:c r="I3325" s="27"/>
      <x:c r="K3325" s="28"/>
      <x:c r="L3325" s="28"/>
      <x:c r="M3325" s="28"/>
      <x:c r="N3325" s="28"/>
      <x:c r="O3325" s="28"/>
    </x:row>
    <x:row r="3326">
      <x:c r="B3326" s="26"/>
      <x:c r="I3326" s="27"/>
      <x:c r="K3326" s="28"/>
      <x:c r="L3326" s="28"/>
      <x:c r="M3326" s="28"/>
      <x:c r="N3326" s="28"/>
      <x:c r="O3326" s="28"/>
    </x:row>
    <x:row r="3327">
      <x:c r="B3327" s="26"/>
      <x:c r="I3327" s="27"/>
      <x:c r="K3327" s="28"/>
      <x:c r="L3327" s="28"/>
      <x:c r="M3327" s="28"/>
      <x:c r="N3327" s="28"/>
      <x:c r="O3327" s="28"/>
    </x:row>
    <x:row r="3328">
      <x:c r="B3328" s="26"/>
      <x:c r="I3328" s="27"/>
      <x:c r="K3328" s="28"/>
      <x:c r="L3328" s="28"/>
      <x:c r="M3328" s="28"/>
      <x:c r="N3328" s="28"/>
      <x:c r="O3328" s="28"/>
    </x:row>
    <x:row r="3329">
      <x:c r="B3329" s="26"/>
      <x:c r="I3329" s="27"/>
      <x:c r="K3329" s="28"/>
      <x:c r="L3329" s="28"/>
      <x:c r="M3329" s="28"/>
      <x:c r="N3329" s="28"/>
      <x:c r="O3329" s="28"/>
    </x:row>
    <x:row r="3330">
      <x:c r="B3330" s="26"/>
      <x:c r="I3330" s="27"/>
      <x:c r="K3330" s="28"/>
      <x:c r="L3330" s="28"/>
      <x:c r="M3330" s="28"/>
      <x:c r="N3330" s="28"/>
      <x:c r="O3330" s="28"/>
    </x:row>
    <x:row r="3331">
      <x:c r="B3331" s="26"/>
      <x:c r="I3331" s="27"/>
      <x:c r="K3331" s="28"/>
      <x:c r="L3331" s="28"/>
      <x:c r="M3331" s="28"/>
      <x:c r="N3331" s="28"/>
      <x:c r="O3331" s="28"/>
    </x:row>
    <x:row r="3332">
      <x:c r="B3332" s="26"/>
      <x:c r="I3332" s="27"/>
      <x:c r="K3332" s="28"/>
      <x:c r="L3332" s="28"/>
      <x:c r="M3332" s="28"/>
      <x:c r="N3332" s="28"/>
      <x:c r="O3332" s="28"/>
    </x:row>
    <x:row r="3333">
      <x:c r="B3333" s="26"/>
      <x:c r="I3333" s="27"/>
      <x:c r="K3333" s="28"/>
      <x:c r="L3333" s="28"/>
      <x:c r="M3333" s="28"/>
      <x:c r="N3333" s="28"/>
      <x:c r="O3333" s="28"/>
    </x:row>
    <x:row r="3334">
      <x:c r="B3334" s="26"/>
      <x:c r="I3334" s="27"/>
      <x:c r="K3334" s="28"/>
      <x:c r="L3334" s="28"/>
      <x:c r="M3334" s="28"/>
      <x:c r="N3334" s="28"/>
      <x:c r="O3334" s="28"/>
    </x:row>
    <x:row r="3335">
      <x:c r="B3335" s="26"/>
      <x:c r="I3335" s="27"/>
      <x:c r="K3335" s="28"/>
      <x:c r="L3335" s="28"/>
      <x:c r="M3335" s="28"/>
      <x:c r="N3335" s="28"/>
      <x:c r="O3335" s="28"/>
    </x:row>
    <x:row r="3336">
      <x:c r="B3336" s="26"/>
      <x:c r="I3336" s="27"/>
      <x:c r="K3336" s="28"/>
      <x:c r="L3336" s="28"/>
      <x:c r="M3336" s="28"/>
      <x:c r="N3336" s="28"/>
      <x:c r="O3336" s="28"/>
    </x:row>
    <x:row r="3337">
      <x:c r="B3337" s="26"/>
      <x:c r="I3337" s="27"/>
      <x:c r="K3337" s="28"/>
      <x:c r="L3337" s="28"/>
      <x:c r="M3337" s="28"/>
      <x:c r="N3337" s="28"/>
      <x:c r="O3337" s="28"/>
    </x:row>
    <x:row r="3338">
      <x:c r="B3338" s="26"/>
      <x:c r="I3338" s="27"/>
      <x:c r="K3338" s="28"/>
      <x:c r="L3338" s="28"/>
      <x:c r="M3338" s="28"/>
      <x:c r="N3338" s="28"/>
      <x:c r="O3338" s="28"/>
    </x:row>
    <x:row r="3339">
      <x:c r="B3339" s="26"/>
      <x:c r="I3339" s="27"/>
      <x:c r="K3339" s="28"/>
      <x:c r="L3339" s="28"/>
      <x:c r="M3339" s="28"/>
      <x:c r="N3339" s="28"/>
      <x:c r="O3339" s="28"/>
    </x:row>
    <x:row r="3340">
      <x:c r="B3340" s="26"/>
      <x:c r="I3340" s="27"/>
      <x:c r="K3340" s="28"/>
      <x:c r="L3340" s="28"/>
      <x:c r="M3340" s="28"/>
      <x:c r="N3340" s="28"/>
      <x:c r="O3340" s="28"/>
    </x:row>
    <x:row r="3341">
      <x:c r="B3341" s="26"/>
      <x:c r="I3341" s="27"/>
      <x:c r="K3341" s="28"/>
      <x:c r="L3341" s="28"/>
      <x:c r="M3341" s="28"/>
      <x:c r="N3341" s="28"/>
      <x:c r="O3341" s="28"/>
    </x:row>
    <x:row r="3342">
      <x:c r="B3342" s="26"/>
      <x:c r="I3342" s="27"/>
      <x:c r="K3342" s="28"/>
      <x:c r="L3342" s="28"/>
      <x:c r="M3342" s="28"/>
      <x:c r="N3342" s="28"/>
      <x:c r="O3342" s="28"/>
    </x:row>
    <x:row r="3343">
      <x:c r="B3343" s="26"/>
      <x:c r="I3343" s="27"/>
      <x:c r="K3343" s="28"/>
      <x:c r="L3343" s="28"/>
      <x:c r="M3343" s="28"/>
      <x:c r="N3343" s="28"/>
      <x:c r="O3343" s="28"/>
    </x:row>
    <x:row r="3344">
      <x:c r="B3344" s="26"/>
      <x:c r="I3344" s="27"/>
      <x:c r="K3344" s="28"/>
      <x:c r="L3344" s="28"/>
      <x:c r="M3344" s="28"/>
      <x:c r="N3344" s="28"/>
      <x:c r="O3344" s="28"/>
    </x:row>
    <x:row r="3345">
      <x:c r="B3345" s="26"/>
      <x:c r="I3345" s="27"/>
      <x:c r="K3345" s="28"/>
      <x:c r="L3345" s="28"/>
      <x:c r="M3345" s="28"/>
      <x:c r="N3345" s="28"/>
      <x:c r="O3345" s="28"/>
    </x:row>
    <x:row r="3346">
      <x:c r="B3346" s="26"/>
      <x:c r="I3346" s="27"/>
      <x:c r="K3346" s="28"/>
      <x:c r="L3346" s="28"/>
      <x:c r="M3346" s="28"/>
      <x:c r="N3346" s="28"/>
      <x:c r="O3346" s="28"/>
    </x:row>
    <x:row r="3347">
      <x:c r="B3347" s="26"/>
      <x:c r="I3347" s="27"/>
      <x:c r="K3347" s="28"/>
      <x:c r="L3347" s="28"/>
      <x:c r="M3347" s="28"/>
      <x:c r="N3347" s="28"/>
      <x:c r="O3347" s="28"/>
    </x:row>
    <x:row r="3348">
      <x:c r="B3348" s="26"/>
      <x:c r="I3348" s="27"/>
      <x:c r="K3348" s="28"/>
      <x:c r="L3348" s="28"/>
      <x:c r="M3348" s="28"/>
      <x:c r="N3348" s="28"/>
      <x:c r="O3348" s="28"/>
    </x:row>
    <x:row r="3349">
      <x:c r="B3349" s="26"/>
      <x:c r="I3349" s="27"/>
      <x:c r="K3349" s="28"/>
      <x:c r="L3349" s="28"/>
      <x:c r="M3349" s="28"/>
      <x:c r="N3349" s="28"/>
      <x:c r="O3349" s="28"/>
    </x:row>
    <x:row r="3350">
      <x:c r="B3350" s="26"/>
      <x:c r="I3350" s="27"/>
      <x:c r="K3350" s="28"/>
      <x:c r="L3350" s="28"/>
      <x:c r="M3350" s="28"/>
      <x:c r="N3350" s="28"/>
      <x:c r="O3350" s="28"/>
    </x:row>
    <x:row r="3351">
      <x:c r="B3351" s="26"/>
      <x:c r="I3351" s="27"/>
      <x:c r="K3351" s="28"/>
      <x:c r="L3351" s="28"/>
      <x:c r="M3351" s="28"/>
      <x:c r="N3351" s="28"/>
      <x:c r="O3351" s="28"/>
    </x:row>
    <x:row r="3352">
      <x:c r="B3352" s="26"/>
      <x:c r="I3352" s="27"/>
      <x:c r="K3352" s="28"/>
      <x:c r="L3352" s="28"/>
      <x:c r="M3352" s="28"/>
      <x:c r="N3352" s="28"/>
      <x:c r="O3352" s="28"/>
    </x:row>
    <x:row r="3353">
      <x:c r="B3353" s="26"/>
      <x:c r="I3353" s="27"/>
      <x:c r="K3353" s="28"/>
      <x:c r="L3353" s="28"/>
      <x:c r="M3353" s="28"/>
      <x:c r="N3353" s="28"/>
      <x:c r="O3353" s="28"/>
    </x:row>
    <x:row r="3354">
      <x:c r="B3354" s="26"/>
      <x:c r="I3354" s="27"/>
      <x:c r="K3354" s="28"/>
      <x:c r="L3354" s="28"/>
      <x:c r="M3354" s="28"/>
      <x:c r="N3354" s="28"/>
      <x:c r="O3354" s="28"/>
    </x:row>
    <x:row r="3355">
      <x:c r="B3355" s="26"/>
      <x:c r="I3355" s="27"/>
      <x:c r="K3355" s="28"/>
      <x:c r="L3355" s="28"/>
      <x:c r="M3355" s="28"/>
      <x:c r="N3355" s="28"/>
      <x:c r="O3355" s="28"/>
    </x:row>
    <x:row r="3356">
      <x:c r="B3356" s="26"/>
      <x:c r="I3356" s="27"/>
      <x:c r="K3356" s="28"/>
      <x:c r="L3356" s="28"/>
      <x:c r="M3356" s="28"/>
      <x:c r="N3356" s="28"/>
      <x:c r="O3356" s="28"/>
    </x:row>
    <x:row r="3357">
      <x:c r="B3357" s="26"/>
      <x:c r="I3357" s="27"/>
      <x:c r="K3357" s="28"/>
      <x:c r="L3357" s="28"/>
      <x:c r="M3357" s="28"/>
      <x:c r="N3357" s="28"/>
      <x:c r="O3357" s="28"/>
    </x:row>
    <x:row r="3358">
      <x:c r="B3358" s="26"/>
      <x:c r="I3358" s="27"/>
      <x:c r="K3358" s="28"/>
      <x:c r="L3358" s="28"/>
      <x:c r="M3358" s="28"/>
      <x:c r="N3358" s="28"/>
      <x:c r="O3358" s="28"/>
    </x:row>
    <x:row r="3359">
      <x:c r="B3359" s="26"/>
      <x:c r="I3359" s="27"/>
      <x:c r="K3359" s="28"/>
      <x:c r="L3359" s="28"/>
      <x:c r="M3359" s="28"/>
      <x:c r="N3359" s="28"/>
      <x:c r="O3359" s="28"/>
    </x:row>
    <x:row r="3360">
      <x:c r="B3360" s="26"/>
      <x:c r="I3360" s="27"/>
      <x:c r="K3360" s="28"/>
      <x:c r="L3360" s="28"/>
      <x:c r="M3360" s="28"/>
      <x:c r="N3360" s="28"/>
      <x:c r="O3360" s="28"/>
    </x:row>
    <x:row r="3361">
      <x:c r="B3361" s="26"/>
      <x:c r="I3361" s="27"/>
      <x:c r="K3361" s="28"/>
      <x:c r="L3361" s="28"/>
      <x:c r="M3361" s="28"/>
      <x:c r="N3361" s="28"/>
      <x:c r="O3361" s="28"/>
    </x:row>
    <x:row r="3362">
      <x:c r="B3362" s="26"/>
      <x:c r="I3362" s="27"/>
      <x:c r="K3362" s="28"/>
      <x:c r="L3362" s="28"/>
      <x:c r="M3362" s="28"/>
      <x:c r="N3362" s="28"/>
      <x:c r="O3362" s="28"/>
    </x:row>
    <x:row r="3363">
      <x:c r="B3363" s="26"/>
      <x:c r="I3363" s="27"/>
      <x:c r="K3363" s="28"/>
      <x:c r="L3363" s="28"/>
      <x:c r="M3363" s="28"/>
      <x:c r="N3363" s="28"/>
      <x:c r="O3363" s="28"/>
    </x:row>
    <x:row r="3364">
      <x:c r="B3364" s="26"/>
      <x:c r="I3364" s="27"/>
      <x:c r="K3364" s="28"/>
      <x:c r="L3364" s="28"/>
      <x:c r="M3364" s="28"/>
      <x:c r="N3364" s="28"/>
      <x:c r="O3364" s="28"/>
    </x:row>
    <x:row r="3365">
      <x:c r="B3365" s="26"/>
      <x:c r="I3365" s="27"/>
      <x:c r="K3365" s="28"/>
      <x:c r="L3365" s="28"/>
      <x:c r="M3365" s="28"/>
      <x:c r="N3365" s="28"/>
      <x:c r="O3365" s="28"/>
    </x:row>
    <x:row r="3366">
      <x:c r="B3366" s="26"/>
      <x:c r="I3366" s="27"/>
      <x:c r="K3366" s="28"/>
      <x:c r="L3366" s="28"/>
      <x:c r="M3366" s="28"/>
      <x:c r="N3366" s="28"/>
      <x:c r="O3366" s="28"/>
    </x:row>
    <x:row r="3367">
      <x:c r="B3367" s="26"/>
      <x:c r="I3367" s="27"/>
      <x:c r="K3367" s="28"/>
      <x:c r="L3367" s="28"/>
      <x:c r="M3367" s="28"/>
      <x:c r="N3367" s="28"/>
      <x:c r="O3367" s="28"/>
    </x:row>
    <x:row r="3368">
      <x:c r="B3368" s="26"/>
      <x:c r="I3368" s="27"/>
      <x:c r="K3368" s="28"/>
      <x:c r="L3368" s="28"/>
      <x:c r="M3368" s="28"/>
      <x:c r="N3368" s="28"/>
      <x:c r="O3368" s="28"/>
    </x:row>
    <x:row r="3369">
      <x:c r="B3369" s="26"/>
      <x:c r="I3369" s="27"/>
      <x:c r="K3369" s="28"/>
      <x:c r="L3369" s="28"/>
      <x:c r="M3369" s="28"/>
      <x:c r="N3369" s="28"/>
      <x:c r="O3369" s="28"/>
    </x:row>
    <x:row r="3370">
      <x:c r="B3370" s="26"/>
      <x:c r="I3370" s="27"/>
      <x:c r="K3370" s="28"/>
      <x:c r="L3370" s="28"/>
      <x:c r="M3370" s="28"/>
      <x:c r="N3370" s="28"/>
      <x:c r="O3370" s="28"/>
    </x:row>
    <x:row r="3371">
      <x:c r="B3371" s="26"/>
      <x:c r="I3371" s="27"/>
      <x:c r="K3371" s="28"/>
      <x:c r="L3371" s="28"/>
      <x:c r="M3371" s="28"/>
      <x:c r="N3371" s="28"/>
      <x:c r="O3371" s="28"/>
    </x:row>
    <x:row r="3372">
      <x:c r="B3372" s="26"/>
      <x:c r="I3372" s="27"/>
      <x:c r="K3372" s="28"/>
      <x:c r="L3372" s="28"/>
      <x:c r="M3372" s="28"/>
      <x:c r="N3372" s="28"/>
      <x:c r="O3372" s="28"/>
    </x:row>
    <x:row r="3373">
      <x:c r="B3373" s="26"/>
      <x:c r="I3373" s="27"/>
      <x:c r="K3373" s="28"/>
      <x:c r="L3373" s="28"/>
      <x:c r="M3373" s="28"/>
      <x:c r="N3373" s="28"/>
      <x:c r="O3373" s="28"/>
    </x:row>
    <x:row r="3374">
      <x:c r="B3374" s="26"/>
      <x:c r="I3374" s="27"/>
      <x:c r="K3374" s="28"/>
      <x:c r="L3374" s="28"/>
      <x:c r="M3374" s="28"/>
      <x:c r="N3374" s="28"/>
      <x:c r="O3374" s="28"/>
    </x:row>
    <x:row r="3375">
      <x:c r="B3375" s="26"/>
      <x:c r="I3375" s="27"/>
      <x:c r="K3375" s="28"/>
      <x:c r="L3375" s="28"/>
      <x:c r="M3375" s="28"/>
      <x:c r="N3375" s="28"/>
      <x:c r="O3375" s="28"/>
    </x:row>
    <x:row r="3376">
      <x:c r="B3376" s="26"/>
      <x:c r="I3376" s="27"/>
      <x:c r="K3376" s="28"/>
      <x:c r="L3376" s="28"/>
      <x:c r="M3376" s="28"/>
      <x:c r="N3376" s="28"/>
      <x:c r="O3376" s="28"/>
    </x:row>
    <x:row r="3377">
      <x:c r="B3377" s="26"/>
      <x:c r="I3377" s="27"/>
      <x:c r="K3377" s="28"/>
      <x:c r="L3377" s="28"/>
      <x:c r="M3377" s="28"/>
      <x:c r="N3377" s="28"/>
      <x:c r="O3377" s="28"/>
    </x:row>
    <x:row r="3378">
      <x:c r="B3378" s="26"/>
      <x:c r="I3378" s="27"/>
      <x:c r="K3378" s="28"/>
      <x:c r="L3378" s="28"/>
      <x:c r="M3378" s="28"/>
      <x:c r="N3378" s="28"/>
      <x:c r="O3378" s="28"/>
    </x:row>
    <x:row r="3379">
      <x:c r="B3379" s="26"/>
      <x:c r="I3379" s="27"/>
      <x:c r="K3379" s="28"/>
      <x:c r="L3379" s="28"/>
      <x:c r="M3379" s="28"/>
      <x:c r="N3379" s="28"/>
      <x:c r="O3379" s="28"/>
    </x:row>
    <x:row r="3380">
      <x:c r="B3380" s="26"/>
      <x:c r="I3380" s="27"/>
      <x:c r="K3380" s="28"/>
      <x:c r="L3380" s="28"/>
      <x:c r="M3380" s="28"/>
      <x:c r="N3380" s="28"/>
      <x:c r="O3380" s="28"/>
    </x:row>
    <x:row r="3381">
      <x:c r="B3381" s="26"/>
      <x:c r="I3381" s="27"/>
      <x:c r="K3381" s="28"/>
      <x:c r="L3381" s="28"/>
      <x:c r="M3381" s="28"/>
      <x:c r="N3381" s="28"/>
      <x:c r="O3381" s="28"/>
    </x:row>
    <x:row r="3382">
      <x:c r="B3382" s="26"/>
      <x:c r="I3382" s="27"/>
      <x:c r="K3382" s="28"/>
      <x:c r="L3382" s="28"/>
      <x:c r="M3382" s="28"/>
      <x:c r="N3382" s="28"/>
      <x:c r="O3382" s="28"/>
    </x:row>
    <x:row r="3383">
      <x:c r="B3383" s="26"/>
      <x:c r="I3383" s="27"/>
      <x:c r="K3383" s="28"/>
      <x:c r="L3383" s="28"/>
      <x:c r="M3383" s="28"/>
      <x:c r="N3383" s="28"/>
      <x:c r="O3383" s="28"/>
    </x:row>
    <x:row r="3384">
      <x:c r="B3384" s="26"/>
      <x:c r="I3384" s="27"/>
      <x:c r="K3384" s="28"/>
      <x:c r="L3384" s="28"/>
      <x:c r="M3384" s="28"/>
      <x:c r="N3384" s="28"/>
      <x:c r="O3384" s="28"/>
    </x:row>
    <x:row r="3385">
      <x:c r="B3385" s="26"/>
      <x:c r="I3385" s="27"/>
      <x:c r="K3385" s="28"/>
      <x:c r="L3385" s="28"/>
      <x:c r="M3385" s="28"/>
      <x:c r="N3385" s="28"/>
      <x:c r="O3385" s="28"/>
    </x:row>
    <x:row r="3386">
      <x:c r="B3386" s="26"/>
      <x:c r="I3386" s="27"/>
      <x:c r="K3386" s="28"/>
      <x:c r="L3386" s="28"/>
      <x:c r="M3386" s="28"/>
      <x:c r="N3386" s="28"/>
      <x:c r="O3386" s="28"/>
    </x:row>
    <x:row r="3387">
      <x:c r="B3387" s="26"/>
      <x:c r="I3387" s="27"/>
      <x:c r="K3387" s="28"/>
      <x:c r="L3387" s="28"/>
      <x:c r="M3387" s="28"/>
      <x:c r="N3387" s="28"/>
      <x:c r="O3387" s="28"/>
    </x:row>
    <x:row r="3388">
      <x:c r="B3388" s="26"/>
      <x:c r="I3388" s="27"/>
      <x:c r="K3388" s="28"/>
      <x:c r="L3388" s="28"/>
      <x:c r="M3388" s="28"/>
      <x:c r="N3388" s="28"/>
      <x:c r="O3388" s="28"/>
    </x:row>
    <x:row r="3389">
      <x:c r="B3389" s="26"/>
      <x:c r="I3389" s="27"/>
      <x:c r="K3389" s="28"/>
      <x:c r="L3389" s="28"/>
      <x:c r="M3389" s="28"/>
      <x:c r="N3389" s="28"/>
      <x:c r="O3389" s="28"/>
    </x:row>
    <x:row r="3390">
      <x:c r="B3390" s="26"/>
      <x:c r="I3390" s="27"/>
      <x:c r="K3390" s="28"/>
      <x:c r="L3390" s="28"/>
      <x:c r="M3390" s="28"/>
      <x:c r="N3390" s="28"/>
      <x:c r="O3390" s="28"/>
    </x:row>
    <x:row r="3391">
      <x:c r="B3391" s="26"/>
      <x:c r="I3391" s="27"/>
      <x:c r="K3391" s="28"/>
      <x:c r="L3391" s="28"/>
      <x:c r="M3391" s="28"/>
      <x:c r="N3391" s="28"/>
      <x:c r="O3391" s="28"/>
    </x:row>
    <x:row r="3392">
      <x:c r="B3392" s="26"/>
      <x:c r="I3392" s="27"/>
      <x:c r="K3392" s="28"/>
      <x:c r="L3392" s="28"/>
      <x:c r="M3392" s="28"/>
      <x:c r="N3392" s="28"/>
      <x:c r="O3392" s="28"/>
    </x:row>
    <x:row r="3393">
      <x:c r="B3393" s="26"/>
      <x:c r="I3393" s="27"/>
      <x:c r="K3393" s="28"/>
      <x:c r="L3393" s="28"/>
      <x:c r="M3393" s="28"/>
      <x:c r="N3393" s="28"/>
      <x:c r="O3393" s="28"/>
    </x:row>
    <x:row r="3394">
      <x:c r="B3394" s="26"/>
      <x:c r="I3394" s="27"/>
      <x:c r="K3394" s="28"/>
      <x:c r="L3394" s="28"/>
      <x:c r="M3394" s="28"/>
      <x:c r="N3394" s="28"/>
      <x:c r="O3394" s="28"/>
    </x:row>
    <x:row r="3395">
      <x:c r="B3395" s="26"/>
      <x:c r="I3395" s="27"/>
      <x:c r="K3395" s="28"/>
      <x:c r="L3395" s="28"/>
      <x:c r="M3395" s="28"/>
      <x:c r="N3395" s="28"/>
      <x:c r="O3395" s="28"/>
    </x:row>
    <x:row r="3396">
      <x:c r="B3396" s="26"/>
      <x:c r="I3396" s="27"/>
      <x:c r="K3396" s="28"/>
      <x:c r="L3396" s="28"/>
      <x:c r="M3396" s="28"/>
      <x:c r="N3396" s="28"/>
      <x:c r="O3396" s="28"/>
    </x:row>
    <x:row r="3397">
      <x:c r="B3397" s="26"/>
      <x:c r="I3397" s="27"/>
      <x:c r="K3397" s="28"/>
      <x:c r="L3397" s="28"/>
      <x:c r="M3397" s="28"/>
      <x:c r="N3397" s="28"/>
      <x:c r="O3397" s="28"/>
    </x:row>
    <x:row r="3398">
      <x:c r="B3398" s="26"/>
      <x:c r="I3398" s="27"/>
      <x:c r="K3398" s="28"/>
      <x:c r="L3398" s="28"/>
      <x:c r="M3398" s="28"/>
      <x:c r="N3398" s="28"/>
      <x:c r="O3398" s="28"/>
    </x:row>
    <x:row r="3399">
      <x:c r="B3399" s="26"/>
      <x:c r="I3399" s="27"/>
      <x:c r="K3399" s="28"/>
      <x:c r="L3399" s="28"/>
      <x:c r="M3399" s="28"/>
      <x:c r="N3399" s="28"/>
      <x:c r="O3399" s="28"/>
    </x:row>
    <x:row r="3400">
      <x:c r="B3400" s="26"/>
      <x:c r="I3400" s="27"/>
      <x:c r="K3400" s="28"/>
      <x:c r="L3400" s="28"/>
      <x:c r="M3400" s="28"/>
      <x:c r="N3400" s="28"/>
      <x:c r="O3400" s="28"/>
    </x:row>
    <x:row r="3401">
      <x:c r="B3401" s="26"/>
      <x:c r="I3401" s="27"/>
      <x:c r="K3401" s="28"/>
      <x:c r="L3401" s="28"/>
      <x:c r="M3401" s="28"/>
      <x:c r="N3401" s="28"/>
      <x:c r="O3401" s="28"/>
    </x:row>
    <x:row r="3402">
      <x:c r="B3402" s="26"/>
      <x:c r="I3402" s="27"/>
      <x:c r="K3402" s="28"/>
      <x:c r="L3402" s="28"/>
      <x:c r="M3402" s="28"/>
      <x:c r="N3402" s="28"/>
      <x:c r="O3402" s="28"/>
    </x:row>
    <x:row r="3403">
      <x:c r="B3403" s="26"/>
      <x:c r="I3403" s="27"/>
      <x:c r="K3403" s="28"/>
      <x:c r="L3403" s="28"/>
      <x:c r="M3403" s="28"/>
      <x:c r="N3403" s="28"/>
      <x:c r="O3403" s="28"/>
    </x:row>
    <x:row r="3404">
      <x:c r="B3404" s="26"/>
      <x:c r="I3404" s="27"/>
      <x:c r="K3404" s="28"/>
      <x:c r="L3404" s="28"/>
      <x:c r="M3404" s="28"/>
      <x:c r="N3404" s="28"/>
      <x:c r="O3404" s="28"/>
    </x:row>
    <x:row r="3405">
      <x:c r="B3405" s="26"/>
      <x:c r="I3405" s="27"/>
      <x:c r="K3405" s="28"/>
      <x:c r="L3405" s="28"/>
      <x:c r="M3405" s="28"/>
      <x:c r="N3405" s="28"/>
      <x:c r="O3405" s="28"/>
    </x:row>
    <x:row r="3406">
      <x:c r="B3406" s="26"/>
      <x:c r="I3406" s="27"/>
      <x:c r="K3406" s="28"/>
      <x:c r="L3406" s="28"/>
      <x:c r="M3406" s="28"/>
      <x:c r="N3406" s="28"/>
      <x:c r="O3406" s="28"/>
    </x:row>
    <x:row r="3407">
      <x:c r="B3407" s="26"/>
      <x:c r="I3407" s="27"/>
      <x:c r="K3407" s="28"/>
      <x:c r="L3407" s="28"/>
      <x:c r="M3407" s="28"/>
      <x:c r="N3407" s="28"/>
      <x:c r="O3407" s="28"/>
    </x:row>
    <x:row r="3408">
      <x:c r="B3408" s="26"/>
      <x:c r="I3408" s="27"/>
      <x:c r="K3408" s="28"/>
      <x:c r="L3408" s="28"/>
      <x:c r="M3408" s="28"/>
      <x:c r="N3408" s="28"/>
      <x:c r="O3408" s="28"/>
    </x:row>
    <x:row r="3409">
      <x:c r="B3409" s="26"/>
      <x:c r="I3409" s="27"/>
      <x:c r="K3409" s="28"/>
      <x:c r="L3409" s="28"/>
      <x:c r="M3409" s="28"/>
      <x:c r="N3409" s="28"/>
      <x:c r="O3409" s="28"/>
    </x:row>
    <x:row r="3410">
      <x:c r="B3410" s="26"/>
      <x:c r="I3410" s="27"/>
      <x:c r="K3410" s="28"/>
      <x:c r="L3410" s="28"/>
      <x:c r="M3410" s="28"/>
      <x:c r="N3410" s="28"/>
      <x:c r="O3410" s="28"/>
    </x:row>
    <x:row r="3411">
      <x:c r="B3411" s="26"/>
      <x:c r="I3411" s="27"/>
      <x:c r="K3411" s="28"/>
      <x:c r="L3411" s="28"/>
      <x:c r="M3411" s="28"/>
      <x:c r="N3411" s="28"/>
      <x:c r="O3411" s="28"/>
    </x:row>
    <x:row r="3412">
      <x:c r="B3412" s="26"/>
      <x:c r="I3412" s="27"/>
      <x:c r="K3412" s="28"/>
      <x:c r="L3412" s="28"/>
      <x:c r="M3412" s="28"/>
      <x:c r="N3412" s="28"/>
      <x:c r="O3412" s="28"/>
    </x:row>
    <x:row r="3413">
      <x:c r="B3413" s="26"/>
      <x:c r="I3413" s="27"/>
      <x:c r="K3413" s="28"/>
      <x:c r="L3413" s="28"/>
      <x:c r="M3413" s="28"/>
      <x:c r="N3413" s="28"/>
      <x:c r="O3413" s="28"/>
    </x:row>
    <x:row r="3414">
      <x:c r="B3414" s="26"/>
      <x:c r="I3414" s="27"/>
      <x:c r="K3414" s="28"/>
      <x:c r="L3414" s="28"/>
      <x:c r="M3414" s="28"/>
      <x:c r="N3414" s="28"/>
      <x:c r="O3414" s="28"/>
    </x:row>
    <x:row r="3415">
      <x:c r="B3415" s="26"/>
      <x:c r="I3415" s="27"/>
      <x:c r="K3415" s="28"/>
      <x:c r="L3415" s="28"/>
      <x:c r="M3415" s="28"/>
      <x:c r="N3415" s="28"/>
      <x:c r="O3415" s="28"/>
    </x:row>
    <x:row r="3416">
      <x:c r="B3416" s="26"/>
      <x:c r="I3416" s="27"/>
      <x:c r="K3416" s="28"/>
      <x:c r="L3416" s="28"/>
      <x:c r="M3416" s="28"/>
      <x:c r="N3416" s="28"/>
      <x:c r="O3416" s="28"/>
    </x:row>
    <x:row r="3417">
      <x:c r="B3417" s="26"/>
      <x:c r="I3417" s="27"/>
      <x:c r="K3417" s="28"/>
      <x:c r="L3417" s="28"/>
      <x:c r="M3417" s="28"/>
      <x:c r="N3417" s="28"/>
      <x:c r="O3417" s="28"/>
    </x:row>
    <x:row r="3418">
      <x:c r="B3418" s="26"/>
      <x:c r="I3418" s="27"/>
      <x:c r="K3418" s="28"/>
      <x:c r="L3418" s="28"/>
      <x:c r="M3418" s="28"/>
      <x:c r="N3418" s="28"/>
      <x:c r="O3418" s="28"/>
    </x:row>
    <x:row r="3419">
      <x:c r="B3419" s="26"/>
      <x:c r="I3419" s="27"/>
      <x:c r="K3419" s="28"/>
      <x:c r="L3419" s="28"/>
      <x:c r="M3419" s="28"/>
      <x:c r="N3419" s="28"/>
      <x:c r="O3419" s="28"/>
    </x:row>
    <x:row r="3420">
      <x:c r="B3420" s="26"/>
      <x:c r="I3420" s="27"/>
      <x:c r="K3420" s="28"/>
      <x:c r="L3420" s="28"/>
      <x:c r="M3420" s="28"/>
      <x:c r="N3420" s="28"/>
      <x:c r="O3420" s="28"/>
    </x:row>
    <x:row r="3421">
      <x:c r="B3421" s="26"/>
      <x:c r="I3421" s="27"/>
      <x:c r="K3421" s="28"/>
      <x:c r="L3421" s="28"/>
      <x:c r="M3421" s="28"/>
      <x:c r="N3421" s="28"/>
      <x:c r="O3421" s="28"/>
    </x:row>
    <x:row r="3422">
      <x:c r="B3422" s="26"/>
      <x:c r="I3422" s="27"/>
      <x:c r="K3422" s="28"/>
      <x:c r="L3422" s="28"/>
      <x:c r="M3422" s="28"/>
      <x:c r="N3422" s="28"/>
      <x:c r="O3422" s="28"/>
    </x:row>
    <x:row r="3423">
      <x:c r="B3423" s="26"/>
      <x:c r="I3423" s="27"/>
      <x:c r="K3423" s="28"/>
      <x:c r="L3423" s="28"/>
      <x:c r="M3423" s="28"/>
      <x:c r="N3423" s="28"/>
      <x:c r="O3423" s="28"/>
    </x:row>
    <x:row r="3424">
      <x:c r="B3424" s="26"/>
      <x:c r="I3424" s="27"/>
      <x:c r="K3424" s="28"/>
      <x:c r="L3424" s="28"/>
      <x:c r="M3424" s="28"/>
      <x:c r="N3424" s="28"/>
      <x:c r="O3424" s="28"/>
    </x:row>
    <x:row r="3425">
      <x:c r="B3425" s="26"/>
      <x:c r="I3425" s="27"/>
      <x:c r="K3425" s="28"/>
      <x:c r="L3425" s="28"/>
      <x:c r="M3425" s="28"/>
      <x:c r="N3425" s="28"/>
      <x:c r="O3425" s="28"/>
    </x:row>
    <x:row r="3426">
      <x:c r="B3426" s="26"/>
      <x:c r="I3426" s="27"/>
      <x:c r="K3426" s="28"/>
      <x:c r="L3426" s="28"/>
      <x:c r="M3426" s="28"/>
      <x:c r="N3426" s="28"/>
      <x:c r="O3426" s="28"/>
    </x:row>
    <x:row r="3427">
      <x:c r="B3427" s="26"/>
      <x:c r="I3427" s="27"/>
      <x:c r="K3427" s="28"/>
      <x:c r="L3427" s="28"/>
      <x:c r="M3427" s="28"/>
      <x:c r="N3427" s="28"/>
      <x:c r="O3427" s="28"/>
    </x:row>
    <x:row r="3428">
      <x:c r="B3428" s="26"/>
      <x:c r="I3428" s="27"/>
      <x:c r="K3428" s="28"/>
      <x:c r="L3428" s="28"/>
      <x:c r="M3428" s="28"/>
      <x:c r="N3428" s="28"/>
      <x:c r="O3428" s="28"/>
    </x:row>
    <x:row r="3429">
      <x:c r="B3429" s="26"/>
      <x:c r="I3429" s="27"/>
      <x:c r="K3429" s="28"/>
      <x:c r="L3429" s="28"/>
      <x:c r="M3429" s="28"/>
      <x:c r="N3429" s="28"/>
      <x:c r="O3429" s="28"/>
    </x:row>
    <x:row r="3430">
      <x:c r="B3430" s="26"/>
      <x:c r="I3430" s="27"/>
      <x:c r="K3430" s="28"/>
      <x:c r="L3430" s="28"/>
      <x:c r="M3430" s="28"/>
      <x:c r="N3430" s="28"/>
      <x:c r="O3430" s="28"/>
    </x:row>
    <x:row r="3431">
      <x:c r="B3431" s="26"/>
      <x:c r="I3431" s="27"/>
      <x:c r="K3431" s="28"/>
      <x:c r="L3431" s="28"/>
      <x:c r="M3431" s="28"/>
      <x:c r="N3431" s="28"/>
      <x:c r="O3431" s="28"/>
    </x:row>
    <x:row r="3432">
      <x:c r="B3432" s="26"/>
      <x:c r="I3432" s="27"/>
      <x:c r="K3432" s="28"/>
      <x:c r="L3432" s="28"/>
      <x:c r="M3432" s="28"/>
      <x:c r="N3432" s="28"/>
      <x:c r="O3432" s="28"/>
    </x:row>
    <x:row r="3433">
      <x:c r="B3433" s="26"/>
      <x:c r="I3433" s="27"/>
      <x:c r="K3433" s="28"/>
      <x:c r="L3433" s="28"/>
      <x:c r="M3433" s="28"/>
      <x:c r="N3433" s="28"/>
      <x:c r="O3433" s="28"/>
    </x:row>
    <x:row r="3434">
      <x:c r="B3434" s="26"/>
      <x:c r="I3434" s="27"/>
      <x:c r="K3434" s="28"/>
      <x:c r="L3434" s="28"/>
      <x:c r="M3434" s="28"/>
      <x:c r="N3434" s="28"/>
      <x:c r="O3434" s="28"/>
    </x:row>
    <x:row r="3435">
      <x:c r="B3435" s="26"/>
      <x:c r="I3435" s="27"/>
      <x:c r="K3435" s="28"/>
      <x:c r="L3435" s="28"/>
      <x:c r="M3435" s="28"/>
      <x:c r="N3435" s="28"/>
      <x:c r="O3435" s="28"/>
    </x:row>
    <x:row r="3436">
      <x:c r="B3436" s="26"/>
      <x:c r="I3436" s="27"/>
      <x:c r="K3436" s="28"/>
      <x:c r="L3436" s="28"/>
      <x:c r="M3436" s="28"/>
      <x:c r="N3436" s="28"/>
      <x:c r="O3436" s="28"/>
    </x:row>
    <x:row r="3437">
      <x:c r="B3437" s="26"/>
      <x:c r="I3437" s="27"/>
      <x:c r="K3437" s="28"/>
      <x:c r="L3437" s="28"/>
      <x:c r="M3437" s="28"/>
      <x:c r="N3437" s="28"/>
      <x:c r="O3437" s="28"/>
    </x:row>
    <x:row r="3438">
      <x:c r="B3438" s="26"/>
      <x:c r="I3438" s="27"/>
      <x:c r="K3438" s="28"/>
      <x:c r="L3438" s="28"/>
      <x:c r="M3438" s="28"/>
      <x:c r="N3438" s="28"/>
      <x:c r="O3438" s="28"/>
    </x:row>
    <x:row r="3439">
      <x:c r="B3439" s="26"/>
      <x:c r="I3439" s="27"/>
      <x:c r="K3439" s="28"/>
      <x:c r="L3439" s="28"/>
      <x:c r="M3439" s="28"/>
      <x:c r="N3439" s="28"/>
      <x:c r="O3439" s="28"/>
    </x:row>
    <x:row r="3440">
      <x:c r="B3440" s="26"/>
      <x:c r="I3440" s="27"/>
      <x:c r="K3440" s="28"/>
      <x:c r="L3440" s="28"/>
      <x:c r="M3440" s="28"/>
      <x:c r="N3440" s="28"/>
      <x:c r="O3440" s="28"/>
    </x:row>
    <x:row r="3441">
      <x:c r="B3441" s="26"/>
      <x:c r="I3441" s="27"/>
      <x:c r="K3441" s="28"/>
      <x:c r="L3441" s="28"/>
      <x:c r="M3441" s="28"/>
      <x:c r="N3441" s="28"/>
      <x:c r="O3441" s="28"/>
    </x:row>
    <x:row r="3442">
      <x:c r="B3442" s="26"/>
      <x:c r="I3442" s="27"/>
      <x:c r="K3442" s="28"/>
      <x:c r="L3442" s="28"/>
      <x:c r="M3442" s="28"/>
      <x:c r="N3442" s="28"/>
      <x:c r="O3442" s="28"/>
    </x:row>
    <x:row r="3443">
      <x:c r="B3443" s="26"/>
      <x:c r="I3443" s="27"/>
      <x:c r="K3443" s="28"/>
      <x:c r="L3443" s="28"/>
      <x:c r="M3443" s="28"/>
      <x:c r="N3443" s="28"/>
      <x:c r="O3443" s="28"/>
    </x:row>
    <x:row r="3444">
      <x:c r="B3444" s="26"/>
      <x:c r="I3444" s="27"/>
      <x:c r="K3444" s="28"/>
      <x:c r="L3444" s="28"/>
      <x:c r="M3444" s="28"/>
      <x:c r="N3444" s="28"/>
      <x:c r="O3444" s="28"/>
    </x:row>
    <x:row r="3445">
      <x:c r="B3445" s="26"/>
      <x:c r="I3445" s="27"/>
      <x:c r="K3445" s="28"/>
      <x:c r="L3445" s="28"/>
      <x:c r="M3445" s="28"/>
      <x:c r="N3445" s="28"/>
      <x:c r="O3445" s="28"/>
    </x:row>
    <x:row r="3446">
      <x:c r="B3446" s="26"/>
      <x:c r="I3446" s="27"/>
      <x:c r="K3446" s="28"/>
      <x:c r="L3446" s="28"/>
      <x:c r="M3446" s="28"/>
      <x:c r="N3446" s="28"/>
      <x:c r="O3446" s="28"/>
    </x:row>
    <x:row r="3447">
      <x:c r="B3447" s="26"/>
      <x:c r="I3447" s="27"/>
      <x:c r="K3447" s="28"/>
      <x:c r="L3447" s="28"/>
      <x:c r="M3447" s="28"/>
      <x:c r="N3447" s="28"/>
      <x:c r="O3447" s="28"/>
    </x:row>
    <x:row r="3448">
      <x:c r="B3448" s="26"/>
      <x:c r="I3448" s="27"/>
      <x:c r="K3448" s="28"/>
      <x:c r="L3448" s="28"/>
      <x:c r="M3448" s="28"/>
      <x:c r="N3448" s="28"/>
      <x:c r="O3448" s="28"/>
    </x:row>
    <x:row r="3449">
      <x:c r="B3449" s="26"/>
      <x:c r="I3449" s="27"/>
      <x:c r="K3449" s="28"/>
      <x:c r="L3449" s="28"/>
      <x:c r="M3449" s="28"/>
      <x:c r="N3449" s="28"/>
      <x:c r="O3449" s="28"/>
    </x:row>
    <x:row r="3450">
      <x:c r="B3450" s="26"/>
      <x:c r="I3450" s="27"/>
      <x:c r="K3450" s="28"/>
      <x:c r="L3450" s="28"/>
      <x:c r="M3450" s="28"/>
      <x:c r="N3450" s="28"/>
      <x:c r="O3450" s="28"/>
    </x:row>
    <x:row r="3451">
      <x:c r="B3451" s="26"/>
      <x:c r="I3451" s="27"/>
      <x:c r="K3451" s="28"/>
      <x:c r="L3451" s="28"/>
      <x:c r="M3451" s="28"/>
      <x:c r="N3451" s="28"/>
      <x:c r="O3451" s="28"/>
    </x:row>
    <x:row r="3452">
      <x:c r="B3452" s="26"/>
      <x:c r="I3452" s="27"/>
      <x:c r="K3452" s="28"/>
      <x:c r="L3452" s="28"/>
      <x:c r="M3452" s="28"/>
      <x:c r="N3452" s="28"/>
      <x:c r="O3452" s="28"/>
    </x:row>
    <x:row r="3453">
      <x:c r="B3453" s="26"/>
      <x:c r="I3453" s="27"/>
      <x:c r="K3453" s="28"/>
      <x:c r="L3453" s="28"/>
      <x:c r="M3453" s="28"/>
      <x:c r="N3453" s="28"/>
      <x:c r="O3453" s="28"/>
    </x:row>
    <x:row r="3454">
      <x:c r="B3454" s="26"/>
      <x:c r="I3454" s="27"/>
      <x:c r="K3454" s="28"/>
      <x:c r="L3454" s="28"/>
      <x:c r="M3454" s="28"/>
      <x:c r="N3454" s="28"/>
      <x:c r="O3454" s="28"/>
    </x:row>
    <x:row r="3455">
      <x:c r="B3455" s="26"/>
      <x:c r="I3455" s="27"/>
      <x:c r="K3455" s="28"/>
      <x:c r="L3455" s="28"/>
      <x:c r="M3455" s="28"/>
      <x:c r="N3455" s="28"/>
      <x:c r="O3455" s="28"/>
    </x:row>
    <x:row r="3456">
      <x:c r="B3456" s="26"/>
      <x:c r="I3456" s="27"/>
      <x:c r="K3456" s="28"/>
      <x:c r="L3456" s="28"/>
      <x:c r="M3456" s="28"/>
      <x:c r="N3456" s="28"/>
      <x:c r="O3456" s="28"/>
    </x:row>
    <x:row r="3457">
      <x:c r="B3457" s="26"/>
      <x:c r="I3457" s="27"/>
      <x:c r="K3457" s="28"/>
      <x:c r="L3457" s="28"/>
      <x:c r="M3457" s="28"/>
      <x:c r="N3457" s="28"/>
      <x:c r="O3457" s="28"/>
    </x:row>
    <x:row r="3458">
      <x:c r="B3458" s="26"/>
      <x:c r="I3458" s="27"/>
      <x:c r="K3458" s="28"/>
      <x:c r="L3458" s="28"/>
      <x:c r="M3458" s="28"/>
      <x:c r="N3458" s="28"/>
      <x:c r="O3458" s="28"/>
    </x:row>
    <x:row r="3459">
      <x:c r="B3459" s="26"/>
      <x:c r="I3459" s="27"/>
      <x:c r="K3459" s="28"/>
      <x:c r="L3459" s="28"/>
      <x:c r="M3459" s="28"/>
      <x:c r="N3459" s="28"/>
      <x:c r="O3459" s="28"/>
    </x:row>
    <x:row r="3460">
      <x:c r="B3460" s="26"/>
      <x:c r="I3460" s="27"/>
      <x:c r="K3460" s="28"/>
      <x:c r="L3460" s="28"/>
      <x:c r="M3460" s="28"/>
      <x:c r="N3460" s="28"/>
      <x:c r="O3460" s="28"/>
    </x:row>
    <x:row r="3461">
      <x:c r="B3461" s="26"/>
      <x:c r="I3461" s="27"/>
      <x:c r="K3461" s="28"/>
      <x:c r="L3461" s="28"/>
      <x:c r="M3461" s="28"/>
      <x:c r="N3461" s="28"/>
      <x:c r="O3461" s="28"/>
    </x:row>
    <x:row r="3462">
      <x:c r="B3462" s="26"/>
      <x:c r="I3462" s="27"/>
      <x:c r="K3462" s="28"/>
      <x:c r="L3462" s="28"/>
      <x:c r="M3462" s="28"/>
      <x:c r="N3462" s="28"/>
      <x:c r="O3462" s="28"/>
    </x:row>
    <x:row r="3463">
      <x:c r="B3463" s="26"/>
      <x:c r="I3463" s="27"/>
      <x:c r="K3463" s="28"/>
      <x:c r="L3463" s="28"/>
      <x:c r="M3463" s="28"/>
      <x:c r="N3463" s="28"/>
      <x:c r="O3463" s="28"/>
    </x:row>
    <x:row r="3464">
      <x:c r="B3464" s="26"/>
      <x:c r="I3464" s="27"/>
      <x:c r="K3464" s="28"/>
      <x:c r="L3464" s="28"/>
      <x:c r="M3464" s="28"/>
      <x:c r="N3464" s="28"/>
      <x:c r="O3464" s="28"/>
    </x:row>
    <x:row r="3465">
      <x:c r="B3465" s="26"/>
      <x:c r="I3465" s="27"/>
      <x:c r="K3465" s="28"/>
      <x:c r="L3465" s="28"/>
      <x:c r="M3465" s="28"/>
      <x:c r="N3465" s="28"/>
      <x:c r="O3465" s="28"/>
    </x:row>
    <x:row r="3466">
      <x:c r="B3466" s="26"/>
      <x:c r="I3466" s="27"/>
      <x:c r="K3466" s="28"/>
      <x:c r="L3466" s="28"/>
      <x:c r="M3466" s="28"/>
      <x:c r="N3466" s="28"/>
      <x:c r="O3466" s="28"/>
    </x:row>
    <x:row r="3467">
      <x:c r="B3467" s="26"/>
      <x:c r="I3467" s="27"/>
      <x:c r="K3467" s="28"/>
      <x:c r="L3467" s="28"/>
      <x:c r="M3467" s="28"/>
      <x:c r="N3467" s="28"/>
      <x:c r="O3467" s="28"/>
    </x:row>
    <x:row r="3468">
      <x:c r="B3468" s="26"/>
      <x:c r="I3468" s="27"/>
      <x:c r="K3468" s="28"/>
      <x:c r="L3468" s="28"/>
      <x:c r="M3468" s="28"/>
      <x:c r="N3468" s="28"/>
      <x:c r="O3468" s="28"/>
    </x:row>
    <x:row r="3469">
      <x:c r="B3469" s="26"/>
      <x:c r="I3469" s="27"/>
      <x:c r="K3469" s="28"/>
      <x:c r="L3469" s="28"/>
      <x:c r="M3469" s="28"/>
      <x:c r="N3469" s="28"/>
      <x:c r="O3469" s="28"/>
    </x:row>
    <x:row r="3470">
      <x:c r="B3470" s="26"/>
      <x:c r="I3470" s="27"/>
      <x:c r="K3470" s="28"/>
      <x:c r="L3470" s="28"/>
      <x:c r="M3470" s="28"/>
      <x:c r="N3470" s="28"/>
      <x:c r="O3470" s="28"/>
    </x:row>
    <x:row r="3471">
      <x:c r="B3471" s="26"/>
      <x:c r="I3471" s="27"/>
      <x:c r="K3471" s="28"/>
      <x:c r="L3471" s="28"/>
      <x:c r="M3471" s="28"/>
      <x:c r="N3471" s="28"/>
      <x:c r="O3471" s="28"/>
    </x:row>
    <x:row r="3472">
      <x:c r="B3472" s="26"/>
      <x:c r="I3472" s="27"/>
      <x:c r="K3472" s="28"/>
      <x:c r="L3472" s="28"/>
      <x:c r="M3472" s="28"/>
      <x:c r="N3472" s="28"/>
      <x:c r="O3472" s="28"/>
    </x:row>
    <x:row r="3473">
      <x:c r="B3473" s="26"/>
      <x:c r="I3473" s="27"/>
      <x:c r="K3473" s="28"/>
      <x:c r="L3473" s="28"/>
      <x:c r="M3473" s="28"/>
      <x:c r="N3473" s="28"/>
      <x:c r="O3473" s="28"/>
    </x:row>
    <x:row r="3474">
      <x:c r="B3474" s="26"/>
      <x:c r="I3474" s="27"/>
      <x:c r="K3474" s="28"/>
      <x:c r="L3474" s="28"/>
      <x:c r="M3474" s="28"/>
      <x:c r="N3474" s="28"/>
      <x:c r="O3474" s="28"/>
    </x:row>
    <x:row r="3475">
      <x:c r="B3475" s="26"/>
      <x:c r="I3475" s="27"/>
      <x:c r="K3475" s="28"/>
      <x:c r="L3475" s="28"/>
      <x:c r="M3475" s="28"/>
      <x:c r="N3475" s="28"/>
      <x:c r="O3475" s="28"/>
    </x:row>
    <x:row r="3476">
      <x:c r="B3476" s="26"/>
      <x:c r="I3476" s="27"/>
      <x:c r="K3476" s="28"/>
      <x:c r="L3476" s="28"/>
      <x:c r="M3476" s="28"/>
      <x:c r="N3476" s="28"/>
      <x:c r="O3476" s="28"/>
    </x:row>
    <x:row r="3477">
      <x:c r="B3477" s="26"/>
      <x:c r="I3477" s="27"/>
      <x:c r="K3477" s="28"/>
      <x:c r="L3477" s="28"/>
      <x:c r="M3477" s="28"/>
      <x:c r="N3477" s="28"/>
      <x:c r="O3477" s="28"/>
    </x:row>
    <x:row r="3478">
      <x:c r="B3478" s="26"/>
      <x:c r="I3478" s="27"/>
      <x:c r="K3478" s="28"/>
      <x:c r="L3478" s="28"/>
      <x:c r="M3478" s="28"/>
      <x:c r="N3478" s="28"/>
      <x:c r="O3478" s="28"/>
    </x:row>
    <x:row r="3479">
      <x:c r="B3479" s="26"/>
      <x:c r="I3479" s="27"/>
      <x:c r="K3479" s="28"/>
      <x:c r="L3479" s="28"/>
      <x:c r="M3479" s="28"/>
      <x:c r="N3479" s="28"/>
      <x:c r="O3479" s="28"/>
    </x:row>
    <x:row r="3480">
      <x:c r="B3480" s="26"/>
      <x:c r="I3480" s="27"/>
      <x:c r="K3480" s="28"/>
      <x:c r="L3480" s="28"/>
      <x:c r="M3480" s="28"/>
      <x:c r="N3480" s="28"/>
      <x:c r="O3480" s="28"/>
    </x:row>
    <x:row r="3481">
      <x:c r="B3481" s="26"/>
      <x:c r="I3481" s="27"/>
      <x:c r="K3481" s="28"/>
      <x:c r="L3481" s="28"/>
      <x:c r="M3481" s="28"/>
      <x:c r="N3481" s="28"/>
      <x:c r="O3481" s="28"/>
    </x:row>
    <x:row r="3482">
      <x:c r="B3482" s="26"/>
      <x:c r="I3482" s="27"/>
      <x:c r="K3482" s="28"/>
      <x:c r="L3482" s="28"/>
      <x:c r="M3482" s="28"/>
      <x:c r="N3482" s="28"/>
      <x:c r="O3482" s="28"/>
    </x:row>
    <x:row r="3483">
      <x:c r="B3483" s="26"/>
      <x:c r="I3483" s="27"/>
      <x:c r="K3483" s="28"/>
      <x:c r="L3483" s="28"/>
      <x:c r="M3483" s="28"/>
      <x:c r="N3483" s="28"/>
      <x:c r="O3483" s="28"/>
    </x:row>
    <x:row r="3484">
      <x:c r="B3484" s="26"/>
      <x:c r="I3484" s="27"/>
      <x:c r="K3484" s="28"/>
      <x:c r="L3484" s="28"/>
      <x:c r="M3484" s="28"/>
      <x:c r="N3484" s="28"/>
      <x:c r="O3484" s="28"/>
    </x:row>
    <x:row r="3485">
      <x:c r="B3485" s="26"/>
      <x:c r="I3485" s="27"/>
      <x:c r="K3485" s="28"/>
      <x:c r="L3485" s="28"/>
      <x:c r="M3485" s="28"/>
      <x:c r="N3485" s="28"/>
      <x:c r="O3485" s="28"/>
    </x:row>
    <x:row r="3486">
      <x:c r="B3486" s="26"/>
      <x:c r="I3486" s="27"/>
      <x:c r="K3486" s="28"/>
      <x:c r="L3486" s="28"/>
      <x:c r="M3486" s="28"/>
      <x:c r="N3486" s="28"/>
      <x:c r="O3486" s="28"/>
    </x:row>
    <x:row r="3487">
      <x:c r="B3487" s="26"/>
      <x:c r="I3487" s="27"/>
      <x:c r="K3487" s="28"/>
      <x:c r="L3487" s="28"/>
      <x:c r="M3487" s="28"/>
      <x:c r="N3487" s="28"/>
      <x:c r="O3487" s="28"/>
    </x:row>
    <x:row r="3488">
      <x:c r="B3488" s="26"/>
      <x:c r="I3488" s="27"/>
      <x:c r="K3488" s="28"/>
      <x:c r="L3488" s="28"/>
      <x:c r="M3488" s="28"/>
      <x:c r="N3488" s="28"/>
      <x:c r="O3488" s="28"/>
    </x:row>
    <x:row r="3489">
      <x:c r="B3489" s="26"/>
      <x:c r="I3489" s="27"/>
      <x:c r="K3489" s="28"/>
      <x:c r="L3489" s="28"/>
      <x:c r="M3489" s="28"/>
      <x:c r="N3489" s="28"/>
      <x:c r="O3489" s="28"/>
    </x:row>
    <x:row r="3490">
      <x:c r="B3490" s="26"/>
      <x:c r="I3490" s="27"/>
      <x:c r="K3490" s="28"/>
      <x:c r="L3490" s="28"/>
      <x:c r="M3490" s="28"/>
      <x:c r="N3490" s="28"/>
      <x:c r="O3490" s="28"/>
    </x:row>
    <x:row r="3491">
      <x:c r="B3491" s="26"/>
      <x:c r="I3491" s="27"/>
      <x:c r="K3491" s="28"/>
      <x:c r="L3491" s="28"/>
      <x:c r="M3491" s="28"/>
      <x:c r="N3491" s="28"/>
      <x:c r="O3491" s="28"/>
    </x:row>
    <x:row r="3492">
      <x:c r="B3492" s="26"/>
      <x:c r="I3492" s="27"/>
      <x:c r="K3492" s="28"/>
      <x:c r="L3492" s="28"/>
      <x:c r="M3492" s="28"/>
      <x:c r="N3492" s="28"/>
      <x:c r="O3492" s="28"/>
    </x:row>
    <x:row r="3493">
      <x:c r="B3493" s="26"/>
      <x:c r="I3493" s="27"/>
      <x:c r="K3493" s="28"/>
      <x:c r="L3493" s="28"/>
      <x:c r="M3493" s="28"/>
      <x:c r="N3493" s="28"/>
      <x:c r="O3493" s="28"/>
    </x:row>
    <x:row r="3494">
      <x:c r="B3494" s="26"/>
      <x:c r="I3494" s="27"/>
      <x:c r="K3494" s="28"/>
      <x:c r="L3494" s="28"/>
      <x:c r="M3494" s="28"/>
      <x:c r="N3494" s="28"/>
      <x:c r="O3494" s="28"/>
    </x:row>
    <x:row r="3495">
      <x:c r="B3495" s="26"/>
      <x:c r="I3495" s="27"/>
      <x:c r="K3495" s="28"/>
      <x:c r="L3495" s="28"/>
      <x:c r="M3495" s="28"/>
      <x:c r="N3495" s="28"/>
      <x:c r="O3495" s="28"/>
    </x:row>
    <x:row r="3496">
      <x:c r="B3496" s="26"/>
      <x:c r="I3496" s="27"/>
      <x:c r="K3496" s="28"/>
      <x:c r="L3496" s="28"/>
      <x:c r="M3496" s="28"/>
      <x:c r="N3496" s="28"/>
      <x:c r="O3496" s="28"/>
    </x:row>
    <x:row r="3497">
      <x:c r="B3497" s="26"/>
      <x:c r="I3497" s="27"/>
      <x:c r="K3497" s="28"/>
      <x:c r="L3497" s="28"/>
      <x:c r="M3497" s="28"/>
      <x:c r="N3497" s="28"/>
      <x:c r="O3497" s="28"/>
    </x:row>
    <x:row r="3498">
      <x:c r="B3498" s="26"/>
      <x:c r="I3498" s="27"/>
      <x:c r="K3498" s="28"/>
      <x:c r="L3498" s="28"/>
      <x:c r="M3498" s="28"/>
      <x:c r="N3498" s="28"/>
      <x:c r="O3498" s="28"/>
    </x:row>
    <x:row r="3499">
      <x:c r="B3499" s="26"/>
      <x:c r="I3499" s="27"/>
      <x:c r="K3499" s="28"/>
      <x:c r="L3499" s="28"/>
      <x:c r="M3499" s="28"/>
      <x:c r="N3499" s="28"/>
      <x:c r="O3499" s="28"/>
    </x:row>
    <x:row r="3500">
      <x:c r="B3500" s="26"/>
      <x:c r="I3500" s="27"/>
      <x:c r="K3500" s="28"/>
      <x:c r="L3500" s="28"/>
      <x:c r="M3500" s="28"/>
      <x:c r="N3500" s="28"/>
      <x:c r="O3500" s="28"/>
    </x:row>
    <x:row r="3501">
      <x:c r="B3501" s="26"/>
      <x:c r="I3501" s="27"/>
      <x:c r="K3501" s="28"/>
      <x:c r="L3501" s="28"/>
      <x:c r="M3501" s="28"/>
      <x:c r="N3501" s="28"/>
      <x:c r="O3501" s="28"/>
    </x:row>
    <x:row r="3502">
      <x:c r="B3502" s="26"/>
      <x:c r="I3502" s="27"/>
      <x:c r="K3502" s="28"/>
      <x:c r="L3502" s="28"/>
      <x:c r="M3502" s="28"/>
      <x:c r="N3502" s="28"/>
      <x:c r="O3502" s="28"/>
    </x:row>
    <x:row r="3503">
      <x:c r="B3503" s="26"/>
      <x:c r="I3503" s="27"/>
      <x:c r="K3503" s="28"/>
      <x:c r="L3503" s="28"/>
      <x:c r="M3503" s="28"/>
      <x:c r="N3503" s="28"/>
      <x:c r="O3503" s="28"/>
    </x:row>
    <x:row r="3504">
      <x:c r="B3504" s="26"/>
      <x:c r="I3504" s="27"/>
      <x:c r="K3504" s="28"/>
      <x:c r="L3504" s="28"/>
      <x:c r="M3504" s="28"/>
      <x:c r="N3504" s="28"/>
      <x:c r="O3504" s="28"/>
    </x:row>
    <x:row r="3505">
      <x:c r="B3505" s="26"/>
      <x:c r="I3505" s="27"/>
      <x:c r="K3505" s="28"/>
      <x:c r="L3505" s="28"/>
      <x:c r="M3505" s="28"/>
      <x:c r="N3505" s="28"/>
      <x:c r="O3505" s="28"/>
    </x:row>
    <x:row r="3506">
      <x:c r="B3506" s="26"/>
      <x:c r="I3506" s="27"/>
      <x:c r="K3506" s="28"/>
      <x:c r="L3506" s="28"/>
      <x:c r="M3506" s="28"/>
      <x:c r="N3506" s="28"/>
      <x:c r="O3506" s="28"/>
    </x:row>
    <x:row r="3507">
      <x:c r="B3507" s="26"/>
      <x:c r="I3507" s="27"/>
      <x:c r="K3507" s="28"/>
      <x:c r="L3507" s="28"/>
      <x:c r="M3507" s="28"/>
      <x:c r="N3507" s="28"/>
      <x:c r="O3507" s="28"/>
    </x:row>
    <x:row r="3508">
      <x:c r="B3508" s="26"/>
      <x:c r="I3508" s="27"/>
      <x:c r="K3508" s="28"/>
      <x:c r="L3508" s="28"/>
      <x:c r="M3508" s="28"/>
      <x:c r="N3508" s="28"/>
      <x:c r="O3508" s="28"/>
    </x:row>
    <x:row r="3509">
      <x:c r="B3509" s="26"/>
      <x:c r="I3509" s="27"/>
      <x:c r="K3509" s="28"/>
      <x:c r="L3509" s="28"/>
      <x:c r="M3509" s="28"/>
      <x:c r="N3509" s="28"/>
      <x:c r="O3509" s="28"/>
    </x:row>
    <x:row r="3510">
      <x:c r="B3510" s="26"/>
      <x:c r="I3510" s="27"/>
      <x:c r="K3510" s="28"/>
      <x:c r="L3510" s="28"/>
      <x:c r="M3510" s="28"/>
      <x:c r="N3510" s="28"/>
      <x:c r="O3510" s="28"/>
    </x:row>
    <x:row r="3511">
      <x:c r="B3511" s="26"/>
      <x:c r="I3511" s="27"/>
      <x:c r="K3511" s="28"/>
      <x:c r="L3511" s="28"/>
      <x:c r="M3511" s="28"/>
      <x:c r="N3511" s="28"/>
      <x:c r="O3511" s="28"/>
    </x:row>
    <x:row r="3512">
      <x:c r="B3512" s="26"/>
      <x:c r="I3512" s="27"/>
      <x:c r="K3512" s="28"/>
      <x:c r="L3512" s="28"/>
      <x:c r="M3512" s="28"/>
      <x:c r="N3512" s="28"/>
      <x:c r="O3512" s="28"/>
    </x:row>
    <x:row r="3513">
      <x:c r="B3513" s="26"/>
      <x:c r="I3513" s="27"/>
      <x:c r="K3513" s="28"/>
      <x:c r="L3513" s="28"/>
      <x:c r="M3513" s="28"/>
      <x:c r="N3513" s="28"/>
      <x:c r="O3513" s="28"/>
    </x:row>
    <x:row r="3514">
      <x:c r="B3514" s="26"/>
      <x:c r="I3514" s="27"/>
      <x:c r="K3514" s="28"/>
      <x:c r="L3514" s="28"/>
      <x:c r="M3514" s="28"/>
      <x:c r="N3514" s="28"/>
      <x:c r="O3514" s="28"/>
    </x:row>
    <x:row r="3515">
      <x:c r="B3515" s="26"/>
      <x:c r="I3515" s="27"/>
      <x:c r="K3515" s="28"/>
      <x:c r="L3515" s="28"/>
      <x:c r="M3515" s="28"/>
      <x:c r="N3515" s="28"/>
      <x:c r="O3515" s="28"/>
    </x:row>
    <x:row r="3516">
      <x:c r="B3516" s="26"/>
      <x:c r="I3516" s="27"/>
      <x:c r="K3516" s="28"/>
      <x:c r="L3516" s="28"/>
      <x:c r="M3516" s="28"/>
      <x:c r="N3516" s="28"/>
      <x:c r="O3516" s="28"/>
    </x:row>
    <x:row r="3517">
      <x:c r="B3517" s="26"/>
      <x:c r="I3517" s="27"/>
      <x:c r="K3517" s="28"/>
      <x:c r="L3517" s="28"/>
      <x:c r="M3517" s="28"/>
      <x:c r="N3517" s="28"/>
      <x:c r="O3517" s="28"/>
    </x:row>
    <x:row r="3518">
      <x:c r="B3518" s="26"/>
      <x:c r="I3518" s="27"/>
      <x:c r="K3518" s="28"/>
      <x:c r="L3518" s="28"/>
      <x:c r="M3518" s="28"/>
      <x:c r="N3518" s="28"/>
      <x:c r="O3518" s="28"/>
    </x:row>
    <x:row r="3519">
      <x:c r="B3519" s="26"/>
      <x:c r="I3519" s="27"/>
      <x:c r="K3519" s="28"/>
      <x:c r="L3519" s="28"/>
      <x:c r="M3519" s="28"/>
      <x:c r="N3519" s="28"/>
      <x:c r="O3519" s="28"/>
    </x:row>
    <x:row r="3520">
      <x:c r="B3520" s="26"/>
      <x:c r="I3520" s="27"/>
      <x:c r="K3520" s="28"/>
      <x:c r="L3520" s="28"/>
      <x:c r="M3520" s="28"/>
      <x:c r="N3520" s="28"/>
      <x:c r="O3520" s="28"/>
    </x:row>
    <x:row r="3521">
      <x:c r="B3521" s="26"/>
      <x:c r="I3521" s="27"/>
      <x:c r="K3521" s="28"/>
      <x:c r="L3521" s="28"/>
      <x:c r="M3521" s="28"/>
      <x:c r="N3521" s="28"/>
      <x:c r="O3521" s="28"/>
    </x:row>
    <x:row r="3522">
      <x:c r="B3522" s="26"/>
      <x:c r="I3522" s="27"/>
      <x:c r="K3522" s="28"/>
      <x:c r="L3522" s="28"/>
      <x:c r="M3522" s="28"/>
      <x:c r="N3522" s="28"/>
      <x:c r="O3522" s="28"/>
    </x:row>
    <x:row r="3523">
      <x:c r="B3523" s="26"/>
      <x:c r="I3523" s="27"/>
      <x:c r="K3523" s="28"/>
      <x:c r="L3523" s="28"/>
      <x:c r="M3523" s="28"/>
      <x:c r="N3523" s="28"/>
      <x:c r="O3523" s="28"/>
    </x:row>
    <x:row r="3524">
      <x:c r="B3524" s="26"/>
      <x:c r="I3524" s="27"/>
      <x:c r="K3524" s="28"/>
      <x:c r="L3524" s="28"/>
      <x:c r="M3524" s="28"/>
      <x:c r="N3524" s="28"/>
      <x:c r="O3524" s="28"/>
    </x:row>
    <x:row r="3525">
      <x:c r="B3525" s="26"/>
      <x:c r="I3525" s="27"/>
      <x:c r="K3525" s="28"/>
      <x:c r="L3525" s="28"/>
      <x:c r="M3525" s="28"/>
      <x:c r="N3525" s="28"/>
      <x:c r="O3525" s="28"/>
    </x:row>
    <x:row r="3526">
      <x:c r="B3526" s="26"/>
      <x:c r="I3526" s="27"/>
      <x:c r="K3526" s="28"/>
      <x:c r="L3526" s="28"/>
      <x:c r="M3526" s="28"/>
      <x:c r="N3526" s="28"/>
      <x:c r="O3526" s="28"/>
    </x:row>
    <x:row r="3527">
      <x:c r="B3527" s="26"/>
      <x:c r="I3527" s="27"/>
      <x:c r="K3527" s="28"/>
      <x:c r="L3527" s="28"/>
      <x:c r="M3527" s="28"/>
      <x:c r="N3527" s="28"/>
      <x:c r="O3527" s="28"/>
    </x:row>
    <x:row r="3528">
      <x:c r="B3528" s="26"/>
      <x:c r="I3528" s="27"/>
      <x:c r="K3528" s="28"/>
      <x:c r="L3528" s="28"/>
      <x:c r="M3528" s="28"/>
      <x:c r="N3528" s="28"/>
      <x:c r="O3528" s="28"/>
    </x:row>
    <x:row r="3529">
      <x:c r="B3529" s="26"/>
      <x:c r="I3529" s="27"/>
      <x:c r="K3529" s="28"/>
      <x:c r="L3529" s="28"/>
      <x:c r="M3529" s="28"/>
      <x:c r="N3529" s="28"/>
      <x:c r="O3529" s="28"/>
    </x:row>
    <x:row r="3530">
      <x:c r="B3530" s="26"/>
      <x:c r="I3530" s="27"/>
      <x:c r="K3530" s="28"/>
      <x:c r="L3530" s="28"/>
      <x:c r="M3530" s="28"/>
      <x:c r="N3530" s="28"/>
      <x:c r="O3530" s="28"/>
    </x:row>
    <x:row r="3531">
      <x:c r="B3531" s="26"/>
      <x:c r="I3531" s="27"/>
      <x:c r="K3531" s="28"/>
      <x:c r="L3531" s="28"/>
      <x:c r="M3531" s="28"/>
      <x:c r="N3531" s="28"/>
      <x:c r="O3531" s="28"/>
    </x:row>
    <x:row r="3532">
      <x:c r="B3532" s="26"/>
      <x:c r="I3532" s="27"/>
      <x:c r="K3532" s="28"/>
      <x:c r="L3532" s="28"/>
      <x:c r="M3532" s="28"/>
      <x:c r="N3532" s="28"/>
      <x:c r="O3532" s="28"/>
    </x:row>
    <x:row r="3533">
      <x:c r="B3533" s="26"/>
      <x:c r="I3533" s="27"/>
      <x:c r="K3533" s="28"/>
      <x:c r="L3533" s="28"/>
      <x:c r="M3533" s="28"/>
      <x:c r="N3533" s="28"/>
      <x:c r="O3533" s="28"/>
    </x:row>
    <x:row r="3534">
      <x:c r="B3534" s="26"/>
      <x:c r="I3534" s="27"/>
      <x:c r="K3534" s="28"/>
      <x:c r="L3534" s="28"/>
      <x:c r="M3534" s="28"/>
      <x:c r="N3534" s="28"/>
      <x:c r="O3534" s="28"/>
    </x:row>
    <x:row r="3535">
      <x:c r="B3535" s="26"/>
      <x:c r="I3535" s="27"/>
      <x:c r="K3535" s="28"/>
      <x:c r="L3535" s="28"/>
      <x:c r="M3535" s="28"/>
      <x:c r="N3535" s="28"/>
      <x:c r="O3535" s="28"/>
    </x:row>
    <x:row r="3536">
      <x:c r="B3536" s="26"/>
      <x:c r="I3536" s="27"/>
      <x:c r="K3536" s="28"/>
      <x:c r="L3536" s="28"/>
      <x:c r="M3536" s="28"/>
      <x:c r="N3536" s="28"/>
      <x:c r="O3536" s="28"/>
    </x:row>
    <x:row r="3537">
      <x:c r="B3537" s="26"/>
      <x:c r="I3537" s="27"/>
      <x:c r="K3537" s="28"/>
      <x:c r="L3537" s="28"/>
      <x:c r="M3537" s="28"/>
      <x:c r="N3537" s="28"/>
      <x:c r="O3537" s="28"/>
    </x:row>
    <x:row r="3538">
      <x:c r="B3538" s="26"/>
      <x:c r="I3538" s="27"/>
      <x:c r="K3538" s="28"/>
      <x:c r="L3538" s="28"/>
      <x:c r="M3538" s="28"/>
      <x:c r="N3538" s="28"/>
      <x:c r="O3538" s="28"/>
    </x:row>
    <x:row r="3539">
      <x:c r="B3539" s="26"/>
      <x:c r="I3539" s="27"/>
      <x:c r="K3539" s="28"/>
      <x:c r="L3539" s="28"/>
      <x:c r="M3539" s="28"/>
      <x:c r="N3539" s="28"/>
      <x:c r="O3539" s="28"/>
    </x:row>
    <x:row r="3540">
      <x:c r="B3540" s="26"/>
      <x:c r="I3540" s="27"/>
      <x:c r="K3540" s="28"/>
      <x:c r="L3540" s="28"/>
      <x:c r="M3540" s="28"/>
      <x:c r="N3540" s="28"/>
      <x:c r="O3540" s="28"/>
    </x:row>
    <x:row r="3541">
      <x:c r="B3541" s="26"/>
      <x:c r="I3541" s="27"/>
      <x:c r="K3541" s="28"/>
      <x:c r="L3541" s="28"/>
      <x:c r="M3541" s="28"/>
      <x:c r="N3541" s="28"/>
      <x:c r="O3541" s="28"/>
    </x:row>
    <x:row r="3542">
      <x:c r="B3542" s="26"/>
      <x:c r="I3542" s="27"/>
      <x:c r="K3542" s="28"/>
      <x:c r="L3542" s="28"/>
      <x:c r="M3542" s="28"/>
      <x:c r="N3542" s="28"/>
      <x:c r="O3542" s="28"/>
    </x:row>
    <x:row r="3543">
      <x:c r="B3543" s="26"/>
      <x:c r="I3543" s="27"/>
      <x:c r="K3543" s="28"/>
      <x:c r="L3543" s="28"/>
      <x:c r="M3543" s="28"/>
      <x:c r="N3543" s="28"/>
      <x:c r="O3543" s="28"/>
    </x:row>
    <x:row r="3544">
      <x:c r="B3544" s="26"/>
      <x:c r="I3544" s="27"/>
      <x:c r="K3544" s="28"/>
      <x:c r="L3544" s="28"/>
      <x:c r="M3544" s="28"/>
      <x:c r="N3544" s="28"/>
      <x:c r="O3544" s="28"/>
    </x:row>
    <x:row r="3545">
      <x:c r="B3545" s="26"/>
      <x:c r="I3545" s="27"/>
      <x:c r="K3545" s="28"/>
      <x:c r="L3545" s="28"/>
      <x:c r="M3545" s="28"/>
      <x:c r="N3545" s="28"/>
      <x:c r="O3545" s="28"/>
    </x:row>
    <x:row r="3546">
      <x:c r="B3546" s="26"/>
      <x:c r="I3546" s="27"/>
      <x:c r="K3546" s="28"/>
      <x:c r="L3546" s="28"/>
      <x:c r="M3546" s="28"/>
      <x:c r="N3546" s="28"/>
      <x:c r="O3546" s="28"/>
    </x:row>
    <x:row r="3547">
      <x:c r="B3547" s="26"/>
      <x:c r="I3547" s="27"/>
      <x:c r="K3547" s="28"/>
      <x:c r="L3547" s="28"/>
      <x:c r="M3547" s="28"/>
      <x:c r="N3547" s="28"/>
      <x:c r="O3547" s="28"/>
    </x:row>
    <x:row r="3548">
      <x:c r="B3548" s="26"/>
      <x:c r="I3548" s="27"/>
      <x:c r="K3548" s="28"/>
      <x:c r="L3548" s="28"/>
      <x:c r="M3548" s="28"/>
      <x:c r="N3548" s="28"/>
      <x:c r="O3548" s="28"/>
    </x:row>
    <x:row r="3549">
      <x:c r="B3549" s="26"/>
      <x:c r="I3549" s="27"/>
      <x:c r="K3549" s="28"/>
      <x:c r="L3549" s="28"/>
      <x:c r="M3549" s="28"/>
      <x:c r="N3549" s="28"/>
      <x:c r="O3549" s="28"/>
    </x:row>
    <x:row r="3550">
      <x:c r="B3550" s="26"/>
      <x:c r="I3550" s="27"/>
      <x:c r="K3550" s="28"/>
      <x:c r="L3550" s="28"/>
      <x:c r="M3550" s="28"/>
      <x:c r="N3550" s="28"/>
      <x:c r="O3550" s="28"/>
    </x:row>
    <x:row r="3551">
      <x:c r="B3551" s="26"/>
      <x:c r="I3551" s="27"/>
      <x:c r="K3551" s="28"/>
      <x:c r="L3551" s="28"/>
      <x:c r="M3551" s="28"/>
      <x:c r="N3551" s="28"/>
      <x:c r="O3551" s="28"/>
    </x:row>
    <x:row r="3552">
      <x:c r="B3552" s="26"/>
      <x:c r="I3552" s="27"/>
      <x:c r="K3552" s="28"/>
      <x:c r="L3552" s="28"/>
      <x:c r="M3552" s="28"/>
      <x:c r="N3552" s="28"/>
      <x:c r="O3552" s="28"/>
    </x:row>
    <x:row r="3553">
      <x:c r="B3553" s="26"/>
      <x:c r="I3553" s="27"/>
      <x:c r="K3553" s="28"/>
      <x:c r="L3553" s="28"/>
      <x:c r="M3553" s="28"/>
      <x:c r="N3553" s="28"/>
      <x:c r="O3553" s="28"/>
    </x:row>
    <x:row r="3554">
      <x:c r="B3554" s="26"/>
      <x:c r="I3554" s="27"/>
      <x:c r="K3554" s="28"/>
      <x:c r="L3554" s="28"/>
      <x:c r="M3554" s="28"/>
      <x:c r="N3554" s="28"/>
      <x:c r="O3554" s="28"/>
    </x:row>
    <x:row r="3555">
      <x:c r="B3555" s="26"/>
      <x:c r="I3555" s="27"/>
      <x:c r="K3555" s="28"/>
      <x:c r="L3555" s="28"/>
      <x:c r="M3555" s="28"/>
      <x:c r="N3555" s="28"/>
      <x:c r="O3555" s="28"/>
    </x:row>
    <x:row r="3556">
      <x:c r="B3556" s="26"/>
      <x:c r="I3556" s="27"/>
      <x:c r="K3556" s="28"/>
      <x:c r="L3556" s="28"/>
      <x:c r="M3556" s="28"/>
      <x:c r="N3556" s="28"/>
      <x:c r="O3556" s="28"/>
    </x:row>
    <x:row r="3557">
      <x:c r="B3557" s="26"/>
      <x:c r="I3557" s="27"/>
      <x:c r="K3557" s="28"/>
      <x:c r="L3557" s="28"/>
      <x:c r="M3557" s="28"/>
      <x:c r="N3557" s="28"/>
      <x:c r="O3557" s="28"/>
    </x:row>
    <x:row r="3558">
      <x:c r="B3558" s="26"/>
      <x:c r="I3558" s="27"/>
      <x:c r="K3558" s="28"/>
      <x:c r="L3558" s="28"/>
      <x:c r="M3558" s="28"/>
      <x:c r="N3558" s="28"/>
      <x:c r="O3558" s="28"/>
    </x:row>
    <x:row r="3559">
      <x:c r="B3559" s="26"/>
      <x:c r="I3559" s="27"/>
      <x:c r="K3559" s="28"/>
      <x:c r="L3559" s="28"/>
      <x:c r="M3559" s="28"/>
      <x:c r="N3559" s="28"/>
      <x:c r="O3559" s="28"/>
    </x:row>
    <x:row r="3560">
      <x:c r="B3560" s="26"/>
      <x:c r="I3560" s="27"/>
      <x:c r="K3560" s="28"/>
      <x:c r="L3560" s="28"/>
      <x:c r="M3560" s="28"/>
      <x:c r="N3560" s="28"/>
      <x:c r="O3560" s="28"/>
    </x:row>
    <x:row r="3561">
      <x:c r="B3561" s="26"/>
      <x:c r="I3561" s="27"/>
      <x:c r="K3561" s="28"/>
      <x:c r="L3561" s="28"/>
      <x:c r="M3561" s="28"/>
      <x:c r="N3561" s="28"/>
      <x:c r="O3561" s="28"/>
    </x:row>
    <x:row r="3562">
      <x:c r="B3562" s="26"/>
      <x:c r="I3562" s="27"/>
      <x:c r="K3562" s="28"/>
      <x:c r="L3562" s="28"/>
      <x:c r="M3562" s="28"/>
      <x:c r="N3562" s="28"/>
      <x:c r="O3562" s="28"/>
    </x:row>
    <x:row r="3563">
      <x:c r="B3563" s="26"/>
      <x:c r="I3563" s="27"/>
      <x:c r="K3563" s="28"/>
      <x:c r="L3563" s="28"/>
      <x:c r="M3563" s="28"/>
      <x:c r="N3563" s="28"/>
      <x:c r="O3563" s="28"/>
    </x:row>
    <x:row r="3564">
      <x:c r="B3564" s="26"/>
      <x:c r="I3564" s="27"/>
      <x:c r="K3564" s="28"/>
      <x:c r="L3564" s="28"/>
      <x:c r="M3564" s="28"/>
      <x:c r="N3564" s="28"/>
      <x:c r="O3564" s="28"/>
    </x:row>
    <x:row r="3565">
      <x:c r="B3565" s="26"/>
      <x:c r="I3565" s="27"/>
      <x:c r="K3565" s="28"/>
      <x:c r="L3565" s="28"/>
      <x:c r="M3565" s="28"/>
      <x:c r="N3565" s="28"/>
      <x:c r="O3565" s="28"/>
    </x:row>
    <x:row r="3566">
      <x:c r="B3566" s="26"/>
      <x:c r="I3566" s="27"/>
      <x:c r="K3566" s="28"/>
      <x:c r="L3566" s="28"/>
      <x:c r="M3566" s="28"/>
      <x:c r="N3566" s="28"/>
      <x:c r="O3566" s="28"/>
    </x:row>
    <x:row r="3567">
      <x:c r="B3567" s="26"/>
      <x:c r="I3567" s="27"/>
      <x:c r="K3567" s="28"/>
      <x:c r="L3567" s="28"/>
      <x:c r="M3567" s="28"/>
      <x:c r="N3567" s="28"/>
      <x:c r="O3567" s="28"/>
    </x:row>
    <x:row r="3568">
      <x:c r="B3568" s="26"/>
      <x:c r="I3568" s="27"/>
      <x:c r="K3568" s="28"/>
      <x:c r="L3568" s="28"/>
      <x:c r="M3568" s="28"/>
      <x:c r="N3568" s="28"/>
      <x:c r="O3568" s="28"/>
    </x:row>
    <x:row r="3569">
      <x:c r="B3569" s="26"/>
      <x:c r="I3569" s="27"/>
      <x:c r="K3569" s="28"/>
      <x:c r="L3569" s="28"/>
      <x:c r="M3569" s="28"/>
      <x:c r="N3569" s="28"/>
      <x:c r="O3569" s="28"/>
    </x:row>
    <x:row r="3570">
      <x:c r="B3570" s="26"/>
      <x:c r="I3570" s="27"/>
      <x:c r="K3570" s="28"/>
      <x:c r="L3570" s="28"/>
      <x:c r="M3570" s="28"/>
      <x:c r="N3570" s="28"/>
      <x:c r="O3570" s="28"/>
    </x:row>
    <x:row r="3571">
      <x:c r="B3571" s="26"/>
      <x:c r="I3571" s="27"/>
      <x:c r="K3571" s="28"/>
      <x:c r="L3571" s="28"/>
      <x:c r="M3571" s="28"/>
      <x:c r="N3571" s="28"/>
      <x:c r="O3571" s="28"/>
    </x:row>
    <x:row r="3572">
      <x:c r="B3572" s="26"/>
      <x:c r="I3572" s="27"/>
      <x:c r="K3572" s="28"/>
      <x:c r="L3572" s="28"/>
      <x:c r="M3572" s="28"/>
      <x:c r="N3572" s="28"/>
      <x:c r="O3572" s="28"/>
    </x:row>
    <x:row r="3573">
      <x:c r="B3573" s="26"/>
      <x:c r="I3573" s="27"/>
      <x:c r="K3573" s="28"/>
      <x:c r="L3573" s="28"/>
      <x:c r="M3573" s="28"/>
      <x:c r="N3573" s="28"/>
      <x:c r="O3573" s="28"/>
    </x:row>
    <x:row r="3574">
      <x:c r="B3574" s="26"/>
      <x:c r="I3574" s="27"/>
      <x:c r="K3574" s="28"/>
      <x:c r="L3574" s="28"/>
      <x:c r="M3574" s="28"/>
      <x:c r="N3574" s="28"/>
      <x:c r="O3574" s="28"/>
    </x:row>
    <x:row r="3575">
      <x:c r="B3575" s="26"/>
      <x:c r="I3575" s="27"/>
      <x:c r="K3575" s="28"/>
      <x:c r="L3575" s="28"/>
      <x:c r="M3575" s="28"/>
      <x:c r="N3575" s="28"/>
      <x:c r="O3575" s="28"/>
    </x:row>
    <x:row r="3576">
      <x:c r="B3576" s="26"/>
      <x:c r="I3576" s="27"/>
      <x:c r="K3576" s="28"/>
      <x:c r="L3576" s="28"/>
      <x:c r="M3576" s="28"/>
      <x:c r="N3576" s="28"/>
      <x:c r="O3576" s="28"/>
    </x:row>
    <x:row r="3577">
      <x:c r="B3577" s="26"/>
      <x:c r="I3577" s="27"/>
      <x:c r="K3577" s="28"/>
      <x:c r="L3577" s="28"/>
      <x:c r="M3577" s="28"/>
      <x:c r="N3577" s="28"/>
      <x:c r="O3577" s="28"/>
    </x:row>
    <x:row r="3578">
      <x:c r="B3578" s="26"/>
      <x:c r="I3578" s="27"/>
      <x:c r="K3578" s="28"/>
      <x:c r="L3578" s="28"/>
      <x:c r="M3578" s="28"/>
      <x:c r="N3578" s="28"/>
      <x:c r="O3578" s="28"/>
    </x:row>
    <x:row r="3579">
      <x:c r="B3579" s="26"/>
      <x:c r="I3579" s="27"/>
      <x:c r="K3579" s="28"/>
      <x:c r="L3579" s="28"/>
      <x:c r="M3579" s="28"/>
      <x:c r="N3579" s="28"/>
      <x:c r="O3579" s="28"/>
    </x:row>
    <x:row r="3580">
      <x:c r="B3580" s="26"/>
      <x:c r="I3580" s="27"/>
      <x:c r="K3580" s="28"/>
      <x:c r="L3580" s="28"/>
      <x:c r="M3580" s="28"/>
      <x:c r="N3580" s="28"/>
      <x:c r="O3580" s="28"/>
    </x:row>
    <x:row r="3581">
      <x:c r="B3581" s="26"/>
      <x:c r="I3581" s="27"/>
      <x:c r="K3581" s="28"/>
      <x:c r="L3581" s="28"/>
      <x:c r="M3581" s="28"/>
      <x:c r="N3581" s="28"/>
      <x:c r="O3581" s="28"/>
    </x:row>
    <x:row r="3582">
      <x:c r="B3582" s="26"/>
      <x:c r="I3582" s="27"/>
      <x:c r="K3582" s="28"/>
      <x:c r="L3582" s="28"/>
      <x:c r="M3582" s="28"/>
      <x:c r="N3582" s="28"/>
      <x:c r="O3582" s="28"/>
    </x:row>
    <x:row r="3583">
      <x:c r="B3583" s="26"/>
      <x:c r="I3583" s="27"/>
      <x:c r="K3583" s="28"/>
      <x:c r="L3583" s="28"/>
      <x:c r="M3583" s="28"/>
      <x:c r="N3583" s="28"/>
      <x:c r="O3583" s="28"/>
    </x:row>
    <x:row r="3584">
      <x:c r="B3584" s="26"/>
      <x:c r="I3584" s="27"/>
      <x:c r="K3584" s="28"/>
      <x:c r="L3584" s="28"/>
      <x:c r="M3584" s="28"/>
      <x:c r="N3584" s="28"/>
      <x:c r="O3584" s="28"/>
    </x:row>
    <x:row r="3585">
      <x:c r="B3585" s="26"/>
      <x:c r="I3585" s="27"/>
      <x:c r="K3585" s="28"/>
      <x:c r="L3585" s="28"/>
      <x:c r="M3585" s="28"/>
      <x:c r="N3585" s="28"/>
      <x:c r="O3585" s="28"/>
    </x:row>
    <x:row r="3586">
      <x:c r="B3586" s="26"/>
      <x:c r="I3586" s="27"/>
      <x:c r="K3586" s="28"/>
      <x:c r="L3586" s="28"/>
      <x:c r="M3586" s="28"/>
      <x:c r="N3586" s="28"/>
      <x:c r="O3586" s="28"/>
    </x:row>
    <x:row r="3587">
      <x:c r="B3587" s="26"/>
      <x:c r="I3587" s="27"/>
      <x:c r="K3587" s="28"/>
      <x:c r="L3587" s="28"/>
      <x:c r="M3587" s="28"/>
      <x:c r="N3587" s="28"/>
      <x:c r="O3587" s="28"/>
    </x:row>
    <x:row r="3588">
      <x:c r="B3588" s="26"/>
      <x:c r="I3588" s="27"/>
      <x:c r="K3588" s="28"/>
      <x:c r="L3588" s="28"/>
      <x:c r="M3588" s="28"/>
      <x:c r="N3588" s="28"/>
      <x:c r="O3588" s="28"/>
    </x:row>
    <x:row r="3589">
      <x:c r="B3589" s="26"/>
      <x:c r="I3589" s="27"/>
      <x:c r="K3589" s="28"/>
      <x:c r="L3589" s="28"/>
      <x:c r="M3589" s="28"/>
      <x:c r="N3589" s="28"/>
      <x:c r="O3589" s="28"/>
    </x:row>
    <x:row r="3590">
      <x:c r="B3590" s="26"/>
      <x:c r="I3590" s="27"/>
      <x:c r="K3590" s="28"/>
      <x:c r="L3590" s="28"/>
      <x:c r="M3590" s="28"/>
      <x:c r="N3590" s="28"/>
      <x:c r="O3590" s="28"/>
    </x:row>
    <x:row r="3591">
      <x:c r="B3591" s="26"/>
      <x:c r="I3591" s="27"/>
      <x:c r="K3591" s="28"/>
      <x:c r="L3591" s="28"/>
      <x:c r="M3591" s="28"/>
      <x:c r="N3591" s="28"/>
      <x:c r="O3591" s="28"/>
    </x:row>
    <x:row r="3592">
      <x:c r="B3592" s="26"/>
      <x:c r="I3592" s="27"/>
      <x:c r="K3592" s="28"/>
      <x:c r="L3592" s="28"/>
      <x:c r="M3592" s="28"/>
      <x:c r="N3592" s="28"/>
      <x:c r="O3592" s="28"/>
    </x:row>
    <x:row r="3593">
      <x:c r="B3593" s="26"/>
      <x:c r="I3593" s="27"/>
      <x:c r="K3593" s="28"/>
      <x:c r="L3593" s="28"/>
      <x:c r="M3593" s="28"/>
      <x:c r="N3593" s="28"/>
      <x:c r="O3593" s="28"/>
    </x:row>
    <x:row r="3594">
      <x:c r="B3594" s="26"/>
      <x:c r="I3594" s="27"/>
      <x:c r="K3594" s="28"/>
      <x:c r="L3594" s="28"/>
      <x:c r="M3594" s="28"/>
      <x:c r="N3594" s="28"/>
      <x:c r="O3594" s="28"/>
    </x:row>
    <x:row r="3595">
      <x:c r="B3595" s="26"/>
      <x:c r="I3595" s="27"/>
      <x:c r="K3595" s="28"/>
      <x:c r="L3595" s="28"/>
      <x:c r="M3595" s="28"/>
      <x:c r="N3595" s="28"/>
      <x:c r="O3595" s="28"/>
    </x:row>
    <x:row r="3596">
      <x:c r="B3596" s="26"/>
      <x:c r="I3596" s="27"/>
      <x:c r="K3596" s="28"/>
      <x:c r="L3596" s="28"/>
      <x:c r="M3596" s="28"/>
      <x:c r="N3596" s="28"/>
      <x:c r="O3596" s="28"/>
    </x:row>
    <x:row r="3597">
      <x:c r="B3597" s="26"/>
      <x:c r="I3597" s="27"/>
      <x:c r="K3597" s="28"/>
      <x:c r="L3597" s="28"/>
      <x:c r="M3597" s="28"/>
      <x:c r="N3597" s="28"/>
      <x:c r="O3597" s="28"/>
    </x:row>
    <x:row r="3598">
      <x:c r="B3598" s="26"/>
      <x:c r="I3598" s="27"/>
      <x:c r="K3598" s="28"/>
      <x:c r="L3598" s="28"/>
      <x:c r="M3598" s="28"/>
      <x:c r="N3598" s="28"/>
      <x:c r="O3598" s="28"/>
    </x:row>
    <x:row r="3599">
      <x:c r="B3599" s="26"/>
      <x:c r="I3599" s="27"/>
      <x:c r="K3599" s="28"/>
      <x:c r="L3599" s="28"/>
      <x:c r="M3599" s="28"/>
      <x:c r="N3599" s="28"/>
      <x:c r="O3599" s="28"/>
    </x:row>
    <x:row r="3600">
      <x:c r="B3600" s="26"/>
      <x:c r="I3600" s="27"/>
      <x:c r="K3600" s="28"/>
      <x:c r="L3600" s="28"/>
      <x:c r="M3600" s="28"/>
      <x:c r="N3600" s="28"/>
      <x:c r="O3600" s="28"/>
    </x:row>
    <x:row r="3601">
      <x:c r="B3601" s="26"/>
      <x:c r="I3601" s="27"/>
      <x:c r="K3601" s="28"/>
      <x:c r="L3601" s="28"/>
      <x:c r="M3601" s="28"/>
      <x:c r="N3601" s="28"/>
      <x:c r="O3601" s="28"/>
    </x:row>
    <x:row r="3602">
      <x:c r="B3602" s="26"/>
      <x:c r="I3602" s="27"/>
      <x:c r="K3602" s="28"/>
      <x:c r="L3602" s="28"/>
      <x:c r="M3602" s="28"/>
      <x:c r="N3602" s="28"/>
      <x:c r="O3602" s="28"/>
    </x:row>
    <x:row r="3603">
      <x:c r="B3603" s="26"/>
      <x:c r="I3603" s="27"/>
      <x:c r="K3603" s="28"/>
      <x:c r="L3603" s="28"/>
      <x:c r="M3603" s="28"/>
      <x:c r="N3603" s="28"/>
      <x:c r="O3603" s="28"/>
    </x:row>
    <x:row r="3604">
      <x:c r="B3604" s="26"/>
      <x:c r="I3604" s="27"/>
      <x:c r="K3604" s="28"/>
      <x:c r="L3604" s="28"/>
      <x:c r="M3604" s="28"/>
      <x:c r="N3604" s="28"/>
      <x:c r="O3604" s="28"/>
    </x:row>
    <x:row r="3605">
      <x:c r="B3605" s="26"/>
      <x:c r="I3605" s="27"/>
      <x:c r="K3605" s="28"/>
      <x:c r="L3605" s="28"/>
      <x:c r="M3605" s="28"/>
      <x:c r="N3605" s="28"/>
      <x:c r="O3605" s="28"/>
    </x:row>
    <x:row r="3606">
      <x:c r="B3606" s="26"/>
      <x:c r="I3606" s="27"/>
      <x:c r="K3606" s="28"/>
      <x:c r="L3606" s="28"/>
      <x:c r="M3606" s="28"/>
      <x:c r="N3606" s="28"/>
      <x:c r="O3606" s="28"/>
    </x:row>
    <x:row r="3607">
      <x:c r="B3607" s="26"/>
      <x:c r="I3607" s="27"/>
      <x:c r="K3607" s="28"/>
      <x:c r="L3607" s="28"/>
      <x:c r="M3607" s="28"/>
      <x:c r="N3607" s="28"/>
      <x:c r="O3607" s="28"/>
    </x:row>
    <x:row r="3608">
      <x:c r="B3608" s="26"/>
      <x:c r="I3608" s="27"/>
      <x:c r="K3608" s="28"/>
      <x:c r="L3608" s="28"/>
      <x:c r="M3608" s="28"/>
      <x:c r="N3608" s="28"/>
      <x:c r="O3608" s="28"/>
    </x:row>
    <x:row r="3609">
      <x:c r="B3609" s="26"/>
      <x:c r="I3609" s="27"/>
      <x:c r="K3609" s="28"/>
      <x:c r="L3609" s="28"/>
      <x:c r="M3609" s="28"/>
      <x:c r="N3609" s="28"/>
      <x:c r="O3609" s="28"/>
    </x:row>
    <x:row r="3610">
      <x:c r="B3610" s="26"/>
      <x:c r="I3610" s="27"/>
      <x:c r="K3610" s="28"/>
      <x:c r="L3610" s="28"/>
      <x:c r="M3610" s="28"/>
      <x:c r="N3610" s="28"/>
      <x:c r="O3610" s="28"/>
    </x:row>
    <x:row r="3611">
      <x:c r="B3611" s="26"/>
      <x:c r="I3611" s="27"/>
      <x:c r="K3611" s="28"/>
      <x:c r="L3611" s="28"/>
      <x:c r="M3611" s="28"/>
      <x:c r="N3611" s="28"/>
      <x:c r="O3611" s="28"/>
    </x:row>
    <x:row r="3612">
      <x:c r="B3612" s="26"/>
      <x:c r="I3612" s="27"/>
      <x:c r="K3612" s="28"/>
      <x:c r="L3612" s="28"/>
      <x:c r="M3612" s="28"/>
      <x:c r="N3612" s="28"/>
      <x:c r="O3612" s="28"/>
    </x:row>
    <x:row r="3613">
      <x:c r="B3613" s="26"/>
      <x:c r="I3613" s="27"/>
      <x:c r="K3613" s="28"/>
      <x:c r="L3613" s="28"/>
      <x:c r="M3613" s="28"/>
      <x:c r="N3613" s="28"/>
      <x:c r="O3613" s="28"/>
    </x:row>
    <x:row r="3614">
      <x:c r="B3614" s="26"/>
      <x:c r="I3614" s="27"/>
      <x:c r="K3614" s="28"/>
      <x:c r="L3614" s="28"/>
      <x:c r="M3614" s="28"/>
      <x:c r="N3614" s="28"/>
      <x:c r="O3614" s="28"/>
    </x:row>
    <x:row r="3615">
      <x:c r="B3615" s="26"/>
      <x:c r="I3615" s="27"/>
      <x:c r="K3615" s="28"/>
      <x:c r="L3615" s="28"/>
      <x:c r="M3615" s="28"/>
      <x:c r="N3615" s="28"/>
      <x:c r="O3615" s="28"/>
    </x:row>
    <x:row r="3616">
      <x:c r="B3616" s="26"/>
      <x:c r="I3616" s="27"/>
      <x:c r="K3616" s="28"/>
      <x:c r="L3616" s="28"/>
      <x:c r="M3616" s="28"/>
      <x:c r="N3616" s="28"/>
      <x:c r="O3616" s="28"/>
    </x:row>
    <x:row r="3617">
      <x:c r="B3617" s="26"/>
      <x:c r="I3617" s="27"/>
      <x:c r="K3617" s="28"/>
      <x:c r="L3617" s="28"/>
      <x:c r="M3617" s="28"/>
      <x:c r="N3617" s="28"/>
      <x:c r="O3617" s="28"/>
    </x:row>
    <x:row r="3618">
      <x:c r="B3618" s="26"/>
      <x:c r="I3618" s="27"/>
      <x:c r="K3618" s="28"/>
      <x:c r="L3618" s="28"/>
      <x:c r="M3618" s="28"/>
      <x:c r="N3618" s="28"/>
      <x:c r="O3618" s="28"/>
    </x:row>
    <x:row r="3619">
      <x:c r="B3619" s="26"/>
      <x:c r="I3619" s="27"/>
      <x:c r="K3619" s="28"/>
      <x:c r="L3619" s="28"/>
      <x:c r="M3619" s="28"/>
      <x:c r="N3619" s="28"/>
      <x:c r="O3619" s="28"/>
    </x:row>
    <x:row r="3620">
      <x:c r="B3620" s="26"/>
      <x:c r="I3620" s="27"/>
      <x:c r="K3620" s="28"/>
      <x:c r="L3620" s="28"/>
      <x:c r="M3620" s="28"/>
      <x:c r="N3620" s="28"/>
      <x:c r="O3620" s="28"/>
    </x:row>
    <x:row r="3621">
      <x:c r="B3621" s="26"/>
      <x:c r="I3621" s="27"/>
      <x:c r="K3621" s="28"/>
      <x:c r="L3621" s="28"/>
      <x:c r="M3621" s="28"/>
      <x:c r="N3621" s="28"/>
      <x:c r="O3621" s="28"/>
    </x:row>
    <x:row r="3622">
      <x:c r="B3622" s="26"/>
      <x:c r="I3622" s="27"/>
      <x:c r="K3622" s="28"/>
      <x:c r="L3622" s="28"/>
      <x:c r="M3622" s="28"/>
      <x:c r="N3622" s="28"/>
      <x:c r="O3622" s="28"/>
    </x:row>
    <x:row r="3623">
      <x:c r="B3623" s="26"/>
      <x:c r="I3623" s="27"/>
      <x:c r="K3623" s="28"/>
      <x:c r="L3623" s="28"/>
      <x:c r="M3623" s="28"/>
      <x:c r="N3623" s="28"/>
      <x:c r="O3623" s="28"/>
    </x:row>
    <x:row r="3624">
      <x:c r="B3624" s="26"/>
      <x:c r="I3624" s="27"/>
      <x:c r="K3624" s="28"/>
      <x:c r="L3624" s="28"/>
      <x:c r="M3624" s="28"/>
      <x:c r="N3624" s="28"/>
      <x:c r="O3624" s="28"/>
    </x:row>
    <x:row r="3625">
      <x:c r="B3625" s="26"/>
      <x:c r="I3625" s="27"/>
      <x:c r="K3625" s="28"/>
      <x:c r="L3625" s="28"/>
      <x:c r="M3625" s="28"/>
      <x:c r="N3625" s="28"/>
      <x:c r="O3625" s="28"/>
    </x:row>
    <x:row r="3626">
      <x:c r="B3626" s="26"/>
      <x:c r="I3626" s="27"/>
      <x:c r="K3626" s="28"/>
      <x:c r="L3626" s="28"/>
      <x:c r="M3626" s="28"/>
      <x:c r="N3626" s="28"/>
      <x:c r="O3626" s="28"/>
    </x:row>
    <x:row r="3627">
      <x:c r="B3627" s="26"/>
      <x:c r="I3627" s="27"/>
      <x:c r="K3627" s="28"/>
      <x:c r="L3627" s="28"/>
      <x:c r="M3627" s="28"/>
      <x:c r="N3627" s="28"/>
      <x:c r="O3627" s="28"/>
    </x:row>
    <x:row r="3628">
      <x:c r="B3628" s="26"/>
      <x:c r="I3628" s="27"/>
      <x:c r="K3628" s="28"/>
      <x:c r="L3628" s="28"/>
      <x:c r="M3628" s="28"/>
      <x:c r="N3628" s="28"/>
      <x:c r="O3628" s="28"/>
    </x:row>
    <x:row r="3629">
      <x:c r="B3629" s="26"/>
      <x:c r="I3629" s="27"/>
      <x:c r="K3629" s="28"/>
      <x:c r="L3629" s="28"/>
      <x:c r="M3629" s="28"/>
      <x:c r="N3629" s="28"/>
      <x:c r="O3629" s="28"/>
    </x:row>
    <x:row r="3630">
      <x:c r="B3630" s="26"/>
      <x:c r="I3630" s="27"/>
      <x:c r="K3630" s="28"/>
      <x:c r="L3630" s="28"/>
      <x:c r="M3630" s="28"/>
      <x:c r="N3630" s="28"/>
      <x:c r="O3630" s="28"/>
    </x:row>
    <x:row r="3631">
      <x:c r="B3631" s="26"/>
      <x:c r="I3631" s="27"/>
      <x:c r="K3631" s="28"/>
      <x:c r="L3631" s="28"/>
      <x:c r="M3631" s="28"/>
      <x:c r="N3631" s="28"/>
      <x:c r="O3631" s="28"/>
    </x:row>
    <x:row r="3632">
      <x:c r="B3632" s="26"/>
      <x:c r="I3632" s="27"/>
      <x:c r="K3632" s="28"/>
      <x:c r="L3632" s="28"/>
      <x:c r="M3632" s="28"/>
      <x:c r="N3632" s="28"/>
      <x:c r="O3632" s="28"/>
    </x:row>
    <x:row r="3633">
      <x:c r="B3633" s="26"/>
      <x:c r="I3633" s="27"/>
      <x:c r="K3633" s="28"/>
      <x:c r="L3633" s="28"/>
      <x:c r="M3633" s="28"/>
      <x:c r="N3633" s="28"/>
      <x:c r="O3633" s="28"/>
    </x:row>
    <x:row r="3634">
      <x:c r="B3634" s="26"/>
      <x:c r="I3634" s="27"/>
      <x:c r="K3634" s="28"/>
      <x:c r="L3634" s="28"/>
      <x:c r="M3634" s="28"/>
      <x:c r="N3634" s="28"/>
      <x:c r="O3634" s="28"/>
    </x:row>
    <x:row r="3635">
      <x:c r="B3635" s="26"/>
      <x:c r="I3635" s="27"/>
      <x:c r="K3635" s="28"/>
      <x:c r="L3635" s="28"/>
      <x:c r="M3635" s="28"/>
      <x:c r="N3635" s="28"/>
      <x:c r="O3635" s="28"/>
    </x:row>
    <x:row r="3636">
      <x:c r="B3636" s="26"/>
      <x:c r="I3636" s="27"/>
      <x:c r="K3636" s="28"/>
      <x:c r="L3636" s="28"/>
      <x:c r="M3636" s="28"/>
      <x:c r="N3636" s="28"/>
      <x:c r="O3636" s="28"/>
    </x:row>
    <x:row r="3637">
      <x:c r="B3637" s="26"/>
      <x:c r="I3637" s="27"/>
      <x:c r="K3637" s="28"/>
      <x:c r="L3637" s="28"/>
      <x:c r="M3637" s="28"/>
      <x:c r="N3637" s="28"/>
      <x:c r="O3637" s="28"/>
    </x:row>
    <x:row r="3638">
      <x:c r="B3638" s="26"/>
      <x:c r="I3638" s="27"/>
      <x:c r="K3638" s="28"/>
      <x:c r="L3638" s="28"/>
      <x:c r="M3638" s="28"/>
      <x:c r="N3638" s="28"/>
      <x:c r="O3638" s="28"/>
    </x:row>
    <x:row r="3639">
      <x:c r="B3639" s="26"/>
      <x:c r="I3639" s="27"/>
      <x:c r="K3639" s="28"/>
      <x:c r="L3639" s="28"/>
      <x:c r="M3639" s="28"/>
      <x:c r="N3639" s="28"/>
      <x:c r="O3639" s="28"/>
    </x:row>
    <x:row r="3640">
      <x:c r="B3640" s="26"/>
      <x:c r="I3640" s="27"/>
      <x:c r="K3640" s="28"/>
      <x:c r="L3640" s="28"/>
      <x:c r="M3640" s="28"/>
      <x:c r="N3640" s="28"/>
      <x:c r="O3640" s="28"/>
    </x:row>
    <x:row r="3641">
      <x:c r="B3641" s="26"/>
      <x:c r="I3641" s="27"/>
      <x:c r="K3641" s="28"/>
      <x:c r="L3641" s="28"/>
      <x:c r="M3641" s="28"/>
      <x:c r="N3641" s="28"/>
      <x:c r="O3641" s="28"/>
    </x:row>
    <x:row r="3642">
      <x:c r="B3642" s="26"/>
      <x:c r="I3642" s="27"/>
      <x:c r="K3642" s="28"/>
      <x:c r="L3642" s="28"/>
      <x:c r="M3642" s="28"/>
      <x:c r="N3642" s="28"/>
      <x:c r="O3642" s="28"/>
    </x:row>
    <x:row r="3643">
      <x:c r="B3643" s="26"/>
      <x:c r="I3643" s="27"/>
      <x:c r="K3643" s="28"/>
      <x:c r="L3643" s="28"/>
      <x:c r="M3643" s="28"/>
      <x:c r="N3643" s="28"/>
      <x:c r="O3643" s="28"/>
    </x:row>
    <x:row r="3644">
      <x:c r="B3644" s="26"/>
      <x:c r="I3644" s="27"/>
      <x:c r="K3644" s="28"/>
      <x:c r="L3644" s="28"/>
      <x:c r="M3644" s="28"/>
      <x:c r="N3644" s="28"/>
      <x:c r="O3644" s="28"/>
    </x:row>
    <x:row r="3645">
      <x:c r="B3645" s="26"/>
      <x:c r="I3645" s="27"/>
      <x:c r="K3645" s="28"/>
      <x:c r="L3645" s="28"/>
      <x:c r="M3645" s="28"/>
      <x:c r="N3645" s="28"/>
      <x:c r="O3645" s="28"/>
    </x:row>
    <x:row r="3646">
      <x:c r="B3646" s="26"/>
      <x:c r="I3646" s="27"/>
      <x:c r="K3646" s="28"/>
      <x:c r="L3646" s="28"/>
      <x:c r="M3646" s="28"/>
      <x:c r="N3646" s="28"/>
      <x:c r="O3646" s="28"/>
    </x:row>
    <x:row r="3647">
      <x:c r="B3647" s="26"/>
      <x:c r="I3647" s="27"/>
      <x:c r="K3647" s="28"/>
      <x:c r="L3647" s="28"/>
      <x:c r="M3647" s="28"/>
      <x:c r="N3647" s="28"/>
      <x:c r="O3647" s="28"/>
    </x:row>
    <x:row r="3648">
      <x:c r="B3648" s="26"/>
      <x:c r="I3648" s="27"/>
      <x:c r="K3648" s="28"/>
      <x:c r="L3648" s="28"/>
      <x:c r="M3648" s="28"/>
      <x:c r="N3648" s="28"/>
      <x:c r="O3648" s="28"/>
    </x:row>
    <x:row r="3649">
      <x:c r="B3649" s="26"/>
      <x:c r="I3649" s="27"/>
      <x:c r="K3649" s="28"/>
      <x:c r="L3649" s="28"/>
      <x:c r="M3649" s="28"/>
      <x:c r="N3649" s="28"/>
      <x:c r="O3649" s="28"/>
    </x:row>
    <x:row r="3650">
      <x:c r="B3650" s="26"/>
      <x:c r="I3650" s="27"/>
      <x:c r="K3650" s="28"/>
      <x:c r="L3650" s="28"/>
      <x:c r="M3650" s="28"/>
      <x:c r="N3650" s="28"/>
      <x:c r="O3650" s="28"/>
    </x:row>
    <x:row r="3651">
      <x:c r="B3651" s="26"/>
      <x:c r="I3651" s="27"/>
      <x:c r="K3651" s="28"/>
      <x:c r="L3651" s="28"/>
      <x:c r="M3651" s="28"/>
      <x:c r="N3651" s="28"/>
      <x:c r="O3651" s="28"/>
    </x:row>
    <x:row r="3652">
      <x:c r="B3652" s="26"/>
      <x:c r="I3652" s="27"/>
      <x:c r="K3652" s="28"/>
      <x:c r="L3652" s="28"/>
      <x:c r="M3652" s="28"/>
      <x:c r="N3652" s="28"/>
      <x:c r="O3652" s="28"/>
    </x:row>
    <x:row r="3653">
      <x:c r="B3653" s="26"/>
      <x:c r="I3653" s="27"/>
      <x:c r="K3653" s="28"/>
      <x:c r="L3653" s="28"/>
      <x:c r="M3653" s="28"/>
      <x:c r="N3653" s="28"/>
      <x:c r="O3653" s="28"/>
    </x:row>
    <x:row r="3654">
      <x:c r="B3654" s="26"/>
      <x:c r="I3654" s="27"/>
      <x:c r="K3654" s="28"/>
      <x:c r="L3654" s="28"/>
      <x:c r="M3654" s="28"/>
      <x:c r="N3654" s="28"/>
      <x:c r="O3654" s="28"/>
    </x:row>
    <x:row r="3655">
      <x:c r="B3655" s="26"/>
      <x:c r="I3655" s="27"/>
      <x:c r="K3655" s="28"/>
      <x:c r="L3655" s="28"/>
      <x:c r="M3655" s="28"/>
      <x:c r="N3655" s="28"/>
      <x:c r="O3655" s="28"/>
    </x:row>
    <x:row r="3656">
      <x:c r="B3656" s="26"/>
      <x:c r="I3656" s="27"/>
      <x:c r="K3656" s="28"/>
      <x:c r="L3656" s="28"/>
      <x:c r="M3656" s="28"/>
      <x:c r="N3656" s="28"/>
      <x:c r="O3656" s="28"/>
    </x:row>
    <x:row r="3657">
      <x:c r="B3657" s="26"/>
      <x:c r="I3657" s="27"/>
      <x:c r="K3657" s="28"/>
      <x:c r="L3657" s="28"/>
      <x:c r="M3657" s="28"/>
      <x:c r="N3657" s="28"/>
      <x:c r="O3657" s="28"/>
    </x:row>
    <x:row r="3658">
      <x:c r="B3658" s="26"/>
      <x:c r="I3658" s="27"/>
      <x:c r="K3658" s="28"/>
      <x:c r="L3658" s="28"/>
      <x:c r="M3658" s="28"/>
      <x:c r="N3658" s="28"/>
      <x:c r="O3658" s="28"/>
    </x:row>
    <x:row r="3659">
      <x:c r="B3659" s="26"/>
      <x:c r="I3659" s="27"/>
      <x:c r="K3659" s="28"/>
      <x:c r="L3659" s="28"/>
      <x:c r="M3659" s="28"/>
      <x:c r="N3659" s="28"/>
      <x:c r="O3659" s="28"/>
    </x:row>
    <x:row r="3660">
      <x:c r="B3660" s="26"/>
      <x:c r="I3660" s="27"/>
      <x:c r="K3660" s="28"/>
      <x:c r="L3660" s="28"/>
      <x:c r="M3660" s="28"/>
      <x:c r="N3660" s="28"/>
      <x:c r="O3660" s="28"/>
    </x:row>
    <x:row r="3661">
      <x:c r="B3661" s="26"/>
      <x:c r="I3661" s="27"/>
      <x:c r="K3661" s="28"/>
      <x:c r="L3661" s="28"/>
      <x:c r="M3661" s="28"/>
      <x:c r="N3661" s="28"/>
      <x:c r="O3661" s="28"/>
    </x:row>
    <x:row r="3662">
      <x:c r="B3662" s="26"/>
      <x:c r="I3662" s="27"/>
      <x:c r="K3662" s="28"/>
      <x:c r="L3662" s="28"/>
      <x:c r="M3662" s="28"/>
      <x:c r="N3662" s="28"/>
      <x:c r="O3662" s="28"/>
    </x:row>
    <x:row r="3663">
      <x:c r="B3663" s="26"/>
      <x:c r="I3663" s="27"/>
      <x:c r="K3663" s="28"/>
      <x:c r="L3663" s="28"/>
      <x:c r="M3663" s="28"/>
      <x:c r="N3663" s="28"/>
      <x:c r="O3663" s="28"/>
    </x:row>
    <x:row r="3664">
      <x:c r="B3664" s="26"/>
      <x:c r="I3664" s="27"/>
      <x:c r="K3664" s="28"/>
      <x:c r="L3664" s="28"/>
      <x:c r="M3664" s="28"/>
      <x:c r="N3664" s="28"/>
      <x:c r="O3664" s="28"/>
    </x:row>
    <x:row r="3665">
      <x:c r="B3665" s="26"/>
      <x:c r="I3665" s="27"/>
      <x:c r="K3665" s="28"/>
      <x:c r="L3665" s="28"/>
      <x:c r="M3665" s="28"/>
      <x:c r="N3665" s="28"/>
      <x:c r="O3665" s="28"/>
    </x:row>
    <x:row r="3666">
      <x:c r="B3666" s="26"/>
      <x:c r="I3666" s="27"/>
      <x:c r="K3666" s="28"/>
      <x:c r="L3666" s="28"/>
      <x:c r="M3666" s="28"/>
      <x:c r="N3666" s="28"/>
      <x:c r="O3666" s="28"/>
    </x:row>
    <x:row r="3667">
      <x:c r="B3667" s="26"/>
      <x:c r="I3667" s="27"/>
      <x:c r="K3667" s="28"/>
      <x:c r="L3667" s="28"/>
      <x:c r="M3667" s="28"/>
      <x:c r="N3667" s="28"/>
      <x:c r="O3667" s="28"/>
    </x:row>
    <x:row r="3668">
      <x:c r="B3668" s="26"/>
      <x:c r="I3668" s="27"/>
      <x:c r="K3668" s="28"/>
      <x:c r="L3668" s="28"/>
      <x:c r="M3668" s="28"/>
      <x:c r="N3668" s="28"/>
      <x:c r="O3668" s="28"/>
    </x:row>
    <x:row r="3669">
      <x:c r="B3669" s="26"/>
      <x:c r="I3669" s="27"/>
      <x:c r="K3669" s="28"/>
      <x:c r="L3669" s="28"/>
      <x:c r="M3669" s="28"/>
      <x:c r="N3669" s="28"/>
      <x:c r="O3669" s="28"/>
    </x:row>
    <x:row r="3670">
      <x:c r="B3670" s="26"/>
      <x:c r="I3670" s="27"/>
      <x:c r="K3670" s="28"/>
      <x:c r="L3670" s="28"/>
      <x:c r="M3670" s="28"/>
      <x:c r="N3670" s="28"/>
      <x:c r="O3670" s="28"/>
    </x:row>
    <x:row r="3671">
      <x:c r="B3671" s="26"/>
      <x:c r="I3671" s="27"/>
      <x:c r="K3671" s="28"/>
      <x:c r="L3671" s="28"/>
      <x:c r="M3671" s="28"/>
      <x:c r="N3671" s="28"/>
      <x:c r="O3671" s="28"/>
    </x:row>
    <x:row r="3672">
      <x:c r="B3672" s="26"/>
      <x:c r="I3672" s="27"/>
      <x:c r="K3672" s="28"/>
      <x:c r="L3672" s="28"/>
      <x:c r="M3672" s="28"/>
      <x:c r="N3672" s="28"/>
      <x:c r="O3672" s="28"/>
    </x:row>
    <x:row r="3673">
      <x:c r="B3673" s="26"/>
      <x:c r="I3673" s="27"/>
      <x:c r="K3673" s="28"/>
      <x:c r="L3673" s="28"/>
      <x:c r="M3673" s="28"/>
      <x:c r="N3673" s="28"/>
      <x:c r="O3673" s="28"/>
    </x:row>
    <x:row r="3674">
      <x:c r="B3674" s="26"/>
      <x:c r="I3674" s="27"/>
      <x:c r="K3674" s="28"/>
      <x:c r="L3674" s="28"/>
      <x:c r="M3674" s="28"/>
      <x:c r="N3674" s="28"/>
      <x:c r="O3674" s="28"/>
    </x:row>
    <x:row r="3675">
      <x:c r="B3675" s="26"/>
      <x:c r="I3675" s="27"/>
      <x:c r="K3675" s="28"/>
      <x:c r="L3675" s="28"/>
      <x:c r="M3675" s="28"/>
      <x:c r="N3675" s="28"/>
      <x:c r="O3675" s="28"/>
    </x:row>
    <x:row r="3676">
      <x:c r="B3676" s="26"/>
      <x:c r="I3676" s="27"/>
      <x:c r="K3676" s="28"/>
      <x:c r="L3676" s="28"/>
      <x:c r="M3676" s="28"/>
      <x:c r="N3676" s="28"/>
      <x:c r="O3676" s="28"/>
    </x:row>
    <x:row r="3677">
      <x:c r="B3677" s="26"/>
      <x:c r="I3677" s="27"/>
      <x:c r="K3677" s="28"/>
      <x:c r="L3677" s="28"/>
      <x:c r="M3677" s="28"/>
      <x:c r="N3677" s="28"/>
      <x:c r="O3677" s="28"/>
    </x:row>
    <x:row r="3678">
      <x:c r="B3678" s="26"/>
      <x:c r="I3678" s="27"/>
      <x:c r="K3678" s="28"/>
      <x:c r="L3678" s="28"/>
      <x:c r="M3678" s="28"/>
      <x:c r="N3678" s="28"/>
      <x:c r="O3678" s="28"/>
    </x:row>
    <x:row r="3679">
      <x:c r="B3679" s="26"/>
      <x:c r="I3679" s="27"/>
      <x:c r="K3679" s="28"/>
      <x:c r="L3679" s="28"/>
      <x:c r="M3679" s="28"/>
      <x:c r="N3679" s="28"/>
      <x:c r="O3679" s="28"/>
    </x:row>
    <x:row r="3680">
      <x:c r="B3680" s="26"/>
      <x:c r="I3680" s="27"/>
      <x:c r="K3680" s="28"/>
      <x:c r="L3680" s="28"/>
      <x:c r="M3680" s="28"/>
      <x:c r="N3680" s="28"/>
      <x:c r="O3680" s="28"/>
    </x:row>
    <x:row r="3681">
      <x:c r="B3681" s="26"/>
      <x:c r="I3681" s="27"/>
      <x:c r="K3681" s="28"/>
      <x:c r="L3681" s="28"/>
      <x:c r="M3681" s="28"/>
      <x:c r="N3681" s="28"/>
      <x:c r="O3681" s="28"/>
    </x:row>
    <x:row r="3682">
      <x:c r="B3682" s="26"/>
      <x:c r="I3682" s="27"/>
      <x:c r="K3682" s="28"/>
      <x:c r="L3682" s="28"/>
      <x:c r="M3682" s="28"/>
      <x:c r="N3682" s="28"/>
      <x:c r="O3682" s="28"/>
    </x:row>
    <x:row r="3683">
      <x:c r="B3683" s="26"/>
      <x:c r="I3683" s="27"/>
      <x:c r="K3683" s="28"/>
      <x:c r="L3683" s="28"/>
      <x:c r="M3683" s="28"/>
      <x:c r="N3683" s="28"/>
      <x:c r="O3683" s="28"/>
    </x:row>
    <x:row r="3684">
      <x:c r="B3684" s="26"/>
      <x:c r="I3684" s="27"/>
      <x:c r="K3684" s="28"/>
      <x:c r="L3684" s="28"/>
      <x:c r="M3684" s="28"/>
      <x:c r="N3684" s="28"/>
      <x:c r="O3684" s="28"/>
    </x:row>
    <x:row r="3685">
      <x:c r="B3685" s="26"/>
      <x:c r="I3685" s="27"/>
      <x:c r="K3685" s="28"/>
      <x:c r="L3685" s="28"/>
      <x:c r="M3685" s="28"/>
      <x:c r="N3685" s="28"/>
      <x:c r="O3685" s="28"/>
    </x:row>
    <x:row r="3686">
      <x:c r="B3686" s="26"/>
      <x:c r="I3686" s="27"/>
      <x:c r="K3686" s="28"/>
      <x:c r="L3686" s="28"/>
      <x:c r="M3686" s="28"/>
      <x:c r="N3686" s="28"/>
      <x:c r="O3686" s="28"/>
    </x:row>
    <x:row r="3687">
      <x:c r="B3687" s="26"/>
      <x:c r="I3687" s="27"/>
      <x:c r="K3687" s="28"/>
      <x:c r="L3687" s="28"/>
      <x:c r="M3687" s="28"/>
      <x:c r="N3687" s="28"/>
      <x:c r="O3687" s="28"/>
    </x:row>
    <x:row r="3688">
      <x:c r="B3688" s="26"/>
      <x:c r="I3688" s="27"/>
      <x:c r="K3688" s="28"/>
      <x:c r="L3688" s="28"/>
      <x:c r="M3688" s="28"/>
      <x:c r="N3688" s="28"/>
      <x:c r="O3688" s="28"/>
    </x:row>
    <x:row r="3689">
      <x:c r="B3689" s="26"/>
      <x:c r="I3689" s="27"/>
      <x:c r="K3689" s="28"/>
      <x:c r="L3689" s="28"/>
      <x:c r="M3689" s="28"/>
      <x:c r="N3689" s="28"/>
      <x:c r="O3689" s="28"/>
    </x:row>
    <x:row r="3690">
      <x:c r="B3690" s="26"/>
      <x:c r="I3690" s="27"/>
      <x:c r="K3690" s="28"/>
      <x:c r="L3690" s="28"/>
      <x:c r="M3690" s="28"/>
      <x:c r="N3690" s="28"/>
      <x:c r="O3690" s="28"/>
    </x:row>
    <x:row r="3691">
      <x:c r="B3691" s="26"/>
      <x:c r="I3691" s="27"/>
      <x:c r="K3691" s="28"/>
      <x:c r="L3691" s="28"/>
      <x:c r="M3691" s="28"/>
      <x:c r="N3691" s="28"/>
      <x:c r="O3691" s="28"/>
    </x:row>
    <x:row r="3692">
      <x:c r="B3692" s="26"/>
      <x:c r="I3692" s="27"/>
      <x:c r="K3692" s="28"/>
      <x:c r="L3692" s="28"/>
      <x:c r="M3692" s="28"/>
      <x:c r="N3692" s="28"/>
      <x:c r="O3692" s="28"/>
    </x:row>
    <x:row r="3693">
      <x:c r="B3693" s="26"/>
      <x:c r="I3693" s="27"/>
      <x:c r="K3693" s="28"/>
      <x:c r="L3693" s="28"/>
      <x:c r="M3693" s="28"/>
      <x:c r="N3693" s="28"/>
      <x:c r="O3693" s="28"/>
    </x:row>
    <x:row r="3694">
      <x:c r="B3694" s="26"/>
      <x:c r="I3694" s="27"/>
      <x:c r="K3694" s="28"/>
      <x:c r="L3694" s="28"/>
      <x:c r="M3694" s="28"/>
      <x:c r="N3694" s="28"/>
      <x:c r="O3694" s="28"/>
    </x:row>
    <x:row r="3695">
      <x:c r="B3695" s="26"/>
      <x:c r="I3695" s="27"/>
      <x:c r="K3695" s="28"/>
      <x:c r="L3695" s="28"/>
      <x:c r="M3695" s="28"/>
      <x:c r="N3695" s="28"/>
      <x:c r="O3695" s="28"/>
    </x:row>
    <x:row r="3696">
      <x:c r="B3696" s="26"/>
      <x:c r="I3696" s="27"/>
      <x:c r="K3696" s="28"/>
      <x:c r="L3696" s="28"/>
      <x:c r="M3696" s="28"/>
      <x:c r="N3696" s="28"/>
      <x:c r="O3696" s="28"/>
    </x:row>
    <x:row r="3697">
      <x:c r="B3697" s="26"/>
      <x:c r="I3697" s="27"/>
      <x:c r="K3697" s="28"/>
      <x:c r="L3697" s="28"/>
      <x:c r="M3697" s="28"/>
      <x:c r="N3697" s="28"/>
      <x:c r="O3697" s="28"/>
    </x:row>
    <x:row r="3698">
      <x:c r="B3698" s="26"/>
      <x:c r="I3698" s="27"/>
      <x:c r="K3698" s="28"/>
      <x:c r="L3698" s="28"/>
      <x:c r="M3698" s="28"/>
      <x:c r="N3698" s="28"/>
      <x:c r="O3698" s="28"/>
    </x:row>
    <x:row r="3699">
      <x:c r="B3699" s="26"/>
      <x:c r="I3699" s="27"/>
      <x:c r="K3699" s="28"/>
      <x:c r="L3699" s="28"/>
      <x:c r="M3699" s="28"/>
      <x:c r="N3699" s="28"/>
      <x:c r="O3699" s="28"/>
    </x:row>
    <x:row r="3700">
      <x:c r="B3700" s="26"/>
      <x:c r="I3700" s="27"/>
      <x:c r="K3700" s="28"/>
      <x:c r="L3700" s="28"/>
      <x:c r="M3700" s="28"/>
      <x:c r="N3700" s="28"/>
      <x:c r="O3700" s="28"/>
    </x:row>
    <x:row r="3701">
      <x:c r="B3701" s="26"/>
      <x:c r="I3701" s="27"/>
      <x:c r="K3701" s="28"/>
      <x:c r="L3701" s="28"/>
      <x:c r="M3701" s="28"/>
      <x:c r="N3701" s="28"/>
      <x:c r="O3701" s="28"/>
    </x:row>
    <x:row r="3702">
      <x:c r="B3702" s="26"/>
      <x:c r="I3702" s="27"/>
      <x:c r="K3702" s="28"/>
      <x:c r="L3702" s="28"/>
      <x:c r="M3702" s="28"/>
      <x:c r="N3702" s="28"/>
      <x:c r="O3702" s="28"/>
    </x:row>
    <x:row r="3703">
      <x:c r="B3703" s="26"/>
      <x:c r="I3703" s="27"/>
      <x:c r="K3703" s="28"/>
      <x:c r="L3703" s="28"/>
      <x:c r="M3703" s="28"/>
      <x:c r="N3703" s="28"/>
      <x:c r="O3703" s="28"/>
    </x:row>
    <x:row r="3704">
      <x:c r="B3704" s="26"/>
      <x:c r="I3704" s="27"/>
      <x:c r="K3704" s="28"/>
      <x:c r="L3704" s="28"/>
      <x:c r="M3704" s="28"/>
      <x:c r="N3704" s="28"/>
      <x:c r="O3704" s="28"/>
    </x:row>
    <x:row r="3705">
      <x:c r="B3705" s="26"/>
      <x:c r="I3705" s="27"/>
      <x:c r="K3705" s="28"/>
      <x:c r="L3705" s="28"/>
      <x:c r="M3705" s="28"/>
      <x:c r="N3705" s="28"/>
      <x:c r="O3705" s="28"/>
    </x:row>
    <x:row r="3706">
      <x:c r="B3706" s="26"/>
      <x:c r="I3706" s="27"/>
      <x:c r="K3706" s="28"/>
      <x:c r="L3706" s="28"/>
      <x:c r="M3706" s="28"/>
      <x:c r="N3706" s="28"/>
      <x:c r="O3706" s="28"/>
    </x:row>
    <x:row r="3707">
      <x:c r="B3707" s="26"/>
      <x:c r="I3707" s="27"/>
      <x:c r="K3707" s="28"/>
      <x:c r="L3707" s="28"/>
      <x:c r="M3707" s="28"/>
      <x:c r="N3707" s="28"/>
      <x:c r="O3707" s="28"/>
    </x:row>
    <x:row r="3708">
      <x:c r="B3708" s="26"/>
      <x:c r="I3708" s="27"/>
      <x:c r="K3708" s="28"/>
      <x:c r="L3708" s="28"/>
      <x:c r="M3708" s="28"/>
      <x:c r="N3708" s="28"/>
      <x:c r="O3708" s="28"/>
    </x:row>
    <x:row r="3709">
      <x:c r="B3709" s="26"/>
      <x:c r="I3709" s="27"/>
      <x:c r="K3709" s="28"/>
      <x:c r="L3709" s="28"/>
      <x:c r="M3709" s="28"/>
      <x:c r="N3709" s="28"/>
      <x:c r="O3709" s="28"/>
    </x:row>
    <x:row r="3710">
      <x:c r="B3710" s="26"/>
      <x:c r="I3710" s="27"/>
      <x:c r="K3710" s="28"/>
      <x:c r="L3710" s="28"/>
      <x:c r="M3710" s="28"/>
      <x:c r="N3710" s="28"/>
      <x:c r="O3710" s="28"/>
    </x:row>
    <x:row r="3711">
      <x:c r="B3711" s="26"/>
      <x:c r="I3711" s="27"/>
      <x:c r="K3711" s="28"/>
      <x:c r="L3711" s="28"/>
      <x:c r="M3711" s="28"/>
      <x:c r="N3711" s="28"/>
      <x:c r="O3711" s="28"/>
    </x:row>
    <x:row r="3712">
      <x:c r="B3712" s="26"/>
      <x:c r="I3712" s="27"/>
      <x:c r="K3712" s="28"/>
      <x:c r="L3712" s="28"/>
      <x:c r="M3712" s="28"/>
      <x:c r="N3712" s="28"/>
      <x:c r="O3712" s="28"/>
    </x:row>
    <x:row r="3713">
      <x:c r="B3713" s="26"/>
      <x:c r="I3713" s="27"/>
      <x:c r="K3713" s="28"/>
      <x:c r="L3713" s="28"/>
      <x:c r="M3713" s="28"/>
      <x:c r="N3713" s="28"/>
      <x:c r="O3713" s="28"/>
    </x:row>
    <x:row r="3714">
      <x:c r="B3714" s="26"/>
      <x:c r="I3714" s="27"/>
      <x:c r="K3714" s="28"/>
      <x:c r="L3714" s="28"/>
      <x:c r="M3714" s="28"/>
      <x:c r="N3714" s="28"/>
      <x:c r="O3714" s="28"/>
    </x:row>
    <x:row r="3715">
      <x:c r="B3715" s="26"/>
      <x:c r="I3715" s="27"/>
      <x:c r="K3715" s="28"/>
      <x:c r="L3715" s="28"/>
      <x:c r="M3715" s="28"/>
      <x:c r="N3715" s="28"/>
      <x:c r="O3715" s="28"/>
    </x:row>
    <x:row r="3716">
      <x:c r="B3716" s="26"/>
      <x:c r="I3716" s="27"/>
      <x:c r="K3716" s="28"/>
      <x:c r="L3716" s="28"/>
      <x:c r="M3716" s="28"/>
      <x:c r="N3716" s="28"/>
      <x:c r="O3716" s="28"/>
    </x:row>
    <x:row r="3717">
      <x:c r="B3717" s="26"/>
      <x:c r="I3717" s="27"/>
      <x:c r="K3717" s="28"/>
      <x:c r="L3717" s="28"/>
      <x:c r="M3717" s="28"/>
      <x:c r="N3717" s="28"/>
      <x:c r="O3717" s="28"/>
    </x:row>
    <x:row r="3718">
      <x:c r="B3718" s="26"/>
      <x:c r="I3718" s="27"/>
      <x:c r="K3718" s="28"/>
      <x:c r="L3718" s="28"/>
      <x:c r="M3718" s="28"/>
      <x:c r="N3718" s="28"/>
      <x:c r="O3718" s="28"/>
    </x:row>
    <x:row r="3719">
      <x:c r="B3719" s="26"/>
      <x:c r="I3719" s="27"/>
      <x:c r="K3719" s="28"/>
      <x:c r="L3719" s="28"/>
      <x:c r="M3719" s="28"/>
      <x:c r="N3719" s="28"/>
      <x:c r="O3719" s="28"/>
    </x:row>
    <x:row r="3720">
      <x:c r="B3720" s="26"/>
      <x:c r="I3720" s="27"/>
      <x:c r="K3720" s="28"/>
      <x:c r="L3720" s="28"/>
      <x:c r="M3720" s="28"/>
      <x:c r="N3720" s="28"/>
      <x:c r="O3720" s="28"/>
    </x:row>
    <x:row r="3721">
      <x:c r="B3721" s="26"/>
      <x:c r="I3721" s="27"/>
      <x:c r="K3721" s="28"/>
      <x:c r="L3721" s="28"/>
      <x:c r="M3721" s="28"/>
      <x:c r="N3721" s="28"/>
      <x:c r="O3721" s="28"/>
    </x:row>
    <x:row r="3722">
      <x:c r="B3722" s="26"/>
      <x:c r="I3722" s="27"/>
      <x:c r="K3722" s="28"/>
      <x:c r="L3722" s="28"/>
      <x:c r="M3722" s="28"/>
      <x:c r="N3722" s="28"/>
      <x:c r="O3722" s="28"/>
    </x:row>
    <x:row r="3723">
      <x:c r="B3723" s="26"/>
      <x:c r="I3723" s="27"/>
      <x:c r="K3723" s="28"/>
      <x:c r="L3723" s="28"/>
      <x:c r="M3723" s="28"/>
      <x:c r="N3723" s="28"/>
      <x:c r="O3723" s="28"/>
    </x:row>
    <x:row r="3724">
      <x:c r="B3724" s="26"/>
      <x:c r="I3724" s="27"/>
      <x:c r="K3724" s="28"/>
      <x:c r="L3724" s="28"/>
      <x:c r="M3724" s="28"/>
      <x:c r="N3724" s="28"/>
      <x:c r="O3724" s="28"/>
    </x:row>
    <x:row r="3725">
      <x:c r="B3725" s="26"/>
      <x:c r="I3725" s="27"/>
      <x:c r="K3725" s="28"/>
      <x:c r="L3725" s="28"/>
      <x:c r="M3725" s="28"/>
      <x:c r="N3725" s="28"/>
      <x:c r="O3725" s="28"/>
    </x:row>
    <x:row r="3726">
      <x:c r="B3726" s="26"/>
      <x:c r="I3726" s="27"/>
      <x:c r="K3726" s="28"/>
      <x:c r="L3726" s="28"/>
      <x:c r="M3726" s="28"/>
      <x:c r="N3726" s="28"/>
      <x:c r="O3726" s="28"/>
    </x:row>
    <x:row r="3727">
      <x:c r="B3727" s="26"/>
      <x:c r="I3727" s="27"/>
      <x:c r="K3727" s="28"/>
      <x:c r="L3727" s="28"/>
      <x:c r="M3727" s="28"/>
      <x:c r="N3727" s="28"/>
      <x:c r="O3727" s="28"/>
    </x:row>
    <x:row r="3728">
      <x:c r="B3728" s="26"/>
      <x:c r="I3728" s="27"/>
      <x:c r="K3728" s="28"/>
      <x:c r="L3728" s="28"/>
      <x:c r="M3728" s="28"/>
      <x:c r="N3728" s="28"/>
      <x:c r="O3728" s="28"/>
    </x:row>
    <x:row r="3729">
      <x:c r="B3729" s="26"/>
      <x:c r="I3729" s="27"/>
      <x:c r="K3729" s="28"/>
      <x:c r="L3729" s="28"/>
      <x:c r="M3729" s="28"/>
      <x:c r="N3729" s="28"/>
      <x:c r="O3729" s="28"/>
    </x:row>
    <x:row r="3730">
      <x:c r="B3730" s="26"/>
      <x:c r="I3730" s="27"/>
      <x:c r="K3730" s="28"/>
      <x:c r="L3730" s="28"/>
      <x:c r="M3730" s="28"/>
      <x:c r="N3730" s="28"/>
      <x:c r="O3730" s="28"/>
    </x:row>
    <x:row r="3731">
      <x:c r="B3731" s="26"/>
      <x:c r="I3731" s="27"/>
      <x:c r="K3731" s="28"/>
      <x:c r="L3731" s="28"/>
      <x:c r="M3731" s="28"/>
      <x:c r="N3731" s="28"/>
      <x:c r="O3731" s="28"/>
    </x:row>
    <x:row r="3732">
      <x:c r="B3732" s="26"/>
      <x:c r="I3732" s="27"/>
      <x:c r="K3732" s="28"/>
      <x:c r="L3732" s="28"/>
      <x:c r="M3732" s="28"/>
      <x:c r="N3732" s="28"/>
      <x:c r="O3732" s="28"/>
    </x:row>
    <x:row r="3733">
      <x:c r="B3733" s="26"/>
      <x:c r="I3733" s="27"/>
      <x:c r="K3733" s="28"/>
      <x:c r="L3733" s="28"/>
      <x:c r="M3733" s="28"/>
      <x:c r="N3733" s="28"/>
      <x:c r="O3733" s="28"/>
    </x:row>
    <x:row r="3734">
      <x:c r="B3734" s="26"/>
      <x:c r="I3734" s="27"/>
      <x:c r="K3734" s="28"/>
      <x:c r="L3734" s="28"/>
      <x:c r="M3734" s="28"/>
      <x:c r="N3734" s="28"/>
      <x:c r="O3734" s="28"/>
    </x:row>
    <x:row r="3735">
      <x:c r="B3735" s="26"/>
      <x:c r="I3735" s="27"/>
      <x:c r="K3735" s="28"/>
      <x:c r="L3735" s="28"/>
      <x:c r="M3735" s="28"/>
      <x:c r="N3735" s="28"/>
      <x:c r="O3735" s="28"/>
    </x:row>
    <x:row r="3736">
      <x:c r="B3736" s="26"/>
      <x:c r="I3736" s="27"/>
      <x:c r="K3736" s="28"/>
      <x:c r="L3736" s="28"/>
      <x:c r="M3736" s="28"/>
      <x:c r="N3736" s="28"/>
      <x:c r="O3736" s="28"/>
    </x:row>
    <x:row r="3737">
      <x:c r="B3737" s="26"/>
      <x:c r="I3737" s="27"/>
      <x:c r="K3737" s="28"/>
      <x:c r="L3737" s="28"/>
      <x:c r="M3737" s="28"/>
      <x:c r="N3737" s="28"/>
      <x:c r="O3737" s="28"/>
    </x:row>
    <x:row r="3738">
      <x:c r="B3738" s="26"/>
      <x:c r="I3738" s="27"/>
      <x:c r="K3738" s="28"/>
      <x:c r="L3738" s="28"/>
      <x:c r="M3738" s="28"/>
      <x:c r="N3738" s="28"/>
      <x:c r="O3738" s="28"/>
    </x:row>
    <x:row r="3739">
      <x:c r="B3739" s="26"/>
      <x:c r="I3739" s="27"/>
      <x:c r="K3739" s="28"/>
      <x:c r="L3739" s="28"/>
      <x:c r="M3739" s="28"/>
      <x:c r="N3739" s="28"/>
      <x:c r="O3739" s="28"/>
    </x:row>
    <x:row r="3740">
      <x:c r="B3740" s="26"/>
      <x:c r="I3740" s="27"/>
      <x:c r="K3740" s="28"/>
      <x:c r="L3740" s="28"/>
      <x:c r="M3740" s="28"/>
      <x:c r="N3740" s="28"/>
      <x:c r="O3740" s="28"/>
    </x:row>
    <x:row r="3741">
      <x:c r="B3741" s="26"/>
      <x:c r="I3741" s="27"/>
      <x:c r="K3741" s="28"/>
      <x:c r="L3741" s="28"/>
      <x:c r="M3741" s="28"/>
      <x:c r="N3741" s="28"/>
      <x:c r="O3741" s="28"/>
    </x:row>
    <x:row r="3742">
      <x:c r="B3742" s="26"/>
      <x:c r="I3742" s="27"/>
      <x:c r="K3742" s="28"/>
      <x:c r="L3742" s="28"/>
      <x:c r="M3742" s="28"/>
      <x:c r="N3742" s="28"/>
      <x:c r="O3742" s="28"/>
    </x:row>
    <x:row r="3743">
      <x:c r="B3743" s="26"/>
      <x:c r="I3743" s="27"/>
      <x:c r="K3743" s="28"/>
      <x:c r="L3743" s="28"/>
      <x:c r="M3743" s="28"/>
      <x:c r="N3743" s="28"/>
      <x:c r="O3743" s="28"/>
    </x:row>
    <x:row r="3744">
      <x:c r="B3744" s="26"/>
      <x:c r="I3744" s="27"/>
      <x:c r="K3744" s="28"/>
      <x:c r="L3744" s="28"/>
      <x:c r="M3744" s="28"/>
      <x:c r="N3744" s="28"/>
      <x:c r="O3744" s="28"/>
    </x:row>
    <x:row r="3745">
      <x:c r="B3745" s="26"/>
      <x:c r="I3745" s="27"/>
      <x:c r="K3745" s="28"/>
      <x:c r="L3745" s="28"/>
      <x:c r="M3745" s="28"/>
      <x:c r="N3745" s="28"/>
      <x:c r="O3745" s="28"/>
    </x:row>
    <x:row r="3746">
      <x:c r="B3746" s="26"/>
      <x:c r="I3746" s="27"/>
      <x:c r="K3746" s="28"/>
      <x:c r="L3746" s="28"/>
      <x:c r="M3746" s="28"/>
      <x:c r="N3746" s="28"/>
      <x:c r="O3746" s="28"/>
    </x:row>
    <x:row r="3747">
      <x:c r="B3747" s="26"/>
      <x:c r="I3747" s="27"/>
      <x:c r="K3747" s="28"/>
      <x:c r="L3747" s="28"/>
      <x:c r="M3747" s="28"/>
      <x:c r="N3747" s="28"/>
      <x:c r="O3747" s="28"/>
    </x:row>
    <x:row r="3748">
      <x:c r="B3748" s="26"/>
      <x:c r="I3748" s="27"/>
      <x:c r="K3748" s="28"/>
      <x:c r="L3748" s="28"/>
      <x:c r="M3748" s="28"/>
      <x:c r="N3748" s="28"/>
      <x:c r="O3748" s="28"/>
    </x:row>
    <x:row r="3749">
      <x:c r="B3749" s="26"/>
      <x:c r="I3749" s="27"/>
      <x:c r="K3749" s="28"/>
      <x:c r="L3749" s="28"/>
      <x:c r="M3749" s="28"/>
      <x:c r="N3749" s="28"/>
      <x:c r="O3749" s="28"/>
    </x:row>
    <x:row r="3750">
      <x:c r="B3750" s="26"/>
      <x:c r="I3750" s="27"/>
      <x:c r="K3750" s="28"/>
      <x:c r="L3750" s="28"/>
      <x:c r="M3750" s="28"/>
      <x:c r="N3750" s="28"/>
      <x:c r="O3750" s="28"/>
    </x:row>
    <x:row r="3751">
      <x:c r="B3751" s="26"/>
      <x:c r="I3751" s="27"/>
      <x:c r="K3751" s="28"/>
      <x:c r="L3751" s="28"/>
      <x:c r="M3751" s="28"/>
      <x:c r="N3751" s="28"/>
      <x:c r="O3751" s="28"/>
    </x:row>
    <x:row r="3752">
      <x:c r="B3752" s="26"/>
      <x:c r="I3752" s="27"/>
      <x:c r="K3752" s="28"/>
      <x:c r="L3752" s="28"/>
      <x:c r="M3752" s="28"/>
      <x:c r="N3752" s="28"/>
      <x:c r="O3752" s="28"/>
    </x:row>
    <x:row r="3753">
      <x:c r="B3753" s="26"/>
      <x:c r="I3753" s="27"/>
      <x:c r="K3753" s="28"/>
      <x:c r="L3753" s="28"/>
      <x:c r="M3753" s="28"/>
      <x:c r="N3753" s="28"/>
      <x:c r="O3753" s="28"/>
    </x:row>
    <x:row r="3754">
      <x:c r="B3754" s="26"/>
      <x:c r="I3754" s="27"/>
      <x:c r="K3754" s="28"/>
      <x:c r="L3754" s="28"/>
      <x:c r="M3754" s="28"/>
      <x:c r="N3754" s="28"/>
      <x:c r="O3754" s="28"/>
    </x:row>
    <x:row r="3755">
      <x:c r="B3755" s="26"/>
      <x:c r="I3755" s="27"/>
      <x:c r="K3755" s="28"/>
      <x:c r="L3755" s="28"/>
      <x:c r="M3755" s="28"/>
      <x:c r="N3755" s="28"/>
      <x:c r="O3755" s="28"/>
    </x:row>
    <x:row r="3756">
      <x:c r="B3756" s="26"/>
      <x:c r="I3756" s="27"/>
      <x:c r="K3756" s="28"/>
      <x:c r="L3756" s="28"/>
      <x:c r="M3756" s="28"/>
      <x:c r="N3756" s="28"/>
      <x:c r="O3756" s="28"/>
    </x:row>
    <x:row r="3757">
      <x:c r="B3757" s="26"/>
      <x:c r="I3757" s="27"/>
      <x:c r="K3757" s="28"/>
      <x:c r="L3757" s="28"/>
      <x:c r="M3757" s="28"/>
      <x:c r="N3757" s="28"/>
      <x:c r="O3757" s="28"/>
    </x:row>
    <x:row r="3758">
      <x:c r="B3758" s="26"/>
      <x:c r="I3758" s="27"/>
      <x:c r="K3758" s="28"/>
      <x:c r="L3758" s="28"/>
      <x:c r="M3758" s="28"/>
      <x:c r="N3758" s="28"/>
      <x:c r="O3758" s="28"/>
    </x:row>
    <x:row r="3759">
      <x:c r="B3759" s="26"/>
      <x:c r="I3759" s="27"/>
      <x:c r="K3759" s="28"/>
      <x:c r="L3759" s="28"/>
      <x:c r="M3759" s="28"/>
      <x:c r="N3759" s="28"/>
      <x:c r="O3759" s="28"/>
    </x:row>
    <x:row r="3760">
      <x:c r="B3760" s="26"/>
      <x:c r="I3760" s="27"/>
      <x:c r="K3760" s="28"/>
      <x:c r="L3760" s="28"/>
      <x:c r="M3760" s="28"/>
      <x:c r="N3760" s="28"/>
      <x:c r="O3760" s="28"/>
    </x:row>
    <x:row r="3761">
      <x:c r="B3761" s="26"/>
      <x:c r="I3761" s="27"/>
      <x:c r="K3761" s="28"/>
      <x:c r="L3761" s="28"/>
      <x:c r="M3761" s="28"/>
      <x:c r="N3761" s="28"/>
      <x:c r="O3761" s="28"/>
    </x:row>
    <x:row r="3762">
      <x:c r="B3762" s="26"/>
      <x:c r="I3762" s="27"/>
      <x:c r="K3762" s="28"/>
      <x:c r="L3762" s="28"/>
      <x:c r="M3762" s="28"/>
      <x:c r="N3762" s="28"/>
      <x:c r="O3762" s="28"/>
    </x:row>
    <x:row r="3763">
      <x:c r="B3763" s="26"/>
      <x:c r="I3763" s="27"/>
      <x:c r="K3763" s="28"/>
      <x:c r="L3763" s="28"/>
      <x:c r="M3763" s="28"/>
      <x:c r="N3763" s="28"/>
      <x:c r="O3763" s="28"/>
    </x:row>
    <x:row r="3764">
      <x:c r="B3764" s="26"/>
      <x:c r="I3764" s="27"/>
      <x:c r="K3764" s="28"/>
      <x:c r="L3764" s="28"/>
      <x:c r="M3764" s="28"/>
      <x:c r="N3764" s="28"/>
      <x:c r="O3764" s="28"/>
    </x:row>
    <x:row r="3765">
      <x:c r="B3765" s="26"/>
      <x:c r="I3765" s="27"/>
      <x:c r="K3765" s="28"/>
      <x:c r="L3765" s="28"/>
      <x:c r="M3765" s="28"/>
      <x:c r="N3765" s="28"/>
      <x:c r="O3765" s="28"/>
    </x:row>
    <x:row r="3766">
      <x:c r="B3766" s="26"/>
      <x:c r="I3766" s="27"/>
      <x:c r="K3766" s="28"/>
      <x:c r="L3766" s="28"/>
      <x:c r="M3766" s="28"/>
      <x:c r="N3766" s="28"/>
      <x:c r="O3766" s="28"/>
    </x:row>
    <x:row r="3767">
      <x:c r="B3767" s="26"/>
      <x:c r="I3767" s="27"/>
      <x:c r="K3767" s="28"/>
      <x:c r="L3767" s="28"/>
      <x:c r="M3767" s="28"/>
      <x:c r="N3767" s="28"/>
      <x:c r="O3767" s="28"/>
    </x:row>
    <x:row r="3768">
      <x:c r="B3768" s="26"/>
      <x:c r="I3768" s="27"/>
      <x:c r="K3768" s="28"/>
      <x:c r="L3768" s="28"/>
      <x:c r="M3768" s="28"/>
      <x:c r="N3768" s="28"/>
      <x:c r="O3768" s="28"/>
    </x:row>
    <x:row r="3769">
      <x:c r="B3769" s="26"/>
      <x:c r="I3769" s="27"/>
      <x:c r="K3769" s="28"/>
      <x:c r="L3769" s="28"/>
      <x:c r="M3769" s="28"/>
      <x:c r="N3769" s="28"/>
      <x:c r="O3769" s="28"/>
    </x:row>
    <x:row r="3770">
      <x:c r="B3770" s="26"/>
      <x:c r="I3770" s="27"/>
      <x:c r="K3770" s="28"/>
      <x:c r="L3770" s="28"/>
      <x:c r="M3770" s="28"/>
      <x:c r="N3770" s="28"/>
      <x:c r="O3770" s="28"/>
    </x:row>
    <x:row r="3771">
      <x:c r="B3771" s="26"/>
      <x:c r="I3771" s="27"/>
      <x:c r="K3771" s="28"/>
      <x:c r="L3771" s="28"/>
      <x:c r="M3771" s="28"/>
      <x:c r="N3771" s="28"/>
      <x:c r="O3771" s="28"/>
    </x:row>
    <x:row r="3772">
      <x:c r="B3772" s="26"/>
      <x:c r="I3772" s="27"/>
      <x:c r="K3772" s="28"/>
      <x:c r="L3772" s="28"/>
      <x:c r="M3772" s="28"/>
      <x:c r="N3772" s="28"/>
      <x:c r="O3772" s="28"/>
    </x:row>
    <x:row r="3773">
      <x:c r="B3773" s="26"/>
      <x:c r="I3773" s="27"/>
      <x:c r="K3773" s="28"/>
      <x:c r="L3773" s="28"/>
      <x:c r="M3773" s="28"/>
      <x:c r="N3773" s="28"/>
      <x:c r="O3773" s="28"/>
    </x:row>
    <x:row r="3774">
      <x:c r="B3774" s="26"/>
      <x:c r="I3774" s="27"/>
      <x:c r="K3774" s="28"/>
      <x:c r="L3774" s="28"/>
      <x:c r="M3774" s="28"/>
      <x:c r="N3774" s="28"/>
      <x:c r="O3774" s="28"/>
    </x:row>
    <x:row r="3775">
      <x:c r="B3775" s="26"/>
      <x:c r="I3775" s="27"/>
      <x:c r="K3775" s="28"/>
      <x:c r="L3775" s="28"/>
      <x:c r="M3775" s="28"/>
      <x:c r="N3775" s="28"/>
      <x:c r="O3775" s="28"/>
    </x:row>
    <x:row r="3776">
      <x:c r="B3776" s="26"/>
      <x:c r="I3776" s="27"/>
      <x:c r="K3776" s="28"/>
      <x:c r="L3776" s="28"/>
      <x:c r="M3776" s="28"/>
      <x:c r="N3776" s="28"/>
      <x:c r="O3776" s="28"/>
    </x:row>
    <x:row r="3777">
      <x:c r="B3777" s="26"/>
      <x:c r="I3777" s="27"/>
      <x:c r="K3777" s="28"/>
      <x:c r="L3777" s="28"/>
      <x:c r="M3777" s="28"/>
      <x:c r="N3777" s="28"/>
      <x:c r="O3777" s="28"/>
    </x:row>
    <x:row r="3778">
      <x:c r="B3778" s="26"/>
      <x:c r="I3778" s="27"/>
      <x:c r="K3778" s="28"/>
      <x:c r="L3778" s="28"/>
      <x:c r="M3778" s="28"/>
      <x:c r="N3778" s="28"/>
      <x:c r="O3778" s="28"/>
    </x:row>
    <x:row r="3779">
      <x:c r="B3779" s="26"/>
      <x:c r="I3779" s="27"/>
      <x:c r="K3779" s="28"/>
      <x:c r="L3779" s="28"/>
      <x:c r="M3779" s="28"/>
      <x:c r="N3779" s="28"/>
      <x:c r="O3779" s="28"/>
    </x:row>
    <x:row r="3780">
      <x:c r="B3780" s="26"/>
      <x:c r="I3780" s="27"/>
      <x:c r="K3780" s="28"/>
      <x:c r="L3780" s="28"/>
      <x:c r="M3780" s="28"/>
      <x:c r="N3780" s="28"/>
      <x:c r="O3780" s="28"/>
    </x:row>
    <x:row r="3781">
      <x:c r="B3781" s="26"/>
      <x:c r="I3781" s="27"/>
      <x:c r="K3781" s="28"/>
      <x:c r="L3781" s="28"/>
      <x:c r="M3781" s="28"/>
      <x:c r="N3781" s="28"/>
      <x:c r="O3781" s="28"/>
    </x:row>
    <x:row r="3782">
      <x:c r="B3782" s="26"/>
      <x:c r="I3782" s="27"/>
      <x:c r="K3782" s="28"/>
      <x:c r="L3782" s="28"/>
      <x:c r="M3782" s="28"/>
      <x:c r="N3782" s="28"/>
      <x:c r="O3782" s="28"/>
    </x:row>
    <x:row r="3783">
      <x:c r="B3783" s="26"/>
      <x:c r="I3783" s="27"/>
      <x:c r="K3783" s="28"/>
      <x:c r="L3783" s="28"/>
      <x:c r="M3783" s="28"/>
      <x:c r="N3783" s="28"/>
      <x:c r="O3783" s="28"/>
    </x:row>
    <x:row r="3784">
      <x:c r="B3784" s="26"/>
      <x:c r="I3784" s="27"/>
      <x:c r="K3784" s="28"/>
      <x:c r="L3784" s="28"/>
      <x:c r="M3784" s="28"/>
      <x:c r="N3784" s="28"/>
      <x:c r="O3784" s="28"/>
    </x:row>
    <x:row r="3785">
      <x:c r="B3785" s="26"/>
      <x:c r="I3785" s="27"/>
      <x:c r="K3785" s="28"/>
      <x:c r="L3785" s="28"/>
      <x:c r="M3785" s="28"/>
      <x:c r="N3785" s="28"/>
      <x:c r="O3785" s="28"/>
    </x:row>
    <x:row r="3786">
      <x:c r="B3786" s="26"/>
      <x:c r="I3786" s="27"/>
      <x:c r="K3786" s="28"/>
      <x:c r="L3786" s="28"/>
      <x:c r="M3786" s="28"/>
      <x:c r="N3786" s="28"/>
      <x:c r="O3786" s="28"/>
    </x:row>
    <x:row r="3787">
      <x:c r="B3787" s="26"/>
      <x:c r="I3787" s="27"/>
      <x:c r="K3787" s="28"/>
      <x:c r="L3787" s="28"/>
      <x:c r="M3787" s="28"/>
      <x:c r="N3787" s="28"/>
      <x:c r="O3787" s="28"/>
    </x:row>
    <x:row r="3788">
      <x:c r="B3788" s="26"/>
      <x:c r="I3788" s="27"/>
      <x:c r="K3788" s="28"/>
      <x:c r="L3788" s="28"/>
      <x:c r="M3788" s="28"/>
      <x:c r="N3788" s="28"/>
      <x:c r="O3788" s="28"/>
    </x:row>
    <x:row r="3789">
      <x:c r="B3789" s="26"/>
      <x:c r="I3789" s="27"/>
      <x:c r="K3789" s="28"/>
      <x:c r="L3789" s="28"/>
      <x:c r="M3789" s="28"/>
      <x:c r="N3789" s="28"/>
      <x:c r="O3789" s="28"/>
    </x:row>
    <x:row r="3790">
      <x:c r="B3790" s="26"/>
      <x:c r="I3790" s="27"/>
      <x:c r="K3790" s="28"/>
      <x:c r="L3790" s="28"/>
      <x:c r="M3790" s="28"/>
      <x:c r="N3790" s="28"/>
      <x:c r="O3790" s="28"/>
    </x:row>
    <x:row r="3791">
      <x:c r="B3791" s="26"/>
      <x:c r="I3791" s="27"/>
      <x:c r="K3791" s="28"/>
      <x:c r="L3791" s="28"/>
      <x:c r="M3791" s="28"/>
      <x:c r="N3791" s="28"/>
      <x:c r="O3791" s="28"/>
    </x:row>
    <x:row r="3792">
      <x:c r="B3792" s="26"/>
      <x:c r="I3792" s="27"/>
      <x:c r="K3792" s="28"/>
      <x:c r="L3792" s="28"/>
      <x:c r="M3792" s="28"/>
      <x:c r="N3792" s="28"/>
      <x:c r="O3792" s="28"/>
    </x:row>
    <x:row r="3793">
      <x:c r="B3793" s="26"/>
      <x:c r="I3793" s="27"/>
      <x:c r="K3793" s="28"/>
      <x:c r="L3793" s="28"/>
      <x:c r="M3793" s="28"/>
      <x:c r="N3793" s="28"/>
      <x:c r="O3793" s="28"/>
    </x:row>
    <x:row r="3794">
      <x:c r="B3794" s="26"/>
      <x:c r="I3794" s="27"/>
      <x:c r="K3794" s="28"/>
      <x:c r="L3794" s="28"/>
      <x:c r="M3794" s="28"/>
      <x:c r="N3794" s="28"/>
      <x:c r="O3794" s="28"/>
    </x:row>
    <x:row r="3795">
      <x:c r="B3795" s="26"/>
      <x:c r="I3795" s="27"/>
      <x:c r="K3795" s="28"/>
      <x:c r="L3795" s="28"/>
      <x:c r="M3795" s="28"/>
      <x:c r="N3795" s="28"/>
      <x:c r="O3795" s="28"/>
    </x:row>
    <x:row r="3796">
      <x:c r="B3796" s="26"/>
      <x:c r="I3796" s="27"/>
      <x:c r="K3796" s="28"/>
      <x:c r="L3796" s="28"/>
      <x:c r="M3796" s="28"/>
      <x:c r="N3796" s="28"/>
      <x:c r="O3796" s="28"/>
    </x:row>
    <x:row r="3797">
      <x:c r="B3797" s="26"/>
      <x:c r="I3797" s="27"/>
      <x:c r="K3797" s="28"/>
      <x:c r="L3797" s="28"/>
      <x:c r="M3797" s="28"/>
      <x:c r="N3797" s="28"/>
      <x:c r="O3797" s="28"/>
    </x:row>
    <x:row r="3798">
      <x:c r="B3798" s="26"/>
      <x:c r="I3798" s="27"/>
      <x:c r="K3798" s="28"/>
      <x:c r="L3798" s="28"/>
      <x:c r="M3798" s="28"/>
      <x:c r="N3798" s="28"/>
      <x:c r="O3798" s="28"/>
    </x:row>
    <x:row r="3799">
      <x:c r="B3799" s="26"/>
      <x:c r="I3799" s="27"/>
      <x:c r="K3799" s="28"/>
      <x:c r="L3799" s="28"/>
      <x:c r="M3799" s="28"/>
      <x:c r="N3799" s="28"/>
      <x:c r="O3799" s="28"/>
    </x:row>
    <x:row r="3800">
      <x:c r="B3800" s="26"/>
      <x:c r="I3800" s="27"/>
      <x:c r="K3800" s="28"/>
      <x:c r="L3800" s="28"/>
      <x:c r="M3800" s="28"/>
      <x:c r="N3800" s="28"/>
      <x:c r="O3800" s="28"/>
    </x:row>
    <x:row r="3801">
      <x:c r="B3801" s="26"/>
      <x:c r="I3801" s="27"/>
      <x:c r="K3801" s="28"/>
      <x:c r="L3801" s="28"/>
      <x:c r="M3801" s="28"/>
      <x:c r="N3801" s="28"/>
      <x:c r="O3801" s="28"/>
    </x:row>
    <x:row r="3802">
      <x:c r="B3802" s="26"/>
      <x:c r="I3802" s="27"/>
      <x:c r="K3802" s="28"/>
      <x:c r="L3802" s="28"/>
      <x:c r="M3802" s="28"/>
      <x:c r="N3802" s="28"/>
      <x:c r="O3802" s="28"/>
    </x:row>
    <x:row r="3803">
      <x:c r="B3803" s="26"/>
      <x:c r="I3803" s="27"/>
      <x:c r="K3803" s="28"/>
      <x:c r="L3803" s="28"/>
      <x:c r="M3803" s="28"/>
      <x:c r="N3803" s="28"/>
      <x:c r="O3803" s="28"/>
    </x:row>
    <x:row r="3804">
      <x:c r="B3804" s="26"/>
      <x:c r="I3804" s="27"/>
      <x:c r="K3804" s="28"/>
      <x:c r="L3804" s="28"/>
      <x:c r="M3804" s="28"/>
      <x:c r="N3804" s="28"/>
      <x:c r="O3804" s="28"/>
    </x:row>
    <x:row r="3805">
      <x:c r="B3805" s="26"/>
      <x:c r="I3805" s="27"/>
      <x:c r="K3805" s="28"/>
      <x:c r="L3805" s="28"/>
      <x:c r="M3805" s="28"/>
      <x:c r="N3805" s="28"/>
      <x:c r="O3805" s="28"/>
    </x:row>
    <x:row r="3806">
      <x:c r="B3806" s="26"/>
      <x:c r="I3806" s="27"/>
      <x:c r="K3806" s="28"/>
      <x:c r="L3806" s="28"/>
      <x:c r="M3806" s="28"/>
      <x:c r="N3806" s="28"/>
      <x:c r="O3806" s="28"/>
    </x:row>
    <x:row r="3807">
      <x:c r="B3807" s="26"/>
      <x:c r="I3807" s="27"/>
      <x:c r="K3807" s="28"/>
      <x:c r="L3807" s="28"/>
      <x:c r="M3807" s="28"/>
      <x:c r="N3807" s="28"/>
      <x:c r="O3807" s="28"/>
    </x:row>
    <x:row r="3808">
      <x:c r="B3808" s="26"/>
      <x:c r="I3808" s="27"/>
      <x:c r="K3808" s="28"/>
      <x:c r="L3808" s="28"/>
      <x:c r="M3808" s="28"/>
      <x:c r="N3808" s="28"/>
      <x:c r="O3808" s="28"/>
    </x:row>
    <x:row r="3809">
      <x:c r="B3809" s="26"/>
      <x:c r="I3809" s="27"/>
      <x:c r="K3809" s="28"/>
      <x:c r="L3809" s="28"/>
      <x:c r="M3809" s="28"/>
      <x:c r="N3809" s="28"/>
      <x:c r="O3809" s="28"/>
    </x:row>
    <x:row r="3810">
      <x:c r="B3810" s="26"/>
      <x:c r="I3810" s="27"/>
      <x:c r="K3810" s="28"/>
      <x:c r="L3810" s="28"/>
      <x:c r="M3810" s="28"/>
      <x:c r="N3810" s="28"/>
      <x:c r="O3810" s="28"/>
    </x:row>
    <x:row r="3811">
      <x:c r="B3811" s="26"/>
      <x:c r="I3811" s="27"/>
      <x:c r="K3811" s="28"/>
      <x:c r="L3811" s="28"/>
      <x:c r="M3811" s="28"/>
      <x:c r="N3811" s="28"/>
      <x:c r="O3811" s="28"/>
    </x:row>
    <x:row r="3812">
      <x:c r="B3812" s="26"/>
      <x:c r="I3812" s="27"/>
      <x:c r="K3812" s="28"/>
      <x:c r="L3812" s="28"/>
      <x:c r="M3812" s="28"/>
      <x:c r="N3812" s="28"/>
      <x:c r="O3812" s="28"/>
    </x:row>
    <x:row r="3813">
      <x:c r="B3813" s="26"/>
      <x:c r="I3813" s="27"/>
      <x:c r="K3813" s="28"/>
      <x:c r="L3813" s="28"/>
      <x:c r="M3813" s="28"/>
      <x:c r="N3813" s="28"/>
      <x:c r="O3813" s="28"/>
    </x:row>
    <x:row r="3814">
      <x:c r="B3814" s="26"/>
      <x:c r="I3814" s="27"/>
      <x:c r="K3814" s="28"/>
      <x:c r="L3814" s="28"/>
      <x:c r="M3814" s="28"/>
      <x:c r="N3814" s="28"/>
      <x:c r="O3814" s="28"/>
    </x:row>
    <x:row r="3815">
      <x:c r="B3815" s="26"/>
      <x:c r="I3815" s="27"/>
      <x:c r="K3815" s="28"/>
      <x:c r="L3815" s="28"/>
      <x:c r="M3815" s="28"/>
      <x:c r="N3815" s="28"/>
      <x:c r="O3815" s="28"/>
    </x:row>
    <x:row r="3816">
      <x:c r="B3816" s="26"/>
      <x:c r="I3816" s="27"/>
      <x:c r="K3816" s="28"/>
      <x:c r="L3816" s="28"/>
      <x:c r="M3816" s="28"/>
      <x:c r="N3816" s="28"/>
      <x:c r="O3816" s="28"/>
    </x:row>
    <x:row r="3817">
      <x:c r="B3817" s="26"/>
      <x:c r="I3817" s="27"/>
      <x:c r="K3817" s="28"/>
      <x:c r="L3817" s="28"/>
      <x:c r="M3817" s="28"/>
      <x:c r="N3817" s="28"/>
      <x:c r="O3817" s="28"/>
    </x:row>
    <x:row r="3818">
      <x:c r="B3818" s="26"/>
      <x:c r="I3818" s="27"/>
      <x:c r="K3818" s="28"/>
      <x:c r="L3818" s="28"/>
      <x:c r="M3818" s="28"/>
      <x:c r="N3818" s="28"/>
      <x:c r="O3818" s="28"/>
    </x:row>
    <x:row r="3819">
      <x:c r="B3819" s="26"/>
      <x:c r="I3819" s="27"/>
      <x:c r="K3819" s="28"/>
      <x:c r="L3819" s="28"/>
      <x:c r="M3819" s="28"/>
      <x:c r="N3819" s="28"/>
      <x:c r="O3819" s="28"/>
    </x:row>
    <x:row r="3820">
      <x:c r="B3820" s="26"/>
      <x:c r="I3820" s="27"/>
      <x:c r="K3820" s="28"/>
      <x:c r="L3820" s="28"/>
      <x:c r="M3820" s="28"/>
      <x:c r="N3820" s="28"/>
      <x:c r="O3820" s="28"/>
    </x:row>
    <x:row r="3821">
      <x:c r="B3821" s="26"/>
      <x:c r="I3821" s="27"/>
      <x:c r="K3821" s="28"/>
      <x:c r="L3821" s="28"/>
      <x:c r="M3821" s="28"/>
      <x:c r="N3821" s="28"/>
      <x:c r="O3821" s="28"/>
    </x:row>
    <x:row r="3822">
      <x:c r="B3822" s="26"/>
      <x:c r="I3822" s="27"/>
      <x:c r="K3822" s="28"/>
      <x:c r="L3822" s="28"/>
      <x:c r="M3822" s="28"/>
      <x:c r="N3822" s="28"/>
      <x:c r="O3822" s="28"/>
    </x:row>
    <x:row r="3823">
      <x:c r="B3823" s="26"/>
      <x:c r="I3823" s="27"/>
      <x:c r="K3823" s="28"/>
      <x:c r="L3823" s="28"/>
      <x:c r="M3823" s="28"/>
      <x:c r="N3823" s="28"/>
      <x:c r="O3823" s="28"/>
    </x:row>
    <x:row r="3824">
      <x:c r="B3824" s="26"/>
      <x:c r="I3824" s="27"/>
      <x:c r="K3824" s="28"/>
      <x:c r="L3824" s="28"/>
      <x:c r="M3824" s="28"/>
      <x:c r="N3824" s="28"/>
      <x:c r="O3824" s="28"/>
    </x:row>
    <x:row r="3825">
      <x:c r="B3825" s="26"/>
      <x:c r="I3825" s="27"/>
      <x:c r="K3825" s="28"/>
      <x:c r="L3825" s="28"/>
      <x:c r="M3825" s="28"/>
      <x:c r="N3825" s="28"/>
      <x:c r="O3825" s="28"/>
    </x:row>
    <x:row r="3826">
      <x:c r="B3826" s="26"/>
      <x:c r="I3826" s="27"/>
      <x:c r="K3826" s="28"/>
      <x:c r="L3826" s="28"/>
      <x:c r="M3826" s="28"/>
      <x:c r="N3826" s="28"/>
      <x:c r="O3826" s="28"/>
    </x:row>
    <x:row r="3827">
      <x:c r="B3827" s="26"/>
      <x:c r="I3827" s="27"/>
      <x:c r="K3827" s="28"/>
      <x:c r="L3827" s="28"/>
      <x:c r="M3827" s="28"/>
      <x:c r="N3827" s="28"/>
      <x:c r="O3827" s="28"/>
    </x:row>
    <x:row r="3828">
      <x:c r="B3828" s="26"/>
      <x:c r="I3828" s="27"/>
      <x:c r="K3828" s="28"/>
      <x:c r="L3828" s="28"/>
      <x:c r="M3828" s="28"/>
      <x:c r="N3828" s="28"/>
      <x:c r="O3828" s="28"/>
    </x:row>
    <x:row r="3829">
      <x:c r="B3829" s="26"/>
      <x:c r="I3829" s="27"/>
      <x:c r="K3829" s="28"/>
      <x:c r="L3829" s="28"/>
      <x:c r="M3829" s="28"/>
      <x:c r="N3829" s="28"/>
      <x:c r="O3829" s="28"/>
    </x:row>
    <x:row r="3830">
      <x:c r="B3830" s="26"/>
      <x:c r="I3830" s="27"/>
      <x:c r="K3830" s="28"/>
      <x:c r="L3830" s="28"/>
      <x:c r="M3830" s="28"/>
      <x:c r="N3830" s="28"/>
      <x:c r="O3830" s="28"/>
    </x:row>
    <x:row r="3831">
      <x:c r="B3831" s="26"/>
      <x:c r="I3831" s="27"/>
      <x:c r="K3831" s="28"/>
      <x:c r="L3831" s="28"/>
      <x:c r="M3831" s="28"/>
      <x:c r="N3831" s="28"/>
      <x:c r="O3831" s="28"/>
    </x:row>
    <x:row r="3832">
      <x:c r="B3832" s="26"/>
      <x:c r="I3832" s="27"/>
      <x:c r="K3832" s="28"/>
      <x:c r="L3832" s="28"/>
      <x:c r="M3832" s="28"/>
      <x:c r="N3832" s="28"/>
      <x:c r="O3832" s="28"/>
    </x:row>
    <x:row r="3833">
      <x:c r="B3833" s="26"/>
      <x:c r="I3833" s="27"/>
      <x:c r="K3833" s="28"/>
      <x:c r="L3833" s="28"/>
      <x:c r="M3833" s="28"/>
      <x:c r="N3833" s="28"/>
      <x:c r="O3833" s="28"/>
    </x:row>
    <x:row r="3834">
      <x:c r="B3834" s="26"/>
      <x:c r="I3834" s="27"/>
      <x:c r="K3834" s="28"/>
      <x:c r="L3834" s="28"/>
      <x:c r="M3834" s="28"/>
      <x:c r="N3834" s="28"/>
      <x:c r="O3834" s="28"/>
    </x:row>
    <x:row r="3835">
      <x:c r="B3835" s="26"/>
      <x:c r="I3835" s="27"/>
      <x:c r="K3835" s="28"/>
      <x:c r="L3835" s="28"/>
      <x:c r="M3835" s="28"/>
      <x:c r="N3835" s="28"/>
      <x:c r="O3835" s="28"/>
    </x:row>
    <x:row r="3836">
      <x:c r="B3836" s="26"/>
      <x:c r="I3836" s="27"/>
      <x:c r="K3836" s="28"/>
      <x:c r="L3836" s="28"/>
      <x:c r="M3836" s="28"/>
      <x:c r="N3836" s="28"/>
      <x:c r="O3836" s="28"/>
    </x:row>
    <x:row r="3837">
      <x:c r="B3837" s="26"/>
      <x:c r="I3837" s="27"/>
      <x:c r="K3837" s="28"/>
      <x:c r="L3837" s="28"/>
      <x:c r="M3837" s="28"/>
      <x:c r="N3837" s="28"/>
      <x:c r="O3837" s="28"/>
    </x:row>
    <x:row r="3838">
      <x:c r="B3838" s="26"/>
      <x:c r="I3838" s="27"/>
      <x:c r="K3838" s="28"/>
      <x:c r="L3838" s="28"/>
      <x:c r="M3838" s="28"/>
      <x:c r="N3838" s="28"/>
      <x:c r="O3838" s="28"/>
    </x:row>
    <x:row r="3839">
      <x:c r="B3839" s="26"/>
      <x:c r="I3839" s="27"/>
      <x:c r="K3839" s="28"/>
      <x:c r="L3839" s="28"/>
      <x:c r="M3839" s="28"/>
      <x:c r="N3839" s="28"/>
      <x:c r="O3839" s="28"/>
    </x:row>
    <x:row r="3840">
      <x:c r="B3840" s="26"/>
      <x:c r="I3840" s="27"/>
      <x:c r="K3840" s="28"/>
      <x:c r="L3840" s="28"/>
      <x:c r="M3840" s="28"/>
      <x:c r="N3840" s="28"/>
      <x:c r="O3840" s="28"/>
    </x:row>
    <x:row r="3841">
      <x:c r="B3841" s="26"/>
      <x:c r="I3841" s="27"/>
      <x:c r="K3841" s="28"/>
      <x:c r="L3841" s="28"/>
      <x:c r="M3841" s="28"/>
      <x:c r="N3841" s="28"/>
      <x:c r="O3841" s="28"/>
    </x:row>
    <x:row r="3842">
      <x:c r="B3842" s="26"/>
      <x:c r="I3842" s="27"/>
      <x:c r="K3842" s="28"/>
      <x:c r="L3842" s="28"/>
      <x:c r="M3842" s="28"/>
      <x:c r="N3842" s="28"/>
      <x:c r="O3842" s="28"/>
    </x:row>
    <x:row r="3843">
      <x:c r="B3843" s="26"/>
      <x:c r="I3843" s="27"/>
      <x:c r="K3843" s="28"/>
      <x:c r="L3843" s="28"/>
      <x:c r="M3843" s="28"/>
      <x:c r="N3843" s="28"/>
      <x:c r="O3843" s="28"/>
    </x:row>
    <x:row r="3844">
      <x:c r="B3844" s="26"/>
      <x:c r="I3844" s="27"/>
      <x:c r="K3844" s="28"/>
      <x:c r="L3844" s="28"/>
      <x:c r="M3844" s="28"/>
      <x:c r="N3844" s="28"/>
      <x:c r="O3844" s="28"/>
    </x:row>
    <x:row r="3845">
      <x:c r="B3845" s="26"/>
      <x:c r="I3845" s="27"/>
      <x:c r="K3845" s="28"/>
      <x:c r="L3845" s="28"/>
      <x:c r="M3845" s="28"/>
      <x:c r="N3845" s="28"/>
      <x:c r="O3845" s="28"/>
    </x:row>
    <x:row r="3846">
      <x:c r="B3846" s="26"/>
      <x:c r="I3846" s="27"/>
      <x:c r="K3846" s="28"/>
      <x:c r="L3846" s="28"/>
      <x:c r="M3846" s="28"/>
      <x:c r="N3846" s="28"/>
      <x:c r="O3846" s="28"/>
    </x:row>
    <x:row r="3847">
      <x:c r="B3847" s="26"/>
      <x:c r="I3847" s="27"/>
      <x:c r="K3847" s="28"/>
      <x:c r="L3847" s="28"/>
      <x:c r="M3847" s="28"/>
      <x:c r="N3847" s="28"/>
      <x:c r="O3847" s="28"/>
    </x:row>
    <x:row r="3848">
      <x:c r="B3848" s="26"/>
      <x:c r="I3848" s="27"/>
      <x:c r="K3848" s="28"/>
      <x:c r="L3848" s="28"/>
      <x:c r="M3848" s="28"/>
      <x:c r="N3848" s="28"/>
      <x:c r="O3848" s="28"/>
    </x:row>
    <x:row r="3849">
      <x:c r="B3849" s="26"/>
      <x:c r="I3849" s="27"/>
      <x:c r="K3849" s="28"/>
      <x:c r="L3849" s="28"/>
      <x:c r="M3849" s="28"/>
      <x:c r="N3849" s="28"/>
      <x:c r="O3849" s="28"/>
    </x:row>
    <x:row r="3850">
      <x:c r="B3850" s="26"/>
      <x:c r="I3850" s="27"/>
      <x:c r="K3850" s="28"/>
      <x:c r="L3850" s="28"/>
      <x:c r="M3850" s="28"/>
      <x:c r="N3850" s="28"/>
      <x:c r="O3850" s="28"/>
    </x:row>
    <x:row r="3851">
      <x:c r="B3851" s="26"/>
      <x:c r="I3851" s="27"/>
      <x:c r="K3851" s="28"/>
      <x:c r="L3851" s="28"/>
      <x:c r="M3851" s="28"/>
      <x:c r="N3851" s="28"/>
      <x:c r="O3851" s="28"/>
    </x:row>
    <x:row r="3852">
      <x:c r="B3852" s="26"/>
      <x:c r="I3852" s="27"/>
      <x:c r="K3852" s="28"/>
      <x:c r="L3852" s="28"/>
      <x:c r="M3852" s="28"/>
      <x:c r="N3852" s="28"/>
      <x:c r="O3852" s="28"/>
    </x:row>
    <x:row r="3853">
      <x:c r="B3853" s="26"/>
      <x:c r="I3853" s="27"/>
      <x:c r="K3853" s="28"/>
      <x:c r="L3853" s="28"/>
      <x:c r="M3853" s="28"/>
      <x:c r="N3853" s="28"/>
      <x:c r="O3853" s="28"/>
    </x:row>
    <x:row r="3854">
      <x:c r="B3854" s="26"/>
      <x:c r="I3854" s="27"/>
      <x:c r="K3854" s="28"/>
      <x:c r="L3854" s="28"/>
      <x:c r="M3854" s="28"/>
      <x:c r="N3854" s="28"/>
      <x:c r="O3854" s="28"/>
    </x:row>
    <x:row r="3855">
      <x:c r="B3855" s="26"/>
      <x:c r="I3855" s="27"/>
      <x:c r="K3855" s="28"/>
      <x:c r="L3855" s="28"/>
      <x:c r="M3855" s="28"/>
      <x:c r="N3855" s="28"/>
      <x:c r="O3855" s="28"/>
    </x:row>
    <x:row r="3856">
      <x:c r="B3856" s="26"/>
      <x:c r="I3856" s="27"/>
      <x:c r="K3856" s="28"/>
      <x:c r="L3856" s="28"/>
      <x:c r="M3856" s="28"/>
      <x:c r="N3856" s="28"/>
      <x:c r="O3856" s="28"/>
    </x:row>
    <x:row r="3857">
      <x:c r="B3857" s="26"/>
      <x:c r="I3857" s="27"/>
      <x:c r="K3857" s="28"/>
      <x:c r="L3857" s="28"/>
      <x:c r="M3857" s="28"/>
      <x:c r="N3857" s="28"/>
      <x:c r="O3857" s="28"/>
    </x:row>
    <x:row r="3858">
      <x:c r="B3858" s="26"/>
      <x:c r="I3858" s="27"/>
      <x:c r="K3858" s="28"/>
      <x:c r="L3858" s="28"/>
      <x:c r="M3858" s="28"/>
      <x:c r="N3858" s="28"/>
      <x:c r="O3858" s="28"/>
    </x:row>
    <x:row r="3859">
      <x:c r="B3859" s="26"/>
      <x:c r="I3859" s="27"/>
      <x:c r="K3859" s="28"/>
      <x:c r="L3859" s="28"/>
      <x:c r="M3859" s="28"/>
      <x:c r="N3859" s="28"/>
      <x:c r="O3859" s="28"/>
    </x:row>
    <x:row r="3860">
      <x:c r="B3860" s="26"/>
      <x:c r="I3860" s="27"/>
      <x:c r="K3860" s="28"/>
      <x:c r="L3860" s="28"/>
      <x:c r="M3860" s="28"/>
      <x:c r="N3860" s="28"/>
      <x:c r="O3860" s="28"/>
    </x:row>
    <x:row r="3861">
      <x:c r="B3861" s="26"/>
      <x:c r="I3861" s="27"/>
      <x:c r="K3861" s="28"/>
      <x:c r="L3861" s="28"/>
      <x:c r="M3861" s="28"/>
      <x:c r="N3861" s="28"/>
      <x:c r="O3861" s="28"/>
    </x:row>
    <x:row r="3862">
      <x:c r="B3862" s="26"/>
      <x:c r="I3862" s="27"/>
      <x:c r="K3862" s="28"/>
      <x:c r="L3862" s="28"/>
      <x:c r="M3862" s="28"/>
      <x:c r="N3862" s="28"/>
      <x:c r="O3862" s="28"/>
    </x:row>
    <x:row r="3863">
      <x:c r="B3863" s="26"/>
      <x:c r="I3863" s="27"/>
      <x:c r="K3863" s="28"/>
      <x:c r="L3863" s="28"/>
      <x:c r="M3863" s="28"/>
      <x:c r="N3863" s="28"/>
      <x:c r="O3863" s="28"/>
    </x:row>
    <x:row r="3864">
      <x:c r="B3864" s="26"/>
      <x:c r="I3864" s="27"/>
      <x:c r="K3864" s="28"/>
      <x:c r="L3864" s="28"/>
      <x:c r="M3864" s="28"/>
      <x:c r="N3864" s="28"/>
      <x:c r="O3864" s="28"/>
    </x:row>
    <x:row r="3865">
      <x:c r="B3865" s="26"/>
      <x:c r="I3865" s="27"/>
      <x:c r="K3865" s="28"/>
      <x:c r="L3865" s="28"/>
      <x:c r="M3865" s="28"/>
      <x:c r="N3865" s="28"/>
      <x:c r="O3865" s="28"/>
    </x:row>
    <x:row r="3866">
      <x:c r="B3866" s="26"/>
      <x:c r="I3866" s="27"/>
      <x:c r="K3866" s="28"/>
      <x:c r="L3866" s="28"/>
      <x:c r="M3866" s="28"/>
      <x:c r="N3866" s="28"/>
      <x:c r="O3866" s="28"/>
    </x:row>
    <x:row r="3867">
      <x:c r="B3867" s="26"/>
      <x:c r="I3867" s="27"/>
      <x:c r="K3867" s="28"/>
      <x:c r="L3867" s="28"/>
      <x:c r="M3867" s="28"/>
      <x:c r="N3867" s="28"/>
      <x:c r="O3867" s="28"/>
    </x:row>
    <x:row r="3868">
      <x:c r="B3868" s="26"/>
      <x:c r="I3868" s="27"/>
      <x:c r="K3868" s="28"/>
      <x:c r="L3868" s="28"/>
      <x:c r="M3868" s="28"/>
      <x:c r="N3868" s="28"/>
      <x:c r="O3868" s="28"/>
    </x:row>
    <x:row r="3869">
      <x:c r="B3869" s="26"/>
      <x:c r="I3869" s="27"/>
      <x:c r="K3869" s="28"/>
      <x:c r="L3869" s="28"/>
      <x:c r="M3869" s="28"/>
      <x:c r="N3869" s="28"/>
      <x:c r="O3869" s="28"/>
    </x:row>
    <x:row r="3870">
      <x:c r="B3870" s="26"/>
      <x:c r="I3870" s="27"/>
      <x:c r="K3870" s="28"/>
      <x:c r="L3870" s="28"/>
      <x:c r="M3870" s="28"/>
      <x:c r="N3870" s="28"/>
      <x:c r="O3870" s="28"/>
    </x:row>
    <x:row r="3871">
      <x:c r="B3871" s="26"/>
      <x:c r="I3871" s="27"/>
      <x:c r="K3871" s="28"/>
      <x:c r="L3871" s="28"/>
      <x:c r="M3871" s="28"/>
      <x:c r="N3871" s="28"/>
      <x:c r="O3871" s="28"/>
    </x:row>
    <x:row r="3872">
      <x:c r="B3872" s="26"/>
      <x:c r="I3872" s="27"/>
      <x:c r="K3872" s="28"/>
      <x:c r="L3872" s="28"/>
      <x:c r="M3872" s="28"/>
      <x:c r="N3872" s="28"/>
      <x:c r="O3872" s="28"/>
    </x:row>
    <x:row r="3873">
      <x:c r="B3873" s="26"/>
      <x:c r="I3873" s="27"/>
      <x:c r="K3873" s="28"/>
      <x:c r="L3873" s="28"/>
      <x:c r="M3873" s="28"/>
      <x:c r="N3873" s="28"/>
      <x:c r="O3873" s="28"/>
    </x:row>
    <x:row r="3874">
      <x:c r="B3874" s="26"/>
      <x:c r="I3874" s="27"/>
      <x:c r="K3874" s="28"/>
      <x:c r="L3874" s="28"/>
      <x:c r="M3874" s="28"/>
      <x:c r="N3874" s="28"/>
      <x:c r="O3874" s="28"/>
    </x:row>
    <x:row r="3875">
      <x:c r="B3875" s="26"/>
      <x:c r="I3875" s="27"/>
      <x:c r="K3875" s="28"/>
      <x:c r="L3875" s="28"/>
      <x:c r="M3875" s="28"/>
      <x:c r="N3875" s="28"/>
      <x:c r="O3875" s="28"/>
    </x:row>
    <x:row r="3876">
      <x:c r="B3876" s="26"/>
      <x:c r="I3876" s="27"/>
      <x:c r="K3876" s="28"/>
      <x:c r="L3876" s="28"/>
      <x:c r="M3876" s="28"/>
      <x:c r="N3876" s="28"/>
      <x:c r="O3876" s="28"/>
    </x:row>
    <x:row r="3877">
      <x:c r="B3877" s="26"/>
      <x:c r="I3877" s="27"/>
      <x:c r="K3877" s="28"/>
      <x:c r="L3877" s="28"/>
      <x:c r="M3877" s="28"/>
      <x:c r="N3877" s="28"/>
      <x:c r="O3877" s="28"/>
    </x:row>
    <x:row r="3878">
      <x:c r="B3878" s="26"/>
      <x:c r="I3878" s="27"/>
      <x:c r="K3878" s="28"/>
      <x:c r="L3878" s="28"/>
      <x:c r="M3878" s="28"/>
      <x:c r="N3878" s="28"/>
      <x:c r="O3878" s="28"/>
    </x:row>
    <x:row r="3879">
      <x:c r="B3879" s="26"/>
      <x:c r="I3879" s="27"/>
      <x:c r="K3879" s="28"/>
      <x:c r="L3879" s="28"/>
      <x:c r="M3879" s="28"/>
      <x:c r="N3879" s="28"/>
      <x:c r="O3879" s="28"/>
    </x:row>
    <x:row r="3880">
      <x:c r="B3880" s="26"/>
      <x:c r="I3880" s="27"/>
      <x:c r="K3880" s="28"/>
      <x:c r="L3880" s="28"/>
      <x:c r="M3880" s="28"/>
      <x:c r="N3880" s="28"/>
      <x:c r="O3880" s="28"/>
    </x:row>
    <x:row r="3881">
      <x:c r="B3881" s="26"/>
      <x:c r="I3881" s="27"/>
      <x:c r="K3881" s="28"/>
      <x:c r="L3881" s="28"/>
      <x:c r="M3881" s="28"/>
      <x:c r="N3881" s="28"/>
      <x:c r="O3881" s="28"/>
    </x:row>
    <x:row r="3882">
      <x:c r="B3882" s="26"/>
      <x:c r="I3882" s="27"/>
      <x:c r="K3882" s="28"/>
      <x:c r="L3882" s="28"/>
      <x:c r="M3882" s="28"/>
      <x:c r="N3882" s="28"/>
      <x:c r="O3882" s="28"/>
    </x:row>
    <x:row r="3883">
      <x:c r="B3883" s="26"/>
      <x:c r="I3883" s="27"/>
      <x:c r="K3883" s="28"/>
      <x:c r="L3883" s="28"/>
      <x:c r="M3883" s="28"/>
      <x:c r="N3883" s="28"/>
      <x:c r="O3883" s="28"/>
    </x:row>
    <x:row r="3884">
      <x:c r="B3884" s="26"/>
      <x:c r="I3884" s="27"/>
      <x:c r="K3884" s="28"/>
      <x:c r="L3884" s="28"/>
      <x:c r="M3884" s="28"/>
      <x:c r="N3884" s="28"/>
      <x:c r="O3884" s="28"/>
    </x:row>
    <x:row r="3885">
      <x:c r="B3885" s="26"/>
      <x:c r="I3885" s="27"/>
      <x:c r="K3885" s="28"/>
      <x:c r="L3885" s="28"/>
      <x:c r="M3885" s="28"/>
      <x:c r="N3885" s="28"/>
      <x:c r="O3885" s="28"/>
    </x:row>
    <x:row r="3886">
      <x:c r="B3886" s="26"/>
      <x:c r="I3886" s="27"/>
      <x:c r="K3886" s="28"/>
      <x:c r="L3886" s="28"/>
      <x:c r="M3886" s="28"/>
      <x:c r="N3886" s="28"/>
      <x:c r="O3886" s="28"/>
    </x:row>
    <x:row r="3887">
      <x:c r="B3887" s="26"/>
      <x:c r="I3887" s="27"/>
      <x:c r="K3887" s="28"/>
      <x:c r="L3887" s="28"/>
      <x:c r="M3887" s="28"/>
      <x:c r="N3887" s="28"/>
      <x:c r="O3887" s="28"/>
    </x:row>
    <x:row r="3888">
      <x:c r="B3888" s="26"/>
      <x:c r="I3888" s="27"/>
      <x:c r="K3888" s="28"/>
      <x:c r="L3888" s="28"/>
      <x:c r="M3888" s="28"/>
      <x:c r="N3888" s="28"/>
      <x:c r="O3888" s="28"/>
    </x:row>
    <x:row r="3889">
      <x:c r="B3889" s="26"/>
      <x:c r="I3889" s="27"/>
      <x:c r="K3889" s="28"/>
      <x:c r="L3889" s="28"/>
      <x:c r="M3889" s="28"/>
      <x:c r="N3889" s="28"/>
      <x:c r="O3889" s="28"/>
    </x:row>
    <x:row r="3890">
      <x:c r="B3890" s="26"/>
      <x:c r="I3890" s="27"/>
      <x:c r="K3890" s="28"/>
      <x:c r="L3890" s="28"/>
      <x:c r="M3890" s="28"/>
      <x:c r="N3890" s="28"/>
      <x:c r="O3890" s="28"/>
    </x:row>
    <x:row r="3891">
      <x:c r="B3891" s="26"/>
      <x:c r="I3891" s="27"/>
      <x:c r="K3891" s="28"/>
      <x:c r="L3891" s="28"/>
      <x:c r="M3891" s="28"/>
      <x:c r="N3891" s="28"/>
      <x:c r="O3891" s="28"/>
    </x:row>
    <x:row r="3892">
      <x:c r="B3892" s="26"/>
      <x:c r="I3892" s="27"/>
      <x:c r="K3892" s="28"/>
      <x:c r="L3892" s="28"/>
      <x:c r="M3892" s="28"/>
      <x:c r="N3892" s="28"/>
      <x:c r="O3892" s="28"/>
    </x:row>
    <x:row r="3893">
      <x:c r="B3893" s="26"/>
      <x:c r="I3893" s="27"/>
      <x:c r="K3893" s="28"/>
      <x:c r="L3893" s="28"/>
      <x:c r="M3893" s="28"/>
      <x:c r="N3893" s="28"/>
      <x:c r="O3893" s="28"/>
    </x:row>
    <x:row r="3894">
      <x:c r="B3894" s="26"/>
      <x:c r="I3894" s="27"/>
      <x:c r="K3894" s="28"/>
      <x:c r="L3894" s="28"/>
      <x:c r="M3894" s="28"/>
      <x:c r="N3894" s="28"/>
      <x:c r="O3894" s="28"/>
    </x:row>
    <x:row r="3895">
      <x:c r="B3895" s="26"/>
      <x:c r="I3895" s="27"/>
      <x:c r="K3895" s="28"/>
      <x:c r="L3895" s="28"/>
      <x:c r="M3895" s="28"/>
      <x:c r="N3895" s="28"/>
      <x:c r="O3895" s="28"/>
    </x:row>
    <x:row r="3896">
      <x:c r="B3896" s="26"/>
      <x:c r="I3896" s="27"/>
      <x:c r="K3896" s="28"/>
      <x:c r="L3896" s="28"/>
      <x:c r="M3896" s="28"/>
      <x:c r="N3896" s="28"/>
      <x:c r="O3896" s="28"/>
    </x:row>
    <x:row r="3897">
      <x:c r="B3897" s="26"/>
      <x:c r="I3897" s="27"/>
      <x:c r="K3897" s="28"/>
      <x:c r="L3897" s="28"/>
      <x:c r="M3897" s="28"/>
      <x:c r="N3897" s="28"/>
      <x:c r="O3897" s="28"/>
    </x:row>
    <x:row r="3898">
      <x:c r="B3898" s="26"/>
      <x:c r="I3898" s="27"/>
      <x:c r="K3898" s="28"/>
      <x:c r="L3898" s="28"/>
      <x:c r="M3898" s="28"/>
      <x:c r="N3898" s="28"/>
      <x:c r="O3898" s="28"/>
    </x:row>
    <x:row r="3899">
      <x:c r="B3899" s="26"/>
      <x:c r="I3899" s="27"/>
      <x:c r="K3899" s="28"/>
      <x:c r="L3899" s="28"/>
      <x:c r="M3899" s="28"/>
      <x:c r="N3899" s="28"/>
      <x:c r="O3899" s="28"/>
    </x:row>
    <x:row r="3900">
      <x:c r="B3900" s="26"/>
      <x:c r="I3900" s="27"/>
      <x:c r="K3900" s="28"/>
      <x:c r="L3900" s="28"/>
      <x:c r="M3900" s="28"/>
      <x:c r="N3900" s="28"/>
      <x:c r="O3900" s="28"/>
    </x:row>
    <x:row r="3901">
      <x:c r="B3901" s="26"/>
      <x:c r="I3901" s="27"/>
      <x:c r="K3901" s="28"/>
      <x:c r="L3901" s="28"/>
      <x:c r="M3901" s="28"/>
      <x:c r="N3901" s="28"/>
      <x:c r="O3901" s="28"/>
    </x:row>
    <x:row r="3902">
      <x:c r="B3902" s="26"/>
      <x:c r="I3902" s="27"/>
      <x:c r="K3902" s="28"/>
      <x:c r="L3902" s="28"/>
      <x:c r="M3902" s="28"/>
      <x:c r="N3902" s="28"/>
      <x:c r="O3902" s="28"/>
    </x:row>
    <x:row r="3903">
      <x:c r="B3903" s="26"/>
      <x:c r="I3903" s="27"/>
      <x:c r="K3903" s="28"/>
      <x:c r="L3903" s="28"/>
      <x:c r="M3903" s="28"/>
      <x:c r="N3903" s="28"/>
      <x:c r="O3903" s="28"/>
    </x:row>
    <x:row r="3904">
      <x:c r="B3904" s="26"/>
      <x:c r="I3904" s="27"/>
      <x:c r="K3904" s="28"/>
      <x:c r="L3904" s="28"/>
      <x:c r="M3904" s="28"/>
      <x:c r="N3904" s="28"/>
      <x:c r="O3904" s="28"/>
    </x:row>
    <x:row r="3905">
      <x:c r="B3905" s="26"/>
      <x:c r="I3905" s="27"/>
      <x:c r="K3905" s="28"/>
      <x:c r="L3905" s="28"/>
      <x:c r="M3905" s="28"/>
      <x:c r="N3905" s="28"/>
      <x:c r="O3905" s="28"/>
    </x:row>
    <x:row r="3906">
      <x:c r="B3906" s="26"/>
      <x:c r="I3906" s="27"/>
      <x:c r="K3906" s="28"/>
      <x:c r="L3906" s="28"/>
      <x:c r="M3906" s="28"/>
      <x:c r="N3906" s="28"/>
      <x:c r="O3906" s="28"/>
    </x:row>
    <x:row r="3907">
      <x:c r="B3907" s="26"/>
      <x:c r="I3907" s="27"/>
      <x:c r="K3907" s="28"/>
      <x:c r="L3907" s="28"/>
      <x:c r="M3907" s="28"/>
      <x:c r="N3907" s="28"/>
      <x:c r="O3907" s="28"/>
    </x:row>
    <x:row r="3908">
      <x:c r="B3908" s="26"/>
      <x:c r="I3908" s="27"/>
      <x:c r="K3908" s="28"/>
      <x:c r="L3908" s="28"/>
      <x:c r="M3908" s="28"/>
      <x:c r="N3908" s="28"/>
      <x:c r="O3908" s="28"/>
    </x:row>
    <x:row r="3909">
      <x:c r="B3909" s="26"/>
      <x:c r="I3909" s="27"/>
      <x:c r="K3909" s="28"/>
      <x:c r="L3909" s="28"/>
      <x:c r="M3909" s="28"/>
      <x:c r="N3909" s="28"/>
      <x:c r="O3909" s="28"/>
    </x:row>
    <x:row r="3910">
      <x:c r="B3910" s="26"/>
      <x:c r="I3910" s="27"/>
      <x:c r="K3910" s="28"/>
      <x:c r="L3910" s="28"/>
      <x:c r="M3910" s="28"/>
      <x:c r="N3910" s="28"/>
      <x:c r="O3910" s="28"/>
    </x:row>
    <x:row r="3911">
      <x:c r="B3911" s="26"/>
      <x:c r="I3911" s="27"/>
      <x:c r="K3911" s="28"/>
      <x:c r="L3911" s="28"/>
      <x:c r="M3911" s="28"/>
      <x:c r="N3911" s="28"/>
      <x:c r="O3911" s="28"/>
    </x:row>
    <x:row r="3912">
      <x:c r="B3912" s="26"/>
      <x:c r="I3912" s="27"/>
      <x:c r="K3912" s="28"/>
      <x:c r="L3912" s="28"/>
      <x:c r="M3912" s="28"/>
      <x:c r="N3912" s="28"/>
      <x:c r="O3912" s="28"/>
    </x:row>
    <x:row r="3913">
      <x:c r="B3913" s="26"/>
      <x:c r="I3913" s="27"/>
      <x:c r="K3913" s="28"/>
      <x:c r="L3913" s="28"/>
      <x:c r="M3913" s="28"/>
      <x:c r="N3913" s="28"/>
      <x:c r="O3913" s="28"/>
    </x:row>
    <x:row r="3914">
      <x:c r="B3914" s="26"/>
      <x:c r="I3914" s="27"/>
      <x:c r="K3914" s="28"/>
      <x:c r="L3914" s="28"/>
      <x:c r="M3914" s="28"/>
      <x:c r="N3914" s="28"/>
      <x:c r="O3914" s="28"/>
    </x:row>
    <x:row r="3915">
      <x:c r="B3915" s="26"/>
      <x:c r="I3915" s="27"/>
      <x:c r="K3915" s="28"/>
      <x:c r="L3915" s="28"/>
      <x:c r="M3915" s="28"/>
      <x:c r="N3915" s="28"/>
      <x:c r="O3915" s="28"/>
    </x:row>
    <x:row r="3916">
      <x:c r="B3916" s="26"/>
      <x:c r="I3916" s="27"/>
      <x:c r="K3916" s="28"/>
      <x:c r="L3916" s="28"/>
      <x:c r="M3916" s="28"/>
      <x:c r="N3916" s="28"/>
      <x:c r="O3916" s="28"/>
    </x:row>
    <x:row r="3917">
      <x:c r="B3917" s="26"/>
      <x:c r="I3917" s="27"/>
      <x:c r="K3917" s="28"/>
      <x:c r="L3917" s="28"/>
      <x:c r="M3917" s="28"/>
      <x:c r="N3917" s="28"/>
      <x:c r="O3917" s="28"/>
    </x:row>
    <x:row r="3918">
      <x:c r="B3918" s="26"/>
      <x:c r="I3918" s="27"/>
      <x:c r="K3918" s="28"/>
      <x:c r="L3918" s="28"/>
      <x:c r="M3918" s="28"/>
      <x:c r="N3918" s="28"/>
      <x:c r="O3918" s="28"/>
    </x:row>
    <x:row r="3919">
      <x:c r="B3919" s="26"/>
      <x:c r="I3919" s="27"/>
      <x:c r="K3919" s="28"/>
      <x:c r="L3919" s="28"/>
      <x:c r="M3919" s="28"/>
      <x:c r="N3919" s="28"/>
      <x:c r="O3919" s="28"/>
    </x:row>
    <x:row r="3920">
      <x:c r="B3920" s="26"/>
      <x:c r="I3920" s="27"/>
      <x:c r="K3920" s="28"/>
      <x:c r="L3920" s="28"/>
      <x:c r="M3920" s="28"/>
      <x:c r="N3920" s="28"/>
      <x:c r="O3920" s="28"/>
    </x:row>
    <x:row r="3921">
      <x:c r="B3921" s="26"/>
      <x:c r="I3921" s="27"/>
      <x:c r="K3921" s="28"/>
      <x:c r="L3921" s="28"/>
      <x:c r="M3921" s="28"/>
      <x:c r="N3921" s="28"/>
      <x:c r="O3921" s="28"/>
    </x:row>
    <x:row r="3922">
      <x:c r="B3922" s="26"/>
      <x:c r="I3922" s="27"/>
      <x:c r="K3922" s="28"/>
      <x:c r="L3922" s="28"/>
      <x:c r="M3922" s="28"/>
      <x:c r="N3922" s="28"/>
      <x:c r="O3922" s="28"/>
    </x:row>
    <x:row r="3923">
      <x:c r="B3923" s="26"/>
      <x:c r="I3923" s="27"/>
      <x:c r="K3923" s="28"/>
      <x:c r="L3923" s="28"/>
      <x:c r="M3923" s="28"/>
      <x:c r="N3923" s="28"/>
      <x:c r="O3923" s="28"/>
    </x:row>
    <x:row r="3924">
      <x:c r="B3924" s="26"/>
      <x:c r="I3924" s="27"/>
      <x:c r="K3924" s="28"/>
      <x:c r="L3924" s="28"/>
      <x:c r="M3924" s="28"/>
      <x:c r="N3924" s="28"/>
      <x:c r="O3924" s="28"/>
    </x:row>
    <x:row r="3925">
      <x:c r="B3925" s="26"/>
      <x:c r="I3925" s="27"/>
      <x:c r="K3925" s="28"/>
      <x:c r="L3925" s="28"/>
      <x:c r="M3925" s="28"/>
      <x:c r="N3925" s="28"/>
      <x:c r="O3925" s="28"/>
    </x:row>
    <x:row r="3926">
      <x:c r="B3926" s="26"/>
      <x:c r="I3926" s="27"/>
      <x:c r="K3926" s="28"/>
      <x:c r="L3926" s="28"/>
      <x:c r="M3926" s="28"/>
      <x:c r="N3926" s="28"/>
      <x:c r="O3926" s="28"/>
    </x:row>
    <x:row r="3927">
      <x:c r="B3927" s="26"/>
      <x:c r="I3927" s="27"/>
      <x:c r="K3927" s="28"/>
      <x:c r="L3927" s="28"/>
      <x:c r="M3927" s="28"/>
      <x:c r="N3927" s="28"/>
      <x:c r="O3927" s="28"/>
    </x:row>
    <x:row r="3928">
      <x:c r="B3928" s="26"/>
      <x:c r="I3928" s="27"/>
      <x:c r="K3928" s="28"/>
      <x:c r="L3928" s="28"/>
      <x:c r="M3928" s="28"/>
      <x:c r="N3928" s="28"/>
      <x:c r="O3928" s="28"/>
    </x:row>
    <x:row r="3929">
      <x:c r="B3929" s="26"/>
      <x:c r="I3929" s="27"/>
      <x:c r="K3929" s="28"/>
      <x:c r="L3929" s="28"/>
      <x:c r="M3929" s="28"/>
      <x:c r="N3929" s="28"/>
      <x:c r="O3929" s="28"/>
    </x:row>
    <x:row r="3930">
      <x:c r="B3930" s="26"/>
      <x:c r="I3930" s="27"/>
      <x:c r="K3930" s="28"/>
      <x:c r="L3930" s="28"/>
      <x:c r="M3930" s="28"/>
      <x:c r="N3930" s="28"/>
      <x:c r="O3930" s="28"/>
    </x:row>
    <x:row r="3931">
      <x:c r="B3931" s="26"/>
      <x:c r="I3931" s="27"/>
      <x:c r="K3931" s="28"/>
      <x:c r="L3931" s="28"/>
      <x:c r="M3931" s="28"/>
      <x:c r="N3931" s="28"/>
      <x:c r="O3931" s="28"/>
    </x:row>
    <x:row r="3932">
      <x:c r="B3932" s="26"/>
      <x:c r="I3932" s="27"/>
      <x:c r="K3932" s="28"/>
      <x:c r="L3932" s="28"/>
      <x:c r="M3932" s="28"/>
      <x:c r="N3932" s="28"/>
      <x:c r="O3932" s="28"/>
    </x:row>
    <x:row r="3933">
      <x:c r="B3933" s="26"/>
      <x:c r="I3933" s="27"/>
      <x:c r="K3933" s="28"/>
      <x:c r="L3933" s="28"/>
      <x:c r="M3933" s="28"/>
      <x:c r="N3933" s="28"/>
      <x:c r="O3933" s="28"/>
    </x:row>
    <x:row r="3934">
      <x:c r="B3934" s="26"/>
      <x:c r="I3934" s="27"/>
      <x:c r="K3934" s="28"/>
      <x:c r="L3934" s="28"/>
      <x:c r="M3934" s="28"/>
      <x:c r="N3934" s="28"/>
      <x:c r="O3934" s="28"/>
    </x:row>
    <x:row r="3935">
      <x:c r="B3935" s="26"/>
      <x:c r="I3935" s="27"/>
      <x:c r="K3935" s="28"/>
      <x:c r="L3935" s="28"/>
      <x:c r="M3935" s="28"/>
      <x:c r="N3935" s="28"/>
      <x:c r="O3935" s="28"/>
    </x:row>
    <x:row r="3936">
      <x:c r="B3936" s="26"/>
      <x:c r="I3936" s="27"/>
      <x:c r="K3936" s="28"/>
      <x:c r="L3936" s="28"/>
      <x:c r="M3936" s="28"/>
      <x:c r="N3936" s="28"/>
      <x:c r="O3936" s="28"/>
    </x:row>
    <x:row r="3937">
      <x:c r="B3937" s="26"/>
      <x:c r="I3937" s="27"/>
      <x:c r="K3937" s="28"/>
      <x:c r="L3937" s="28"/>
      <x:c r="M3937" s="28"/>
      <x:c r="N3937" s="28"/>
      <x:c r="O3937" s="28"/>
    </x:row>
    <x:row r="3938">
      <x:c r="B3938" s="26"/>
      <x:c r="I3938" s="27"/>
      <x:c r="K3938" s="28"/>
      <x:c r="L3938" s="28"/>
      <x:c r="M3938" s="28"/>
      <x:c r="N3938" s="28"/>
      <x:c r="O3938" s="28"/>
    </x:row>
    <x:row r="3939">
      <x:c r="B3939" s="26"/>
      <x:c r="I3939" s="27"/>
      <x:c r="K3939" s="28"/>
      <x:c r="L3939" s="28"/>
      <x:c r="M3939" s="28"/>
      <x:c r="N3939" s="28"/>
      <x:c r="O3939" s="28"/>
    </x:row>
    <x:row r="3940">
      <x:c r="B3940" s="26"/>
      <x:c r="I3940" s="27"/>
      <x:c r="K3940" s="28"/>
      <x:c r="L3940" s="28"/>
      <x:c r="M3940" s="28"/>
      <x:c r="N3940" s="28"/>
      <x:c r="O3940" s="28"/>
    </x:row>
    <x:row r="3941">
      <x:c r="B3941" s="26"/>
      <x:c r="I3941" s="27"/>
      <x:c r="K3941" s="28"/>
      <x:c r="L3941" s="28"/>
      <x:c r="M3941" s="28"/>
      <x:c r="N3941" s="28"/>
      <x:c r="O3941" s="28"/>
    </x:row>
    <x:row r="3942">
      <x:c r="B3942" s="26"/>
      <x:c r="I3942" s="27"/>
      <x:c r="K3942" s="28"/>
      <x:c r="L3942" s="28"/>
      <x:c r="M3942" s="28"/>
      <x:c r="N3942" s="28"/>
      <x:c r="O3942" s="28"/>
    </x:row>
    <x:row r="3943">
      <x:c r="B3943" s="26"/>
      <x:c r="I3943" s="27"/>
      <x:c r="K3943" s="28"/>
      <x:c r="L3943" s="28"/>
      <x:c r="M3943" s="28"/>
      <x:c r="N3943" s="28"/>
      <x:c r="O3943" s="28"/>
    </x:row>
    <x:row r="3944">
      <x:c r="B3944" s="26"/>
      <x:c r="I3944" s="27"/>
      <x:c r="K3944" s="28"/>
      <x:c r="L3944" s="28"/>
      <x:c r="M3944" s="28"/>
      <x:c r="N3944" s="28"/>
      <x:c r="O3944" s="28"/>
    </x:row>
    <x:row r="3945">
      <x:c r="B3945" s="26"/>
      <x:c r="I3945" s="27"/>
      <x:c r="K3945" s="28"/>
      <x:c r="L3945" s="28"/>
      <x:c r="M3945" s="28"/>
      <x:c r="N3945" s="28"/>
      <x:c r="O3945" s="28"/>
    </x:row>
    <x:row r="3946">
      <x:c r="B3946" s="26"/>
      <x:c r="I3946" s="27"/>
      <x:c r="K3946" s="28"/>
      <x:c r="L3946" s="28"/>
      <x:c r="M3946" s="28"/>
      <x:c r="N3946" s="28"/>
      <x:c r="O3946" s="28"/>
    </x:row>
    <x:row r="3947">
      <x:c r="B3947" s="26"/>
      <x:c r="I3947" s="27"/>
      <x:c r="K3947" s="28"/>
      <x:c r="L3947" s="28"/>
      <x:c r="M3947" s="28"/>
      <x:c r="N3947" s="28"/>
      <x:c r="O3947" s="28"/>
    </x:row>
    <x:row r="3948">
      <x:c r="B3948" s="26"/>
      <x:c r="I3948" s="27"/>
      <x:c r="K3948" s="28"/>
      <x:c r="L3948" s="28"/>
      <x:c r="M3948" s="28"/>
      <x:c r="N3948" s="28"/>
      <x:c r="O3948" s="28"/>
    </x:row>
    <x:row r="3949">
      <x:c r="B3949" s="26"/>
      <x:c r="I3949" s="27"/>
      <x:c r="K3949" s="28"/>
      <x:c r="L3949" s="28"/>
      <x:c r="M3949" s="28"/>
      <x:c r="N3949" s="28"/>
      <x:c r="O3949" s="28"/>
    </x:row>
    <x:row r="3950">
      <x:c r="B3950" s="26"/>
      <x:c r="I3950" s="27"/>
      <x:c r="K3950" s="28"/>
      <x:c r="L3950" s="28"/>
      <x:c r="M3950" s="28"/>
      <x:c r="N3950" s="28"/>
      <x:c r="O3950" s="28"/>
    </x:row>
    <x:row r="3951">
      <x:c r="B3951" s="26"/>
      <x:c r="I3951" s="27"/>
      <x:c r="K3951" s="28"/>
      <x:c r="L3951" s="28"/>
      <x:c r="M3951" s="28"/>
      <x:c r="N3951" s="28"/>
      <x:c r="O3951" s="28"/>
    </x:row>
    <x:row r="3952">
      <x:c r="B3952" s="26"/>
      <x:c r="I3952" s="27"/>
      <x:c r="K3952" s="28"/>
      <x:c r="L3952" s="28"/>
      <x:c r="M3952" s="28"/>
      <x:c r="N3952" s="28"/>
      <x:c r="O3952" s="28"/>
    </x:row>
    <x:row r="3953">
      <x:c r="B3953" s="26"/>
      <x:c r="I3953" s="27"/>
      <x:c r="K3953" s="28"/>
      <x:c r="L3953" s="28"/>
      <x:c r="M3953" s="28"/>
      <x:c r="N3953" s="28"/>
      <x:c r="O3953" s="28"/>
    </x:row>
    <x:row r="3954">
      <x:c r="B3954" s="26"/>
      <x:c r="I3954" s="27"/>
      <x:c r="K3954" s="28"/>
      <x:c r="L3954" s="28"/>
      <x:c r="M3954" s="28"/>
      <x:c r="N3954" s="28"/>
      <x:c r="O3954" s="28"/>
    </x:row>
    <x:row r="3955">
      <x:c r="B3955" s="26"/>
      <x:c r="I3955" s="27"/>
      <x:c r="K3955" s="28"/>
      <x:c r="L3955" s="28"/>
      <x:c r="M3955" s="28"/>
      <x:c r="N3955" s="28"/>
      <x:c r="O3955" s="28"/>
    </x:row>
    <x:row r="3956">
      <x:c r="B3956" s="26"/>
      <x:c r="I3956" s="27"/>
      <x:c r="K3956" s="28"/>
      <x:c r="L3956" s="28"/>
      <x:c r="M3956" s="28"/>
      <x:c r="N3956" s="28"/>
      <x:c r="O3956" s="28"/>
    </x:row>
    <x:row r="3957">
      <x:c r="B3957" s="26"/>
      <x:c r="I3957" s="27"/>
      <x:c r="K3957" s="28"/>
      <x:c r="L3957" s="28"/>
      <x:c r="M3957" s="28"/>
      <x:c r="N3957" s="28"/>
      <x:c r="O3957" s="28"/>
    </x:row>
    <x:row r="3958">
      <x:c r="B3958" s="26"/>
      <x:c r="I3958" s="27"/>
      <x:c r="K3958" s="28"/>
      <x:c r="L3958" s="28"/>
      <x:c r="M3958" s="28"/>
      <x:c r="N3958" s="28"/>
      <x:c r="O3958" s="28"/>
    </x:row>
    <x:row r="3959">
      <x:c r="B3959" s="26"/>
      <x:c r="I3959" s="27"/>
      <x:c r="K3959" s="28"/>
      <x:c r="L3959" s="28"/>
      <x:c r="M3959" s="28"/>
      <x:c r="N3959" s="28"/>
      <x:c r="O3959" s="28"/>
    </x:row>
    <x:row r="3960">
      <x:c r="B3960" s="26"/>
      <x:c r="I3960" s="27"/>
      <x:c r="K3960" s="28"/>
      <x:c r="L3960" s="28"/>
      <x:c r="M3960" s="28"/>
      <x:c r="N3960" s="28"/>
      <x:c r="O3960" s="28"/>
    </x:row>
    <x:row r="3961">
      <x:c r="B3961" s="26"/>
      <x:c r="I3961" s="27"/>
      <x:c r="K3961" s="28"/>
      <x:c r="L3961" s="28"/>
      <x:c r="M3961" s="28"/>
      <x:c r="N3961" s="28"/>
      <x:c r="O3961" s="28"/>
    </x:row>
    <x:row r="3962">
      <x:c r="B3962" s="26"/>
      <x:c r="I3962" s="27"/>
      <x:c r="K3962" s="28"/>
      <x:c r="L3962" s="28"/>
      <x:c r="M3962" s="28"/>
      <x:c r="N3962" s="28"/>
      <x:c r="O3962" s="28"/>
    </x:row>
    <x:row r="3963">
      <x:c r="B3963" s="26"/>
      <x:c r="I3963" s="27"/>
      <x:c r="K3963" s="28"/>
      <x:c r="L3963" s="28"/>
      <x:c r="M3963" s="28"/>
      <x:c r="N3963" s="28"/>
      <x:c r="O3963" s="28"/>
    </x:row>
    <x:row r="3964">
      <x:c r="B3964" s="26"/>
      <x:c r="I3964" s="27"/>
      <x:c r="K3964" s="28"/>
      <x:c r="L3964" s="28"/>
      <x:c r="M3964" s="28"/>
      <x:c r="N3964" s="28"/>
      <x:c r="O3964" s="28"/>
    </x:row>
    <x:row r="3965">
      <x:c r="B3965" s="26"/>
      <x:c r="I3965" s="27"/>
      <x:c r="K3965" s="28"/>
      <x:c r="L3965" s="28"/>
      <x:c r="M3965" s="28"/>
      <x:c r="N3965" s="28"/>
      <x:c r="O3965" s="28"/>
    </x:row>
    <x:row r="3966">
      <x:c r="B3966" s="26"/>
      <x:c r="I3966" s="27"/>
      <x:c r="K3966" s="28"/>
      <x:c r="L3966" s="28"/>
      <x:c r="M3966" s="28"/>
      <x:c r="N3966" s="28"/>
      <x:c r="O3966" s="28"/>
    </x:row>
    <x:row r="3967">
      <x:c r="B3967" s="26"/>
      <x:c r="I3967" s="27"/>
      <x:c r="K3967" s="28"/>
      <x:c r="L3967" s="28"/>
      <x:c r="M3967" s="28"/>
      <x:c r="N3967" s="28"/>
      <x:c r="O3967" s="28"/>
    </x:row>
    <x:row r="3968">
      <x:c r="B3968" s="26"/>
      <x:c r="I3968" s="27"/>
      <x:c r="K3968" s="28"/>
      <x:c r="L3968" s="28"/>
      <x:c r="M3968" s="28"/>
      <x:c r="N3968" s="28"/>
      <x:c r="O3968" s="28"/>
    </x:row>
    <x:row r="3969">
      <x:c r="B3969" s="26"/>
      <x:c r="I3969" s="27"/>
      <x:c r="K3969" s="28"/>
      <x:c r="L3969" s="28"/>
      <x:c r="M3969" s="28"/>
      <x:c r="N3969" s="28"/>
      <x:c r="O3969" s="28"/>
    </x:row>
    <x:row r="3970">
      <x:c r="B3970" s="26"/>
      <x:c r="I3970" s="27"/>
      <x:c r="K3970" s="28"/>
      <x:c r="L3970" s="28"/>
      <x:c r="M3970" s="28"/>
      <x:c r="N3970" s="28"/>
      <x:c r="O3970" s="28"/>
    </x:row>
    <x:row r="3971">
      <x:c r="B3971" s="26"/>
      <x:c r="I3971" s="27"/>
      <x:c r="K3971" s="28"/>
      <x:c r="L3971" s="28"/>
      <x:c r="M3971" s="28"/>
      <x:c r="N3971" s="28"/>
      <x:c r="O3971" s="28"/>
    </x:row>
    <x:row r="3972">
      <x:c r="B3972" s="26"/>
      <x:c r="I3972" s="27"/>
      <x:c r="K3972" s="28"/>
      <x:c r="L3972" s="28"/>
      <x:c r="M3972" s="28"/>
      <x:c r="N3972" s="28"/>
      <x:c r="O3972" s="28"/>
    </x:row>
    <x:row r="3973">
      <x:c r="B3973" s="26"/>
      <x:c r="I3973" s="27"/>
      <x:c r="K3973" s="28"/>
      <x:c r="L3973" s="28"/>
      <x:c r="M3973" s="28"/>
      <x:c r="N3973" s="28"/>
      <x:c r="O3973" s="28"/>
    </x:row>
    <x:row r="3974">
      <x:c r="B3974" s="26"/>
      <x:c r="I3974" s="27"/>
      <x:c r="K3974" s="28"/>
      <x:c r="L3974" s="28"/>
      <x:c r="M3974" s="28"/>
      <x:c r="N3974" s="28"/>
      <x:c r="O3974" s="28"/>
    </x:row>
    <x:row r="3975">
      <x:c r="B3975" s="26"/>
      <x:c r="I3975" s="27"/>
      <x:c r="K3975" s="28"/>
      <x:c r="L3975" s="28"/>
      <x:c r="M3975" s="28"/>
      <x:c r="N3975" s="28"/>
      <x:c r="O3975" s="28"/>
    </x:row>
    <x:row r="3976">
      <x:c r="B3976" s="26"/>
      <x:c r="I3976" s="27"/>
      <x:c r="K3976" s="28"/>
      <x:c r="L3976" s="28"/>
      <x:c r="M3976" s="28"/>
      <x:c r="N3976" s="28"/>
      <x:c r="O3976" s="28"/>
    </x:row>
    <x:row r="3977">
      <x:c r="B3977" s="26"/>
      <x:c r="I3977" s="27"/>
      <x:c r="K3977" s="28"/>
      <x:c r="L3977" s="28"/>
      <x:c r="M3977" s="28"/>
      <x:c r="N3977" s="28"/>
      <x:c r="O3977" s="28"/>
    </x:row>
    <x:row r="3978">
      <x:c r="B3978" s="26"/>
      <x:c r="I3978" s="27"/>
      <x:c r="K3978" s="28"/>
      <x:c r="L3978" s="28"/>
      <x:c r="M3978" s="28"/>
      <x:c r="N3978" s="28"/>
      <x:c r="O3978" s="28"/>
    </x:row>
    <x:row r="3979">
      <x:c r="B3979" s="26"/>
      <x:c r="I3979" s="27"/>
      <x:c r="K3979" s="28"/>
      <x:c r="L3979" s="28"/>
      <x:c r="M3979" s="28"/>
      <x:c r="N3979" s="28"/>
      <x:c r="O3979" s="28"/>
    </x:row>
    <x:row r="3980">
      <x:c r="B3980" s="26"/>
      <x:c r="I3980" s="27"/>
      <x:c r="K3980" s="28"/>
      <x:c r="L3980" s="28"/>
      <x:c r="M3980" s="28"/>
      <x:c r="N3980" s="28"/>
      <x:c r="O3980" s="28"/>
    </x:row>
    <x:row r="3981">
      <x:c r="B3981" s="26"/>
      <x:c r="I3981" s="27"/>
      <x:c r="K3981" s="28"/>
      <x:c r="L3981" s="28"/>
      <x:c r="M3981" s="28"/>
      <x:c r="N3981" s="28"/>
      <x:c r="O3981" s="28"/>
    </x:row>
    <x:row r="3982">
      <x:c r="B3982" s="26"/>
      <x:c r="I3982" s="27"/>
      <x:c r="K3982" s="28"/>
      <x:c r="L3982" s="28"/>
      <x:c r="M3982" s="28"/>
      <x:c r="N3982" s="28"/>
      <x:c r="O3982" s="28"/>
    </x:row>
    <x:row r="3983">
      <x:c r="B3983" s="26"/>
      <x:c r="I3983" s="27"/>
      <x:c r="K3983" s="28"/>
      <x:c r="L3983" s="28"/>
      <x:c r="M3983" s="28"/>
      <x:c r="N3983" s="28"/>
      <x:c r="O3983" s="28"/>
    </x:row>
    <x:row r="3984">
      <x:c r="B3984" s="26"/>
      <x:c r="I3984" s="27"/>
      <x:c r="K3984" s="28"/>
      <x:c r="L3984" s="28"/>
      <x:c r="M3984" s="28"/>
      <x:c r="N3984" s="28"/>
      <x:c r="O3984" s="28"/>
    </x:row>
    <x:row r="3985">
      <x:c r="B3985" s="26"/>
      <x:c r="I3985" s="27"/>
      <x:c r="K3985" s="28"/>
      <x:c r="L3985" s="28"/>
      <x:c r="M3985" s="28"/>
      <x:c r="N3985" s="28"/>
      <x:c r="O3985" s="28"/>
    </x:row>
    <x:row r="3986">
      <x:c r="B3986" s="26"/>
      <x:c r="I3986" s="27"/>
      <x:c r="K3986" s="28"/>
      <x:c r="L3986" s="28"/>
      <x:c r="M3986" s="28"/>
      <x:c r="N3986" s="28"/>
      <x:c r="O3986" s="28"/>
    </x:row>
    <x:row r="3987">
      <x:c r="B3987" s="26"/>
      <x:c r="I3987" s="27"/>
      <x:c r="K3987" s="28"/>
      <x:c r="L3987" s="28"/>
      <x:c r="M3987" s="28"/>
      <x:c r="N3987" s="28"/>
      <x:c r="O3987" s="28"/>
    </x:row>
    <x:row r="3988">
      <x:c r="B3988" s="26"/>
      <x:c r="I3988" s="27"/>
      <x:c r="K3988" s="28"/>
      <x:c r="L3988" s="28"/>
      <x:c r="M3988" s="28"/>
      <x:c r="N3988" s="28"/>
      <x:c r="O3988" s="28"/>
    </x:row>
    <x:row r="3989">
      <x:c r="B3989" s="26"/>
      <x:c r="I3989" s="27"/>
      <x:c r="K3989" s="28"/>
      <x:c r="L3989" s="28"/>
      <x:c r="M3989" s="28"/>
      <x:c r="N3989" s="28"/>
      <x:c r="O3989" s="28"/>
    </x:row>
    <x:row r="3990">
      <x:c r="B3990" s="26"/>
      <x:c r="I3990" s="27"/>
      <x:c r="K3990" s="28"/>
      <x:c r="L3990" s="28"/>
      <x:c r="M3990" s="28"/>
      <x:c r="N3990" s="28"/>
      <x:c r="O3990" s="28"/>
    </x:row>
    <x:row r="3991">
      <x:c r="B3991" s="26"/>
      <x:c r="I3991" s="27"/>
      <x:c r="K3991" s="28"/>
      <x:c r="L3991" s="28"/>
      <x:c r="M3991" s="28"/>
      <x:c r="N3991" s="28"/>
      <x:c r="O3991" s="28"/>
    </x:row>
    <x:row r="3992">
      <x:c r="B3992" s="26"/>
      <x:c r="I3992" s="27"/>
      <x:c r="K3992" s="28"/>
      <x:c r="L3992" s="28"/>
      <x:c r="M3992" s="28"/>
      <x:c r="N3992" s="28"/>
      <x:c r="O3992" s="28"/>
    </x:row>
    <x:row r="3993">
      <x:c r="B3993" s="26"/>
      <x:c r="I3993" s="27"/>
      <x:c r="K3993" s="28"/>
      <x:c r="L3993" s="28"/>
      <x:c r="M3993" s="28"/>
      <x:c r="N3993" s="28"/>
      <x:c r="O3993" s="28"/>
    </x:row>
    <x:row r="3994">
      <x:c r="B3994" s="26"/>
      <x:c r="I3994" s="27"/>
      <x:c r="K3994" s="28"/>
      <x:c r="L3994" s="28"/>
      <x:c r="M3994" s="28"/>
      <x:c r="N3994" s="28"/>
      <x:c r="O3994" s="28"/>
    </x:row>
    <x:row r="3995">
      <x:c r="B3995" s="26"/>
      <x:c r="I3995" s="27"/>
      <x:c r="K3995" s="28"/>
      <x:c r="L3995" s="28"/>
      <x:c r="M3995" s="28"/>
      <x:c r="N3995" s="28"/>
      <x:c r="O3995" s="28"/>
    </x:row>
    <x:row r="3996">
      <x:c r="B3996" s="26"/>
      <x:c r="I3996" s="27"/>
      <x:c r="K3996" s="28"/>
      <x:c r="L3996" s="28"/>
      <x:c r="M3996" s="28"/>
      <x:c r="N3996" s="28"/>
      <x:c r="O3996" s="28"/>
    </x:row>
    <x:row r="3997">
      <x:c r="B3997" s="26"/>
      <x:c r="I3997" s="27"/>
      <x:c r="K3997" s="28"/>
      <x:c r="L3997" s="28"/>
      <x:c r="M3997" s="28"/>
      <x:c r="N3997" s="28"/>
      <x:c r="O3997" s="28"/>
    </x:row>
    <x:row r="3998">
      <x:c r="B3998" s="26"/>
      <x:c r="I3998" s="27"/>
      <x:c r="K3998" s="28"/>
      <x:c r="L3998" s="28"/>
      <x:c r="M3998" s="28"/>
      <x:c r="N3998" s="28"/>
      <x:c r="O3998" s="28"/>
    </x:row>
    <x:row r="3999">
      <x:c r="B3999" s="26"/>
      <x:c r="I3999" s="27"/>
      <x:c r="K3999" s="28"/>
      <x:c r="L3999" s="28"/>
      <x:c r="M3999" s="28"/>
      <x:c r="N3999" s="28"/>
      <x:c r="O3999" s="28"/>
    </x:row>
    <x:row r="4000">
      <x:c r="B4000" s="26"/>
      <x:c r="I4000" s="27"/>
      <x:c r="K4000" s="28"/>
      <x:c r="L4000" s="28"/>
      <x:c r="M4000" s="28"/>
      <x:c r="N4000" s="28"/>
      <x:c r="O4000" s="28"/>
    </x:row>
  </x:sheetData>
  <x:dataValidations count="2">
    <x:dataValidation type="list" sqref="D2:D4000">
      <x:formula1>"OCR,CÓDIGO DE BARRAS,MANUAL"</x:formula1>
    </x:dataValidation>
    <x:dataValidation type="list" sqref="P2:P4000">
      <x:formula1>"PENDIENTE,CUADRA,SOBRANTE,FALTANTE,LOTE NO ENCONTRADO"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36.66999816894531" hidden="0" customWidth="1"/>
    <x:col min="3" max="3" width="13.890000343322754" hidden="0" customWidth="1"/>
    <x:col min="4" max="4" width="13.890000343322754" hidden="0" customWidth="1"/>
    <x:col min="5" max="5" width="23.329999923706055" hidden="0" customWidth="1"/>
    <x:col min="6" max="6" width="11.670000076293945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779999732971191" hidden="0" customWidth="1"/>
    <x:col min="11" max="11" width="28.889999389648438" hidden="0" customWidth="1"/>
  </x:cols>
  <x:sheetData>
    <x:row r="1">
      <x:c r="A1" s="11" t="str">
        <x:v>Referencia interna</x:v>
      </x:c>
      <x:c r="B1" s="11" t="str">
        <x:v>Producto</x:v>
      </x:c>
      <x:c r="C1" s="11" t="str">
        <x:v>Lote</x:v>
      </x:c>
      <x:c r="D1" s="11" t="str">
        <x:v>Fecha de vencimiento</x:v>
      </x:c>
      <x:c r="E1" s="11" t="str">
        <x:v>Lugar sistema</x:v>
      </x:c>
      <x:c r="F1" s="11" t="str">
        <x:v>Unidad</x:v>
      </x:c>
      <x:c r="G1" s="11" t="str">
        <x:v>Stock sistema</x:v>
      </x:c>
      <x:c r="H1" s="11" t="str">
        <x:v>Stock físico</x:v>
      </x:c>
      <x:c r="I1" s="11" t="str">
        <x:v>Diferencia</x:v>
      </x:c>
      <x:c r="J1" s="11" t="str">
        <x:v>Estado</x:v>
      </x:c>
      <x:c r="K1" s="11" t="str">
        <x:v>Observación</x:v>
      </x:c>
    </x:row>
    <x:row r="2">
      <x:c r="A2" t="str">
        <x:f>'STOCK_SISTEMA'!A2</x:f>
        <x:v>EE10005</x:v>
      </x:c>
      <x:c r="B2" s="29" t="str">
        <x:f>'STOCK_SISTEMA'!B2</x:f>
        <x:v>[EE10005] CAJA MASTER TIYAPUY CAFÉ  # 5 X UND</x:v>
      </x:c>
      <x:c r="C2" t="str">
        <x:f>IF('STOCK_SISTEMA'!C2="","",'STOCK_SISTEMA'!C2)</x:f>
        <x:v>16/25</x:v>
      </x:c>
      <x:c r="D2" s="27" t="n">
        <x:f>IF('STOCK_SISTEMA'!D2="","",'STOCK_SISTEMA'!D2)</x:f>
        <x:v>46387</x:v>
      </x:c>
      <x:c r="E2" t="str">
        <x:f>'STOCK_SISTEMA'!E2</x:f>
        <x:v>SF-03/Materiales</x:v>
      </x:c>
      <x:c r="F2" t="str">
        <x:f>'STOCK_SISTEMA'!G2</x:f>
        <x:v>Unidades</x:v>
      </x:c>
      <x:c r="G2" s="28" t="n">
        <x:f>'STOCK_SISTEMA'!F2</x:f>
        <x:v>80</x:v>
      </x:c>
      <x:c r="H2" s="28" t="n">
        <x:f>SUMIFS('CONTEOS'!$N$2:$N$4000,'CONTEOS'!$F$2:$F$4000,A2,'CONTEOS'!$H$2:$H$4000,C2)</x:f>
        <x:v>0</x:v>
      </x:c>
      <x:c r="I2" s="28" t="n">
        <x:f>H2-G2</x:f>
        <x:v>-80</x:v>
      </x:c>
      <x:c r="J2" t="str">
        <x:f>IF(COUNTIFS('CONTEOS'!$F$2:$F$4000,A2,'CONTEOS'!$H$2:$H$4000,C2)=0,"PENDIENTE",IF(I2=0,"CUADRA",IF(I2&gt;0,"SOBRANTE","FALTANTE")))</x:f>
        <x:v>PENDIENTE</x:v>
      </x:c>
    </x:row>
    <x:row r="3">
      <x:c r="A3" t="str">
        <x:f>'STOCK_SISTEMA'!A3</x:f>
        <x:v>EE10073</x:v>
      </x:c>
      <x:c r="B3" s="29" t="str">
        <x:f>'STOCK_SISTEMA'!B3</x:f>
        <x:v>[EE10073] CINTA DE EMBALAJE 2" X 110 YD X ROLLO</x:v>
      </x:c>
      <x:c r="C3" t="str">
        <x:f>IF('STOCK_SISTEMA'!C3="","",'STOCK_SISTEMA'!C3)</x:f>
      </x:c>
      <x:c r="D3" s="27" t="str">
        <x:f>IF('STOCK_SISTEMA'!D3="","",'STOCK_SISTEMA'!D3)</x:f>
      </x:c>
      <x:c r="E3" t="str">
        <x:f>'STOCK_SISTEMA'!E3</x:f>
        <x:v>SF-03/Materiales</x:v>
      </x:c>
      <x:c r="F3" t="str">
        <x:f>'STOCK_SISTEMA'!G3</x:f>
        <x:v>Unidades</x:v>
      </x:c>
      <x:c r="G3" s="28" t="n">
        <x:f>'STOCK_SISTEMA'!F3</x:f>
        <x:v>979.8000000000001</x:v>
      </x:c>
      <x:c r="H3" s="28" t="n">
        <x:f>SUMIFS('CONTEOS'!$N$2:$N$4000,'CONTEOS'!$F$2:$F$4000,A3,'CONTEOS'!$H$2:$H$4000,C3)</x:f>
        <x:v>0</x:v>
      </x:c>
      <x:c r="I3" s="28" t="n">
        <x:f>H3-G3</x:f>
        <x:v>-979.8000000000001</x:v>
      </x:c>
      <x:c r="J3" t="str">
        <x:f>IF(COUNTIFS('CONTEOS'!$F$2:$F$4000,A3,'CONTEOS'!$H$2:$H$4000,C3)=0,"PENDIENTE",IF(I3=0,"CUADRA",IF(I3&gt;0,"SOBRANTE","FALTANTE")))</x:f>
        <x:v>PENDIENTE</x:v>
      </x:c>
    </x:row>
    <x:row r="4">
      <x:c r="A4" t="str">
        <x:f>'STOCK_SISTEMA'!A4</x:f>
        <x:v>EE10072</x:v>
      </x:c>
      <x:c r="B4" s="29" t="str">
        <x:f>'STOCK_SISTEMA'!B4</x:f>
        <x:v>[EE10072] ETIQUETA BLANCA CAJA TT-50MMx100MM 1C-T1x1000</x:v>
      </x:c>
      <x:c r="C4" t="str">
        <x:f>IF('STOCK_SISTEMA'!C4="","",'STOCK_SISTEMA'!C4)</x:f>
      </x:c>
      <x:c r="D4" s="27" t="str">
        <x:f>IF('STOCK_SISTEMA'!D4="","",'STOCK_SISTEMA'!D4)</x:f>
      </x:c>
      <x:c r="E4" t="str">
        <x:f>'STOCK_SISTEMA'!E4</x:f>
        <x:v>SF-03/Materiales</x:v>
      </x:c>
      <x:c r="F4" t="str">
        <x:f>'STOCK_SISTEMA'!G4</x:f>
        <x:v>Unidades</x:v>
      </x:c>
      <x:c r="G4" s="28" t="n">
        <x:f>'STOCK_SISTEMA'!F4</x:f>
        <x:v>226.993</x:v>
      </x:c>
      <x:c r="H4" s="28" t="n">
        <x:f>SUMIFS('CONTEOS'!$N$2:$N$4000,'CONTEOS'!$F$2:$F$4000,A4,'CONTEOS'!$H$2:$H$4000,C4)</x:f>
        <x:v>0</x:v>
      </x:c>
      <x:c r="I4" s="28" t="n">
        <x:f>H4-G4</x:f>
        <x:v>-226.993</x:v>
      </x:c>
      <x:c r="J4" t="str">
        <x:f>IF(COUNTIFS('CONTEOS'!$F$2:$F$4000,A4,'CONTEOS'!$H$2:$H$4000,C4)=0,"PENDIENTE",IF(I4=0,"CUADRA",IF(I4&gt;0,"SOBRANTE","FALTANTE")))</x:f>
        <x:v>PENDIENTE</x:v>
      </x:c>
    </x:row>
    <x:row r="5">
      <x:c r="A5" t="str">
        <x:f>'STOCK_SISTEMA'!A5</x:f>
        <x:v>EE10071</x:v>
      </x:c>
      <x:c r="B5" s="29" t="str">
        <x:f>'STOCK_SISTEMA'!B5</x:f>
        <x:v>[EE10071] ETIQUETA DE FECHAS TT-17 MMx23MM X ROLLO</x:v>
      </x:c>
      <x:c r="C5" t="str">
        <x:f>IF('STOCK_SISTEMA'!C5="","",'STOCK_SISTEMA'!C5)</x:f>
      </x:c>
      <x:c r="D5" s="27" t="str">
        <x:f>IF('STOCK_SISTEMA'!D5="","",'STOCK_SISTEMA'!D5)</x:f>
      </x:c>
      <x:c r="E5" t="str">
        <x:f>'STOCK_SISTEMA'!E5</x:f>
        <x:v>SF-03/Materiales</x:v>
      </x:c>
      <x:c r="F5" t="str">
        <x:f>'STOCK_SISTEMA'!G5</x:f>
        <x:v>Unidades</x:v>
      </x:c>
      <x:c r="G5" s="28" t="n">
        <x:f>'STOCK_SISTEMA'!F5</x:f>
        <x:v>15.728</x:v>
      </x:c>
      <x:c r="H5" s="28" t="n">
        <x:f>SUMIFS('CONTEOS'!$N$2:$N$4000,'CONTEOS'!$F$2:$F$4000,A5,'CONTEOS'!$H$2:$H$4000,C5)</x:f>
        <x:v>0</x:v>
      </x:c>
      <x:c r="I5" s="28" t="n">
        <x:f>H5-G5</x:f>
        <x:v>-15.728</x:v>
      </x:c>
      <x:c r="J5" t="str">
        <x:f>IF(COUNTIFS('CONTEOS'!$F$2:$F$4000,A5,'CONTEOS'!$H$2:$H$4000,C5)=0,"PENDIENTE",IF(I5=0,"CUADRA",IF(I5&gt;0,"SOBRANTE","FALTANTE")))</x:f>
        <x:v>PENDIENTE</x:v>
      </x:c>
    </x:row>
    <x:row r="6">
      <x:c r="A6" t="str">
        <x:f>'STOCK_SISTEMA'!A6</x:f>
        <x:v>EE10076</x:v>
      </x:c>
      <x:c r="B6" s="29" t="str">
        <x:f>'STOCK_SISTEMA'!B6</x:f>
        <x:v>[EE10076] RIBBON 110MMx300MTS NEGRO CERA OUT</x:v>
      </x:c>
      <x:c r="C6" t="str">
        <x:f>IF('STOCK_SISTEMA'!C6="","",'STOCK_SISTEMA'!C6)</x:f>
      </x:c>
      <x:c r="D6" s="27" t="str">
        <x:f>IF('STOCK_SISTEMA'!D6="","",'STOCK_SISTEMA'!D6)</x:f>
      </x:c>
      <x:c r="E6" t="str">
        <x:f>'STOCK_SISTEMA'!E6</x:f>
        <x:v>SF-03/Materiales</x:v>
      </x:c>
      <x:c r="F6" t="str">
        <x:f>'STOCK_SISTEMA'!G6</x:f>
        <x:v>Unidades</x:v>
      </x:c>
      <x:c r="G6" s="28" t="n">
        <x:f>'STOCK_SISTEMA'!F6</x:f>
        <x:v>85.6598</x:v>
      </x:c>
      <x:c r="H6" s="28" t="n">
        <x:f>SUMIFS('CONTEOS'!$N$2:$N$4000,'CONTEOS'!$F$2:$F$4000,A6,'CONTEOS'!$H$2:$H$4000,C6)</x:f>
        <x:v>0</x:v>
      </x:c>
      <x:c r="I6" s="28" t="n">
        <x:f>H6-G6</x:f>
        <x:v>-85.6598</x:v>
      </x:c>
      <x:c r="J6" t="str">
        <x:f>IF(COUNTIFS('CONTEOS'!$F$2:$F$4000,A6,'CONTEOS'!$H$2:$H$4000,C6)=0,"PENDIENTE",IF(I6=0,"CUADRA",IF(I6&gt;0,"SOBRANTE","FALTANTE")))</x:f>
        <x:v>PENDIENTE</x:v>
      </x:c>
    </x:row>
    <x:row r="7">
      <x:c r="A7" t="str">
        <x:f>'STOCK_SISTEMA'!A7</x:f>
        <x:v>EE10078</x:v>
      </x:c>
      <x:c r="B7" s="29" t="str">
        <x:f>'STOCK_SISTEMA'!B7</x:f>
        <x:v>[EE10078] CINTA 1" X 110 YD TRANSPARENTE X ROLLO</x:v>
      </x:c>
      <x:c r="C7" t="str">
        <x:f>IF('STOCK_SISTEMA'!C7="","",'STOCK_SISTEMA'!C7)</x:f>
      </x:c>
      <x:c r="D7" s="27" t="str">
        <x:f>IF('STOCK_SISTEMA'!D7="","",'STOCK_SISTEMA'!D7)</x:f>
      </x:c>
      <x:c r="E7" t="str">
        <x:f>'STOCK_SISTEMA'!E7</x:f>
        <x:v>SF-03/Materiales</x:v>
      </x:c>
      <x:c r="F7" t="str">
        <x:f>'STOCK_SISTEMA'!G7</x:f>
        <x:v>Unidades</x:v>
      </x:c>
      <x:c r="G7" s="28" t="n">
        <x:f>'STOCK_SISTEMA'!F7</x:f>
        <x:v>156.658</x:v>
      </x:c>
      <x:c r="H7" s="28" t="n">
        <x:f>SUMIFS('CONTEOS'!$N$2:$N$4000,'CONTEOS'!$F$2:$F$4000,A7,'CONTEOS'!$H$2:$H$4000,C7)</x:f>
        <x:v>0</x:v>
      </x:c>
      <x:c r="I7" s="28" t="n">
        <x:f>H7-G7</x:f>
        <x:v>-156.658</x:v>
      </x:c>
      <x:c r="J7" t="str">
        <x:f>IF(COUNTIFS('CONTEOS'!$F$2:$F$4000,A7,'CONTEOS'!$H$2:$H$4000,C7)=0,"PENDIENTE",IF(I7=0,"CUADRA",IF(I7&gt;0,"SOBRANTE","FALTANTE")))</x:f>
        <x:v>PENDIENTE</x:v>
      </x:c>
    </x:row>
    <x:row r="8">
      <x:c r="A8" t="str">
        <x:f>'STOCK_SISTEMA'!A8</x:f>
        <x:v>EE10115</x:v>
      </x:c>
      <x:c r="B8" s="29" t="str">
        <x:f>'STOCK_SISTEMA'!B8</x:f>
        <x:v>[EE10115] CINTA CODIFICADORA TERMOIMPRESIÓN X ROLLO  34MM X 600M</x:v>
      </x:c>
      <x:c r="C8" t="str">
        <x:f>IF('STOCK_SISTEMA'!C8="","",'STOCK_SISTEMA'!C8)</x:f>
      </x:c>
      <x:c r="D8" s="27" t="str">
        <x:f>IF('STOCK_SISTEMA'!D8="","",'STOCK_SISTEMA'!D8)</x:f>
      </x:c>
      <x:c r="E8" t="str">
        <x:f>'STOCK_SISTEMA'!E8</x:f>
        <x:v>SF-03/Materiales</x:v>
      </x:c>
      <x:c r="F8" t="str">
        <x:f>'STOCK_SISTEMA'!G8</x:f>
        <x:v>Unidades</x:v>
      </x:c>
      <x:c r="G8" s="28" t="n">
        <x:f>'STOCK_SISTEMA'!F8</x:f>
        <x:v>2.8078</x:v>
      </x:c>
      <x:c r="H8" s="28" t="n">
        <x:f>SUMIFS('CONTEOS'!$N$2:$N$4000,'CONTEOS'!$F$2:$F$4000,A8,'CONTEOS'!$H$2:$H$4000,C8)</x:f>
        <x:v>0</x:v>
      </x:c>
      <x:c r="I8" s="28" t="n">
        <x:f>H8-G8</x:f>
        <x:v>-2.8078</x:v>
      </x:c>
      <x:c r="J8" t="str">
        <x:f>IF(COUNTIFS('CONTEOS'!$F$2:$F$4000,A8,'CONTEOS'!$H$2:$H$4000,C8)=0,"PENDIENTE",IF(I8=0,"CUADRA",IF(I8&gt;0,"SOBRANTE","FALTANTE")))</x:f>
        <x:v>PENDIENTE</x:v>
      </x:c>
    </x:row>
    <x:row r="9">
      <x:c r="A9" t="str">
        <x:f>'STOCK_SISTEMA'!A9</x:f>
        <x:v>EE10079</x:v>
      </x:c>
      <x:c r="B9" s="29" t="str">
        <x:f>'STOCK_SISTEMA'!B9</x:f>
        <x:v>[EE10079] CINTILLOS TIRA 1.7CM X 43.5CM X UND</x:v>
      </x:c>
      <x:c r="C9" t="str">
        <x:f>IF('STOCK_SISTEMA'!C9="","",'STOCK_SISTEMA'!C9)</x:f>
      </x:c>
      <x:c r="D9" s="27" t="str">
        <x:f>IF('STOCK_SISTEMA'!D9="","",'STOCK_SISTEMA'!D9)</x:f>
      </x:c>
      <x:c r="E9" t="str">
        <x:f>'STOCK_SISTEMA'!E9</x:f>
        <x:v>SF-03/Materiales</x:v>
      </x:c>
      <x:c r="F9" t="str">
        <x:f>'STOCK_SISTEMA'!G9</x:f>
        <x:v>Unidades</x:v>
      </x:c>
      <x:c r="G9" s="28" t="n">
        <x:f>'STOCK_SISTEMA'!F9</x:f>
        <x:v>193883.9</x:v>
      </x:c>
      <x:c r="H9" s="28" t="n">
        <x:f>SUMIFS('CONTEOS'!$N$2:$N$4000,'CONTEOS'!$F$2:$F$4000,A9,'CONTEOS'!$H$2:$H$4000,C9)</x:f>
        <x:v>0</x:v>
      </x:c>
      <x:c r="I9" s="28" t="n">
        <x:f>H9-G9</x:f>
        <x:v>-193883.9</x:v>
      </x:c>
      <x:c r="J9" t="str">
        <x:f>IF(COUNTIFS('CONTEOS'!$F$2:$F$4000,A9,'CONTEOS'!$H$2:$H$4000,C9)=0,"PENDIENTE",IF(I9=0,"CUADRA",IF(I9&gt;0,"SOBRANTE","FALTANTE")))</x:f>
        <x:v>PENDIENTE</x:v>
      </x:c>
    </x:row>
    <x:row r="10">
      <x:c r="A10" t="str">
        <x:f>'STOCK_SISTEMA'!A10</x:f>
        <x:v>EE10120</x:v>
      </x:c>
      <x:c r="B10" s="29" t="str">
        <x:f>'STOCK_SISTEMA'!B10</x:f>
        <x:v>[EE10120] CINTILLOS TIRA 1.7CM X 50 CM X UND</x:v>
      </x:c>
      <x:c r="C10" t="str">
        <x:f>IF('STOCK_SISTEMA'!C10="","",'STOCK_SISTEMA'!C10)</x:f>
      </x:c>
      <x:c r="D10" s="27" t="str">
        <x:f>IF('STOCK_SISTEMA'!D10="","",'STOCK_SISTEMA'!D10)</x:f>
      </x:c>
      <x:c r="E10" t="str">
        <x:f>'STOCK_SISTEMA'!E10</x:f>
        <x:v>SF-03/Materiales</x:v>
      </x:c>
      <x:c r="F10" t="str">
        <x:f>'STOCK_SISTEMA'!G10</x:f>
        <x:v>Unidades</x:v>
      </x:c>
      <x:c r="G10" s="28" t="n">
        <x:f>'STOCK_SISTEMA'!F10</x:f>
        <x:v>20000</x:v>
      </x:c>
      <x:c r="H10" s="28" t="n">
        <x:f>SUMIFS('CONTEOS'!$N$2:$N$4000,'CONTEOS'!$F$2:$F$4000,A10,'CONTEOS'!$H$2:$H$4000,C10)</x:f>
        <x:v>0</x:v>
      </x:c>
      <x:c r="I10" s="28" t="n">
        <x:f>H10-G10</x:f>
        <x:v>-20000</x:v>
      </x:c>
      <x:c r="J10" t="str">
        <x:f>IF(COUNTIFS('CONTEOS'!$F$2:$F$4000,A10,'CONTEOS'!$H$2:$H$4000,C10)=0,"PENDIENTE",IF(I10=0,"CUADRA",IF(I10&gt;0,"SOBRANTE","FALTANTE")))</x:f>
        <x:v>PENDIENTE</x:v>
      </x:c>
    </x:row>
    <x:row r="11">
      <x:c r="A11" t="str">
        <x:f>'STOCK_SISTEMA'!A11</x:f>
        <x:v>EE10010</x:v>
      </x:c>
      <x:c r="B11" s="29" t="str">
        <x:f>'STOCK_SISTEMA'!B11</x:f>
        <x:v>[EE10010] CAJITA CAFÉ 86 PTOS ORG X UND</x:v>
      </x:c>
      <x:c r="C11" t="str">
        <x:f>IF('STOCK_SISTEMA'!C11="","",'STOCK_SISTEMA'!C11)</x:f>
        <x:v>INFORME 20</x:v>
      </x:c>
      <x:c r="D11" s="27" t="n">
        <x:f>IF('STOCK_SISTEMA'!D11="","",'STOCK_SISTEMA'!D11)</x:f>
        <x:v>46387.73483796296</x:v>
      </x:c>
      <x:c r="E11" t="str">
        <x:f>'STOCK_SISTEMA'!E11</x:f>
        <x:v>SF-03/Materiales</x:v>
      </x:c>
      <x:c r="F11" t="str">
        <x:f>'STOCK_SISTEMA'!G11</x:f>
        <x:v>Unidades</x:v>
      </x:c>
      <x:c r="G11" s="28" t="n">
        <x:f>'STOCK_SISTEMA'!F11</x:f>
        <x:v>800</x:v>
      </x:c>
      <x:c r="H11" s="28" t="n">
        <x:f>SUMIFS('CONTEOS'!$N$2:$N$4000,'CONTEOS'!$F$2:$F$4000,A11,'CONTEOS'!$H$2:$H$4000,C11)</x:f>
        <x:v>0</x:v>
      </x:c>
      <x:c r="I11" s="28" t="n">
        <x:f>H11-G11</x:f>
        <x:v>-800</x:v>
      </x:c>
      <x:c r="J11" t="str">
        <x:f>IF(COUNTIFS('CONTEOS'!$F$2:$F$4000,A11,'CONTEOS'!$H$2:$H$4000,C11)=0,"PENDIENTE",IF(I11=0,"CUADRA",IF(I11&gt;0,"SOBRANTE","FALTANTE")))</x:f>
        <x:v>PENDIENTE</x:v>
      </x:c>
    </x:row>
    <x:row r="12">
      <x:c r="A12" t="str">
        <x:f>'STOCK_SISTEMA'!A12</x:f>
        <x:v>EE10010</x:v>
      </x:c>
      <x:c r="B12" s="29" t="str">
        <x:f>'STOCK_SISTEMA'!B12</x:f>
        <x:v>[EE10010] CAJITA CAFÉ 86 PTOS ORG X UND</x:v>
      </x:c>
      <x:c r="C12" t="str">
        <x:f>IF('STOCK_SISTEMA'!C12="","",'STOCK_SISTEMA'!C12)</x:f>
        <x:v>INFORME 31</x:v>
      </x:c>
      <x:c r="D12" s="27" t="n">
        <x:f>IF('STOCK_SISTEMA'!D12="","",'STOCK_SISTEMA'!D12)</x:f>
        <x:v>46387.67565972222</x:v>
      </x:c>
      <x:c r="E12" t="str">
        <x:f>'STOCK_SISTEMA'!E12</x:f>
        <x:v>SF-03/Materiales</x:v>
      </x:c>
      <x:c r="F12" t="str">
        <x:f>'STOCK_SISTEMA'!G12</x:f>
        <x:v>Unidades</x:v>
      </x:c>
      <x:c r="G12" s="28" t="n">
        <x:f>'STOCK_SISTEMA'!F12</x:f>
        <x:v>600</x:v>
      </x:c>
      <x:c r="H12" s="28" t="n">
        <x:f>SUMIFS('CONTEOS'!$N$2:$N$4000,'CONTEOS'!$F$2:$F$4000,A12,'CONTEOS'!$H$2:$H$4000,C12)</x:f>
        <x:v>0</x:v>
      </x:c>
      <x:c r="I12" s="28" t="n">
        <x:f>H12-G12</x:f>
        <x:v>-600</x:v>
      </x:c>
      <x:c r="J12" t="str">
        <x:f>IF(COUNTIFS('CONTEOS'!$F$2:$F$4000,A12,'CONTEOS'!$H$2:$H$4000,C12)=0,"PENDIENTE",IF(I12=0,"CUADRA",IF(I12&gt;0,"SOBRANTE","FALTANTE")))</x:f>
        <x:v>PENDIENTE</x:v>
      </x:c>
    </x:row>
    <x:row r="13">
      <x:c r="A13" t="str">
        <x:f>'STOCK_SISTEMA'!A13</x:f>
        <x:v>EE10008</x:v>
      </x:c>
      <x:c r="B13" s="29" t="str">
        <x:f>'STOCK_SISTEMA'!B13</x:f>
        <x:v>[EE10008] CAJA MASTER TIYAPUY QUINUA GRANO # 8 X UND</x:v>
      </x:c>
      <x:c r="C13" t="str">
        <x:f>IF('STOCK_SISTEMA'!C13="","",'STOCK_SISTEMA'!C13)</x:f>
        <x:v>INFORME 33</x:v>
      </x:c>
      <x:c r="D13" s="27" t="str">
        <x:f>IF('STOCK_SISTEMA'!D13="","",'STOCK_SISTEMA'!D13)</x:f>
      </x:c>
      <x:c r="E13" t="str">
        <x:f>'STOCK_SISTEMA'!E13</x:f>
        <x:v>SF-03/Materiales</x:v>
      </x:c>
      <x:c r="F13" t="str">
        <x:f>'STOCK_SISTEMA'!G13</x:f>
        <x:v>Unidades</x:v>
      </x:c>
      <x:c r="G13" s="28" t="n">
        <x:f>'STOCK_SISTEMA'!F13</x:f>
        <x:v>625</x:v>
      </x:c>
      <x:c r="H13" s="28" t="n">
        <x:f>SUMIFS('CONTEOS'!$N$2:$N$4000,'CONTEOS'!$F$2:$F$4000,A13,'CONTEOS'!$H$2:$H$4000,C13)</x:f>
        <x:v>0</x:v>
      </x:c>
      <x:c r="I13" s="28" t="n">
        <x:f>H13-G13</x:f>
        <x:v>-625</x:v>
      </x:c>
      <x:c r="J13" t="str">
        <x:f>IF(COUNTIFS('CONTEOS'!$F$2:$F$4000,A13,'CONTEOS'!$H$2:$H$4000,C13)=0,"PENDIENTE",IF(I13=0,"CUADRA",IF(I13&gt;0,"SOBRANTE","FALTANTE")))</x:f>
        <x:v>PENDIENTE</x:v>
      </x:c>
    </x:row>
    <x:row r="14">
      <x:c r="A14" t="str">
        <x:f>'STOCK_SISTEMA'!A14</x:f>
        <x:v>EE10137</x:v>
      </x:c>
      <x:c r="B14" s="29" t="str">
        <x:f>'STOCK_SISTEMA'!B14</x:f>
        <x:v>[EE10137] CINTA CODIFICADORA TERMOIMPRESIÓN X ROLLO  33MM X 700M</x:v>
      </x:c>
      <x:c r="C14" t="str">
        <x:f>IF('STOCK_SISTEMA'!C14="","",'STOCK_SISTEMA'!C14)</x:f>
      </x:c>
      <x:c r="D14" s="27" t="str">
        <x:f>IF('STOCK_SISTEMA'!D14="","",'STOCK_SISTEMA'!D14)</x:f>
      </x:c>
      <x:c r="E14" t="str">
        <x:f>'STOCK_SISTEMA'!E14</x:f>
        <x:v>SF-03/Materiales</x:v>
      </x:c>
      <x:c r="F14" t="str">
        <x:f>'STOCK_SISTEMA'!G14</x:f>
        <x:v>Unidades</x:v>
      </x:c>
      <x:c r="G14" s="28" t="n">
        <x:f>'STOCK_SISTEMA'!F14</x:f>
        <x:v>28.807</x:v>
      </x:c>
      <x:c r="H14" s="28" t="n">
        <x:f>SUMIFS('CONTEOS'!$N$2:$N$4000,'CONTEOS'!$F$2:$F$4000,A14,'CONTEOS'!$H$2:$H$4000,C14)</x:f>
        <x:v>0</x:v>
      </x:c>
      <x:c r="I14" s="28" t="n">
        <x:f>H14-G14</x:f>
        <x:v>-28.807</x:v>
      </x:c>
      <x:c r="J14" t="str">
        <x:f>IF(COUNTIFS('CONTEOS'!$F$2:$F$4000,A14,'CONTEOS'!$H$2:$H$4000,C14)=0,"PENDIENTE",IF(I14=0,"CUADRA",IF(I14&gt;0,"SOBRANTE","FALTANTE")))</x:f>
        <x:v>PENDIENTE</x:v>
      </x:c>
    </x:row>
    <x:row r="15">
      <x:c r="A15" t="str">
        <x:f>'STOCK_SISTEMA'!A15</x:f>
        <x:v>EE10140</x:v>
      </x:c>
      <x:c r="B15" s="29" t="str">
        <x:f>'STOCK_SISTEMA'!B15</x:f>
        <x:v>[EE10140] LAMINA TIYAPUY NATIVA MIX 160GR ESPAÑA X KG</x:v>
      </x:c>
      <x:c r="C15" t="str">
        <x:f>IF('STOCK_SISTEMA'!C15="","",'STOCK_SISTEMA'!C15)</x:f>
        <x:v>INFORME 39</x:v>
      </x:c>
      <x:c r="D15" s="27" t="n">
        <x:f>IF('STOCK_SISTEMA'!D15="","",'STOCK_SISTEMA'!D15)</x:f>
        <x:v>46203.69568287037</x:v>
      </x:c>
      <x:c r="E15" t="str">
        <x:f>'STOCK_SISTEMA'!E15</x:f>
        <x:v>SF-03/Materiales</x:v>
      </x:c>
      <x:c r="F15" t="str">
        <x:f>'STOCK_SISTEMA'!G15</x:f>
        <x:v>Kilogramo</x:v>
      </x:c>
      <x:c r="G15" s="28" t="n">
        <x:f>'STOCK_SISTEMA'!F15</x:f>
        <x:v>282.72</x:v>
      </x:c>
      <x:c r="H15" s="28" t="n">
        <x:f>SUMIFS('CONTEOS'!$N$2:$N$4000,'CONTEOS'!$F$2:$F$4000,A15,'CONTEOS'!$H$2:$H$4000,C15)</x:f>
        <x:v>0</x:v>
      </x:c>
      <x:c r="I15" s="28" t="n">
        <x:f>H15-G15</x:f>
        <x:v>-282.72</x:v>
      </x:c>
      <x:c r="J15" t="str">
        <x:f>IF(COUNTIFS('CONTEOS'!$F$2:$F$4000,A15,'CONTEOS'!$H$2:$H$4000,C15)=0,"PENDIENTE",IF(I15=0,"CUADRA",IF(I15&gt;0,"SOBRANTE","FALTANTE")))</x:f>
        <x:v>PENDIENTE</x:v>
      </x:c>
    </x:row>
    <x:row r="16">
      <x:c r="A16" t="str">
        <x:f>'STOCK_SISTEMA'!A16</x:f>
        <x:v>EE10141</x:v>
      </x:c>
      <x:c r="B16" s="29" t="str">
        <x:f>'STOCK_SISTEMA'!B16</x:f>
        <x:v>[EE10141] LAMINA TIYAPUY AMARILLA 160GR ESPAÑA X KG</x:v>
      </x:c>
      <x:c r="C16" t="str">
        <x:f>IF('STOCK_SISTEMA'!C16="","",'STOCK_SISTEMA'!C16)</x:f>
        <x:v>INFORME 21</x:v>
      </x:c>
      <x:c r="D16" s="27" t="n">
        <x:f>IF('STOCK_SISTEMA'!D16="","",'STOCK_SISTEMA'!D16)</x:f>
        <x:v>45771.69604166667</x:v>
      </x:c>
      <x:c r="E16" t="str">
        <x:f>'STOCK_SISTEMA'!E16</x:f>
        <x:v>SF-03/Materiales</x:v>
      </x:c>
      <x:c r="F16" t="str">
        <x:f>'STOCK_SISTEMA'!G16</x:f>
        <x:v>Kilogramo</x:v>
      </x:c>
      <x:c r="G16" s="28" t="n">
        <x:f>'STOCK_SISTEMA'!F16</x:f>
        <x:v>438.2</x:v>
      </x:c>
      <x:c r="H16" s="28" t="n">
        <x:f>SUMIFS('CONTEOS'!$N$2:$N$4000,'CONTEOS'!$F$2:$F$4000,A16,'CONTEOS'!$H$2:$H$4000,C16)</x:f>
        <x:v>0</x:v>
      </x:c>
      <x:c r="I16" s="28" t="n">
        <x:f>H16-G16</x:f>
        <x:v>-438.2</x:v>
      </x:c>
      <x:c r="J16" t="str">
        <x:f>IF(COUNTIFS('CONTEOS'!$F$2:$F$4000,A16,'CONTEOS'!$H$2:$H$4000,C16)=0,"PENDIENTE",IF(I16=0,"CUADRA",IF(I16&gt;0,"SOBRANTE","FALTANTE")))</x:f>
        <x:v>PENDIENTE</x:v>
      </x:c>
    </x:row>
    <x:row r="17">
      <x:c r="A17" t="str">
        <x:f>'STOCK_SISTEMA'!A17</x:f>
        <x:v>EE10074</x:v>
      </x:c>
      <x:c r="B17" s="29" t="str">
        <x:f>'STOCK_SISTEMA'!B17</x:f>
        <x:v>[EE10074] CINTAS SNACK 36MM X 200 M X ROLLO</x:v>
      </x:c>
      <x:c r="C17" t="str">
        <x:f>IF('STOCK_SISTEMA'!C17="","",'STOCK_SISTEMA'!C17)</x:f>
      </x:c>
      <x:c r="D17" s="27" t="str">
        <x:f>IF('STOCK_SISTEMA'!D17="","",'STOCK_SISTEMA'!D17)</x:f>
      </x:c>
      <x:c r="E17" t="str">
        <x:f>'STOCK_SISTEMA'!E17</x:f>
        <x:v>SF-03/Materiales</x:v>
      </x:c>
      <x:c r="F17" t="str">
        <x:f>'STOCK_SISTEMA'!G17</x:f>
        <x:v>Unidades</x:v>
      </x:c>
      <x:c r="G17" s="28" t="n">
        <x:f>'STOCK_SISTEMA'!F17</x:f>
        <x:v>1142.336</x:v>
      </x:c>
      <x:c r="H17" s="28" t="n">
        <x:f>SUMIFS('CONTEOS'!$N$2:$N$4000,'CONTEOS'!$F$2:$F$4000,A17,'CONTEOS'!$H$2:$H$4000,C17)</x:f>
        <x:v>0</x:v>
      </x:c>
      <x:c r="I17" s="28" t="n">
        <x:f>H17-G17</x:f>
        <x:v>-1142.336</x:v>
      </x:c>
      <x:c r="J17" t="str">
        <x:f>IF(COUNTIFS('CONTEOS'!$F$2:$F$4000,A17,'CONTEOS'!$H$2:$H$4000,C17)=0,"PENDIENTE",IF(I17=0,"CUADRA",IF(I17&gt;0,"SOBRANTE","FALTANTE")))</x:f>
        <x:v>PENDIENTE</x:v>
      </x:c>
    </x:row>
    <x:row r="18">
      <x:c r="A18" t="str">
        <x:f>'STOCK_SISTEMA'!A18</x:f>
        <x:v>EE10154</x:v>
      </x:c>
      <x:c r="B18" s="29" t="str">
        <x:f>'STOCK_SISTEMA'!B18</x:f>
        <x:v>[EE10154] BOLSA DE POLIETILENO ANCHO 26"x ALTO 59"x1.5 MIC ALTA NATURAL C/FUELLE 2"</x:v>
      </x:c>
      <x:c r="C18" t="str">
        <x:f>IF('STOCK_SISTEMA'!C18="","",'STOCK_SISTEMA'!C18)</x:f>
        <x:v>LOTE 509</x:v>
      </x:c>
      <x:c r="D18" s="27" t="n">
        <x:f>IF('STOCK_SISTEMA'!D18="","",'STOCK_SISTEMA'!D18)</x:f>
        <x:v>46037.48842592593</x:v>
      </x:c>
      <x:c r="E18" t="str">
        <x:f>'STOCK_SISTEMA'!E18</x:f>
        <x:v>SF-03/Materiales</x:v>
      </x:c>
      <x:c r="F18" t="str">
        <x:f>'STOCK_SISTEMA'!G18</x:f>
        <x:v>Unidades</x:v>
      </x:c>
      <x:c r="G18" s="28" t="n">
        <x:f>'STOCK_SISTEMA'!F18</x:f>
        <x:v>1450</x:v>
      </x:c>
      <x:c r="H18" s="28" t="n">
        <x:f>SUMIFS('CONTEOS'!$N$2:$N$4000,'CONTEOS'!$F$2:$F$4000,A18,'CONTEOS'!$H$2:$H$4000,C18)</x:f>
        <x:v>0</x:v>
      </x:c>
      <x:c r="I18" s="28" t="n">
        <x:f>H18-G18</x:f>
        <x:v>-1450</x:v>
      </x:c>
      <x:c r="J18" t="str">
        <x:f>IF(COUNTIFS('CONTEOS'!$F$2:$F$4000,A18,'CONTEOS'!$H$2:$H$4000,C18)=0,"PENDIENTE",IF(I18=0,"CUADRA",IF(I18&gt;0,"SOBRANTE","FALTANTE")))</x:f>
        <x:v>PENDIENTE</x:v>
      </x:c>
    </x:row>
    <x:row r="19">
      <x:c r="A19" t="str">
        <x:f>'STOCK_SISTEMA'!A19</x:f>
        <x:v>EE10056</x:v>
      </x:c>
      <x:c r="B19" s="29" t="str">
        <x:f>'STOCK_SISTEMA'!B19</x:f>
        <x:v>[EE10056] BOLSA TIYAPUY SUPERPACK 142GR X UND</x:v>
      </x:c>
      <x:c r="C19" t="str">
        <x:f>IF('STOCK_SISTEMA'!C19="","",'STOCK_SISTEMA'!C19)</x:f>
        <x:v>02/25</x:v>
      </x:c>
      <x:c r="D19" s="27" t="str">
        <x:f>IF('STOCK_SISTEMA'!D19="","",'STOCK_SISTEMA'!D19)</x:f>
      </x:c>
      <x:c r="E19" t="str">
        <x:f>'STOCK_SISTEMA'!E19</x:f>
        <x:v>SF-03/Materiales</x:v>
      </x:c>
      <x:c r="F19" t="str">
        <x:f>'STOCK_SISTEMA'!G19</x:f>
        <x:v>Unidades</x:v>
      </x:c>
      <x:c r="G19" s="28" t="n">
        <x:f>'STOCK_SISTEMA'!F19</x:f>
        <x:v>300</x:v>
      </x:c>
      <x:c r="H19" s="28" t="n">
        <x:f>SUMIFS('CONTEOS'!$N$2:$N$4000,'CONTEOS'!$F$2:$F$4000,A19,'CONTEOS'!$H$2:$H$4000,C19)</x:f>
        <x:v>0</x:v>
      </x:c>
      <x:c r="I19" s="28" t="n">
        <x:f>H19-G19</x:f>
        <x:v>-300</x:v>
      </x:c>
      <x:c r="J19" t="str">
        <x:f>IF(COUNTIFS('CONTEOS'!$F$2:$F$4000,A19,'CONTEOS'!$H$2:$H$4000,C19)=0,"PENDIENTE",IF(I19=0,"CUADRA",IF(I19&gt;0,"SOBRANTE","FALTANTE")))</x:f>
        <x:v>PENDIENTE</x:v>
      </x:c>
    </x:row>
    <x:row r="20">
      <x:c r="A20" t="str">
        <x:f>'STOCK_SISTEMA'!A20</x:f>
        <x:v>EE10056</x:v>
      </x:c>
      <x:c r="B20" s="29" t="str">
        <x:f>'STOCK_SISTEMA'!B20</x:f>
        <x:v>[EE10056] BOLSA TIYAPUY SUPERPACK 142GR X UND</x:v>
      </x:c>
      <x:c r="C20" t="str">
        <x:f>IF('STOCK_SISTEMA'!C20="","",'STOCK_SISTEMA'!C20)</x:f>
        <x:v>01/25</x:v>
      </x:c>
      <x:c r="D20" s="27" t="str">
        <x:f>IF('STOCK_SISTEMA'!D20="","",'STOCK_SISTEMA'!D20)</x:f>
      </x:c>
      <x:c r="E20" t="str">
        <x:f>'STOCK_SISTEMA'!E20</x:f>
        <x:v>SF-03/Materiales</x:v>
      </x:c>
      <x:c r="F20" t="str">
        <x:f>'STOCK_SISTEMA'!G20</x:f>
        <x:v>Unidades</x:v>
      </x:c>
      <x:c r="G20" s="28" t="n">
        <x:f>'STOCK_SISTEMA'!F20</x:f>
        <x:v>5500</x:v>
      </x:c>
      <x:c r="H20" s="28" t="n">
        <x:f>SUMIFS('CONTEOS'!$N$2:$N$4000,'CONTEOS'!$F$2:$F$4000,A20,'CONTEOS'!$H$2:$H$4000,C20)</x:f>
        <x:v>0</x:v>
      </x:c>
      <x:c r="I20" s="28" t="n">
        <x:f>H20-G20</x:f>
        <x:v>-5500</x:v>
      </x:c>
      <x:c r="J20" t="str">
        <x:f>IF(COUNTIFS('CONTEOS'!$F$2:$F$4000,A20,'CONTEOS'!$H$2:$H$4000,C20)=0,"PENDIENTE",IF(I20=0,"CUADRA",IF(I20&gt;0,"SOBRANTE","FALTANTE")))</x:f>
        <x:v>PENDIENTE</x:v>
      </x:c>
    </x:row>
    <x:row r="21">
      <x:c r="A21" t="str">
        <x:f>'STOCK_SISTEMA'!A21</x:f>
        <x:v>EE10159</x:v>
      </x:c>
      <x:c r="B21" s="29" t="str">
        <x:f>'STOCK_SISTEMA'!B21</x:f>
        <x:v>[EE10159] LAMINA RIKY TOK 155 GR PAPAS HILO X KG</x:v>
      </x:c>
      <x:c r="C21" t="str">
        <x:f>IF('STOCK_SISTEMA'!C21="","",'STOCK_SISTEMA'!C21)</x:f>
        <x:v>INFORME 02/25</x:v>
      </x:c>
      <x:c r="D21" s="27" t="str">
        <x:f>IF('STOCK_SISTEMA'!D21="","",'STOCK_SISTEMA'!D21)</x:f>
      </x:c>
      <x:c r="E21" t="str">
        <x:f>'STOCK_SISTEMA'!E21</x:f>
        <x:v>SF-03/Materiales</x:v>
      </x:c>
      <x:c r="F21" t="str">
        <x:f>'STOCK_SISTEMA'!G21</x:f>
        <x:v>Kilogramo</x:v>
      </x:c>
      <x:c r="G21" s="28" t="n">
        <x:f>'STOCK_SISTEMA'!F21</x:f>
        <x:v>1085</x:v>
      </x:c>
      <x:c r="H21" s="28" t="n">
        <x:f>SUMIFS('CONTEOS'!$N$2:$N$4000,'CONTEOS'!$F$2:$F$4000,A21,'CONTEOS'!$H$2:$H$4000,C21)</x:f>
        <x:v>0</x:v>
      </x:c>
      <x:c r="I21" s="28" t="n">
        <x:f>H21-G21</x:f>
        <x:v>-1085</x:v>
      </x:c>
      <x:c r="J21" t="str">
        <x:f>IF(COUNTIFS('CONTEOS'!$F$2:$F$4000,A21,'CONTEOS'!$H$2:$H$4000,C21)=0,"PENDIENTE",IF(I21=0,"CUADRA",IF(I21&gt;0,"SOBRANTE","FALTANTE")))</x:f>
        <x:v>PENDIENTE</x:v>
      </x:c>
    </x:row>
    <x:row r="22">
      <x:c r="A22" t="str">
        <x:f>'STOCK_SISTEMA'!A22</x:f>
        <x:v>EE10165</x:v>
      </x:c>
      <x:c r="B22" s="29" t="str">
        <x:f>'STOCK_SISTEMA'!B22</x:f>
        <x:v>[EE10165] PALLET LIVIANA 1.2MX1M EXPORTACION</x:v>
      </x:c>
      <x:c r="C22" t="str">
        <x:f>IF('STOCK_SISTEMA'!C22="","",'STOCK_SISTEMA'!C22)</x:f>
      </x:c>
      <x:c r="D22" s="27" t="str">
        <x:f>IF('STOCK_SISTEMA'!D22="","",'STOCK_SISTEMA'!D22)</x:f>
      </x:c>
      <x:c r="E22" t="str">
        <x:f>'STOCK_SISTEMA'!E22</x:f>
        <x:v>SF-03/Materiales</x:v>
      </x:c>
      <x:c r="F22" t="str">
        <x:f>'STOCK_SISTEMA'!G22</x:f>
        <x:v>Unidades</x:v>
      </x:c>
      <x:c r="G22" s="28" t="n">
        <x:f>'STOCK_SISTEMA'!F22</x:f>
        <x:v>204.425</x:v>
      </x:c>
      <x:c r="H22" s="28" t="n">
        <x:f>SUMIFS('CONTEOS'!$N$2:$N$4000,'CONTEOS'!$F$2:$F$4000,A22,'CONTEOS'!$H$2:$H$4000,C22)</x:f>
        <x:v>0</x:v>
      </x:c>
      <x:c r="I22" s="28" t="n">
        <x:f>H22-G22</x:f>
        <x:v>-204.425</x:v>
      </x:c>
      <x:c r="J22" t="str">
        <x:f>IF(COUNTIFS('CONTEOS'!$F$2:$F$4000,A22,'CONTEOS'!$H$2:$H$4000,C22)=0,"PENDIENTE",IF(I22=0,"CUADRA",IF(I22&gt;0,"SOBRANTE","FALTANTE")))</x:f>
        <x:v>PENDIENTE</x:v>
      </x:c>
    </x:row>
    <x:row r="23">
      <x:c r="A23" t="str">
        <x:f>'STOCK_SISTEMA'!A23</x:f>
        <x:v>EE10154</x:v>
      </x:c>
      <x:c r="B23" s="29" t="str">
        <x:f>'STOCK_SISTEMA'!B23</x:f>
        <x:v>[EE10154] BOLSA DE POLIETILENO ANCHO 26"x ALTO 59"x1.5 MIC ALTA NATURAL C/FUELLE 2"</x:v>
      </x:c>
      <x:c r="C23" t="str">
        <x:f>IF('STOCK_SISTEMA'!C23="","",'STOCK_SISTEMA'!C23)</x:f>
        <x:v>LOTE 692</x:v>
      </x:c>
      <x:c r="D23" s="27" t="str">
        <x:f>IF('STOCK_SISTEMA'!D23="","",'STOCK_SISTEMA'!D23)</x:f>
      </x:c>
      <x:c r="E23" t="str">
        <x:f>'STOCK_SISTEMA'!E23</x:f>
        <x:v>SF-03/Materiales</x:v>
      </x:c>
      <x:c r="F23" t="str">
        <x:f>'STOCK_SISTEMA'!G23</x:f>
        <x:v>Unidades</x:v>
      </x:c>
      <x:c r="G23" s="28" t="n">
        <x:f>'STOCK_SISTEMA'!F23</x:f>
        <x:v>3200</x:v>
      </x:c>
      <x:c r="H23" s="28" t="n">
        <x:f>SUMIFS('CONTEOS'!$N$2:$N$4000,'CONTEOS'!$F$2:$F$4000,A23,'CONTEOS'!$H$2:$H$4000,C23)</x:f>
        <x:v>0</x:v>
      </x:c>
      <x:c r="I23" s="28" t="n">
        <x:f>H23-G23</x:f>
        <x:v>-3200</x:v>
      </x:c>
      <x:c r="J23" t="str">
        <x:f>IF(COUNTIFS('CONTEOS'!$F$2:$F$4000,A23,'CONTEOS'!$H$2:$H$4000,C23)=0,"PENDIENTE",IF(I23=0,"CUADRA",IF(I23&gt;0,"SOBRANTE","FALTANTE")))</x:f>
        <x:v>PENDIENTE</x:v>
      </x:c>
    </x:row>
    <x:row r="24">
      <x:c r="A24" t="str">
        <x:f>'STOCK_SISTEMA'!A24</x:f>
        <x:v>EE10177</x:v>
      </x:c>
      <x:c r="B24" s="29" t="str">
        <x:f>'STOCK_SISTEMA'!B24</x:f>
        <x:v>[EE10177] PALLET EURO LIVIANA 0.8MX1.2M EXPORTACION</x:v>
      </x:c>
      <x:c r="C24" t="str">
        <x:f>IF('STOCK_SISTEMA'!C24="","",'STOCK_SISTEMA'!C24)</x:f>
      </x:c>
      <x:c r="D24" s="27" t="str">
        <x:f>IF('STOCK_SISTEMA'!D24="","",'STOCK_SISTEMA'!D24)</x:f>
      </x:c>
      <x:c r="E24" t="str">
        <x:f>'STOCK_SISTEMA'!E24</x:f>
        <x:v>SF-03/Materiales</x:v>
      </x:c>
      <x:c r="F24" t="str">
        <x:f>'STOCK_SISTEMA'!G24</x:f>
        <x:v>Unidades</x:v>
      </x:c>
      <x:c r="G24" s="28" t="n">
        <x:f>'STOCK_SISTEMA'!F24</x:f>
        <x:v>45</x:v>
      </x:c>
      <x:c r="H24" s="28" t="n">
        <x:f>SUMIFS('CONTEOS'!$N$2:$N$4000,'CONTEOS'!$F$2:$F$4000,A24,'CONTEOS'!$H$2:$H$4000,C24)</x:f>
        <x:v>0</x:v>
      </x:c>
      <x:c r="I24" s="28" t="n">
        <x:f>H24-G24</x:f>
        <x:v>-45</x:v>
      </x:c>
      <x:c r="J24" t="str">
        <x:f>IF(COUNTIFS('CONTEOS'!$F$2:$F$4000,A24,'CONTEOS'!$H$2:$H$4000,C24)=0,"PENDIENTE",IF(I24=0,"CUADRA",IF(I24&gt;0,"SOBRANTE","FALTANTE")))</x:f>
        <x:v>PENDIENTE</x:v>
      </x:c>
    </x:row>
    <x:row r="25">
      <x:c r="A25" t="str">
        <x:f>'STOCK_SISTEMA'!A25</x:f>
        <x:v>EE10149-2</x:v>
      </x:c>
      <x:c r="B25" s="29" t="str">
        <x:f>'STOCK_SISTEMA'!B25</x:f>
        <x:v>[EE10149-2] STICKERS RIKYTOK PARA LAMINA CONG SIN IMPRESION PEBD 1KG</x:v>
      </x:c>
      <x:c r="C25" t="str">
        <x:f>IF('STOCK_SISTEMA'!C25="","",'STOCK_SISTEMA'!C25)</x:f>
      </x:c>
      <x:c r="D25" s="27" t="str">
        <x:f>IF('STOCK_SISTEMA'!D25="","",'STOCK_SISTEMA'!D25)</x:f>
      </x:c>
      <x:c r="E25" t="str">
        <x:f>'STOCK_SISTEMA'!E25</x:f>
        <x:v>SF-03/Materiales</x:v>
      </x:c>
      <x:c r="F25" t="str">
        <x:f>'STOCK_SISTEMA'!G25</x:f>
        <x:v>Unidades</x:v>
      </x:c>
      <x:c r="G25" s="28" t="n">
        <x:f>'STOCK_SISTEMA'!F25</x:f>
        <x:v>20350</x:v>
      </x:c>
      <x:c r="H25" s="28" t="n">
        <x:f>SUMIFS('CONTEOS'!$N$2:$N$4000,'CONTEOS'!$F$2:$F$4000,A25,'CONTEOS'!$H$2:$H$4000,C25)</x:f>
        <x:v>0</x:v>
      </x:c>
      <x:c r="I25" s="28" t="n">
        <x:f>H25-G25</x:f>
        <x:v>-20350</x:v>
      </x:c>
      <x:c r="J25" t="str">
        <x:f>IF(COUNTIFS('CONTEOS'!$F$2:$F$4000,A25,'CONTEOS'!$H$2:$H$4000,C25)=0,"PENDIENTE",IF(I25=0,"CUADRA",IF(I25&gt;0,"SOBRANTE","FALTANTE")))</x:f>
        <x:v>PENDIENTE</x:v>
      </x:c>
    </x:row>
    <x:row r="26">
      <x:c r="A26" t="str">
        <x:f>'STOCK_SISTEMA'!A26</x:f>
        <x:v>EE10146</x:v>
      </x:c>
      <x:c r="B26" s="29" t="str">
        <x:f>'STOCK_SISTEMA'!B26</x:f>
        <x:v>[EE10146] LAMINA TIYAPUY AMARILLA PICANTE 142GR CONV MEXICO X KG</x:v>
      </x:c>
      <x:c r="C26" t="str">
        <x:f>IF('STOCK_SISTEMA'!C26="","",'STOCK_SISTEMA'!C26)</x:f>
        <x:v>INFORME 02/25</x:v>
      </x:c>
      <x:c r="D26" s="27" t="n">
        <x:f>IF('STOCK_SISTEMA'!D26="","",'STOCK_SISTEMA'!D26)</x:f>
        <x:v>46137.61903935186</x:v>
      </x:c>
      <x:c r="E26" t="str">
        <x:f>'STOCK_SISTEMA'!E26</x:f>
        <x:v>SF-03/Materiales</x:v>
      </x:c>
      <x:c r="F26" t="str">
        <x:f>'STOCK_SISTEMA'!G26</x:f>
        <x:v>Kilogramo</x:v>
      </x:c>
      <x:c r="G26" s="28" t="n">
        <x:f>'STOCK_SISTEMA'!F26</x:f>
        <x:v>351.7024</x:v>
      </x:c>
      <x:c r="H26" s="28" t="n">
        <x:f>SUMIFS('CONTEOS'!$N$2:$N$4000,'CONTEOS'!$F$2:$F$4000,A26,'CONTEOS'!$H$2:$H$4000,C26)</x:f>
        <x:v>0</x:v>
      </x:c>
      <x:c r="I26" s="28" t="n">
        <x:f>H26-G26</x:f>
        <x:v>-351.7024</x:v>
      </x:c>
      <x:c r="J26" t="str">
        <x:f>IF(COUNTIFS('CONTEOS'!$F$2:$F$4000,A26,'CONTEOS'!$H$2:$H$4000,C26)=0,"PENDIENTE",IF(I26=0,"CUADRA",IF(I26&gt;0,"SOBRANTE","FALTANTE")))</x:f>
        <x:v>PENDIENTE</x:v>
      </x:c>
    </x:row>
    <x:row r="27">
      <x:c r="A27" t="str">
        <x:f>'STOCK_SISTEMA'!A27</x:f>
        <x:v>EE10088-1</x:v>
      </x:c>
      <x:c r="B27" s="29" t="str">
        <x:f>'STOCK_SISTEMA'!B27</x:f>
        <x:v>[EE10088-1] LAMINA TIYAPUY NATIVA MIX 40GR ORG MEXICO X KG</x:v>
      </x:c>
      <x:c r="C27" t="str">
        <x:f>IF('STOCK_SISTEMA'!C27="","",'STOCK_SISTEMA'!C27)</x:f>
        <x:v>INFORME 05/25</x:v>
      </x:c>
      <x:c r="D27" s="27" t="n">
        <x:f>IF('STOCK_SISTEMA'!D27="","",'STOCK_SISTEMA'!D27)</x:f>
        <x:v>46203.62420138889</x:v>
      </x:c>
      <x:c r="E27" t="str">
        <x:f>'STOCK_SISTEMA'!E27</x:f>
        <x:v>SF-03/Materiales</x:v>
      </x:c>
      <x:c r="F27" t="str">
        <x:f>'STOCK_SISTEMA'!G27</x:f>
        <x:v>Kilogramo</x:v>
      </x:c>
      <x:c r="G27" s="28" t="n">
        <x:f>'STOCK_SISTEMA'!F27</x:f>
        <x:v>53.75</x:v>
      </x:c>
      <x:c r="H27" s="28" t="n">
        <x:f>SUMIFS('CONTEOS'!$N$2:$N$4000,'CONTEOS'!$F$2:$F$4000,A27,'CONTEOS'!$H$2:$H$4000,C27)</x:f>
        <x:v>0</x:v>
      </x:c>
      <x:c r="I27" s="28" t="n">
        <x:f>H27-G27</x:f>
        <x:v>-53.75</x:v>
      </x:c>
      <x:c r="J27" t="str">
        <x:f>IF(COUNTIFS('CONTEOS'!$F$2:$F$4000,A27,'CONTEOS'!$H$2:$H$4000,C27)=0,"PENDIENTE",IF(I27=0,"CUADRA",IF(I27&gt;0,"SOBRANTE","FALTANTE")))</x:f>
        <x:v>PENDIENTE</x:v>
      </x:c>
    </x:row>
    <x:row r="28">
      <x:c r="A28" t="str">
        <x:f>'STOCK_SISTEMA'!A28</x:f>
        <x:v>EE10004</x:v>
      </x:c>
      <x:c r="B28" s="29" t="str">
        <x:f>'STOCK_SISTEMA'!B28</x:f>
        <x:v>[EE10004] CAJA MASTER TIYAPUY AMAZON # 4 X UND</x:v>
      </x:c>
      <x:c r="C28" t="str">
        <x:f>IF('STOCK_SISTEMA'!C28="","",'STOCK_SISTEMA'!C28)</x:f>
        <x:v>LT-SF-AGR</x:v>
      </x:c>
      <x:c r="D28" s="27" t="n">
        <x:f>IF('STOCK_SISTEMA'!D28="","",'STOCK_SISTEMA'!D28)</x:f>
        <x:v>46387</x:v>
      </x:c>
      <x:c r="E28" t="str">
        <x:f>'STOCK_SISTEMA'!E28</x:f>
        <x:v>SF-03/Materiales</x:v>
      </x:c>
      <x:c r="F28" t="str">
        <x:f>'STOCK_SISTEMA'!G28</x:f>
        <x:v>Unidades</x:v>
      </x:c>
      <x:c r="G28" s="28" t="n">
        <x:f>'STOCK_SISTEMA'!F28</x:f>
        <x:v>2625</x:v>
      </x:c>
      <x:c r="H28" s="28" t="n">
        <x:f>SUMIFS('CONTEOS'!$N$2:$N$4000,'CONTEOS'!$F$2:$F$4000,A28,'CONTEOS'!$H$2:$H$4000,C28)</x:f>
        <x:v>0</x:v>
      </x:c>
      <x:c r="I28" s="28" t="n">
        <x:f>H28-G28</x:f>
        <x:v>-2625</x:v>
      </x:c>
      <x:c r="J28" t="str">
        <x:f>IF(COUNTIFS('CONTEOS'!$F$2:$F$4000,A28,'CONTEOS'!$H$2:$H$4000,C28)=0,"PENDIENTE",IF(I28=0,"CUADRA",IF(I28&gt;0,"SOBRANTE","FALTANTE")))</x:f>
        <x:v>PENDIENTE</x:v>
      </x:c>
    </x:row>
    <x:row r="29">
      <x:c r="A29" t="str">
        <x:f>'STOCK_SISTEMA'!A29</x:f>
        <x:v>EE10092</x:v>
      </x:c>
      <x:c r="B29" s="29" t="str">
        <x:f>'STOCK_SISTEMA'!B29</x:f>
        <x:v>[EE10092] BOLSA LAMINADA CAFÉ UNAKA  C/FUELLE C/SELLOS 200g</x:v>
      </x:c>
      <x:c r="C29" t="str">
        <x:f>IF('STOCK_SISTEMA'!C29="","",'STOCK_SISTEMA'!C29)</x:f>
        <x:v>INFORME 10</x:v>
      </x:c>
      <x:c r="D29" s="27" t="n">
        <x:f>IF('STOCK_SISTEMA'!D29="","",'STOCK_SISTEMA'!D29)</x:f>
        <x:v>46387.79166666666</x:v>
      </x:c>
      <x:c r="E29" t="str">
        <x:f>'STOCK_SISTEMA'!E29</x:f>
        <x:v>SF-03/Materiales</x:v>
      </x:c>
      <x:c r="F29" t="str">
        <x:f>'STOCK_SISTEMA'!G29</x:f>
        <x:v>Unidades</x:v>
      </x:c>
      <x:c r="G29" s="28" t="n">
        <x:f>'STOCK_SISTEMA'!F29</x:f>
        <x:v>333</x:v>
      </x:c>
      <x:c r="H29" s="28" t="n">
        <x:f>SUMIFS('CONTEOS'!$N$2:$N$4000,'CONTEOS'!$F$2:$F$4000,A29,'CONTEOS'!$H$2:$H$4000,C29)</x:f>
        <x:v>0</x:v>
      </x:c>
      <x:c r="I29" s="28" t="n">
        <x:f>H29-G29</x:f>
        <x:v>-333</x:v>
      </x:c>
      <x:c r="J29" t="str">
        <x:f>IF(COUNTIFS('CONTEOS'!$F$2:$F$4000,A29,'CONTEOS'!$H$2:$H$4000,C29)=0,"PENDIENTE",IF(I29=0,"CUADRA",IF(I29&gt;0,"SOBRANTE","FALTANTE")))</x:f>
        <x:v>PENDIENTE</x:v>
      </x:c>
    </x:row>
    <x:row r="30">
      <x:c r="A30" t="str">
        <x:f>'STOCK_SISTEMA'!A30</x:f>
        <x:v>EE10092</x:v>
      </x:c>
      <x:c r="B30" s="29" t="str">
        <x:f>'STOCK_SISTEMA'!B30</x:f>
        <x:v>[EE10092] BOLSA LAMINADA CAFÉ UNAKA  C/FUELLE C/SELLOS 200g</x:v>
      </x:c>
      <x:c r="C30" t="str">
        <x:f>IF('STOCK_SISTEMA'!C30="","",'STOCK_SISTEMA'!C30)</x:f>
        <x:v>INFORME 11</x:v>
      </x:c>
      <x:c r="D30" s="27" t="n">
        <x:f>IF('STOCK_SISTEMA'!D30="","",'STOCK_SISTEMA'!D30)</x:f>
        <x:v>46387.79166666666</x:v>
      </x:c>
      <x:c r="E30" t="str">
        <x:f>'STOCK_SISTEMA'!E30</x:f>
        <x:v>SF-03/Materiales</x:v>
      </x:c>
      <x:c r="F30" t="str">
        <x:f>'STOCK_SISTEMA'!G30</x:f>
        <x:v>Unidades</x:v>
      </x:c>
      <x:c r="G30" s="28" t="n">
        <x:f>'STOCK_SISTEMA'!F30</x:f>
        <x:v>2200</x:v>
      </x:c>
      <x:c r="H30" s="28" t="n">
        <x:f>SUMIFS('CONTEOS'!$N$2:$N$4000,'CONTEOS'!$F$2:$F$4000,A30,'CONTEOS'!$H$2:$H$4000,C30)</x:f>
        <x:v>0</x:v>
      </x:c>
      <x:c r="I30" s="28" t="n">
        <x:f>H30-G30</x:f>
        <x:v>-2200</x:v>
      </x:c>
      <x:c r="J30" t="str">
        <x:f>IF(COUNTIFS('CONTEOS'!$F$2:$F$4000,A30,'CONTEOS'!$H$2:$H$4000,C30)=0,"PENDIENTE",IF(I30=0,"CUADRA",IF(I30&gt;0,"SOBRANTE","FALTANTE")))</x:f>
        <x:v>PENDIENTE</x:v>
      </x:c>
    </x:row>
    <x:row r="31">
      <x:c r="A31" t="str">
        <x:f>'STOCK_SISTEMA'!A31</x:f>
        <x:v>EE10092</x:v>
      </x:c>
      <x:c r="B31" s="29" t="str">
        <x:f>'STOCK_SISTEMA'!B31</x:f>
        <x:v>[EE10092] BOLSA LAMINADA CAFÉ UNAKA  C/FUELLE C/SELLOS 200g</x:v>
      </x:c>
      <x:c r="C31" t="str">
        <x:f>IF('STOCK_SISTEMA'!C31="","",'STOCK_SISTEMA'!C31)</x:f>
        <x:v>INFORME 8</x:v>
      </x:c>
      <x:c r="D31" s="27" t="n">
        <x:f>IF('STOCK_SISTEMA'!D31="","",'STOCK_SISTEMA'!D31)</x:f>
        <x:v>46387.79166666666</x:v>
      </x:c>
      <x:c r="E31" t="str">
        <x:f>'STOCK_SISTEMA'!E31</x:f>
        <x:v>SF-03/Materiales</x:v>
      </x:c>
      <x:c r="F31" t="str">
        <x:f>'STOCK_SISTEMA'!G31</x:f>
        <x:v>Unidades</x:v>
      </x:c>
      <x:c r="G31" s="28" t="n">
        <x:f>'STOCK_SISTEMA'!F31</x:f>
        <x:v>2800</x:v>
      </x:c>
      <x:c r="H31" s="28" t="n">
        <x:f>SUMIFS('CONTEOS'!$N$2:$N$4000,'CONTEOS'!$F$2:$F$4000,A31,'CONTEOS'!$H$2:$H$4000,C31)</x:f>
        <x:v>0</x:v>
      </x:c>
      <x:c r="I31" s="28" t="n">
        <x:f>H31-G31</x:f>
        <x:v>-2800</x:v>
      </x:c>
      <x:c r="J31" t="str">
        <x:f>IF(COUNTIFS('CONTEOS'!$F$2:$F$4000,A31,'CONTEOS'!$H$2:$H$4000,C31)=0,"PENDIENTE",IF(I31=0,"CUADRA",IF(I31&gt;0,"SOBRANTE","FALTANTE")))</x:f>
        <x:v>PENDIENTE</x:v>
      </x:c>
    </x:row>
    <x:row r="32">
      <x:c r="A32" t="str">
        <x:f>'STOCK_SISTEMA'!A32</x:f>
        <x:v>EE10158</x:v>
      </x:c>
      <x:c r="B32" s="29" t="str">
        <x:f>'STOCK_SISTEMA'!B32</x:f>
        <x:v>[EE10158] LAMINA RIKY TOK 45 GR PAPAS HILO X KG</x:v>
      </x:c>
      <x:c r="C32" t="str">
        <x:f>IF('STOCK_SISTEMA'!C32="","",'STOCK_SISTEMA'!C32)</x:f>
        <x:v>INFORME 04/25</x:v>
      </x:c>
      <x:c r="D32" s="27" t="n">
        <x:f>IF('STOCK_SISTEMA'!D32="","",'STOCK_SISTEMA'!D32)</x:f>
        <x:v>46152.41247685185</x:v>
      </x:c>
      <x:c r="E32" t="str">
        <x:f>'STOCK_SISTEMA'!E32</x:f>
        <x:v>SF-03/Materiales</x:v>
      </x:c>
      <x:c r="F32" t="str">
        <x:f>'STOCK_SISTEMA'!G32</x:f>
        <x:v>Kilogramo</x:v>
      </x:c>
      <x:c r="G32" s="28" t="n">
        <x:f>'STOCK_SISTEMA'!F32</x:f>
        <x:v>188.877</x:v>
      </x:c>
      <x:c r="H32" s="28" t="n">
        <x:f>SUMIFS('CONTEOS'!$N$2:$N$4000,'CONTEOS'!$F$2:$F$4000,A32,'CONTEOS'!$H$2:$H$4000,C32)</x:f>
        <x:v>0</x:v>
      </x:c>
      <x:c r="I32" s="28" t="n">
        <x:f>H32-G32</x:f>
        <x:v>-188.877</x:v>
      </x:c>
      <x:c r="J32" t="str">
        <x:f>IF(COUNTIFS('CONTEOS'!$F$2:$F$4000,A32,'CONTEOS'!$H$2:$H$4000,C32)=0,"PENDIENTE",IF(I32=0,"CUADRA",IF(I32&gt;0,"SOBRANTE","FALTANTE")))</x:f>
        <x:v>PENDIENTE</x:v>
      </x:c>
    </x:row>
    <x:row r="33">
      <x:c r="A33" t="str">
        <x:f>'STOCK_SISTEMA'!A33</x:f>
        <x:v>EE10181</x:v>
      </x:c>
      <x:c r="B33" s="29" t="str">
        <x:f>'STOCK_SISTEMA'!B33</x:f>
        <x:v>[EE10181] STICKERS TIYAPUY PARA LAMINA CONG SIN IMPRESION PEBD 2.5KG</x:v>
      </x:c>
      <x:c r="C33" t="str">
        <x:f>IF('STOCK_SISTEMA'!C33="","",'STOCK_SISTEMA'!C33)</x:f>
        <x:v>INFORME 21/25</x:v>
      </x:c>
      <x:c r="D33" s="27" t="n">
        <x:f>IF('STOCK_SISTEMA'!D33="","",'STOCK_SISTEMA'!D33)</x:f>
        <x:v>46387.52040509259</x:v>
      </x:c>
      <x:c r="E33" t="str">
        <x:f>'STOCK_SISTEMA'!E33</x:f>
        <x:v>SF-03/Materiales</x:v>
      </x:c>
      <x:c r="F33" t="str">
        <x:f>'STOCK_SISTEMA'!G33</x:f>
        <x:v>Unidades</x:v>
      </x:c>
      <x:c r="G33" s="28" t="n">
        <x:f>'STOCK_SISTEMA'!F33</x:f>
        <x:v>15000</x:v>
      </x:c>
      <x:c r="H33" s="28" t="n">
        <x:f>SUMIFS('CONTEOS'!$N$2:$N$4000,'CONTEOS'!$F$2:$F$4000,A33,'CONTEOS'!$H$2:$H$4000,C33)</x:f>
        <x:v>0</x:v>
      </x:c>
      <x:c r="I33" s="28" t="n">
        <x:f>H33-G33</x:f>
        <x:v>-15000</x:v>
      </x:c>
      <x:c r="J33" t="str">
        <x:f>IF(COUNTIFS('CONTEOS'!$F$2:$F$4000,A33,'CONTEOS'!$H$2:$H$4000,C33)=0,"PENDIENTE",IF(I33=0,"CUADRA",IF(I33&gt;0,"SOBRANTE","FALTANTE")))</x:f>
        <x:v>PENDIENTE</x:v>
      </x:c>
    </x:row>
    <x:row r="34">
      <x:c r="A34" t="str">
        <x:f>'STOCK_SISTEMA'!A34</x:f>
        <x:v>EE10158</x:v>
      </x:c>
      <x:c r="B34" s="29" t="str">
        <x:f>'STOCK_SISTEMA'!B34</x:f>
        <x:v>[EE10158] LAMINA RIKY TOK 45 GR PAPAS HILO X KG</x:v>
      </x:c>
      <x:c r="C34" t="str">
        <x:f>IF('STOCK_SISTEMA'!C34="","",'STOCK_SISTEMA'!C34)</x:f>
        <x:v>INFORME 06/25</x:v>
      </x:c>
      <x:c r="D34" s="27" t="n">
        <x:f>IF('STOCK_SISTEMA'!D34="","",'STOCK_SISTEMA'!D34)</x:f>
        <x:v>46162.96201388889</x:v>
      </x:c>
      <x:c r="E34" t="str">
        <x:f>'STOCK_SISTEMA'!E34</x:f>
        <x:v>SF-03/Materiales</x:v>
      </x:c>
      <x:c r="F34" t="str">
        <x:f>'STOCK_SISTEMA'!G34</x:f>
        <x:v>Kilogramo</x:v>
      </x:c>
      <x:c r="G34" s="28" t="n">
        <x:f>'STOCK_SISTEMA'!F34</x:f>
        <x:v>667.14</x:v>
      </x:c>
      <x:c r="H34" s="28" t="n">
        <x:f>SUMIFS('CONTEOS'!$N$2:$N$4000,'CONTEOS'!$F$2:$F$4000,A34,'CONTEOS'!$H$2:$H$4000,C34)</x:f>
        <x:v>0</x:v>
      </x:c>
      <x:c r="I34" s="28" t="n">
        <x:f>H34-G34</x:f>
        <x:v>-667.14</x:v>
      </x:c>
      <x:c r="J34" t="str">
        <x:f>IF(COUNTIFS('CONTEOS'!$F$2:$F$4000,A34,'CONTEOS'!$H$2:$H$4000,C34)=0,"PENDIENTE",IF(I34=0,"CUADRA",IF(I34&gt;0,"SOBRANTE","FALTANTE")))</x:f>
        <x:v>PENDIENTE</x:v>
      </x:c>
    </x:row>
    <x:row r="35">
      <x:c r="A35" t="str">
        <x:f>'STOCK_SISTEMA'!A35</x:f>
        <x:v>EE10121</x:v>
      </x:c>
      <x:c r="B35" s="29" t="str">
        <x:f>'STOCK_SISTEMA'!B35</x:f>
        <x:v>[EE10121] LAMINA TIYAPUY AMARILLA 142 GR CONVENCIONAL X KG</x:v>
      </x:c>
      <x:c r="C35" t="str">
        <x:f>IF('STOCK_SISTEMA'!C35="","",'STOCK_SISTEMA'!C35)</x:f>
        <x:v>INFORME 10/25</x:v>
      </x:c>
      <x:c r="D35" s="27" t="n">
        <x:f>IF('STOCK_SISTEMA'!D35="","",'STOCK_SISTEMA'!D35)</x:f>
        <x:v>46169.47375</x:v>
      </x:c>
      <x:c r="E35" t="str">
        <x:f>'STOCK_SISTEMA'!E35</x:f>
        <x:v>SF-03/Materiales</x:v>
      </x:c>
      <x:c r="F35" t="str">
        <x:f>'STOCK_SISTEMA'!G35</x:f>
        <x:v>Kilogramo</x:v>
      </x:c>
      <x:c r="G35" s="28" t="n">
        <x:f>'STOCK_SISTEMA'!F35</x:f>
        <x:v>337.29</x:v>
      </x:c>
      <x:c r="H35" s="28" t="n">
        <x:f>SUMIFS('CONTEOS'!$N$2:$N$4000,'CONTEOS'!$F$2:$F$4000,A35,'CONTEOS'!$H$2:$H$4000,C35)</x:f>
        <x:v>0</x:v>
      </x:c>
      <x:c r="I35" s="28" t="n">
        <x:f>H35-G35</x:f>
        <x:v>-337.29</x:v>
      </x:c>
      <x:c r="J35" t="str">
        <x:f>IF(COUNTIFS('CONTEOS'!$F$2:$F$4000,A35,'CONTEOS'!$H$2:$H$4000,C35)=0,"PENDIENTE",IF(I35=0,"CUADRA",IF(I35&gt;0,"SOBRANTE","FALTANTE")))</x:f>
        <x:v>PENDIENTE</x:v>
      </x:c>
    </x:row>
    <x:row r="36">
      <x:c r="A36" t="str">
        <x:f>'STOCK_SISTEMA'!A36</x:f>
        <x:v>EE10097</x:v>
      </x:c>
      <x:c r="B36" s="29" t="str">
        <x:f>'STOCK_SISTEMA'!B36</x:f>
        <x:v>[EE10097] PALLET EAN 1.2MX1M EXPORTACION</x:v>
      </x:c>
      <x:c r="C36" t="str">
        <x:f>IF('STOCK_SISTEMA'!C36="","",'STOCK_SISTEMA'!C36)</x:f>
      </x:c>
      <x:c r="D36" s="27" t="str">
        <x:f>IF('STOCK_SISTEMA'!D36="","",'STOCK_SISTEMA'!D36)</x:f>
      </x:c>
      <x:c r="E36" t="str">
        <x:f>'STOCK_SISTEMA'!E36</x:f>
        <x:v>SF-03/Materiales</x:v>
      </x:c>
      <x:c r="F36" t="str">
        <x:f>'STOCK_SISTEMA'!G36</x:f>
        <x:v>Unidades</x:v>
      </x:c>
      <x:c r="G36" s="28" t="n">
        <x:f>'STOCK_SISTEMA'!F36</x:f>
        <x:v>76</x:v>
      </x:c>
      <x:c r="H36" s="28" t="n">
        <x:f>SUMIFS('CONTEOS'!$N$2:$N$4000,'CONTEOS'!$F$2:$F$4000,A36,'CONTEOS'!$H$2:$H$4000,C36)</x:f>
        <x:v>0</x:v>
      </x:c>
      <x:c r="I36" s="28" t="n">
        <x:f>H36-G36</x:f>
        <x:v>-76</x:v>
      </x:c>
      <x:c r="J36" t="str">
        <x:f>IF(COUNTIFS('CONTEOS'!$F$2:$F$4000,A36,'CONTEOS'!$H$2:$H$4000,C36)=0,"PENDIENTE",IF(I36=0,"CUADRA",IF(I36&gt;0,"SOBRANTE","FALTANTE")))</x:f>
        <x:v>PENDIENTE</x:v>
      </x:c>
    </x:row>
    <x:row r="37">
      <x:c r="A37" t="str">
        <x:f>'STOCK_SISTEMA'!A37</x:f>
        <x:v>EE10158</x:v>
      </x:c>
      <x:c r="B37" s="29" t="str">
        <x:f>'STOCK_SISTEMA'!B37</x:f>
        <x:v>[EE10158] LAMINA RIKY TOK 45 GR PAPAS HILO X KG</x:v>
      </x:c>
      <x:c r="C37" t="str">
        <x:f>IF('STOCK_SISTEMA'!C37="","",'STOCK_SISTEMA'!C37)</x:f>
        <x:v>INFORME 07/25</x:v>
      </x:c>
      <x:c r="D37" s="27" t="n">
        <x:f>IF('STOCK_SISTEMA'!D37="","",'STOCK_SISTEMA'!D37)</x:f>
        <x:v>46001.46475694444</x:v>
      </x:c>
      <x:c r="E37" t="str">
        <x:f>'STOCK_SISTEMA'!E37</x:f>
        <x:v>SF-03/Materiales</x:v>
      </x:c>
      <x:c r="F37" t="str">
        <x:f>'STOCK_SISTEMA'!G37</x:f>
        <x:v>Kilogramo</x:v>
      </x:c>
      <x:c r="G37" s="28" t="n">
        <x:f>'STOCK_SISTEMA'!F37</x:f>
        <x:v>861.73</x:v>
      </x:c>
      <x:c r="H37" s="28" t="n">
        <x:f>SUMIFS('CONTEOS'!$N$2:$N$4000,'CONTEOS'!$F$2:$F$4000,A37,'CONTEOS'!$H$2:$H$4000,C37)</x:f>
        <x:v>0</x:v>
      </x:c>
      <x:c r="I37" s="28" t="n">
        <x:f>H37-G37</x:f>
        <x:v>-861.73</x:v>
      </x:c>
      <x:c r="J37" t="str">
        <x:f>IF(COUNTIFS('CONTEOS'!$F$2:$F$4000,A37,'CONTEOS'!$H$2:$H$4000,C37)=0,"PENDIENTE",IF(I37=0,"CUADRA",IF(I37&gt;0,"SOBRANTE","FALTANTE")))</x:f>
        <x:v>PENDIENTE</x:v>
      </x:c>
    </x:row>
    <x:row r="38">
      <x:c r="A38" t="str">
        <x:f>'STOCK_SISTEMA'!A38</x:f>
        <x:v>EE10060</x:v>
      </x:c>
      <x:c r="B38" s="29" t="str">
        <x:f>'STOCK_SISTEMA'!B38</x:f>
        <x:v>[EE10060] DOYPACK PET/PEBD - TIYAPUY QUINUA ORG BLANCA 340 GR X UND</x:v>
      </x:c>
      <x:c r="C38" t="str">
        <x:f>IF('STOCK_SISTEMA'!C38="","",'STOCK_SISTEMA'!C38)</x:f>
        <x:v>INFORME 01/25</x:v>
      </x:c>
      <x:c r="D38" s="27" t="n">
        <x:f>IF('STOCK_SISTEMA'!D38="","",'STOCK_SISTEMA'!D38)</x:f>
        <x:v>46752.47222222222</x:v>
      </x:c>
      <x:c r="E38" t="str">
        <x:f>'STOCK_SISTEMA'!E38</x:f>
        <x:v>SF-03/Materiales</x:v>
      </x:c>
      <x:c r="F38" t="str">
        <x:f>'STOCK_SISTEMA'!G38</x:f>
        <x:v>Unidades</x:v>
      </x:c>
      <x:c r="G38" s="28" t="n">
        <x:f>'STOCK_SISTEMA'!F38</x:f>
        <x:v>2500</x:v>
      </x:c>
      <x:c r="H38" s="28" t="n">
        <x:f>SUMIFS('CONTEOS'!$N$2:$N$4000,'CONTEOS'!$F$2:$F$4000,A38,'CONTEOS'!$H$2:$H$4000,C38)</x:f>
        <x:v>0</x:v>
      </x:c>
      <x:c r="I38" s="28" t="n">
        <x:f>H38-G38</x:f>
        <x:v>-2500</x:v>
      </x:c>
      <x:c r="J38" t="str">
        <x:f>IF(COUNTIFS('CONTEOS'!$F$2:$F$4000,A38,'CONTEOS'!$H$2:$H$4000,C38)=0,"PENDIENTE",IF(I38=0,"CUADRA",IF(I38&gt;0,"SOBRANTE","FALTANTE")))</x:f>
        <x:v>PENDIENTE</x:v>
      </x:c>
    </x:row>
    <x:row r="39">
      <x:c r="A39" t="str">
        <x:f>'STOCK_SISTEMA'!A39</x:f>
        <x:v>EE10062</x:v>
      </x:c>
      <x:c r="B39" s="29" t="str">
        <x:f>'STOCK_SISTEMA'!B39</x:f>
        <x:v>[EE10062] DOYPACK PET/PEBD - TIYAPUY QUINUA ORG TRICOLOR 340 GR X UND</x:v>
      </x:c>
      <x:c r="C39" t="str">
        <x:f>IF('STOCK_SISTEMA'!C39="","",'STOCK_SISTEMA'!C39)</x:f>
        <x:v>INFORME 02/25</x:v>
      </x:c>
      <x:c r="D39" s="27" t="n">
        <x:f>IF('STOCK_SISTEMA'!D39="","",'STOCK_SISTEMA'!D39)</x:f>
        <x:v>46752.47277777778</x:v>
      </x:c>
      <x:c r="E39" t="str">
        <x:f>'STOCK_SISTEMA'!E39</x:f>
        <x:v>SF-03/Materiales</x:v>
      </x:c>
      <x:c r="F39" t="str">
        <x:f>'STOCK_SISTEMA'!G39</x:f>
        <x:v>Unidades</x:v>
      </x:c>
      <x:c r="G39" s="28" t="n">
        <x:f>'STOCK_SISTEMA'!F39</x:f>
        <x:v>3000</x:v>
      </x:c>
      <x:c r="H39" s="28" t="n">
        <x:f>SUMIFS('CONTEOS'!$N$2:$N$4000,'CONTEOS'!$F$2:$F$4000,A39,'CONTEOS'!$H$2:$H$4000,C39)</x:f>
        <x:v>0</x:v>
      </x:c>
      <x:c r="I39" s="28" t="n">
        <x:f>H39-G39</x:f>
        <x:v>-3000</x:v>
      </x:c>
      <x:c r="J39" t="str">
        <x:f>IF(COUNTIFS('CONTEOS'!$F$2:$F$4000,A39,'CONTEOS'!$H$2:$H$4000,C39)=0,"PENDIENTE",IF(I39=0,"CUADRA",IF(I39&gt;0,"SOBRANTE","FALTANTE")))</x:f>
        <x:v>PENDIENTE</x:v>
      </x:c>
    </x:row>
    <x:row r="40">
      <x:c r="A40" t="str">
        <x:f>'STOCK_SISTEMA'!A40</x:f>
        <x:v>EE10081</x:v>
      </x:c>
      <x:c r="B40" s="29" t="str">
        <x:f>'STOCK_SISTEMA'!B40</x:f>
        <x:v>[EE10081] BOLSA LAMINADA SIN TEXTOS 16 cm CAFÉ 60g</x:v>
      </x:c>
      <x:c r="C40" t="str">
        <x:f>IF('STOCK_SISTEMA'!C40="","",'STOCK_SISTEMA'!C40)</x:f>
        <x:v>INFORME 01/25</x:v>
      </x:c>
      <x:c r="D40" s="27" t="n">
        <x:f>IF('STOCK_SISTEMA'!D40="","",'STOCK_SISTEMA'!D40)</x:f>
        <x:v>46387.51237268518</x:v>
      </x:c>
      <x:c r="E40" t="str">
        <x:f>'STOCK_SISTEMA'!E40</x:f>
        <x:v>SF-03/Materiales</x:v>
      </x:c>
      <x:c r="F40" t="str">
        <x:f>'STOCK_SISTEMA'!G40</x:f>
        <x:v>Unidades</x:v>
      </x:c>
      <x:c r="G40" s="28" t="n">
        <x:f>'STOCK_SISTEMA'!F40</x:f>
        <x:v>27100</x:v>
      </x:c>
      <x:c r="H40" s="28" t="n">
        <x:f>SUMIFS('CONTEOS'!$N$2:$N$4000,'CONTEOS'!$F$2:$F$4000,A40,'CONTEOS'!$H$2:$H$4000,C40)</x:f>
        <x:v>0</x:v>
      </x:c>
      <x:c r="I40" s="28" t="n">
        <x:f>H40-G40</x:f>
        <x:v>-27100</x:v>
      </x:c>
      <x:c r="J40" t="str">
        <x:f>IF(COUNTIFS('CONTEOS'!$F$2:$F$4000,A40,'CONTEOS'!$H$2:$H$4000,C40)=0,"PENDIENTE",IF(I40=0,"CUADRA",IF(I40&gt;0,"SOBRANTE","FALTANTE")))</x:f>
        <x:v>PENDIENTE</x:v>
      </x:c>
    </x:row>
    <x:row r="41">
      <x:c r="A41" t="str">
        <x:f>'STOCK_SISTEMA'!A41</x:f>
        <x:v>EE10015</x:v>
      </x:c>
      <x:c r="B41" s="29" t="str">
        <x:f>'STOCK_SISTEMA'!B41</x:f>
        <x:v>[EE10015] LAMINA TIYAPUY AMARILLA 30GR CONVENCIONAL X KG</x:v>
      </x:c>
      <x:c r="C41" t="str">
        <x:f>IF('STOCK_SISTEMA'!C41="","",'STOCK_SISTEMA'!C41)</x:f>
        <x:v>INFORME 13/25</x:v>
      </x:c>
      <x:c r="D41" s="27" t="n">
        <x:f>IF('STOCK_SISTEMA'!D41="","",'STOCK_SISTEMA'!D41)</x:f>
        <x:v>46177.96341435185</x:v>
      </x:c>
      <x:c r="E41" t="str">
        <x:f>'STOCK_SISTEMA'!E41</x:f>
        <x:v>SF-03/Materiales</x:v>
      </x:c>
      <x:c r="F41" t="str">
        <x:f>'STOCK_SISTEMA'!G41</x:f>
        <x:v>Kilogramo</x:v>
      </x:c>
      <x:c r="G41" s="28" t="n">
        <x:f>'STOCK_SISTEMA'!F41</x:f>
        <x:v>1128.92</x:v>
      </x:c>
      <x:c r="H41" s="28" t="n">
        <x:f>SUMIFS('CONTEOS'!$N$2:$N$4000,'CONTEOS'!$F$2:$F$4000,A41,'CONTEOS'!$H$2:$H$4000,C41)</x:f>
        <x:v>0</x:v>
      </x:c>
      <x:c r="I41" s="28" t="n">
        <x:f>H41-G41</x:f>
        <x:v>-1128.92</x:v>
      </x:c>
      <x:c r="J41" t="str">
        <x:f>IF(COUNTIFS('CONTEOS'!$F$2:$F$4000,A41,'CONTEOS'!$H$2:$H$4000,C41)=0,"PENDIENTE",IF(I41=0,"CUADRA",IF(I41&gt;0,"SOBRANTE","FALTANTE")))</x:f>
        <x:v>PENDIENTE</x:v>
      </x:c>
    </x:row>
    <x:row r="42">
      <x:c r="A42" t="str">
        <x:f>'STOCK_SISTEMA'!A42</x:f>
        <x:v>EE10121</x:v>
      </x:c>
      <x:c r="B42" s="29" t="str">
        <x:f>'STOCK_SISTEMA'!B42</x:f>
        <x:v>[EE10121] LAMINA TIYAPUY AMARILLA 142 GR CONVENCIONAL X KG</x:v>
      </x:c>
      <x:c r="C42" t="str">
        <x:f>IF('STOCK_SISTEMA'!C42="","",'STOCK_SISTEMA'!C42)</x:f>
        <x:v>INFORME 14/25</x:v>
      </x:c>
      <x:c r="D42" s="27" t="n">
        <x:f>IF('STOCK_SISTEMA'!D42="","",'STOCK_SISTEMA'!D42)</x:f>
        <x:v>46186.9637962963</x:v>
      </x:c>
      <x:c r="E42" t="str">
        <x:f>'STOCK_SISTEMA'!E42</x:f>
        <x:v>SF-03/Materiales</x:v>
      </x:c>
      <x:c r="F42" t="str">
        <x:f>'STOCK_SISTEMA'!G42</x:f>
        <x:v>Kilogramo</x:v>
      </x:c>
      <x:c r="G42" s="28" t="n">
        <x:f>'STOCK_SISTEMA'!F42</x:f>
        <x:v>220.06</x:v>
      </x:c>
      <x:c r="H42" s="28" t="n">
        <x:f>SUMIFS('CONTEOS'!$N$2:$N$4000,'CONTEOS'!$F$2:$F$4000,A42,'CONTEOS'!$H$2:$H$4000,C42)</x:f>
        <x:v>0</x:v>
      </x:c>
      <x:c r="I42" s="28" t="n">
        <x:f>H42-G42</x:f>
        <x:v>-220.06</x:v>
      </x:c>
      <x:c r="J42" t="str">
        <x:f>IF(COUNTIFS('CONTEOS'!$F$2:$F$4000,A42,'CONTEOS'!$H$2:$H$4000,C42)=0,"PENDIENTE",IF(I42=0,"CUADRA",IF(I42&gt;0,"SOBRANTE","FALTANTE")))</x:f>
        <x:v>PENDIENTE</x:v>
      </x:c>
    </x:row>
    <x:row r="43">
      <x:c r="A43" t="str">
        <x:f>'STOCK_SISTEMA'!A43</x:f>
        <x:v>EE10122</x:v>
      </x:c>
      <x:c r="B43" s="29" t="str">
        <x:f>'STOCK_SISTEMA'!B43</x:f>
        <x:v>[EE10122] LAMINA TIYAPUY AMARILLA PICANTE 142 GR CONVENCIONAL X KG</x:v>
      </x:c>
      <x:c r="C43" t="str">
        <x:f>IF('STOCK_SISTEMA'!C43="","",'STOCK_SISTEMA'!C43)</x:f>
        <x:v>INFORME 04/25</x:v>
      </x:c>
      <x:c r="D43" s="27" t="n">
        <x:f>IF('STOCK_SISTEMA'!D43="","",'STOCK_SISTEMA'!D43)</x:f>
        <x:v>46186.96430555556</x:v>
      </x:c>
      <x:c r="E43" t="str">
        <x:f>'STOCK_SISTEMA'!E43</x:f>
        <x:v>SF-03/Materiales</x:v>
      </x:c>
      <x:c r="F43" t="str">
        <x:f>'STOCK_SISTEMA'!G43</x:f>
        <x:v>Kilogramo</x:v>
      </x:c>
      <x:c r="G43" s="28" t="n">
        <x:f>'STOCK_SISTEMA'!F43</x:f>
        <x:v>181.43</x:v>
      </x:c>
      <x:c r="H43" s="28" t="n">
        <x:f>SUMIFS('CONTEOS'!$N$2:$N$4000,'CONTEOS'!$F$2:$F$4000,A43,'CONTEOS'!$H$2:$H$4000,C43)</x:f>
        <x:v>0</x:v>
      </x:c>
      <x:c r="I43" s="28" t="n">
        <x:f>H43-G43</x:f>
        <x:v>-181.43</x:v>
      </x:c>
      <x:c r="J43" t="str">
        <x:f>IF(COUNTIFS('CONTEOS'!$F$2:$F$4000,A43,'CONTEOS'!$H$2:$H$4000,C43)=0,"PENDIENTE",IF(I43=0,"CUADRA",IF(I43&gt;0,"SOBRANTE","FALTANTE")))</x:f>
        <x:v>PENDIENTE</x:v>
      </x:c>
    </x:row>
    <x:row r="44">
      <x:c r="A44" t="str">
        <x:f>'STOCK_SISTEMA'!A44</x:f>
        <x:v>EE10007</x:v>
      </x:c>
      <x:c r="B44" s="29" t="str">
        <x:f>'STOCK_SISTEMA'!B44</x:f>
        <x:v>[EE10007] CAJA MASTER TIYAPUY P/LATA + 1 SEPARADOR + 4 DIVISORES # 7 X UND</x:v>
      </x:c>
      <x:c r="C44" t="str">
        <x:f>IF('STOCK_SISTEMA'!C44="","",'STOCK_SISTEMA'!C44)</x:f>
        <x:v>INFORME 17/25</x:v>
      </x:c>
      <x:c r="D44" s="27" t="n">
        <x:f>IF('STOCK_SISTEMA'!D44="","",'STOCK_SISTEMA'!D44)</x:f>
        <x:v>46752.97061342592</x:v>
      </x:c>
      <x:c r="E44" t="str">
        <x:f>'STOCK_SISTEMA'!E44</x:f>
        <x:v>SF-03/Materiales</x:v>
      </x:c>
      <x:c r="F44" t="str">
        <x:f>'STOCK_SISTEMA'!G44</x:f>
        <x:v>Unidades</x:v>
      </x:c>
      <x:c r="G44" s="28" t="n">
        <x:f>'STOCK_SISTEMA'!F44</x:f>
        <x:v>2381</x:v>
      </x:c>
      <x:c r="H44" s="28" t="n">
        <x:f>SUMIFS('CONTEOS'!$N$2:$N$4000,'CONTEOS'!$F$2:$F$4000,A44,'CONTEOS'!$H$2:$H$4000,C44)</x:f>
        <x:v>0</x:v>
      </x:c>
      <x:c r="I44" s="28" t="n">
        <x:f>H44-G44</x:f>
        <x:v>-2381</x:v>
      </x:c>
      <x:c r="J44" t="str">
        <x:f>IF(COUNTIFS('CONTEOS'!$F$2:$F$4000,A44,'CONTEOS'!$H$2:$H$4000,C44)=0,"PENDIENTE",IF(I44=0,"CUADRA",IF(I44&gt;0,"SOBRANTE","FALTANTE")))</x:f>
        <x:v>PENDIENTE</x:v>
      </x:c>
    </x:row>
    <x:row r="45">
      <x:c r="A45" t="str">
        <x:f>'STOCK_SISTEMA'!A45</x:f>
        <x:v>EE10128</x:v>
      </x:c>
      <x:c r="B45" s="29" t="str">
        <x:f>'STOCK_SISTEMA'!B45</x:f>
        <x:v>[EE10128] LAMINA TIYAPUY C/TRAMA 120 GR LA MAR X KG</x:v>
      </x:c>
      <x:c r="C45" t="str">
        <x:f>IF('STOCK_SISTEMA'!C45="","",'STOCK_SISTEMA'!C45)</x:f>
        <x:v>INFORME 02/25</x:v>
      </x:c>
      <x:c r="D45" s="27" t="n">
        <x:f>IF('STOCK_SISTEMA'!D45="","",'STOCK_SISTEMA'!D45)</x:f>
        <x:v>46222.60800925926</x:v>
      </x:c>
      <x:c r="E45" t="str">
        <x:f>'STOCK_SISTEMA'!E45</x:f>
        <x:v>SF-03/Materiales</x:v>
      </x:c>
      <x:c r="F45" t="str">
        <x:f>'STOCK_SISTEMA'!G45</x:f>
        <x:v>Kilogramo</x:v>
      </x:c>
      <x:c r="G45" s="28" t="n">
        <x:f>'STOCK_SISTEMA'!F45</x:f>
        <x:v>69.00200000000001</x:v>
      </x:c>
      <x:c r="H45" s="28" t="n">
        <x:f>SUMIFS('CONTEOS'!$N$2:$N$4000,'CONTEOS'!$F$2:$F$4000,A45,'CONTEOS'!$H$2:$H$4000,C45)</x:f>
        <x:v>0</x:v>
      </x:c>
      <x:c r="I45" s="28" t="n">
        <x:f>H45-G45</x:f>
        <x:v>-69.00200000000001</x:v>
      </x:c>
      <x:c r="J45" t="str">
        <x:f>IF(COUNTIFS('CONTEOS'!$F$2:$F$4000,A45,'CONTEOS'!$H$2:$H$4000,C45)=0,"PENDIENTE",IF(I45=0,"CUADRA",IF(I45&gt;0,"SOBRANTE","FALTANTE")))</x:f>
        <x:v>PENDIENTE</x:v>
      </x:c>
    </x:row>
    <x:row r="46">
      <x:c r="A46" t="str">
        <x:f>'STOCK_SISTEMA'!A46</x:f>
        <x:v>EE10022</x:v>
      </x:c>
      <x:c r="B46" s="29" t="str">
        <x:f>'STOCK_SISTEMA'!B46</x:f>
        <x:v>[EE10022] LAMINA TIYAPUY AMARILLA PICANTE 30GR X KG</x:v>
      </x:c>
      <x:c r="C46" t="str">
        <x:f>IF('STOCK_SISTEMA'!C46="","",'STOCK_SISTEMA'!C46)</x:f>
        <x:v>INFORME 05/25</x:v>
      </x:c>
      <x:c r="D46" s="27" t="n">
        <x:f>IF('STOCK_SISTEMA'!D46="","",'STOCK_SISTEMA'!D46)</x:f>
        <x:v>46014.56197916667</x:v>
      </x:c>
      <x:c r="E46" t="str">
        <x:f>'STOCK_SISTEMA'!E46</x:f>
        <x:v>SF-03/Materiales</x:v>
      </x:c>
      <x:c r="F46" t="str">
        <x:f>'STOCK_SISTEMA'!G46</x:f>
        <x:v>Kilogramo</x:v>
      </x:c>
      <x:c r="G46" s="28" t="n">
        <x:f>'STOCK_SISTEMA'!F46</x:f>
        <x:v>703</x:v>
      </x:c>
      <x:c r="H46" s="28" t="n">
        <x:f>SUMIFS('CONTEOS'!$N$2:$N$4000,'CONTEOS'!$F$2:$F$4000,A46,'CONTEOS'!$H$2:$H$4000,C46)</x:f>
        <x:v>0</x:v>
      </x:c>
      <x:c r="I46" s="28" t="n">
        <x:f>H46-G46</x:f>
        <x:v>-703</x:v>
      </x:c>
      <x:c r="J46" t="str">
        <x:f>IF(COUNTIFS('CONTEOS'!$F$2:$F$4000,A46,'CONTEOS'!$H$2:$H$4000,C46)=0,"PENDIENTE",IF(I46=0,"CUADRA",IF(I46&gt;0,"SOBRANTE","FALTANTE")))</x:f>
        <x:v>PENDIENTE</x:v>
      </x:c>
    </x:row>
    <x:row r="47">
      <x:c r="A47" t="str">
        <x:f>'STOCK_SISTEMA'!A47</x:f>
        <x:v>EE10029-1</x:v>
      </x:c>
      <x:c r="B47" s="29" t="str">
        <x:f>'STOCK_SISTEMA'!B47</x:f>
        <x:v>[EE10029-1] LAMINA TIYAPUY NATIVA MIX 160GR ORG MEXICO X KG</x:v>
      </x:c>
      <x:c r="C47" t="str">
        <x:f>IF('STOCK_SISTEMA'!C47="","",'STOCK_SISTEMA'!C47)</x:f>
        <x:v>INFORME 13/25</x:v>
      </x:c>
      <x:c r="D47" s="27" t="str">
        <x:f>IF('STOCK_SISTEMA'!D47="","",'STOCK_SISTEMA'!D47)</x:f>
      </x:c>
      <x:c r="E47" t="str">
        <x:f>'STOCK_SISTEMA'!E47</x:f>
        <x:v>SF-03/Materiales</x:v>
      </x:c>
      <x:c r="F47" t="str">
        <x:f>'STOCK_SISTEMA'!G47</x:f>
        <x:v>Kilogramo</x:v>
      </x:c>
      <x:c r="G47" s="28" t="n">
        <x:f>'STOCK_SISTEMA'!F47</x:f>
        <x:v>285.4</x:v>
      </x:c>
      <x:c r="H47" s="28" t="n">
        <x:f>SUMIFS('CONTEOS'!$N$2:$N$4000,'CONTEOS'!$F$2:$F$4000,A47,'CONTEOS'!$H$2:$H$4000,C47)</x:f>
        <x:v>0</x:v>
      </x:c>
      <x:c r="I47" s="28" t="n">
        <x:f>H47-G47</x:f>
        <x:v>-285.4</x:v>
      </x:c>
      <x:c r="J47" t="str">
        <x:f>IF(COUNTIFS('CONTEOS'!$F$2:$F$4000,A47,'CONTEOS'!$H$2:$H$4000,C47)=0,"PENDIENTE",IF(I47=0,"CUADRA",IF(I47&gt;0,"SOBRANTE","FALTANTE")))</x:f>
        <x:v>PENDIENTE</x:v>
      </x:c>
    </x:row>
    <x:row r="48">
      <x:c r="A48" t="str">
        <x:f>'STOCK_SISTEMA'!A48</x:f>
        <x:v>EE10122</x:v>
      </x:c>
      <x:c r="B48" s="29" t="str">
        <x:f>'STOCK_SISTEMA'!B48</x:f>
        <x:v>[EE10122] LAMINA TIYAPUY AMARILLA PICANTE 142 GR CONVENCIONAL X KG</x:v>
      </x:c>
      <x:c r="C48" t="str">
        <x:f>IF('STOCK_SISTEMA'!C48="","",'STOCK_SISTEMA'!C48)</x:f>
        <x:v>INFORME 06/25</x:v>
      </x:c>
      <x:c r="D48" s="27" t="n">
        <x:f>IF('STOCK_SISTEMA'!D48="","",'STOCK_SISTEMA'!D48)</x:f>
        <x:v>46016.45618055556</x:v>
      </x:c>
      <x:c r="E48" t="str">
        <x:f>'STOCK_SISTEMA'!E48</x:f>
        <x:v>SF-03/Materiales</x:v>
      </x:c>
      <x:c r="F48" t="str">
        <x:f>'STOCK_SISTEMA'!G48</x:f>
        <x:v>Kilogramo</x:v>
      </x:c>
      <x:c r="G48" s="28" t="n">
        <x:f>'STOCK_SISTEMA'!F48</x:f>
        <x:v>712.735</x:v>
      </x:c>
      <x:c r="H48" s="28" t="n">
        <x:f>SUMIFS('CONTEOS'!$N$2:$N$4000,'CONTEOS'!$F$2:$F$4000,A48,'CONTEOS'!$H$2:$H$4000,C48)</x:f>
        <x:v>0</x:v>
      </x:c>
      <x:c r="I48" s="28" t="n">
        <x:f>H48-G48</x:f>
        <x:v>-712.735</x:v>
      </x:c>
      <x:c r="J48" t="str">
        <x:f>IF(COUNTIFS('CONTEOS'!$F$2:$F$4000,A48,'CONTEOS'!$H$2:$H$4000,C48)=0,"PENDIENTE",IF(I48=0,"CUADRA",IF(I48&gt;0,"SOBRANTE","FALTANTE")))</x:f>
        <x:v>PENDIENTE</x:v>
      </x:c>
    </x:row>
    <x:row r="49">
      <x:c r="A49" t="str">
        <x:f>'STOCK_SISTEMA'!A49</x:f>
        <x:v>EE10015</x:v>
      </x:c>
      <x:c r="B49" s="29" t="str">
        <x:f>'STOCK_SISTEMA'!B49</x:f>
        <x:v>[EE10015] LAMINA TIYAPUY AMARILLA 30GR CONVENCIONAL X KG</x:v>
      </x:c>
      <x:c r="C49" t="str">
        <x:f>IF('STOCK_SISTEMA'!C49="","",'STOCK_SISTEMA'!C49)</x:f>
        <x:v>INFORME 15/25</x:v>
      </x:c>
      <x:c r="D49" s="27" t="n">
        <x:f>IF('STOCK_SISTEMA'!D49="","",'STOCK_SISTEMA'!D49)</x:f>
        <x:v>46201.56309027778</x:v>
      </x:c>
      <x:c r="E49" t="str">
        <x:f>'STOCK_SISTEMA'!E49</x:f>
        <x:v>SF-03/Materiales</x:v>
      </x:c>
      <x:c r="F49" t="str">
        <x:f>'STOCK_SISTEMA'!G49</x:f>
        <x:v>Kilogramo</x:v>
      </x:c>
      <x:c r="G49" s="28" t="n">
        <x:f>'STOCK_SISTEMA'!F49</x:f>
        <x:v>1188.6</x:v>
      </x:c>
      <x:c r="H49" s="28" t="n">
        <x:f>SUMIFS('CONTEOS'!$N$2:$N$4000,'CONTEOS'!$F$2:$F$4000,A49,'CONTEOS'!$H$2:$H$4000,C49)</x:f>
        <x:v>0</x:v>
      </x:c>
      <x:c r="I49" s="28" t="n">
        <x:f>H49-G49</x:f>
        <x:v>-1188.6</x:v>
      </x:c>
      <x:c r="J49" t="str">
        <x:f>IF(COUNTIFS('CONTEOS'!$F$2:$F$4000,A49,'CONTEOS'!$H$2:$H$4000,C49)=0,"PENDIENTE",IF(I49=0,"CUADRA",IF(I49&gt;0,"SOBRANTE","FALTANTE")))</x:f>
        <x:v>PENDIENTE</x:v>
      </x:c>
    </x:row>
    <x:row r="50">
      <x:c r="A50" t="str">
        <x:f>'STOCK_SISTEMA'!A50</x:f>
        <x:v>EE10098</x:v>
      </x:c>
      <x:c r="B50" s="29" t="str">
        <x:f>'STOCK_SISTEMA'!B50</x:f>
        <x:v>[EE10098] PALLET EURO 0.8MX1.2M EXPORTACION</x:v>
      </x:c>
      <x:c r="C50" t="str">
        <x:f>IF('STOCK_SISTEMA'!C50="","",'STOCK_SISTEMA'!C50)</x:f>
      </x:c>
      <x:c r="D50" s="27" t="str">
        <x:f>IF('STOCK_SISTEMA'!D50="","",'STOCK_SISTEMA'!D50)</x:f>
      </x:c>
      <x:c r="E50" t="str">
        <x:f>'STOCK_SISTEMA'!E50</x:f>
        <x:v>SF-03/Materiales</x:v>
      </x:c>
      <x:c r="F50" t="str">
        <x:f>'STOCK_SISTEMA'!G50</x:f>
        <x:v>Unidades</x:v>
      </x:c>
      <x:c r="G50" s="28" t="n">
        <x:f>'STOCK_SISTEMA'!F50</x:f>
        <x:v>42</x:v>
      </x:c>
      <x:c r="H50" s="28" t="n">
        <x:f>SUMIFS('CONTEOS'!$N$2:$N$4000,'CONTEOS'!$F$2:$F$4000,A50,'CONTEOS'!$H$2:$H$4000,C50)</x:f>
        <x:v>0</x:v>
      </x:c>
      <x:c r="I50" s="28" t="n">
        <x:f>H50-G50</x:f>
        <x:v>-42</x:v>
      </x:c>
      <x:c r="J50" t="str">
        <x:f>IF(COUNTIFS('CONTEOS'!$F$2:$F$4000,A50,'CONTEOS'!$H$2:$H$4000,C50)=0,"PENDIENTE",IF(I50=0,"CUADRA",IF(I50&gt;0,"SOBRANTE","FALTANTE")))</x:f>
        <x:v>PENDIENTE</x:v>
      </x:c>
    </x:row>
    <x:row r="51">
      <x:c r="A51" t="str">
        <x:f>'STOCK_SISTEMA'!A51</x:f>
        <x:v>EE10088-1</x:v>
      </x:c>
      <x:c r="B51" s="29" t="str">
        <x:f>'STOCK_SISTEMA'!B51</x:f>
        <x:v>[EE10088-1] LAMINA TIYAPUY NATIVA MIX 40GR ORG MEXICO X KG</x:v>
      </x:c>
      <x:c r="C51" t="str">
        <x:f>IF('STOCK_SISTEMA'!C51="","",'STOCK_SISTEMA'!C51)</x:f>
        <x:v>INFORME 14/25</x:v>
      </x:c>
      <x:c r="D51" s="27" t="n">
        <x:f>IF('STOCK_SISTEMA'!D51="","",'STOCK_SISTEMA'!D51)</x:f>
        <x:v>46295.68262731482</x:v>
      </x:c>
      <x:c r="E51" t="str">
        <x:f>'STOCK_SISTEMA'!E51</x:f>
        <x:v>SF-03/Materiales</x:v>
      </x:c>
      <x:c r="F51" t="str">
        <x:f>'STOCK_SISTEMA'!G51</x:f>
        <x:v>Kilogramo</x:v>
      </x:c>
      <x:c r="G51" s="28" t="n">
        <x:f>'STOCK_SISTEMA'!F51</x:f>
        <x:v>34.26000000000001</x:v>
      </x:c>
      <x:c r="H51" s="28" t="n">
        <x:f>SUMIFS('CONTEOS'!$N$2:$N$4000,'CONTEOS'!$F$2:$F$4000,A51,'CONTEOS'!$H$2:$H$4000,C51)</x:f>
        <x:v>0</x:v>
      </x:c>
      <x:c r="I51" s="28" t="n">
        <x:f>H51-G51</x:f>
        <x:v>-34.26000000000001</x:v>
      </x:c>
      <x:c r="J51" t="str">
        <x:f>IF(COUNTIFS('CONTEOS'!$F$2:$F$4000,A51,'CONTEOS'!$H$2:$H$4000,C51)=0,"PENDIENTE",IF(I51=0,"CUADRA",IF(I51&gt;0,"SOBRANTE","FALTANTE")))</x:f>
        <x:v>PENDIENTE</x:v>
      </x:c>
    </x:row>
    <x:row r="52">
      <x:c r="A52" t="str">
        <x:f>'STOCK_SISTEMA'!A52</x:f>
        <x:v>EE10087-1</x:v>
      </x:c>
      <x:c r="B52" s="29" t="str">
        <x:f>'STOCK_SISTEMA'!B52</x:f>
        <x:v>[EE10087-1] LAMINA TIYAPUY AMARILLA 40GR ORG MEXICO X KG</x:v>
      </x:c>
      <x:c r="C52" t="str">
        <x:f>IF('STOCK_SISTEMA'!C52="","",'STOCK_SISTEMA'!C52)</x:f>
        <x:v>INFORME 16/25</x:v>
      </x:c>
      <x:c r="D52" s="27" t="n">
        <x:f>IF('STOCK_SISTEMA'!D52="","",'STOCK_SISTEMA'!D52)</x:f>
        <x:v>46199.68291666666</x:v>
      </x:c>
      <x:c r="E52" t="str">
        <x:f>'STOCK_SISTEMA'!E52</x:f>
        <x:v>SF-03/Materiales</x:v>
      </x:c>
      <x:c r="F52" t="str">
        <x:f>'STOCK_SISTEMA'!G52</x:f>
        <x:v>Kilogramo</x:v>
      </x:c>
      <x:c r="G52" s="28" t="n">
        <x:f>'STOCK_SISTEMA'!F52</x:f>
        <x:v>71.48</x:v>
      </x:c>
      <x:c r="H52" s="28" t="n">
        <x:f>SUMIFS('CONTEOS'!$N$2:$N$4000,'CONTEOS'!$F$2:$F$4000,A52,'CONTEOS'!$H$2:$H$4000,C52)</x:f>
        <x:v>0</x:v>
      </x:c>
      <x:c r="I52" s="28" t="n">
        <x:f>H52-G52</x:f>
        <x:v>-71.48</x:v>
      </x:c>
      <x:c r="J52" t="str">
        <x:f>IF(COUNTIFS('CONTEOS'!$F$2:$F$4000,A52,'CONTEOS'!$H$2:$H$4000,C52)=0,"PENDIENTE",IF(I52=0,"CUADRA",IF(I52&gt;0,"SOBRANTE","FALTANTE")))</x:f>
        <x:v>PENDIENTE</x:v>
      </x:c>
    </x:row>
    <x:row r="53">
      <x:c r="A53" t="str">
        <x:f>'STOCK_SISTEMA'!A53</x:f>
        <x:v>EE10088-1</x:v>
      </x:c>
      <x:c r="B53" s="29" t="str">
        <x:f>'STOCK_SISTEMA'!B53</x:f>
        <x:v>[EE10088-1] LAMINA TIYAPUY NATIVA MIX 40GR ORG MEXICO X KG</x:v>
      </x:c>
      <x:c r="C53" t="str">
        <x:f>IF('STOCK_SISTEMA'!C53="","",'STOCK_SISTEMA'!C53)</x:f>
        <x:v>INFORME 15/25</x:v>
      </x:c>
      <x:c r="D53" s="27" t="n">
        <x:f>IF('STOCK_SISTEMA'!D53="","",'STOCK_SISTEMA'!D53)</x:f>
        <x:v>46199.6844212963</x:v>
      </x:c>
      <x:c r="E53" t="str">
        <x:f>'STOCK_SISTEMA'!E53</x:f>
        <x:v>SF-03/Materiales</x:v>
      </x:c>
      <x:c r="F53" t="str">
        <x:f>'STOCK_SISTEMA'!G53</x:f>
        <x:v>Kilogramo</x:v>
      </x:c>
      <x:c r="G53" s="28" t="n">
        <x:f>'STOCK_SISTEMA'!F53</x:f>
        <x:v>334.88</x:v>
      </x:c>
      <x:c r="H53" s="28" t="n">
        <x:f>SUMIFS('CONTEOS'!$N$2:$N$4000,'CONTEOS'!$F$2:$F$4000,A53,'CONTEOS'!$H$2:$H$4000,C53)</x:f>
        <x:v>0</x:v>
      </x:c>
      <x:c r="I53" s="28" t="n">
        <x:f>H53-G53</x:f>
        <x:v>-334.88</x:v>
      </x:c>
      <x:c r="J53" t="str">
        <x:f>IF(COUNTIFS('CONTEOS'!$F$2:$F$4000,A53,'CONTEOS'!$H$2:$H$4000,C53)=0,"PENDIENTE",IF(I53=0,"CUADRA",IF(I53&gt;0,"SOBRANTE","FALTANTE")))</x:f>
        <x:v>PENDIENTE</x:v>
      </x:c>
    </x:row>
    <x:row r="54">
      <x:c r="A54" t="str">
        <x:f>'STOCK_SISTEMA'!A54</x:f>
        <x:v>EE10087-1</x:v>
      </x:c>
      <x:c r="B54" s="29" t="str">
        <x:f>'STOCK_SISTEMA'!B54</x:f>
        <x:v>[EE10087-1] LAMINA TIYAPUY AMARILLA 40GR ORG MEXICO X KG</x:v>
      </x:c>
      <x:c r="C54" t="str">
        <x:f>IF('STOCK_SISTEMA'!C54="","",'STOCK_SISTEMA'!C54)</x:f>
        <x:v>INFORME 17/25</x:v>
      </x:c>
      <x:c r="D54" s="27" t="n">
        <x:f>IF('STOCK_SISTEMA'!D54="","",'STOCK_SISTEMA'!D54)</x:f>
        <x:v>46199.68467592593</x:v>
      </x:c>
      <x:c r="E54" t="str">
        <x:f>'STOCK_SISTEMA'!E54</x:f>
        <x:v>SF-03/Materiales</x:v>
      </x:c>
      <x:c r="F54" t="str">
        <x:f>'STOCK_SISTEMA'!G54</x:f>
        <x:v>Kilogramo</x:v>
      </x:c>
      <x:c r="G54" s="28" t="n">
        <x:f>'STOCK_SISTEMA'!F54</x:f>
        <x:v>339.16</x:v>
      </x:c>
      <x:c r="H54" s="28" t="n">
        <x:f>SUMIFS('CONTEOS'!$N$2:$N$4000,'CONTEOS'!$F$2:$F$4000,A54,'CONTEOS'!$H$2:$H$4000,C54)</x:f>
        <x:v>0</x:v>
      </x:c>
      <x:c r="I54" s="28" t="n">
        <x:f>H54-G54</x:f>
        <x:v>-339.16</x:v>
      </x:c>
      <x:c r="J54" t="str">
        <x:f>IF(COUNTIFS('CONTEOS'!$F$2:$F$4000,A54,'CONTEOS'!$H$2:$H$4000,C54)=0,"PENDIENTE",IF(I54=0,"CUADRA",IF(I54&gt;0,"SOBRANTE","FALTANTE")))</x:f>
        <x:v>PENDIENTE</x:v>
      </x:c>
    </x:row>
    <x:row r="55">
      <x:c r="A55" t="str">
        <x:f>'STOCK_SISTEMA'!A55</x:f>
        <x:v>EE10188</x:v>
      </x:c>
      <x:c r="B55" s="29" t="str">
        <x:f>'STOCK_SISTEMA'!B55</x:f>
        <x:v>[EE10188] LAMINA TIYAPUY JALAPEÑO 40G CNV MEXICO X KG</x:v>
      </x:c>
      <x:c r="C55" t="str">
        <x:f>IF('STOCK_SISTEMA'!C55="","",'STOCK_SISTEMA'!C55)</x:f>
        <x:v>INFORME 08/25</x:v>
      </x:c>
      <x:c r="D55" s="27" t="n">
        <x:f>IF('STOCK_SISTEMA'!D55="","",'STOCK_SISTEMA'!D55)</x:f>
        <x:v>46199.685625</x:v>
      </x:c>
      <x:c r="E55" t="str">
        <x:f>'STOCK_SISTEMA'!E55</x:f>
        <x:v>SF-03/Materiales</x:v>
      </x:c>
      <x:c r="F55" t="str">
        <x:f>'STOCK_SISTEMA'!G55</x:f>
        <x:v>Kilogramo</x:v>
      </x:c>
      <x:c r="G55" s="28" t="n">
        <x:f>'STOCK_SISTEMA'!F55</x:f>
        <x:v>385.052</x:v>
      </x:c>
      <x:c r="H55" s="28" t="n">
        <x:f>SUMIFS('CONTEOS'!$N$2:$N$4000,'CONTEOS'!$F$2:$F$4000,A55,'CONTEOS'!$H$2:$H$4000,C55)</x:f>
        <x:v>0</x:v>
      </x:c>
      <x:c r="I55" s="28" t="n">
        <x:f>H55-G55</x:f>
        <x:v>-385.052</x:v>
      </x:c>
      <x:c r="J55" t="str">
        <x:f>IF(COUNTIFS('CONTEOS'!$F$2:$F$4000,A55,'CONTEOS'!$H$2:$H$4000,C55)=0,"PENDIENTE",IF(I55=0,"CUADRA",IF(I55&gt;0,"SOBRANTE","FALTANTE")))</x:f>
        <x:v>PENDIENTE</x:v>
      </x:c>
    </x:row>
    <x:row r="56">
      <x:c r="A56" t="str">
        <x:f>'STOCK_SISTEMA'!A56</x:f>
        <x:v>EE10131</x:v>
      </x:c>
      <x:c r="B56" s="29" t="str">
        <x:f>'STOCK_SISTEMA'!B56</x:f>
        <x:v>[EE10131] LAMINA TIYAPUY CHIFLE 142GR X KG</x:v>
      </x:c>
      <x:c r="C56" t="str">
        <x:f>IF('STOCK_SISTEMA'!C56="","",'STOCK_SISTEMA'!C56)</x:f>
        <x:v>INFORME 02/25</x:v>
      </x:c>
      <x:c r="D56" s="27" t="n">
        <x:f>IF('STOCK_SISTEMA'!D56="","",'STOCK_SISTEMA'!D56)</x:f>
        <x:v>46247.69265046297</x:v>
      </x:c>
      <x:c r="E56" t="str">
        <x:f>'STOCK_SISTEMA'!E56</x:f>
        <x:v>SF-03/Materiales</x:v>
      </x:c>
      <x:c r="F56" t="str">
        <x:f>'STOCK_SISTEMA'!G56</x:f>
        <x:v>Kilogramo</x:v>
      </x:c>
      <x:c r="G56" s="28" t="n">
        <x:f>'STOCK_SISTEMA'!F56</x:f>
        <x:v>140.12</x:v>
      </x:c>
      <x:c r="H56" s="28" t="n">
        <x:f>SUMIFS('CONTEOS'!$N$2:$N$4000,'CONTEOS'!$F$2:$F$4000,A56,'CONTEOS'!$H$2:$H$4000,C56)</x:f>
        <x:v>0</x:v>
      </x:c>
      <x:c r="I56" s="28" t="n">
        <x:f>H56-G56</x:f>
        <x:v>-140.12</x:v>
      </x:c>
      <x:c r="J56" t="str">
        <x:f>IF(COUNTIFS('CONTEOS'!$F$2:$F$4000,A56,'CONTEOS'!$H$2:$H$4000,C56)=0,"PENDIENTE",IF(I56=0,"CUADRA",IF(I56&gt;0,"SOBRANTE","FALTANTE")))</x:f>
        <x:v>PENDIENTE</x:v>
      </x:c>
    </x:row>
    <x:row r="57">
      <x:c r="A57" t="str">
        <x:f>'STOCK_SISTEMA'!A57</x:f>
        <x:v>EE10015</x:v>
      </x:c>
      <x:c r="B57" s="29" t="str">
        <x:f>'STOCK_SISTEMA'!B57</x:f>
        <x:v>[EE10015] LAMINA TIYAPUY AMARILLA 30GR CONVENCIONAL X KG</x:v>
      </x:c>
      <x:c r="C57" t="str">
        <x:f>IF('STOCK_SISTEMA'!C57="","",'STOCK_SISTEMA'!C57)</x:f>
        <x:v>INFORME 18/25</x:v>
      </x:c>
      <x:c r="D57" s="27" t="n">
        <x:f>IF('STOCK_SISTEMA'!D57="","",'STOCK_SISTEMA'!D57)</x:f>
        <x:v>46203.58288194444</x:v>
      </x:c>
      <x:c r="E57" t="str">
        <x:f>'STOCK_SISTEMA'!E57</x:f>
        <x:v>SF-03/Materiales</x:v>
      </x:c>
      <x:c r="F57" t="str">
        <x:f>'STOCK_SISTEMA'!G57</x:f>
        <x:v>Kilogramo</x:v>
      </x:c>
      <x:c r="G57" s="28" t="n">
        <x:f>'STOCK_SISTEMA'!F57</x:f>
        <x:v>1096.9</x:v>
      </x:c>
      <x:c r="H57" s="28" t="n">
        <x:f>SUMIFS('CONTEOS'!$N$2:$N$4000,'CONTEOS'!$F$2:$F$4000,A57,'CONTEOS'!$H$2:$H$4000,C57)</x:f>
        <x:v>0</x:v>
      </x:c>
      <x:c r="I57" s="28" t="n">
        <x:f>H57-G57</x:f>
        <x:v>-1096.9</x:v>
      </x:c>
      <x:c r="J57" t="str">
        <x:f>IF(COUNTIFS('CONTEOS'!$F$2:$F$4000,A57,'CONTEOS'!$H$2:$H$4000,C57)=0,"PENDIENTE",IF(I57=0,"CUADRA",IF(I57&gt;0,"SOBRANTE","FALTANTE")))</x:f>
        <x:v>PENDIENTE</x:v>
      </x:c>
    </x:row>
    <x:row r="58">
      <x:c r="A58" t="str">
        <x:f>'STOCK_SISTEMA'!A58</x:f>
        <x:v>EE10186</x:v>
      </x:c>
      <x:c r="B58" s="29" t="str">
        <x:f>'STOCK_SISTEMA'!B58</x:f>
        <x:v>[EE10186] LAMINA TIYAPUY AMARILLA PICANTE 40G CNV X KG</x:v>
      </x:c>
      <x:c r="C58" t="str">
        <x:f>IF('STOCK_SISTEMA'!C58="","",'STOCK_SISTEMA'!C58)</x:f>
        <x:v>INFORME 07/25</x:v>
      </x:c>
      <x:c r="D58" s="27" t="n">
        <x:f>IF('STOCK_SISTEMA'!D58="","",'STOCK_SISTEMA'!D58)</x:f>
        <x:v>46201.56741898148</x:v>
      </x:c>
      <x:c r="E58" t="str">
        <x:f>'STOCK_SISTEMA'!E58</x:f>
        <x:v>SF-03/Materiales</x:v>
      </x:c>
      <x:c r="F58" t="str">
        <x:f>'STOCK_SISTEMA'!G58</x:f>
        <x:v>Kilogramo</x:v>
      </x:c>
      <x:c r="G58" s="28" t="n">
        <x:f>'STOCK_SISTEMA'!F58</x:f>
        <x:v>44</x:v>
      </x:c>
      <x:c r="H58" s="28" t="n">
        <x:f>SUMIFS('CONTEOS'!$N$2:$N$4000,'CONTEOS'!$F$2:$F$4000,A58,'CONTEOS'!$H$2:$H$4000,C58)</x:f>
        <x:v>0</x:v>
      </x:c>
      <x:c r="I58" s="28" t="n">
        <x:f>H58-G58</x:f>
        <x:v>-44</x:v>
      </x:c>
      <x:c r="J58" t="str">
        <x:f>IF(COUNTIFS('CONTEOS'!$F$2:$F$4000,A58,'CONTEOS'!$H$2:$H$4000,C58)=0,"PENDIENTE",IF(I58=0,"CUADRA",IF(I58&gt;0,"SOBRANTE","FALTANTE")))</x:f>
        <x:v>PENDIENTE</x:v>
      </x:c>
    </x:row>
    <x:row r="59">
      <x:c r="A59" t="str">
        <x:f>'STOCK_SISTEMA'!A59</x:f>
        <x:v>EE10186</x:v>
      </x:c>
      <x:c r="B59" s="29" t="str">
        <x:f>'STOCK_SISTEMA'!B59</x:f>
        <x:v>[EE10186] LAMINA TIYAPUY AMARILLA PICANTE 40G CNV X KG</x:v>
      </x:c>
      <x:c r="C59" t="str">
        <x:f>IF('STOCK_SISTEMA'!C59="","",'STOCK_SISTEMA'!C59)</x:f>
        <x:v>INFORME 08/25</x:v>
      </x:c>
      <x:c r="D59" s="27" t="n">
        <x:f>IF('STOCK_SISTEMA'!D59="","",'STOCK_SISTEMA'!D59)</x:f>
        <x:v>46201.68228009259</x:v>
      </x:c>
      <x:c r="E59" t="str">
        <x:f>'STOCK_SISTEMA'!E59</x:f>
        <x:v>SF-03/Materiales</x:v>
      </x:c>
      <x:c r="F59" t="str">
        <x:f>'STOCK_SISTEMA'!G59</x:f>
        <x:v>Kilogramo</x:v>
      </x:c>
      <x:c r="G59" s="28" t="n">
        <x:f>'STOCK_SISTEMA'!F59</x:f>
        <x:v>350</x:v>
      </x:c>
      <x:c r="H59" s="28" t="n">
        <x:f>SUMIFS('CONTEOS'!$N$2:$N$4000,'CONTEOS'!$F$2:$F$4000,A59,'CONTEOS'!$H$2:$H$4000,C59)</x:f>
        <x:v>0</x:v>
      </x:c>
      <x:c r="I59" s="28" t="n">
        <x:f>H59-G59</x:f>
        <x:v>-350</x:v>
      </x:c>
      <x:c r="J59" t="str">
        <x:f>IF(COUNTIFS('CONTEOS'!$F$2:$F$4000,A59,'CONTEOS'!$H$2:$H$4000,C59)=0,"PENDIENTE",IF(I59=0,"CUADRA",IF(I59&gt;0,"SOBRANTE","FALTANTE")))</x:f>
        <x:v>PENDIENTE</x:v>
      </x:c>
    </x:row>
    <x:row r="60">
      <x:c r="A60" t="str">
        <x:f>'STOCK_SISTEMA'!A60</x:f>
        <x:v>EE10187</x:v>
      </x:c>
      <x:c r="B60" s="29" t="str">
        <x:f>'STOCK_SISTEMA'!B60</x:f>
        <x:v>[EE10187] LAMINA TIYAPUY JALAPEÑO 40 GR CNV X KG</x:v>
      </x:c>
      <x:c r="C60" t="str">
        <x:f>IF('STOCK_SISTEMA'!C60="","",'STOCK_SISTEMA'!C60)</x:f>
        <x:v>INFORME 10/25</x:v>
      </x:c>
      <x:c r="D60" s="27" t="n">
        <x:f>IF('STOCK_SISTEMA'!D60="","",'STOCK_SISTEMA'!D60)</x:f>
        <x:v>46201.68253472223</x:v>
      </x:c>
      <x:c r="E60" t="str">
        <x:f>'STOCK_SISTEMA'!E60</x:f>
        <x:v>SF-03/Materiales</x:v>
      </x:c>
      <x:c r="F60" t="str">
        <x:f>'STOCK_SISTEMA'!G60</x:f>
        <x:v>Kilogramo</x:v>
      </x:c>
      <x:c r="G60" s="28" t="n">
        <x:f>'STOCK_SISTEMA'!F60</x:f>
        <x:v>204.91</x:v>
      </x:c>
      <x:c r="H60" s="28" t="n">
        <x:f>SUMIFS('CONTEOS'!$N$2:$N$4000,'CONTEOS'!$F$2:$F$4000,A60,'CONTEOS'!$H$2:$H$4000,C60)</x:f>
        <x:v>0</x:v>
      </x:c>
      <x:c r="I60" s="28" t="n">
        <x:f>H60-G60</x:f>
        <x:v>-204.91</x:v>
      </x:c>
      <x:c r="J60" t="str">
        <x:f>IF(COUNTIFS('CONTEOS'!$F$2:$F$4000,A60,'CONTEOS'!$H$2:$H$4000,C60)=0,"PENDIENTE",IF(I60=0,"CUADRA",IF(I60&gt;0,"SOBRANTE","FALTANTE")))</x:f>
        <x:v>PENDIENTE</x:v>
      </x:c>
    </x:row>
    <x:row r="61">
      <x:c r="A61" t="str">
        <x:f>'STOCK_SISTEMA'!A61</x:f>
        <x:v>EE10122</x:v>
      </x:c>
      <x:c r="B61" s="29" t="str">
        <x:f>'STOCK_SISTEMA'!B61</x:f>
        <x:v>[EE10122] LAMINA TIYAPUY AMARILLA PICANTE 142 GR CONVENCIONAL X KG</x:v>
      </x:c>
      <x:c r="C61" t="str">
        <x:f>IF('STOCK_SISTEMA'!C61="","",'STOCK_SISTEMA'!C61)</x:f>
        <x:v>INFORME 09/25</x:v>
      </x:c>
      <x:c r="D61" s="27" t="n">
        <x:f>IF('STOCK_SISTEMA'!D61="","",'STOCK_SISTEMA'!D61)</x:f>
        <x:v>46210.9252662037</x:v>
      </x:c>
      <x:c r="E61" t="str">
        <x:f>'STOCK_SISTEMA'!E61</x:f>
        <x:v>SF-03/Materiales</x:v>
      </x:c>
      <x:c r="F61" t="str">
        <x:f>'STOCK_SISTEMA'!G61</x:f>
        <x:v>Kilogramo</x:v>
      </x:c>
      <x:c r="G61" s="28" t="n">
        <x:f>'STOCK_SISTEMA'!F61</x:f>
        <x:v>528.3100000000001</x:v>
      </x:c>
      <x:c r="H61" s="28" t="n">
        <x:f>SUMIFS('CONTEOS'!$N$2:$N$4000,'CONTEOS'!$F$2:$F$4000,A61,'CONTEOS'!$H$2:$H$4000,C61)</x:f>
        <x:v>0</x:v>
      </x:c>
      <x:c r="I61" s="28" t="n">
        <x:f>H61-G61</x:f>
        <x:v>-528.3100000000001</x:v>
      </x:c>
      <x:c r="J61" t="str">
        <x:f>IF(COUNTIFS('CONTEOS'!$F$2:$F$4000,A61,'CONTEOS'!$H$2:$H$4000,C61)=0,"PENDIENTE",IF(I61=0,"CUADRA",IF(I61&gt;0,"SOBRANTE","FALTANTE")))</x:f>
        <x:v>PENDIENTE</x:v>
      </x:c>
    </x:row>
    <x:row r="62">
      <x:c r="A62" t="str">
        <x:f>'STOCK_SISTEMA'!A62</x:f>
        <x:v>EE10198</x:v>
      </x:c>
      <x:c r="B62" s="29" t="str">
        <x:f>'STOCK_SISTEMA'!B62</x:f>
        <x:v>[EE10198] LAMINA TIYAPUY NATIVA MIX 142G REPUBLICA CHECA X KG</x:v>
      </x:c>
      <x:c r="C62" t="str">
        <x:f>IF('STOCK_SISTEMA'!C62="","",'STOCK_SISTEMA'!C62)</x:f>
        <x:v>INFORME 16/25</x:v>
      </x:c>
      <x:c r="D62" s="27" t="n">
        <x:f>IF('STOCK_SISTEMA'!D62="","",'STOCK_SISTEMA'!D62)</x:f>
        <x:v>46221.92679398148</x:v>
      </x:c>
      <x:c r="E62" t="str">
        <x:f>'STOCK_SISTEMA'!E62</x:f>
        <x:v>SF-03/Materiales</x:v>
      </x:c>
      <x:c r="F62" t="str">
        <x:f>'STOCK_SISTEMA'!G62</x:f>
        <x:v>Kilogramo</x:v>
      </x:c>
      <x:c r="G62" s="28" t="n">
        <x:f>'STOCK_SISTEMA'!F62</x:f>
        <x:v>323</x:v>
      </x:c>
      <x:c r="H62" s="28" t="n">
        <x:f>SUMIFS('CONTEOS'!$N$2:$N$4000,'CONTEOS'!$F$2:$F$4000,A62,'CONTEOS'!$H$2:$H$4000,C62)</x:f>
        <x:v>0</x:v>
      </x:c>
      <x:c r="I62" s="28" t="n">
        <x:f>H62-G62</x:f>
        <x:v>-323</x:v>
      </x:c>
      <x:c r="J62" t="str">
        <x:f>IF(COUNTIFS('CONTEOS'!$F$2:$F$4000,A62,'CONTEOS'!$H$2:$H$4000,C62)=0,"PENDIENTE",IF(I62=0,"CUADRA",IF(I62&gt;0,"SOBRANTE","FALTANTE")))</x:f>
        <x:v>PENDIENTE</x:v>
      </x:c>
    </x:row>
    <x:row r="63">
      <x:c r="A63" t="str">
        <x:f>'STOCK_SISTEMA'!A63</x:f>
        <x:v>EE10075</x:v>
      </x:c>
      <x:c r="B63" s="29" t="str">
        <x:f>'STOCK_SISTEMA'!B63</x:f>
        <x:v>[EE10075] CINTA CODIFICADORA TERMOIMPRESIÓN X ROLLO 30MM X 1100 M</x:v>
      </x:c>
      <x:c r="C63" t="str">
        <x:f>IF('STOCK_SISTEMA'!C63="","",'STOCK_SISTEMA'!C63)</x:f>
      </x:c>
      <x:c r="D63" s="27" t="str">
        <x:f>IF('STOCK_SISTEMA'!D63="","",'STOCK_SISTEMA'!D63)</x:f>
      </x:c>
      <x:c r="E63" t="str">
        <x:f>'STOCK_SISTEMA'!E63</x:f>
        <x:v>SF-03/Materiales</x:v>
      </x:c>
      <x:c r="F63" t="str">
        <x:f>'STOCK_SISTEMA'!G63</x:f>
        <x:v>Unidades</x:v>
      </x:c>
      <x:c r="G63" s="28" t="n">
        <x:f>'STOCK_SISTEMA'!F63</x:f>
        <x:v>45.1618</x:v>
      </x:c>
      <x:c r="H63" s="28" t="n">
        <x:f>SUMIFS('CONTEOS'!$N$2:$N$4000,'CONTEOS'!$F$2:$F$4000,A63,'CONTEOS'!$H$2:$H$4000,C63)</x:f>
        <x:v>0</x:v>
      </x:c>
      <x:c r="I63" s="28" t="n">
        <x:f>H63-G63</x:f>
        <x:v>-45.1618</x:v>
      </x:c>
      <x:c r="J63" t="str">
        <x:f>IF(COUNTIFS('CONTEOS'!$F$2:$F$4000,A63,'CONTEOS'!$H$2:$H$4000,C63)=0,"PENDIENTE",IF(I63=0,"CUADRA",IF(I63&gt;0,"SOBRANTE","FALTANTE")))</x:f>
        <x:v>PENDIENTE</x:v>
      </x:c>
    </x:row>
    <x:row r="64">
      <x:c r="A64" t="str">
        <x:f>'STOCK_SISTEMA'!A64</x:f>
        <x:v>EE10204</x:v>
      </x:c>
      <x:c r="B64" s="29" t="str">
        <x:f>'STOCK_SISTEMA'!B64</x:f>
        <x:v>[EE10204] STICKERS NUTRICIONAL PARA ARGENTINA 40G AMARILLA PICANTE</x:v>
      </x:c>
      <x:c r="C64" t="str">
        <x:f>IF('STOCK_SISTEMA'!C64="","",'STOCK_SISTEMA'!C64)</x:f>
      </x:c>
      <x:c r="D64" s="27" t="str">
        <x:f>IF('STOCK_SISTEMA'!D64="","",'STOCK_SISTEMA'!D64)</x:f>
      </x:c>
      <x:c r="E64" t="str">
        <x:f>'STOCK_SISTEMA'!E64</x:f>
        <x:v>SF-03/Materiales</x:v>
      </x:c>
      <x:c r="F64" t="str">
        <x:f>'STOCK_SISTEMA'!G64</x:f>
        <x:v>Unidades</x:v>
      </x:c>
      <x:c r="G64" s="28" t="n">
        <x:f>'STOCK_SISTEMA'!F64</x:f>
        <x:v>23650</x:v>
      </x:c>
      <x:c r="H64" s="28" t="n">
        <x:f>SUMIFS('CONTEOS'!$N$2:$N$4000,'CONTEOS'!$F$2:$F$4000,A64,'CONTEOS'!$H$2:$H$4000,C64)</x:f>
        <x:v>0</x:v>
      </x:c>
      <x:c r="I64" s="28" t="n">
        <x:f>H64-G64</x:f>
        <x:v>-23650</x:v>
      </x:c>
      <x:c r="J64" t="str">
        <x:f>IF(COUNTIFS('CONTEOS'!$F$2:$F$4000,A64,'CONTEOS'!$H$2:$H$4000,C64)=0,"PENDIENTE",IF(I64=0,"CUADRA",IF(I64&gt;0,"SOBRANTE","FALTANTE")))</x:f>
        <x:v>PENDIENTE</x:v>
      </x:c>
    </x:row>
    <x:row r="65">
      <x:c r="A65" t="str">
        <x:f>'STOCK_SISTEMA'!A65</x:f>
        <x:v>EE10205</x:v>
      </x:c>
      <x:c r="B65" s="29" t="str">
        <x:f>'STOCK_SISTEMA'!B65</x:f>
        <x:v>[EE10205] STICKERS NUTRICIONAL PARA ARGENTINA 40G JALAPEÑO</x:v>
      </x:c>
      <x:c r="C65" t="str">
        <x:f>IF('STOCK_SISTEMA'!C65="","",'STOCK_SISTEMA'!C65)</x:f>
      </x:c>
      <x:c r="D65" s="27" t="str">
        <x:f>IF('STOCK_SISTEMA'!D65="","",'STOCK_SISTEMA'!D65)</x:f>
      </x:c>
      <x:c r="E65" t="str">
        <x:f>'STOCK_SISTEMA'!E65</x:f>
        <x:v>SF-03/Materiales</x:v>
      </x:c>
      <x:c r="F65" t="str">
        <x:f>'STOCK_SISTEMA'!G65</x:f>
        <x:v>Unidades</x:v>
      </x:c>
      <x:c r="G65" s="28" t="n">
        <x:f>'STOCK_SISTEMA'!F65</x:f>
        <x:v>12240</x:v>
      </x:c>
      <x:c r="H65" s="28" t="n">
        <x:f>SUMIFS('CONTEOS'!$N$2:$N$4000,'CONTEOS'!$F$2:$F$4000,A65,'CONTEOS'!$H$2:$H$4000,C65)</x:f>
        <x:v>0</x:v>
      </x:c>
      <x:c r="I65" s="28" t="n">
        <x:f>H65-G65</x:f>
        <x:v>-12240</x:v>
      </x:c>
      <x:c r="J65" t="str">
        <x:f>IF(COUNTIFS('CONTEOS'!$F$2:$F$4000,A65,'CONTEOS'!$H$2:$H$4000,C65)=0,"PENDIENTE",IF(I65=0,"CUADRA",IF(I65&gt;0,"SOBRANTE","FALTANTE")))</x:f>
        <x:v>PENDIENTE</x:v>
      </x:c>
    </x:row>
    <x:row r="66">
      <x:c r="A66" t="str">
        <x:f>'STOCK_SISTEMA'!A66</x:f>
        <x:v>EE10203</x:v>
      </x:c>
      <x:c r="B66" s="29" t="str">
        <x:f>'STOCK_SISTEMA'!B66</x:f>
        <x:v>[EE10203] STICKERS NUTRICIONAL PARA ARGENTINA 40G MIX NATIVA</x:v>
      </x:c>
      <x:c r="C66" t="str">
        <x:f>IF('STOCK_SISTEMA'!C66="","",'STOCK_SISTEMA'!C66)</x:f>
      </x:c>
      <x:c r="D66" s="27" t="str">
        <x:f>IF('STOCK_SISTEMA'!D66="","",'STOCK_SISTEMA'!D66)</x:f>
      </x:c>
      <x:c r="E66" t="str">
        <x:f>'STOCK_SISTEMA'!E66</x:f>
        <x:v>SF-03/Materiales</x:v>
      </x:c>
      <x:c r="F66" t="str">
        <x:f>'STOCK_SISTEMA'!G66</x:f>
        <x:v>Unidades</x:v>
      </x:c>
      <x:c r="G66" s="28" t="n">
        <x:f>'STOCK_SISTEMA'!F66</x:f>
        <x:v>19000</x:v>
      </x:c>
      <x:c r="H66" s="28" t="n">
        <x:f>SUMIFS('CONTEOS'!$N$2:$N$4000,'CONTEOS'!$F$2:$F$4000,A66,'CONTEOS'!$H$2:$H$4000,C66)</x:f>
        <x:v>0</x:v>
      </x:c>
      <x:c r="I66" s="28" t="n">
        <x:f>H66-G66</x:f>
        <x:v>-19000</x:v>
      </x:c>
      <x:c r="J66" t="str">
        <x:f>IF(COUNTIFS('CONTEOS'!$F$2:$F$4000,A66,'CONTEOS'!$H$2:$H$4000,C66)=0,"PENDIENTE",IF(I66=0,"CUADRA",IF(I66&gt;0,"SOBRANTE","FALTANTE")))</x:f>
        <x:v>PENDIENTE</x:v>
      </x:c>
    </x:row>
    <x:row r="67">
      <x:c r="A67" t="str">
        <x:f>'STOCK_SISTEMA'!A67</x:f>
        <x:v>EE10202</x:v>
      </x:c>
      <x:c r="B67" s="29" t="str">
        <x:f>'STOCK_SISTEMA'!B67</x:f>
        <x:v>[EE10202] STICKERS NUTRICIONAL PARA ARGENTINA 142G JALAPEÑO</x:v>
      </x:c>
      <x:c r="C67" t="str">
        <x:f>IF('STOCK_SISTEMA'!C67="","",'STOCK_SISTEMA'!C67)</x:f>
      </x:c>
      <x:c r="D67" s="27" t="str">
        <x:f>IF('STOCK_SISTEMA'!D67="","",'STOCK_SISTEMA'!D67)</x:f>
      </x:c>
      <x:c r="E67" t="str">
        <x:f>'STOCK_SISTEMA'!E67</x:f>
        <x:v>SF-03/Materiales</x:v>
      </x:c>
      <x:c r="F67" t="str">
        <x:f>'STOCK_SISTEMA'!G67</x:f>
        <x:v>Unidades</x:v>
      </x:c>
      <x:c r="G67" s="28" t="n">
        <x:f>'STOCK_SISTEMA'!F67</x:f>
        <x:v>23000</x:v>
      </x:c>
      <x:c r="H67" s="28" t="n">
        <x:f>SUMIFS('CONTEOS'!$N$2:$N$4000,'CONTEOS'!$F$2:$F$4000,A67,'CONTEOS'!$H$2:$H$4000,C67)</x:f>
        <x:v>0</x:v>
      </x:c>
      <x:c r="I67" s="28" t="n">
        <x:f>H67-G67</x:f>
        <x:v>-23000</x:v>
      </x:c>
      <x:c r="J67" t="str">
        <x:f>IF(COUNTIFS('CONTEOS'!$F$2:$F$4000,A67,'CONTEOS'!$H$2:$H$4000,C67)=0,"PENDIENTE",IF(I67=0,"CUADRA",IF(I67&gt;0,"SOBRANTE","FALTANTE")))</x:f>
        <x:v>PENDIENTE</x:v>
      </x:c>
    </x:row>
    <x:row r="68">
      <x:c r="A68" t="str">
        <x:f>'STOCK_SISTEMA'!A68</x:f>
        <x:v>EE10196</x:v>
      </x:c>
      <x:c r="B68" s="29" t="str">
        <x:f>'STOCK_SISTEMA'!B68</x:f>
        <x:v>[EE10196] STICKERS NUTRICIONAL PARA ARGENTINA 142G MIX NATIVA</x:v>
      </x:c>
      <x:c r="C68" t="str">
        <x:f>IF('STOCK_SISTEMA'!C68="","",'STOCK_SISTEMA'!C68)</x:f>
        <x:v>INFORME 01/25</x:v>
      </x:c>
      <x:c r="D68" s="27" t="n">
        <x:f>IF('STOCK_SISTEMA'!D68="","",'STOCK_SISTEMA'!D68)</x:f>
        <x:v>46261.41418981482</x:v>
      </x:c>
      <x:c r="E68" t="str">
        <x:f>'STOCK_SISTEMA'!E68</x:f>
        <x:v>SF-03/Materiales</x:v>
      </x:c>
      <x:c r="F68" t="str">
        <x:f>'STOCK_SISTEMA'!G68</x:f>
        <x:v>Unidades</x:v>
      </x:c>
      <x:c r="G68" s="28" t="n">
        <x:f>'STOCK_SISTEMA'!F68</x:f>
        <x:v>8800</x:v>
      </x:c>
      <x:c r="H68" s="28" t="n">
        <x:f>SUMIFS('CONTEOS'!$N$2:$N$4000,'CONTEOS'!$F$2:$F$4000,A68,'CONTEOS'!$H$2:$H$4000,C68)</x:f>
        <x:v>0</x:v>
      </x:c>
      <x:c r="I68" s="28" t="n">
        <x:f>H68-G68</x:f>
        <x:v>-8800</x:v>
      </x:c>
      <x:c r="J68" t="str">
        <x:f>IF(COUNTIFS('CONTEOS'!$F$2:$F$4000,A68,'CONTEOS'!$H$2:$H$4000,C68)=0,"PENDIENTE",IF(I68=0,"CUADRA",IF(I68&gt;0,"SOBRANTE","FALTANTE")))</x:f>
        <x:v>PENDIENTE</x:v>
      </x:c>
    </x:row>
    <x:row r="69">
      <x:c r="A69" t="str">
        <x:f>'STOCK_SISTEMA'!A69</x:f>
        <x:v>EE10044</x:v>
      </x:c>
      <x:c r="B69" s="29" t="str">
        <x:f>'STOCK_SISTEMA'!B69</x:f>
        <x:v>[EE10044] LAMINA TIYAPUY CHIPS QUINUA BBQ 100 GR X KG</x:v>
      </x:c>
      <x:c r="C69" t="str">
        <x:f>IF('STOCK_SISTEMA'!C69="","",'STOCK_SISTEMA'!C69)</x:f>
        <x:v>INFORME 05/25</x:v>
      </x:c>
      <x:c r="D69" s="27" t="n">
        <x:f>IF('STOCK_SISTEMA'!D69="","",'STOCK_SISTEMA'!D69)</x:f>
        <x:v>46265.37123842593</x:v>
      </x:c>
      <x:c r="E69" t="str">
        <x:f>'STOCK_SISTEMA'!E69</x:f>
        <x:v>SF-03/Materiales</x:v>
      </x:c>
      <x:c r="F69" t="str">
        <x:f>'STOCK_SISTEMA'!G69</x:f>
        <x:v>Kilogramo</x:v>
      </x:c>
      <x:c r="G69" s="28" t="n">
        <x:f>'STOCK_SISTEMA'!F69</x:f>
        <x:v>29.6202</x:v>
      </x:c>
      <x:c r="H69" s="28" t="n">
        <x:f>SUMIFS('CONTEOS'!$N$2:$N$4000,'CONTEOS'!$F$2:$F$4000,A69,'CONTEOS'!$H$2:$H$4000,C69)</x:f>
        <x:v>0</x:v>
      </x:c>
      <x:c r="I69" s="28" t="n">
        <x:f>H69-G69</x:f>
        <x:v>-29.6202</x:v>
      </x:c>
      <x:c r="J69" t="str">
        <x:f>IF(COUNTIFS('CONTEOS'!$F$2:$F$4000,A69,'CONTEOS'!$H$2:$H$4000,C69)=0,"PENDIENTE",IF(I69=0,"CUADRA",IF(I69&gt;0,"SOBRANTE","FALTANTE")))</x:f>
        <x:v>PENDIENTE</x:v>
      </x:c>
    </x:row>
    <x:row r="70">
      <x:c r="A70" t="str">
        <x:f>'STOCK_SISTEMA'!A70</x:f>
        <x:v>EE10015</x:v>
      </x:c>
      <x:c r="B70" s="29" t="str">
        <x:f>'STOCK_SISTEMA'!B70</x:f>
        <x:v>[EE10015] LAMINA TIYAPUY AMARILLA 30GR CONVENCIONAL X KG</x:v>
      </x:c>
      <x:c r="C70" t="str">
        <x:f>IF('STOCK_SISTEMA'!C70="","",'STOCK_SISTEMA'!C70)</x:f>
        <x:v>INFORME 19/25</x:v>
      </x:c>
      <x:c r="D70" s="27" t="n">
        <x:f>IF('STOCK_SISTEMA'!D70="","",'STOCK_SISTEMA'!D70)</x:f>
        <x:v>46217.8000462963</x:v>
      </x:c>
      <x:c r="E70" t="str">
        <x:f>'STOCK_SISTEMA'!E70</x:f>
        <x:v>SF-03/Materiales</x:v>
      </x:c>
      <x:c r="F70" t="str">
        <x:f>'STOCK_SISTEMA'!G70</x:f>
        <x:v>Kilogramo</x:v>
      </x:c>
      <x:c r="G70" s="28" t="n">
        <x:f>'STOCK_SISTEMA'!F70</x:f>
        <x:v>398.92</x:v>
      </x:c>
      <x:c r="H70" s="28" t="n">
        <x:f>SUMIFS('CONTEOS'!$N$2:$N$4000,'CONTEOS'!$F$2:$F$4000,A70,'CONTEOS'!$H$2:$H$4000,C70)</x:f>
        <x:v>0</x:v>
      </x:c>
      <x:c r="I70" s="28" t="n">
        <x:f>H70-G70</x:f>
        <x:v>-398.92</x:v>
      </x:c>
      <x:c r="J70" t="str">
        <x:f>IF(COUNTIFS('CONTEOS'!$F$2:$F$4000,A70,'CONTEOS'!$H$2:$H$4000,C70)=0,"PENDIENTE",IF(I70=0,"CUADRA",IF(I70&gt;0,"SOBRANTE","FALTANTE")))</x:f>
        <x:v>PENDIENTE</x:v>
      </x:c>
    </x:row>
    <x:row r="71">
      <x:c r="A71" t="str">
        <x:f>'STOCK_SISTEMA'!A71</x:f>
        <x:v>EE10045</x:v>
      </x:c>
      <x:c r="B71" s="29" t="str">
        <x:f>'STOCK_SISTEMA'!B71</x:f>
        <x:v>[EE10045] LAMINA TIYAPUY CHIPS QUINUA PICANTE 100 GR X KG</x:v>
      </x:c>
      <x:c r="C71" t="str">
        <x:f>IF('STOCK_SISTEMA'!C71="","",'STOCK_SISTEMA'!C71)</x:f>
        <x:v>INFORME 01/25</x:v>
      </x:c>
      <x:c r="D71" s="27" t="n">
        <x:f>IF('STOCK_SISTEMA'!D71="","",'STOCK_SISTEMA'!D71)</x:f>
        <x:v>46248.80525462963</x:v>
      </x:c>
      <x:c r="E71" t="str">
        <x:f>'STOCK_SISTEMA'!E71</x:f>
        <x:v>SF-03/Materiales</x:v>
      </x:c>
      <x:c r="F71" t="str">
        <x:f>'STOCK_SISTEMA'!G71</x:f>
        <x:v>Kilogramo</x:v>
      </x:c>
      <x:c r="G71" s="28" t="n">
        <x:f>'STOCK_SISTEMA'!F71</x:f>
        <x:v>472.784</x:v>
      </x:c>
      <x:c r="H71" s="28" t="n">
        <x:f>SUMIFS('CONTEOS'!$N$2:$N$4000,'CONTEOS'!$F$2:$F$4000,A71,'CONTEOS'!$H$2:$H$4000,C71)</x:f>
        <x:v>0</x:v>
      </x:c>
      <x:c r="I71" s="28" t="n">
        <x:f>H71-G71</x:f>
        <x:v>-472.784</x:v>
      </x:c>
      <x:c r="J71" t="str">
        <x:f>IF(COUNTIFS('CONTEOS'!$F$2:$F$4000,A71,'CONTEOS'!$H$2:$H$4000,C71)=0,"PENDIENTE",IF(I71=0,"CUADRA",IF(I71&gt;0,"SOBRANTE","FALTANTE")))</x:f>
        <x:v>PENDIENTE</x:v>
      </x:c>
    </x:row>
    <x:row r="72">
      <x:c r="A72" t="str">
        <x:f>'STOCK_SISTEMA'!A72</x:f>
        <x:v>EE10153</x:v>
      </x:c>
      <x:c r="B72" s="29" t="str">
        <x:f>'STOCK_SISTEMA'!B72</x:f>
        <x:v>[EE10153] LAMINA RIKY TOK 30 GR ONDA JALAPEÑO X KG</x:v>
      </x:c>
      <x:c r="C72" t="str">
        <x:f>IF('STOCK_SISTEMA'!C72="","",'STOCK_SISTEMA'!C72)</x:f>
        <x:v>INFORME 16/25</x:v>
      </x:c>
      <x:c r="D72" s="27" t="n">
        <x:f>IF('STOCK_SISTEMA'!D72="","",'STOCK_SISTEMA'!D72)</x:f>
        <x:v>46254.99413194445</x:v>
      </x:c>
      <x:c r="E72" t="str">
        <x:f>'STOCK_SISTEMA'!E72</x:f>
        <x:v>SF-03/Materiales</x:v>
      </x:c>
      <x:c r="F72" t="str">
        <x:f>'STOCK_SISTEMA'!G72</x:f>
        <x:v>Kilogramo</x:v>
      </x:c>
      <x:c r="G72" s="28" t="n">
        <x:f>'STOCK_SISTEMA'!F72</x:f>
        <x:v>1.369</x:v>
      </x:c>
      <x:c r="H72" s="28" t="n">
        <x:f>SUMIFS('CONTEOS'!$N$2:$N$4000,'CONTEOS'!$F$2:$F$4000,A72,'CONTEOS'!$H$2:$H$4000,C72)</x:f>
        <x:v>0</x:v>
      </x:c>
      <x:c r="I72" s="28" t="n">
        <x:f>H72-G72</x:f>
        <x:v>-1.369</x:v>
      </x:c>
      <x:c r="J72" t="str">
        <x:f>IF(COUNTIFS('CONTEOS'!$F$2:$F$4000,A72,'CONTEOS'!$H$2:$H$4000,C72)=0,"PENDIENTE",IF(I72=0,"CUADRA",IF(I72&gt;0,"SOBRANTE","FALTANTE")))</x:f>
        <x:v>PENDIENTE</x:v>
      </x:c>
    </x:row>
    <x:row r="73">
      <x:c r="A73" t="str">
        <x:f>'STOCK_SISTEMA'!A73</x:f>
        <x:v>EE10152</x:v>
      </x:c>
      <x:c r="B73" s="29" t="str">
        <x:f>'STOCK_SISTEMA'!B73</x:f>
        <x:v>[EE10152] LAMINA RIKY TOK 30 GR ONDA BBQ X KG</x:v>
      </x:c>
      <x:c r="C73" t="str">
        <x:f>IF('STOCK_SISTEMA'!C73="","",'STOCK_SISTEMA'!C73)</x:f>
        <x:v>INFORME 09/25</x:v>
      </x:c>
      <x:c r="D73" s="27" t="n">
        <x:f>IF('STOCK_SISTEMA'!D73="","",'STOCK_SISTEMA'!D73)</x:f>
        <x:v>46255.99863425926</x:v>
      </x:c>
      <x:c r="E73" t="str">
        <x:f>'STOCK_SISTEMA'!E73</x:f>
        <x:v>SF-03/Materiales</x:v>
      </x:c>
      <x:c r="F73" t="str">
        <x:f>'STOCK_SISTEMA'!G73</x:f>
        <x:v>Kilogramo</x:v>
      </x:c>
      <x:c r="G73" s="28" t="n">
        <x:f>'STOCK_SISTEMA'!F73</x:f>
        <x:v>1564.97</x:v>
      </x:c>
      <x:c r="H73" s="28" t="n">
        <x:f>SUMIFS('CONTEOS'!$N$2:$N$4000,'CONTEOS'!$F$2:$F$4000,A73,'CONTEOS'!$H$2:$H$4000,C73)</x:f>
        <x:v>0</x:v>
      </x:c>
      <x:c r="I73" s="28" t="n">
        <x:f>H73-G73</x:f>
        <x:v>-1564.97</x:v>
      </x:c>
      <x:c r="J73" t="str">
        <x:f>IF(COUNTIFS('CONTEOS'!$F$2:$F$4000,A73,'CONTEOS'!$H$2:$H$4000,C73)=0,"PENDIENTE",IF(I73=0,"CUADRA",IF(I73&gt;0,"SOBRANTE","FALTANTE")))</x:f>
        <x:v>PENDIENTE</x:v>
      </x:c>
    </x:row>
    <x:row r="74">
      <x:c r="A74" t="str">
        <x:f>'STOCK_SISTEMA'!A74</x:f>
        <x:v>EE10158</x:v>
      </x:c>
      <x:c r="B74" s="29" t="str">
        <x:f>'STOCK_SISTEMA'!B74</x:f>
        <x:v>[EE10158] LAMINA RIKY TOK 45 GR PAPAS HILO X KG</x:v>
      </x:c>
      <x:c r="C74" t="str">
        <x:f>IF('STOCK_SISTEMA'!C74="","",'STOCK_SISTEMA'!C74)</x:f>
        <x:v>INFORME 08/25</x:v>
      </x:c>
      <x:c r="D74" s="27" t="n">
        <x:f>IF('STOCK_SISTEMA'!D74="","",'STOCK_SISTEMA'!D74)</x:f>
        <x:v>46157.47054398148</x:v>
      </x:c>
      <x:c r="E74" t="str">
        <x:f>'STOCK_SISTEMA'!E74</x:f>
        <x:v>SF-03/Materiales</x:v>
      </x:c>
      <x:c r="F74" t="str">
        <x:f>'STOCK_SISTEMA'!G74</x:f>
        <x:v>Kilogramo</x:v>
      </x:c>
      <x:c r="G74" s="28" t="n">
        <x:f>'STOCK_SISTEMA'!F74</x:f>
        <x:v>494.2</x:v>
      </x:c>
      <x:c r="H74" s="28" t="n">
        <x:f>SUMIFS('CONTEOS'!$N$2:$N$4000,'CONTEOS'!$F$2:$F$4000,A74,'CONTEOS'!$H$2:$H$4000,C74)</x:f>
        <x:v>0</x:v>
      </x:c>
      <x:c r="I74" s="28" t="n">
        <x:f>H74-G74</x:f>
        <x:v>-494.2</x:v>
      </x:c>
      <x:c r="J74" t="str">
        <x:f>IF(COUNTIFS('CONTEOS'!$F$2:$F$4000,A74,'CONTEOS'!$H$2:$H$4000,C74)=0,"PENDIENTE",IF(I74=0,"CUADRA",IF(I74&gt;0,"SOBRANTE","FALTANTE")))</x:f>
        <x:v>PENDIENTE</x:v>
      </x:c>
    </x:row>
    <x:row r="75">
      <x:c r="A75" t="str">
        <x:f>'STOCK_SISTEMA'!A75</x:f>
        <x:v>EE10015</x:v>
      </x:c>
      <x:c r="B75" s="29" t="str">
        <x:f>'STOCK_SISTEMA'!B75</x:f>
        <x:v>[EE10015] LAMINA TIYAPUY AMARILLA 30GR CONVENCIONAL X KG</x:v>
      </x:c>
      <x:c r="C75" t="str">
        <x:f>IF('STOCK_SISTEMA'!C75="","",'STOCK_SISTEMA'!C75)</x:f>
        <x:v>INFORME 08/25</x:v>
      </x:c>
      <x:c r="D75" s="27" t="n">
        <x:f>IF('STOCK_SISTEMA'!D75="","",'STOCK_SISTEMA'!D75)</x:f>
        <x:v>46166.63021990741</x:v>
      </x:c>
      <x:c r="E75" t="str">
        <x:f>'STOCK_SISTEMA'!E75</x:f>
        <x:v>SF-03/Materiales</x:v>
      </x:c>
      <x:c r="F75" t="str">
        <x:f>'STOCK_SISTEMA'!G75</x:f>
        <x:v>Kilogramo</x:v>
      </x:c>
      <x:c r="G75" s="28" t="n">
        <x:f>'STOCK_SISTEMA'!F75</x:f>
        <x:v>236.61</x:v>
      </x:c>
      <x:c r="H75" s="28" t="n">
        <x:f>SUMIFS('CONTEOS'!$N$2:$N$4000,'CONTEOS'!$F$2:$F$4000,A75,'CONTEOS'!$H$2:$H$4000,C75)</x:f>
        <x:v>0</x:v>
      </x:c>
      <x:c r="I75" s="28" t="n">
        <x:f>H75-G75</x:f>
        <x:v>-236.61</x:v>
      </x:c>
      <x:c r="J75" t="str">
        <x:f>IF(COUNTIFS('CONTEOS'!$F$2:$F$4000,A75,'CONTEOS'!$H$2:$H$4000,C75)=0,"PENDIENTE",IF(I75=0,"CUADRA",IF(I75&gt;0,"SOBRANTE","FALTANTE")))</x:f>
        <x:v>PENDIENTE</x:v>
      </x:c>
    </x:row>
    <x:row r="76">
      <x:c r="A76" t="str">
        <x:f>'STOCK_SISTEMA'!A76</x:f>
        <x:v>EE10106</x:v>
      </x:c>
      <x:c r="B76" s="29" t="str">
        <x:f>'STOCK_SISTEMA'!B76</x:f>
        <x:v>[EE10106] LAMINA TIYAPUY PAPAS NATIVAS CONGELADAS PEBD 1KG</x:v>
      </x:c>
      <x:c r="C76" t="str">
        <x:f>IF('STOCK_SISTEMA'!C76="","",'STOCK_SISTEMA'!C76)</x:f>
        <x:v>INFORME 07/25</x:v>
      </x:c>
      <x:c r="D76" s="27" t="n">
        <x:f>IF('STOCK_SISTEMA'!D76="","",'STOCK_SISTEMA'!D76)</x:f>
        <x:v>46262.64070601852</x:v>
      </x:c>
      <x:c r="E76" t="str">
        <x:f>'STOCK_SISTEMA'!E76</x:f>
        <x:v>SF-03/Materiales</x:v>
      </x:c>
      <x:c r="F76" t="str">
        <x:f>'STOCK_SISTEMA'!G76</x:f>
        <x:v>Kilogramo</x:v>
      </x:c>
      <x:c r="G76" s="28" t="n">
        <x:f>'STOCK_SISTEMA'!F76</x:f>
        <x:v>111.6337</x:v>
      </x:c>
      <x:c r="H76" s="28" t="n">
        <x:f>SUMIFS('CONTEOS'!$N$2:$N$4000,'CONTEOS'!$F$2:$F$4000,A76,'CONTEOS'!$H$2:$H$4000,C76)</x:f>
        <x:v>0</x:v>
      </x:c>
      <x:c r="I76" s="28" t="n">
        <x:f>H76-G76</x:f>
        <x:v>-111.6337</x:v>
      </x:c>
      <x:c r="J76" t="str">
        <x:f>IF(COUNTIFS('CONTEOS'!$F$2:$F$4000,A76,'CONTEOS'!$H$2:$H$4000,C76)=0,"PENDIENTE",IF(I76=0,"CUADRA",IF(I76&gt;0,"SOBRANTE","FALTANTE")))</x:f>
        <x:v>PENDIENTE</x:v>
      </x:c>
    </x:row>
    <x:row r="77">
      <x:c r="A77" t="str">
        <x:f>'STOCK_SISTEMA'!A77</x:f>
        <x:v>EE10152</x:v>
      </x:c>
      <x:c r="B77" s="29" t="str">
        <x:f>'STOCK_SISTEMA'!B77</x:f>
        <x:v>[EE10152] LAMINA RIKY TOK 30 GR ONDA BBQ X KG</x:v>
      </x:c>
      <x:c r="C77" t="str">
        <x:f>IF('STOCK_SISTEMA'!C77="","",'STOCK_SISTEMA'!C77)</x:f>
        <x:v>INFORME 10/25</x:v>
      </x:c>
      <x:c r="D77" s="27" t="n">
        <x:f>IF('STOCK_SISTEMA'!D77="","",'STOCK_SISTEMA'!D77)</x:f>
        <x:v>46271.4109375</x:v>
      </x:c>
      <x:c r="E77" t="str">
        <x:f>'STOCK_SISTEMA'!E77</x:f>
        <x:v>SF-03/Materiales</x:v>
      </x:c>
      <x:c r="F77" t="str">
        <x:f>'STOCK_SISTEMA'!G77</x:f>
        <x:v>Kilogramo</x:v>
      </x:c>
      <x:c r="G77" s="28" t="n">
        <x:f>'STOCK_SISTEMA'!F77</x:f>
        <x:v>804.97</x:v>
      </x:c>
      <x:c r="H77" s="28" t="n">
        <x:f>SUMIFS('CONTEOS'!$N$2:$N$4000,'CONTEOS'!$F$2:$F$4000,A77,'CONTEOS'!$H$2:$H$4000,C77)</x:f>
        <x:v>0</x:v>
      </x:c>
      <x:c r="I77" s="28" t="n">
        <x:f>H77-G77</x:f>
        <x:v>-804.97</x:v>
      </x:c>
      <x:c r="J77" t="str">
        <x:f>IF(COUNTIFS('CONTEOS'!$F$2:$F$4000,A77,'CONTEOS'!$H$2:$H$4000,C77)=0,"PENDIENTE",IF(I77=0,"CUADRA",IF(I77&gt;0,"SOBRANTE","FALTANTE")))</x:f>
        <x:v>PENDIENTE</x:v>
      </x:c>
    </x:row>
    <x:row r="78">
      <x:c r="A78" t="str">
        <x:f>'STOCK_SISTEMA'!A78</x:f>
        <x:v>EE10158</x:v>
      </x:c>
      <x:c r="B78" s="29" t="str">
        <x:f>'STOCK_SISTEMA'!B78</x:f>
        <x:v>[EE10158] LAMINA RIKY TOK 45 GR PAPAS HILO X KG</x:v>
      </x:c>
      <x:c r="C78" t="str">
        <x:f>IF('STOCK_SISTEMA'!C78="","",'STOCK_SISTEMA'!C78)</x:f>
        <x:v>INFORME 09/25</x:v>
      </x:c>
      <x:c r="D78" s="27" t="n">
        <x:f>IF('STOCK_SISTEMA'!D78="","",'STOCK_SISTEMA'!D78)</x:f>
        <x:v>46273.48371527778</x:v>
      </x:c>
      <x:c r="E78" t="str">
        <x:f>'STOCK_SISTEMA'!E78</x:f>
        <x:v>SF-03/Materiales</x:v>
      </x:c>
      <x:c r="F78" t="str">
        <x:f>'STOCK_SISTEMA'!G78</x:f>
        <x:v>Kilogramo</x:v>
      </x:c>
      <x:c r="G78" s="28" t="n">
        <x:f>'STOCK_SISTEMA'!F78</x:f>
        <x:v>1015.94</x:v>
      </x:c>
      <x:c r="H78" s="28" t="n">
        <x:f>SUMIFS('CONTEOS'!$N$2:$N$4000,'CONTEOS'!$F$2:$F$4000,A78,'CONTEOS'!$H$2:$H$4000,C78)</x:f>
        <x:v>0</x:v>
      </x:c>
      <x:c r="I78" s="28" t="n">
        <x:f>H78-G78</x:f>
        <x:v>-1015.94</x:v>
      </x:c>
      <x:c r="J78" t="str">
        <x:f>IF(COUNTIFS('CONTEOS'!$F$2:$F$4000,A78,'CONTEOS'!$H$2:$H$4000,C78)=0,"PENDIENTE",IF(I78=0,"CUADRA",IF(I78&gt;0,"SOBRANTE","FALTANTE")))</x:f>
        <x:v>PENDIENTE</x:v>
      </x:c>
    </x:row>
    <x:row r="79">
      <x:c r="A79" t="str">
        <x:f>'STOCK_SISTEMA'!A79</x:f>
        <x:v>EE10049</x:v>
      </x:c>
      <x:c r="B79" s="29" t="str">
        <x:f>'STOCK_SISTEMA'!B79</x:f>
        <x:v>[EE10049] LAMINA RIKY TOK 180 GR ONDA NATURAL X KG</x:v>
      </x:c>
      <x:c r="C79" t="str">
        <x:f>IF('STOCK_SISTEMA'!C79="","",'STOCK_SISTEMA'!C79)</x:f>
        <x:v>INFORME 06/25</x:v>
      </x:c>
      <x:c r="D79" s="27" t="n">
        <x:f>IF('STOCK_SISTEMA'!D79="","",'STOCK_SISTEMA'!D79)</x:f>
        <x:v>46278.47361111111</x:v>
      </x:c>
      <x:c r="E79" t="str">
        <x:f>'STOCK_SISTEMA'!E79</x:f>
        <x:v>SF-03/Materiales</x:v>
      </x:c>
      <x:c r="F79" t="str">
        <x:f>'STOCK_SISTEMA'!G79</x:f>
        <x:v>Kilogramo</x:v>
      </x:c>
      <x:c r="G79" s="28" t="n">
        <x:f>'STOCK_SISTEMA'!F79</x:f>
        <x:v>230.4224</x:v>
      </x:c>
      <x:c r="H79" s="28" t="n">
        <x:f>SUMIFS('CONTEOS'!$N$2:$N$4000,'CONTEOS'!$F$2:$F$4000,A79,'CONTEOS'!$H$2:$H$4000,C79)</x:f>
        <x:v>0</x:v>
      </x:c>
      <x:c r="I79" s="28" t="n">
        <x:f>H79-G79</x:f>
        <x:v>-230.4224</x:v>
      </x:c>
      <x:c r="J79" t="str">
        <x:f>IF(COUNTIFS('CONTEOS'!$F$2:$F$4000,A79,'CONTEOS'!$H$2:$H$4000,C79)=0,"PENDIENTE",IF(I79=0,"CUADRA",IF(I79&gt;0,"SOBRANTE","FALTANTE")))</x:f>
        <x:v>PENDIENTE</x:v>
      </x:c>
    </x:row>
    <x:row r="80">
      <x:c r="A80" t="str">
        <x:f>'STOCK_SISTEMA'!A80</x:f>
        <x:v>EE10225</x:v>
      </x:c>
      <x:c r="B80" s="29" t="str">
        <x:f>'STOCK_SISTEMA'!B80</x:f>
        <x:v>[EE10225] STICKERS NUTRICIONAL PREFRITAS CONGELADAS 2.5 KG ESPAÑA</x:v>
      </x:c>
      <x:c r="C80" t="str">
        <x:f>IF('STOCK_SISTEMA'!C80="","",'STOCK_SISTEMA'!C80)</x:f>
        <x:v>INFORME 100/25</x:v>
      </x:c>
      <x:c r="D80" s="27" t="n">
        <x:f>IF('STOCK_SISTEMA'!D80="","",'STOCK_SISTEMA'!D80)</x:f>
        <x:v>46295.5905787037</x:v>
      </x:c>
      <x:c r="E80" t="str">
        <x:f>'STOCK_SISTEMA'!E80</x:f>
        <x:v>SF-03/Materiales</x:v>
      </x:c>
      <x:c r="F80" t="str">
        <x:f>'STOCK_SISTEMA'!G80</x:f>
        <x:v>Unidades</x:v>
      </x:c>
      <x:c r="G80" s="28" t="n">
        <x:f>'STOCK_SISTEMA'!F80</x:f>
        <x:v>6300</x:v>
      </x:c>
      <x:c r="H80" s="28" t="n">
        <x:f>SUMIFS('CONTEOS'!$N$2:$N$4000,'CONTEOS'!$F$2:$F$4000,A80,'CONTEOS'!$H$2:$H$4000,C80)</x:f>
        <x:v>0</x:v>
      </x:c>
      <x:c r="I80" s="28" t="n">
        <x:f>H80-G80</x:f>
        <x:v>-6300</x:v>
      </x:c>
      <x:c r="J80" t="str">
        <x:f>IF(COUNTIFS('CONTEOS'!$F$2:$F$4000,A80,'CONTEOS'!$H$2:$H$4000,C80)=0,"PENDIENTE",IF(I80=0,"CUADRA",IF(I80&gt;0,"SOBRANTE","FALTANTE")))</x:f>
        <x:v>PENDIENTE</x:v>
      </x:c>
    </x:row>
    <x:row r="81">
      <x:c r="A81" t="str">
        <x:f>'STOCK_SISTEMA'!A81</x:f>
        <x:v>EE10217</x:v>
      </x:c>
      <x:c r="B81" s="29" t="str">
        <x:f>'STOCK_SISTEMA'!B81</x:f>
        <x:v>[EE10217] LAMINA RIKY TOK 30 G ONDA JALAPEÑO MEXICO X KG</x:v>
      </x:c>
      <x:c r="C81" t="str">
        <x:f>IF('STOCK_SISTEMA'!C81="","",'STOCK_SISTEMA'!C81)</x:f>
        <x:v>INFORME 18/25</x:v>
      </x:c>
      <x:c r="D81" s="27" t="n">
        <x:f>IF('STOCK_SISTEMA'!D81="","",'STOCK_SISTEMA'!D81)</x:f>
        <x:v>46286.91668981482</x:v>
      </x:c>
      <x:c r="E81" t="str">
        <x:f>'STOCK_SISTEMA'!E81</x:f>
        <x:v>SF-03/Materiales</x:v>
      </x:c>
      <x:c r="F81" t="str">
        <x:f>'STOCK_SISTEMA'!G81</x:f>
        <x:v>Kilogramo</x:v>
      </x:c>
      <x:c r="G81" s="28" t="n">
        <x:f>'STOCK_SISTEMA'!F81</x:f>
        <x:v>920</x:v>
      </x:c>
      <x:c r="H81" s="28" t="n">
        <x:f>SUMIFS('CONTEOS'!$N$2:$N$4000,'CONTEOS'!$F$2:$F$4000,A81,'CONTEOS'!$H$2:$H$4000,C81)</x:f>
        <x:v>0</x:v>
      </x:c>
      <x:c r="I81" s="28" t="n">
        <x:f>H81-G81</x:f>
        <x:v>-920</x:v>
      </x:c>
      <x:c r="J81" t="str">
        <x:f>IF(COUNTIFS('CONTEOS'!$F$2:$F$4000,A81,'CONTEOS'!$H$2:$H$4000,C81)=0,"PENDIENTE",IF(I81=0,"CUADRA",IF(I81&gt;0,"SOBRANTE","FALTANTE")))</x:f>
        <x:v>PENDIENTE</x:v>
      </x:c>
    </x:row>
    <x:row r="82">
      <x:c r="A82" t="str">
        <x:f>'STOCK_SISTEMA'!A82</x:f>
        <x:v>EE10215</x:v>
      </x:c>
      <x:c r="B82" s="29" t="str">
        <x:f>'STOCK_SISTEMA'!B82</x:f>
        <x:v>[EE10215] LAMINA RIKY TOK 30 G ONDA PICANTE MEXICO X KG</x:v>
      </x:c>
      <x:c r="C82" t="str">
        <x:f>IF('STOCK_SISTEMA'!C82="","",'STOCK_SISTEMA'!C82)</x:f>
        <x:v>INFORME 13/25</x:v>
      </x:c>
      <x:c r="D82" s="27" t="n">
        <x:f>IF('STOCK_SISTEMA'!D82="","",'STOCK_SISTEMA'!D82)</x:f>
        <x:v>46286.91653935185</x:v>
      </x:c>
      <x:c r="E82" t="str">
        <x:f>'STOCK_SISTEMA'!E82</x:f>
        <x:v>SF-03/Materiales</x:v>
      </x:c>
      <x:c r="F82" t="str">
        <x:f>'STOCK_SISTEMA'!G82</x:f>
        <x:v>Kilogramo</x:v>
      </x:c>
      <x:c r="G82" s="28" t="n">
        <x:f>'STOCK_SISTEMA'!F82</x:f>
        <x:v>965</x:v>
      </x:c>
      <x:c r="H82" s="28" t="n">
        <x:f>SUMIFS('CONTEOS'!$N$2:$N$4000,'CONTEOS'!$F$2:$F$4000,A82,'CONTEOS'!$H$2:$H$4000,C82)</x:f>
        <x:v>0</x:v>
      </x:c>
      <x:c r="I82" s="28" t="n">
        <x:f>H82-G82</x:f>
        <x:v>-965</x:v>
      </x:c>
      <x:c r="J82" t="str">
        <x:f>IF(COUNTIFS('CONTEOS'!$F$2:$F$4000,A82,'CONTEOS'!$H$2:$H$4000,C82)=0,"PENDIENTE",IF(I82=0,"CUADRA",IF(I82&gt;0,"SOBRANTE","FALTANTE")))</x:f>
        <x:v>PENDIENTE</x:v>
      </x:c>
    </x:row>
    <x:row r="83">
      <x:c r="A83" t="str">
        <x:f>'STOCK_SISTEMA'!A83</x:f>
        <x:v>EE10105</x:v>
      </x:c>
      <x:c r="B83" s="29" t="str">
        <x:f>'STOCK_SISTEMA'!B83</x:f>
        <x:v>[EE10105] LAMINA TIYAPUY PAPAS NATIVAS CONGELADAS PEBD 2.5KG</x:v>
      </x:c>
      <x:c r="C83" t="str">
        <x:f>IF('STOCK_SISTEMA'!C83="","",'STOCK_SISTEMA'!C83)</x:f>
        <x:v>INFORME 08/25</x:v>
      </x:c>
      <x:c r="D83" s="27" t="n">
        <x:f>IF('STOCK_SISTEMA'!D83="","",'STOCK_SISTEMA'!D83)</x:f>
        <x:v>46289.751875</x:v>
      </x:c>
      <x:c r="E83" t="str">
        <x:f>'STOCK_SISTEMA'!E83</x:f>
        <x:v>SF-03/Materiales</x:v>
      </x:c>
      <x:c r="F83" t="str">
        <x:f>'STOCK_SISTEMA'!G83</x:f>
        <x:v>Kilogramo</x:v>
      </x:c>
      <x:c r="G83" s="28" t="n">
        <x:f>'STOCK_SISTEMA'!F83</x:f>
        <x:v>352.5494</x:v>
      </x:c>
      <x:c r="H83" s="28" t="n">
        <x:f>SUMIFS('CONTEOS'!$N$2:$N$4000,'CONTEOS'!$F$2:$F$4000,A83,'CONTEOS'!$H$2:$H$4000,C83)</x:f>
        <x:v>0</x:v>
      </x:c>
      <x:c r="I83" s="28" t="n">
        <x:f>H83-G83</x:f>
        <x:v>-352.5494</x:v>
      </x:c>
      <x:c r="J83" t="str">
        <x:f>IF(COUNTIFS('CONTEOS'!$F$2:$F$4000,A83,'CONTEOS'!$H$2:$H$4000,C83)=0,"PENDIENTE",IF(I83=0,"CUADRA",IF(I83&gt;0,"SOBRANTE","FALTANTE")))</x:f>
        <x:v>PENDIENTE</x:v>
      </x:c>
    </x:row>
    <x:row r="84">
      <x:c r="A84" t="str">
        <x:f>'STOCK_SISTEMA'!A84</x:f>
        <x:v>EE10222</x:v>
      </x:c>
      <x:c r="B84" s="29" t="str">
        <x:f>'STOCK_SISTEMA'!B84</x:f>
        <x:v>[EE10222] LAMINA BITZ ONDA JALAPEÑO 200G X KG</x:v>
      </x:c>
      <x:c r="C84" t="str">
        <x:f>IF('STOCK_SISTEMA'!C84="","",'STOCK_SISTEMA'!C84)</x:f>
        <x:v>INFORME 01/25</x:v>
      </x:c>
      <x:c r="D84" s="27" t="n">
        <x:f>IF('STOCK_SISTEMA'!D84="","",'STOCK_SISTEMA'!D84)</x:f>
        <x:v>46291.43256944444</x:v>
      </x:c>
      <x:c r="E84" t="str">
        <x:f>'STOCK_SISTEMA'!E84</x:f>
        <x:v>SF-03/Materiales</x:v>
      </x:c>
      <x:c r="F84" t="str">
        <x:f>'STOCK_SISTEMA'!G84</x:f>
        <x:v>Kilogramo</x:v>
      </x:c>
      <x:c r="G84" s="28" t="n">
        <x:f>'STOCK_SISTEMA'!F84</x:f>
        <x:v>189.99</x:v>
      </x:c>
      <x:c r="H84" s="28" t="n">
        <x:f>SUMIFS('CONTEOS'!$N$2:$N$4000,'CONTEOS'!$F$2:$F$4000,A84,'CONTEOS'!$H$2:$H$4000,C84)</x:f>
        <x:v>0</x:v>
      </x:c>
      <x:c r="I84" s="28" t="n">
        <x:f>H84-G84</x:f>
        <x:v>-189.99</x:v>
      </x:c>
      <x:c r="J84" t="str">
        <x:f>IF(COUNTIFS('CONTEOS'!$F$2:$F$4000,A84,'CONTEOS'!$H$2:$H$4000,C84)=0,"PENDIENTE",IF(I84=0,"CUADRA",IF(I84&gt;0,"SOBRANTE","FALTANTE")))</x:f>
        <x:v>PENDIENTE</x:v>
      </x:c>
    </x:row>
    <x:row r="85">
      <x:c r="A85" t="str">
        <x:f>'STOCK_SISTEMA'!A85</x:f>
        <x:v>EE10183</x:v>
      </x:c>
      <x:c r="B85" s="29" t="str">
        <x:f>'STOCK_SISTEMA'!B85</x:f>
        <x:v>[EE10183] LAMINA BITZ ONDA PICANTE 200G X KG</x:v>
      </x:c>
      <x:c r="C85" t="str">
        <x:f>IF('STOCK_SISTEMA'!C85="","",'STOCK_SISTEMA'!C85)</x:f>
        <x:v>INFORME 03/25</x:v>
      </x:c>
      <x:c r="D85" s="27" t="n">
        <x:f>IF('STOCK_SISTEMA'!D85="","",'STOCK_SISTEMA'!D85)</x:f>
        <x:v>46291.43601851852</x:v>
      </x:c>
      <x:c r="E85" t="str">
        <x:f>'STOCK_SISTEMA'!E85</x:f>
        <x:v>SF-03/Materiales</x:v>
      </x:c>
      <x:c r="F85" t="str">
        <x:f>'STOCK_SISTEMA'!G85</x:f>
        <x:v>Kilogramo</x:v>
      </x:c>
      <x:c r="G85" s="28" t="n">
        <x:f>'STOCK_SISTEMA'!F85</x:f>
        <x:v>268.101</x:v>
      </x:c>
      <x:c r="H85" s="28" t="n">
        <x:f>SUMIFS('CONTEOS'!$N$2:$N$4000,'CONTEOS'!$F$2:$F$4000,A85,'CONTEOS'!$H$2:$H$4000,C85)</x:f>
        <x:v>0</x:v>
      </x:c>
      <x:c r="I85" s="28" t="n">
        <x:f>H85-G85</x:f>
        <x:v>-268.101</x:v>
      </x:c>
      <x:c r="J85" t="str">
        <x:f>IF(COUNTIFS('CONTEOS'!$F$2:$F$4000,A85,'CONTEOS'!$H$2:$H$4000,C85)=0,"PENDIENTE",IF(I85=0,"CUADRA",IF(I85&gt;0,"SOBRANTE","FALTANTE")))</x:f>
        <x:v>PENDIENTE</x:v>
      </x:c>
    </x:row>
    <x:row r="86">
      <x:c r="A86" t="str">
        <x:f>'STOCK_SISTEMA'!A86</x:f>
        <x:v>EE10139</x:v>
      </x:c>
      <x:c r="B86" s="29" t="str">
        <x:f>'STOCK_SISTEMA'!B86</x:f>
        <x:v>[EE10139] LAMINA TIYAPUY JALAPEÑO 142GR CONVENCIONAL X KG</x:v>
      </x:c>
      <x:c r="C86" t="str">
        <x:f>IF('STOCK_SISTEMA'!C86="","",'STOCK_SISTEMA'!C86)</x:f>
        <x:v>INFORME 11/25</x:v>
      </x:c>
      <x:c r="D86" s="27" t="n">
        <x:f>IF('STOCK_SISTEMA'!D86="","",'STOCK_SISTEMA'!D86)</x:f>
        <x:v>46276.6596875</x:v>
      </x:c>
      <x:c r="E86" t="str">
        <x:f>'STOCK_SISTEMA'!E86</x:f>
        <x:v>SF-03/Materiales</x:v>
      </x:c>
      <x:c r="F86" t="str">
        <x:f>'STOCK_SISTEMA'!G86</x:f>
        <x:v>Kilogramo</x:v>
      </x:c>
      <x:c r="G86" s="28" t="n">
        <x:f>'STOCK_SISTEMA'!F86</x:f>
        <x:v>535.835</x:v>
      </x:c>
      <x:c r="H86" s="28" t="n">
        <x:f>SUMIFS('CONTEOS'!$N$2:$N$4000,'CONTEOS'!$F$2:$F$4000,A86,'CONTEOS'!$H$2:$H$4000,C86)</x:f>
        <x:v>0</x:v>
      </x:c>
      <x:c r="I86" s="28" t="n">
        <x:f>H86-G86</x:f>
        <x:v>-535.835</x:v>
      </x:c>
      <x:c r="J86" t="str">
        <x:f>IF(COUNTIFS('CONTEOS'!$F$2:$F$4000,A86,'CONTEOS'!$H$2:$H$4000,C86)=0,"PENDIENTE",IF(I86=0,"CUADRA",IF(I86&gt;0,"SOBRANTE","FALTANTE")))</x:f>
        <x:v>PENDIENTE</x:v>
      </x:c>
    </x:row>
    <x:row r="87">
      <x:c r="A87" t="str">
        <x:f>'STOCK_SISTEMA'!A87</x:f>
        <x:v>EE10131</x:v>
      </x:c>
      <x:c r="B87" s="29" t="str">
        <x:f>'STOCK_SISTEMA'!B87</x:f>
        <x:v>[EE10131] LAMINA TIYAPUY CHIFLE 142GR X KG</x:v>
      </x:c>
      <x:c r="C87" t="str">
        <x:f>IF('STOCK_SISTEMA'!C87="","",'STOCK_SISTEMA'!C87)</x:f>
        <x:v>INFORME 03/25</x:v>
      </x:c>
      <x:c r="D87" s="27" t="n">
        <x:f>IF('STOCK_SISTEMA'!D87="","",'STOCK_SISTEMA'!D87)</x:f>
        <x:v>46278.66168981481</x:v>
      </x:c>
      <x:c r="E87" t="str">
        <x:f>'STOCK_SISTEMA'!E87</x:f>
        <x:v>SF-03/Materiales</x:v>
      </x:c>
      <x:c r="F87" t="str">
        <x:f>'STOCK_SISTEMA'!G87</x:f>
        <x:v>Kilogramo</x:v>
      </x:c>
      <x:c r="G87" s="28" t="n">
        <x:f>'STOCK_SISTEMA'!F87</x:f>
        <x:v>1986.72</x:v>
      </x:c>
      <x:c r="H87" s="28" t="n">
        <x:f>SUMIFS('CONTEOS'!$N$2:$N$4000,'CONTEOS'!$F$2:$F$4000,A87,'CONTEOS'!$H$2:$H$4000,C87)</x:f>
        <x:v>0</x:v>
      </x:c>
      <x:c r="I87" s="28" t="n">
        <x:f>H87-G87</x:f>
        <x:v>-1986.72</x:v>
      </x:c>
      <x:c r="J87" t="str">
        <x:f>IF(COUNTIFS('CONTEOS'!$F$2:$F$4000,A87,'CONTEOS'!$H$2:$H$4000,C87)=0,"PENDIENTE",IF(I87=0,"CUADRA",IF(I87&gt;0,"SOBRANTE","FALTANTE")))</x:f>
        <x:v>PENDIENTE</x:v>
      </x:c>
    </x:row>
    <x:row r="88">
      <x:c r="A88" t="str">
        <x:f>'STOCK_SISTEMA'!A88</x:f>
        <x:v>MP10055</x:v>
      </x:c>
      <x:c r="B88" s="29" t="str">
        <x:f>'STOCK_SISTEMA'!B88</x:f>
        <x:v>[MP10055] SABOR JAPPY PICANTE SP-P95283-28 CRAMER X KG</x:v>
      </x:c>
      <x:c r="C88" t="str">
        <x:f>IF('STOCK_SISTEMA'!C88="","",'STOCK_SISTEMA'!C88)</x:f>
        <x:v>INFORME 24/25</x:v>
      </x:c>
      <x:c r="D88" s="27" t="n">
        <x:f>IF('STOCK_SISTEMA'!D88="","",'STOCK_SISTEMA'!D88)</x:f>
        <x:v>46274.66311342592</x:v>
      </x:c>
      <x:c r="E88" t="str">
        <x:f>'STOCK_SISTEMA'!E88</x:f>
        <x:v>SF-03/Materiales</x:v>
      </x:c>
      <x:c r="F88" t="str">
        <x:f>'STOCK_SISTEMA'!G88</x:f>
        <x:v>Kilogramo</x:v>
      </x:c>
      <x:c r="G88" s="28" t="n">
        <x:f>'STOCK_SISTEMA'!F88</x:f>
        <x:v>73</x:v>
      </x:c>
      <x:c r="H88" s="28" t="n">
        <x:f>SUMIFS('CONTEOS'!$N$2:$N$4000,'CONTEOS'!$F$2:$F$4000,A88,'CONTEOS'!$H$2:$H$4000,C88)</x:f>
        <x:v>0</x:v>
      </x:c>
      <x:c r="I88" s="28" t="n">
        <x:f>H88-G88</x:f>
        <x:v>-73</x:v>
      </x:c>
      <x:c r="J88" t="str">
        <x:f>IF(COUNTIFS('CONTEOS'!$F$2:$F$4000,A88,'CONTEOS'!$H$2:$H$4000,C88)=0,"PENDIENTE",IF(I88=0,"CUADRA",IF(I88&gt;0,"SOBRANTE","FALTANTE")))</x:f>
        <x:v>PENDIENTE</x:v>
      </x:c>
    </x:row>
    <x:row r="89">
      <x:c r="A89" t="str">
        <x:f>'STOCK_SISTEMA'!A89</x:f>
        <x:v>EE10150</x:v>
      </x:c>
      <x:c r="B89" s="29" t="str">
        <x:f>'STOCK_SISTEMA'!B89</x:f>
        <x:v>[EE10150] DOYPACK NEGRO MATE CAFÉ 1 KG X UND</x:v>
      </x:c>
      <x:c r="C89" t="str">
        <x:f>IF('STOCK_SISTEMA'!C89="","",'STOCK_SISTEMA'!C89)</x:f>
        <x:v>INFORME 05/25</x:v>
      </x:c>
      <x:c r="D89" s="27" t="n">
        <x:f>IF('STOCK_SISTEMA'!D89="","",'STOCK_SISTEMA'!D89)</x:f>
        <x:v>46295.67025462963</x:v>
      </x:c>
      <x:c r="E89" t="str">
        <x:f>'STOCK_SISTEMA'!E89</x:f>
        <x:v>SF-03/Materiales</x:v>
      </x:c>
      <x:c r="F89" t="str">
        <x:f>'STOCK_SISTEMA'!G89</x:f>
        <x:v>Unidades</x:v>
      </x:c>
      <x:c r="G89" s="28" t="n">
        <x:f>'STOCK_SISTEMA'!F89</x:f>
        <x:v>505</x:v>
      </x:c>
      <x:c r="H89" s="28" t="n">
        <x:f>SUMIFS('CONTEOS'!$N$2:$N$4000,'CONTEOS'!$F$2:$F$4000,A89,'CONTEOS'!$H$2:$H$4000,C89)</x:f>
        <x:v>0</x:v>
      </x:c>
      <x:c r="I89" s="28" t="n">
        <x:f>H89-G89</x:f>
        <x:v>-505</x:v>
      </x:c>
      <x:c r="J89" t="str">
        <x:f>IF(COUNTIFS('CONTEOS'!$F$2:$F$4000,A89,'CONTEOS'!$H$2:$H$4000,C89)=0,"PENDIENTE",IF(I89=0,"CUADRA",IF(I89&gt;0,"SOBRANTE","FALTANTE")))</x:f>
        <x:v>PENDIENTE</x:v>
      </x:c>
    </x:row>
    <x:row r="90">
      <x:c r="A90" t="str">
        <x:f>'STOCK_SISTEMA'!A90</x:f>
        <x:v>EE10128</x:v>
      </x:c>
      <x:c r="B90" s="29" t="str">
        <x:f>'STOCK_SISTEMA'!B90</x:f>
        <x:v>[EE10128] LAMINA TIYAPUY C/TRAMA 120 GR LA MAR X KG</x:v>
      </x:c>
      <x:c r="C90" t="str">
        <x:f>IF('STOCK_SISTEMA'!C90="","",'STOCK_SISTEMA'!C90)</x:f>
        <x:v>INFORME 03/25</x:v>
      </x:c>
      <x:c r="D90" s="27" t="n">
        <x:f>IF('STOCK_SISTEMA'!D90="","",'STOCK_SISTEMA'!D90)</x:f>
        <x:v>46275.70121527778</x:v>
      </x:c>
      <x:c r="E90" t="str">
        <x:f>'STOCK_SISTEMA'!E90</x:f>
        <x:v>SF-03/Materiales</x:v>
      </x:c>
      <x:c r="F90" t="str">
        <x:f>'STOCK_SISTEMA'!G90</x:f>
        <x:v>Kilogramo</x:v>
      </x:c>
      <x:c r="G90" s="28" t="n">
        <x:f>'STOCK_SISTEMA'!F90</x:f>
        <x:v>1224.82</x:v>
      </x:c>
      <x:c r="H90" s="28" t="n">
        <x:f>SUMIFS('CONTEOS'!$N$2:$N$4000,'CONTEOS'!$F$2:$F$4000,A90,'CONTEOS'!$H$2:$H$4000,C90)</x:f>
        <x:v>0</x:v>
      </x:c>
      <x:c r="I90" s="28" t="n">
        <x:f>H90-G90</x:f>
        <x:v>-1224.82</x:v>
      </x:c>
      <x:c r="J90" t="str">
        <x:f>IF(COUNTIFS('CONTEOS'!$F$2:$F$4000,A90,'CONTEOS'!$H$2:$H$4000,C90)=0,"PENDIENTE",IF(I90=0,"CUADRA",IF(I90&gt;0,"SOBRANTE","FALTANTE")))</x:f>
        <x:v>PENDIENTE</x:v>
      </x:c>
    </x:row>
    <x:row r="91">
      <x:c r="A91" t="str">
        <x:f>'STOCK_SISTEMA'!A91</x:f>
        <x:v>EE10138</x:v>
      </x:c>
      <x:c r="B91" s="29" t="str">
        <x:f>'STOCK_SISTEMA'!B91</x:f>
        <x:v>[EE10138] LAMINA TIYAPUY LIMON PIMIENTA 142GR CONVENCIONAL X KG</x:v>
      </x:c>
      <x:c r="C91" t="str">
        <x:f>IF('STOCK_SISTEMA'!C91="","",'STOCK_SISTEMA'!C91)</x:f>
        <x:v>INFORME 05/25.</x:v>
      </x:c>
      <x:c r="D91" s="27" t="n">
        <x:f>IF('STOCK_SISTEMA'!D91="","",'STOCK_SISTEMA'!D91)</x:f>
        <x:v>46288.52436342592</x:v>
      </x:c>
      <x:c r="E91" t="str">
        <x:f>'STOCK_SISTEMA'!E91</x:f>
        <x:v>SF-03/Materiales</x:v>
      </x:c>
      <x:c r="F91" t="str">
        <x:f>'STOCK_SISTEMA'!G91</x:f>
        <x:v>Kilogramo</x:v>
      </x:c>
      <x:c r="G91" s="28" t="n">
        <x:f>'STOCK_SISTEMA'!F91</x:f>
        <x:v>4.196800000000001</x:v>
      </x:c>
      <x:c r="H91" s="28" t="n">
        <x:f>SUMIFS('CONTEOS'!$N$2:$N$4000,'CONTEOS'!$F$2:$F$4000,A91,'CONTEOS'!$H$2:$H$4000,C91)</x:f>
        <x:v>0</x:v>
      </x:c>
      <x:c r="I91" s="28" t="n">
        <x:f>H91-G91</x:f>
        <x:v>-4.196800000000001</x:v>
      </x:c>
      <x:c r="J91" t="str">
        <x:f>IF(COUNTIFS('CONTEOS'!$F$2:$F$4000,A91,'CONTEOS'!$H$2:$H$4000,C91)=0,"PENDIENTE",IF(I91=0,"CUADRA",IF(I91&gt;0,"SOBRANTE","FALTANTE")))</x:f>
        <x:v>PENDIENTE</x:v>
      </x:c>
    </x:row>
    <x:row r="92">
      <x:c r="A92" t="str">
        <x:f>'STOCK_SISTEMA'!A92</x:f>
        <x:v>EE10136</x:v>
      </x:c>
      <x:c r="B92" s="29" t="str">
        <x:f>'STOCK_SISTEMA'!B92</x:f>
        <x:v>[EE10136] LAMINA TIYAPUY TIYAMIX 200GR X KG</x:v>
      </x:c>
      <x:c r="C92" t="str">
        <x:f>IF('STOCK_SISTEMA'!C92="","",'STOCK_SISTEMA'!C92)</x:f>
        <x:v>INFORME 03/25</x:v>
      </x:c>
      <x:c r="D92" s="27" t="n">
        <x:f>IF('STOCK_SISTEMA'!D92="","",'STOCK_SISTEMA'!D92)</x:f>
        <x:v>46285.52581018519</x:v>
      </x:c>
      <x:c r="E92" t="str">
        <x:f>'STOCK_SISTEMA'!E92</x:f>
        <x:v>SF-03/Materiales</x:v>
      </x:c>
      <x:c r="F92" t="str">
        <x:f>'STOCK_SISTEMA'!G92</x:f>
        <x:v>Kilogramo</x:v>
      </x:c>
      <x:c r="G92" s="28" t="n">
        <x:f>'STOCK_SISTEMA'!F92</x:f>
        <x:v>162.554</x:v>
      </x:c>
      <x:c r="H92" s="28" t="n">
        <x:f>SUMIFS('CONTEOS'!$N$2:$N$4000,'CONTEOS'!$F$2:$F$4000,A92,'CONTEOS'!$H$2:$H$4000,C92)</x:f>
        <x:v>0</x:v>
      </x:c>
      <x:c r="I92" s="28" t="n">
        <x:f>H92-G92</x:f>
        <x:v>-162.554</x:v>
      </x:c>
      <x:c r="J92" t="str">
        <x:f>IF(COUNTIFS('CONTEOS'!$F$2:$F$4000,A92,'CONTEOS'!$H$2:$H$4000,C92)=0,"PENDIENTE",IF(I92=0,"CUADRA",IF(I92&gt;0,"SOBRANTE","FALTANTE")))</x:f>
        <x:v>PENDIENTE</x:v>
      </x:c>
    </x:row>
    <x:row r="93">
      <x:c r="A93" t="str">
        <x:f>'STOCK_SISTEMA'!A93</x:f>
        <x:v>EE10116</x:v>
      </x:c>
      <x:c r="B93" s="29" t="str">
        <x:f>'STOCK_SISTEMA'!B93</x:f>
        <x:v>[EE10116] LAMINA TIYAPUY LIMÓN Y PIMIENTA 30GR X KG</x:v>
      </x:c>
      <x:c r="C93" t="str">
        <x:f>IF('STOCK_SISTEMA'!C93="","",'STOCK_SISTEMA'!C93)</x:f>
        <x:v>INFORME 06/25</x:v>
      </x:c>
      <x:c r="D93" s="27" t="n">
        <x:f>IF('STOCK_SISTEMA'!D93="","",'STOCK_SISTEMA'!D93)</x:f>
        <x:v>46283.46078703704</x:v>
      </x:c>
      <x:c r="E93" t="str">
        <x:f>'STOCK_SISTEMA'!E93</x:f>
        <x:v>SF-03/Materiales</x:v>
      </x:c>
      <x:c r="F93" t="str">
        <x:f>'STOCK_SISTEMA'!G93</x:f>
        <x:v>Kilogramo</x:v>
      </x:c>
      <x:c r="G93" s="28" t="n">
        <x:f>'STOCK_SISTEMA'!F93</x:f>
        <x:v>292.8824</x:v>
      </x:c>
      <x:c r="H93" s="28" t="n">
        <x:f>SUMIFS('CONTEOS'!$N$2:$N$4000,'CONTEOS'!$F$2:$F$4000,A93,'CONTEOS'!$H$2:$H$4000,C93)</x:f>
        <x:v>0</x:v>
      </x:c>
      <x:c r="I93" s="28" t="n">
        <x:f>H93-G93</x:f>
        <x:v>-292.8824</x:v>
      </x:c>
      <x:c r="J93" t="str">
        <x:f>IF(COUNTIFS('CONTEOS'!$F$2:$F$4000,A93,'CONTEOS'!$H$2:$H$4000,C93)=0,"PENDIENTE",IF(I93=0,"CUADRA",IF(I93&gt;0,"SOBRANTE","FALTANTE")))</x:f>
        <x:v>PENDIENTE</x:v>
      </x:c>
    </x:row>
    <x:row r="94">
      <x:c r="A94" t="str">
        <x:f>'STOCK_SISTEMA'!A94</x:f>
        <x:v>EE10124</x:v>
      </x:c>
      <x:c r="B94" s="29" t="str">
        <x:f>'STOCK_SISTEMA'!B94</x:f>
        <x:v>[EE10124] LAMINA TIYAPUY CAMOTE 142GR X KG</x:v>
      </x:c>
      <x:c r="C94" t="str">
        <x:f>IF('STOCK_SISTEMA'!C94="","",'STOCK_SISTEMA'!C94)</x:f>
        <x:v>INFORME 08/25</x:v>
      </x:c>
      <x:c r="D94" s="27" t="n">
        <x:f>IF('STOCK_SISTEMA'!D94="","",'STOCK_SISTEMA'!D94)</x:f>
        <x:v>46289.46420138889</x:v>
      </x:c>
      <x:c r="E94" t="str">
        <x:f>'STOCK_SISTEMA'!E94</x:f>
        <x:v>SF-03/Materiales</x:v>
      </x:c>
      <x:c r="F94" t="str">
        <x:f>'STOCK_SISTEMA'!G94</x:f>
        <x:v>Kilogramo</x:v>
      </x:c>
      <x:c r="G94" s="28" t="n">
        <x:f>'STOCK_SISTEMA'!F94</x:f>
        <x:v>817.303</x:v>
      </x:c>
      <x:c r="H94" s="28" t="n">
        <x:f>SUMIFS('CONTEOS'!$N$2:$N$4000,'CONTEOS'!$F$2:$F$4000,A94,'CONTEOS'!$H$2:$H$4000,C94)</x:f>
        <x:v>0</x:v>
      </x:c>
      <x:c r="I94" s="28" t="n">
        <x:f>H94-G94</x:f>
        <x:v>-817.303</x:v>
      </x:c>
      <x:c r="J94" t="str">
        <x:f>IF(COUNTIFS('CONTEOS'!$F$2:$F$4000,A94,'CONTEOS'!$H$2:$H$4000,C94)=0,"PENDIENTE",IF(I94=0,"CUADRA",IF(I94&gt;0,"SOBRANTE","FALTANTE")))</x:f>
        <x:v>PENDIENTE</x:v>
      </x:c>
    </x:row>
    <x:row r="95">
      <x:c r="A95" t="str">
        <x:f>'STOCK_SISTEMA'!A95</x:f>
        <x:v>EE10214</x:v>
      </x:c>
      <x:c r="B95" s="29" t="str">
        <x:f>'STOCK_SISTEMA'!B95</x:f>
        <x:v>[EE10214] LAMINA RIKY TOK 30 G ONDA NATURAL MEXICO X KG</x:v>
      </x:c>
      <x:c r="C95" t="str">
        <x:f>IF('STOCK_SISTEMA'!C95="","",'STOCK_SISTEMA'!C95)</x:f>
        <x:v>INFORME 09/25</x:v>
      </x:c>
      <x:c r="D95" s="27" t="n">
        <x:f>IF('STOCK_SISTEMA'!D95="","",'STOCK_SISTEMA'!D95)</x:f>
        <x:v>46309.82368055556</x:v>
      </x:c>
      <x:c r="E95" t="str">
        <x:f>'STOCK_SISTEMA'!E95</x:f>
        <x:v>SF-03/Materiales</x:v>
      </x:c>
      <x:c r="F95" t="str">
        <x:f>'STOCK_SISTEMA'!G95</x:f>
        <x:v>Kilogramo</x:v>
      </x:c>
      <x:c r="G95" s="28" t="n">
        <x:f>'STOCK_SISTEMA'!F95</x:f>
        <x:v>136</x:v>
      </x:c>
      <x:c r="H95" s="28" t="n">
        <x:f>SUMIFS('CONTEOS'!$N$2:$N$4000,'CONTEOS'!$F$2:$F$4000,A95,'CONTEOS'!$H$2:$H$4000,C95)</x:f>
        <x:v>0</x:v>
      </x:c>
      <x:c r="I95" s="28" t="n">
        <x:f>H95-G95</x:f>
        <x:v>-136</x:v>
      </x:c>
      <x:c r="J95" t="str">
        <x:f>IF(COUNTIFS('CONTEOS'!$F$2:$F$4000,A95,'CONTEOS'!$H$2:$H$4000,C95)=0,"PENDIENTE",IF(I95=0,"CUADRA",IF(I95&gt;0,"SOBRANTE","FALTANTE")))</x:f>
        <x:v>PENDIENTE</x:v>
      </x:c>
    </x:row>
    <x:row r="96">
      <x:c r="A96" t="str">
        <x:f>'STOCK_SISTEMA'!A96</x:f>
        <x:v>EE10149</x:v>
      </x:c>
      <x:c r="B96" s="29" t="str">
        <x:f>'STOCK_SISTEMA'!B96</x:f>
        <x:v>[EE10149] LAMINA RIKYTOK SIN IMPRESION PAPAS CONG PEBD 2.5KG</x:v>
      </x:c>
      <x:c r="C96" t="str">
        <x:f>IF('STOCK_SISTEMA'!C96="","",'STOCK_SISTEMA'!C96)</x:f>
        <x:v>INFORME 02/25</x:v>
      </x:c>
      <x:c r="D96" s="27" t="n">
        <x:f>IF('STOCK_SISTEMA'!D96="","",'STOCK_SISTEMA'!D96)</x:f>
        <x:v>46263.03116898148</x:v>
      </x:c>
      <x:c r="E96" t="str">
        <x:f>'STOCK_SISTEMA'!E96</x:f>
        <x:v>SF-03/Materiales</x:v>
      </x:c>
      <x:c r="F96" t="str">
        <x:f>'STOCK_SISTEMA'!G96</x:f>
        <x:v>Kilogramo</x:v>
      </x:c>
      <x:c r="G96" s="28" t="n">
        <x:f>'STOCK_SISTEMA'!F96</x:f>
        <x:v>318.182</x:v>
      </x:c>
      <x:c r="H96" s="28" t="n">
        <x:f>SUMIFS('CONTEOS'!$N$2:$N$4000,'CONTEOS'!$F$2:$F$4000,A96,'CONTEOS'!$H$2:$H$4000,C96)</x:f>
        <x:v>0</x:v>
      </x:c>
      <x:c r="I96" s="28" t="n">
        <x:f>H96-G96</x:f>
        <x:v>-318.182</x:v>
      </x:c>
      <x:c r="J96" t="str">
        <x:f>IF(COUNTIFS('CONTEOS'!$F$2:$F$4000,A96,'CONTEOS'!$H$2:$H$4000,C96)=0,"PENDIENTE",IF(I96=0,"CUADRA",IF(I96&gt;0,"SOBRANTE","FALTANTE")))</x:f>
        <x:v>PENDIENTE</x:v>
      </x:c>
    </x:row>
    <x:row r="97">
      <x:c r="A97" t="str">
        <x:f>'STOCK_SISTEMA'!A97</x:f>
        <x:v>EE10099</x:v>
      </x:c>
      <x:c r="B97" s="29" t="str">
        <x:f>'STOCK_SISTEMA'!B97</x:f>
        <x:v>[EE10099] ESQUINERO KRAFT 2300MMX50MMX4.5MM</x:v>
      </x:c>
      <x:c r="C97" t="str">
        <x:f>IF('STOCK_SISTEMA'!C97="","",'STOCK_SISTEMA'!C97)</x:f>
      </x:c>
      <x:c r="D97" s="27" t="str">
        <x:f>IF('STOCK_SISTEMA'!D97="","",'STOCK_SISTEMA'!D97)</x:f>
      </x:c>
      <x:c r="E97" t="str">
        <x:f>'STOCK_SISTEMA'!E97</x:f>
        <x:v>SF-03/Materiales</x:v>
      </x:c>
      <x:c r="F97" t="str">
        <x:f>'STOCK_SISTEMA'!G97</x:f>
        <x:v>Unidades</x:v>
      </x:c>
      <x:c r="G97" s="28" t="n">
        <x:f>'STOCK_SISTEMA'!F97</x:f>
        <x:v>754.116</x:v>
      </x:c>
      <x:c r="H97" s="28" t="n">
        <x:f>SUMIFS('CONTEOS'!$N$2:$N$4000,'CONTEOS'!$F$2:$F$4000,A97,'CONTEOS'!$H$2:$H$4000,C97)</x:f>
        <x:v>0</x:v>
      </x:c>
      <x:c r="I97" s="28" t="n">
        <x:f>H97-G97</x:f>
        <x:v>-754.116</x:v>
      </x:c>
      <x:c r="J97" t="str">
        <x:f>IF(COUNTIFS('CONTEOS'!$F$2:$F$4000,A97,'CONTEOS'!$H$2:$H$4000,C97)=0,"PENDIENTE",IF(I97=0,"CUADRA",IF(I97&gt;0,"SOBRANTE","FALTANTE")))</x:f>
        <x:v>PENDIENTE</x:v>
      </x:c>
    </x:row>
    <x:row r="98">
      <x:c r="A98" t="str">
        <x:f>'STOCK_SISTEMA'!A98</x:f>
        <x:v>EE10127</x:v>
      </x:c>
      <x:c r="B98" s="29" t="str">
        <x:f>'STOCK_SISTEMA'!B98</x:f>
        <x:v>[EE10127] LAMINA TIYAPUY P/LATA CON TRAMA X KG</x:v>
      </x:c>
      <x:c r="C98" t="str">
        <x:f>IF('STOCK_SISTEMA'!C98="","",'STOCK_SISTEMA'!C98)</x:f>
        <x:v>INFORME 01/25</x:v>
      </x:c>
      <x:c r="D98" s="27" t="n">
        <x:f>IF('STOCK_SISTEMA'!D98="","",'STOCK_SISTEMA'!D98)</x:f>
        <x:v>46311.38292824074</x:v>
      </x:c>
      <x:c r="E98" t="str">
        <x:f>'STOCK_SISTEMA'!E98</x:f>
        <x:v>SF-03/Materiales</x:v>
      </x:c>
      <x:c r="F98" t="str">
        <x:f>'STOCK_SISTEMA'!G98</x:f>
        <x:v>Kilogramo</x:v>
      </x:c>
      <x:c r="G98" s="28" t="n">
        <x:f>'STOCK_SISTEMA'!F98</x:f>
        <x:v>15.3018</x:v>
      </x:c>
      <x:c r="H98" s="28" t="n">
        <x:f>SUMIFS('CONTEOS'!$N$2:$N$4000,'CONTEOS'!$F$2:$F$4000,A98,'CONTEOS'!$H$2:$H$4000,C98)</x:f>
        <x:v>0</x:v>
      </x:c>
      <x:c r="I98" s="28" t="n">
        <x:f>H98-G98</x:f>
        <x:v>-15.3018</x:v>
      </x:c>
      <x:c r="J98" t="str">
        <x:f>IF(COUNTIFS('CONTEOS'!$F$2:$F$4000,A98,'CONTEOS'!$H$2:$H$4000,C98)=0,"PENDIENTE",IF(I98=0,"CUADRA",IF(I98&gt;0,"SOBRANTE","FALTANTE")))</x:f>
        <x:v>PENDIENTE</x:v>
      </x:c>
    </x:row>
    <x:row r="99">
      <x:c r="A99" t="str">
        <x:f>'STOCK_SISTEMA'!A99</x:f>
        <x:v>EE10184</x:v>
      </x:c>
      <x:c r="B99" s="29" t="str">
        <x:f>'STOCK_SISTEMA'!B99</x:f>
        <x:v>[EE10184] LAMINA JAPPY CLASICAS 200G X KG</x:v>
      </x:c>
      <x:c r="C99" t="str">
        <x:f>IF('STOCK_SISTEMA'!C99="","",'STOCK_SISTEMA'!C99)</x:f>
        <x:v>INFORME 13/25</x:v>
      </x:c>
      <x:c r="D99" s="27" t="n">
        <x:f>IF('STOCK_SISTEMA'!D99="","",'STOCK_SISTEMA'!D99)</x:f>
        <x:v>46323.75217592593</x:v>
      </x:c>
      <x:c r="E99" t="str">
        <x:f>'STOCK_SISTEMA'!E99</x:f>
        <x:v>SF-03/Materiales</x:v>
      </x:c>
      <x:c r="F99" t="str">
        <x:f>'STOCK_SISTEMA'!G99</x:f>
        <x:v>Kilogramo</x:v>
      </x:c>
      <x:c r="G99" s="28" t="n">
        <x:f>'STOCK_SISTEMA'!F99</x:f>
        <x:v>106</x:v>
      </x:c>
      <x:c r="H99" s="28" t="n">
        <x:f>SUMIFS('CONTEOS'!$N$2:$N$4000,'CONTEOS'!$F$2:$F$4000,A99,'CONTEOS'!$H$2:$H$4000,C99)</x:f>
        <x:v>0</x:v>
      </x:c>
      <x:c r="I99" s="28" t="n">
        <x:f>H99-G99</x:f>
        <x:v>-106</x:v>
      </x:c>
      <x:c r="J99" t="str">
        <x:f>IF(COUNTIFS('CONTEOS'!$F$2:$F$4000,A99,'CONTEOS'!$H$2:$H$4000,C99)=0,"PENDIENTE",IF(I99=0,"CUADRA",IF(I99&gt;0,"SOBRANTE","FALTANTE")))</x:f>
        <x:v>PENDIENTE</x:v>
      </x:c>
    </x:row>
    <x:row r="100">
      <x:c r="A100" t="str">
        <x:f>'STOCK_SISTEMA'!A100</x:f>
        <x:v>EE10187</x:v>
      </x:c>
      <x:c r="B100" s="29" t="str">
        <x:f>'STOCK_SISTEMA'!B100</x:f>
        <x:v>[EE10187] LAMINA TIYAPUY JALAPEÑO 40 GR CNV X KG</x:v>
      </x:c>
      <x:c r="C100" t="str">
        <x:f>IF('STOCK_SISTEMA'!C100="","",'STOCK_SISTEMA'!C100)</x:f>
        <x:v>INFORME 09/25</x:v>
      </x:c>
      <x:c r="D100" s="27" t="n">
        <x:f>IF('STOCK_SISTEMA'!D100="","",'STOCK_SISTEMA'!D100)</x:f>
        <x:v>46201.56775462963</x:v>
      </x:c>
      <x:c r="E100" t="str">
        <x:f>'STOCK_SISTEMA'!E100</x:f>
        <x:v>SF-03/Materiales</x:v>
      </x:c>
      <x:c r="F100" t="str">
        <x:f>'STOCK_SISTEMA'!G100</x:f>
        <x:v>Kilogramo</x:v>
      </x:c>
      <x:c r="G100" s="28" t="n">
        <x:f>'STOCK_SISTEMA'!F100</x:f>
        <x:v>9.48</x:v>
      </x:c>
      <x:c r="H100" s="28" t="n">
        <x:f>SUMIFS('CONTEOS'!$N$2:$N$4000,'CONTEOS'!$F$2:$F$4000,A100,'CONTEOS'!$H$2:$H$4000,C100)</x:f>
        <x:v>0</x:v>
      </x:c>
      <x:c r="I100" s="28" t="n">
        <x:f>H100-G100</x:f>
        <x:v>-9.48</x:v>
      </x:c>
      <x:c r="J100" t="str">
        <x:f>IF(COUNTIFS('CONTEOS'!$F$2:$F$4000,A100,'CONTEOS'!$H$2:$H$4000,C100)=0,"PENDIENTE",IF(I100=0,"CUADRA",IF(I100&gt;0,"SOBRANTE","FALTANTE")))</x:f>
        <x:v>PENDIENTE</x:v>
      </x:c>
    </x:row>
    <x:row r="101">
      <x:c r="A101" t="str">
        <x:f>'STOCK_SISTEMA'!A101</x:f>
        <x:v>EE10043</x:v>
      </x:c>
      <x:c r="B101" s="29" t="str">
        <x:f>'STOCK_SISTEMA'!B101</x:f>
        <x:v>[EE10043] LAMINA TIYAPUY CHIPS QUINUA BBQ 40 GR X KG</x:v>
      </x:c>
      <x:c r="C101" t="str">
        <x:f>IF('STOCK_SISTEMA'!C101="","",'STOCK_SISTEMA'!C101)</x:f>
        <x:v>INFORME 06/25</x:v>
      </x:c>
      <x:c r="D101" s="27" t="n">
        <x:f>IF('STOCK_SISTEMA'!D101="","",'STOCK_SISTEMA'!D101)</x:f>
        <x:v>46326.55777777778</x:v>
      </x:c>
      <x:c r="E101" t="str">
        <x:f>'STOCK_SISTEMA'!E101</x:f>
        <x:v>SF-03/Materiales</x:v>
      </x:c>
      <x:c r="F101" t="str">
        <x:f>'STOCK_SISTEMA'!G101</x:f>
        <x:v>Kilogramo</x:v>
      </x:c>
      <x:c r="G101" s="28" t="n">
        <x:f>'STOCK_SISTEMA'!F101</x:f>
        <x:v>345.7068</x:v>
      </x:c>
      <x:c r="H101" s="28" t="n">
        <x:f>SUMIFS('CONTEOS'!$N$2:$N$4000,'CONTEOS'!$F$2:$F$4000,A101,'CONTEOS'!$H$2:$H$4000,C101)</x:f>
        <x:v>0</x:v>
      </x:c>
      <x:c r="I101" s="28" t="n">
        <x:f>H101-G101</x:f>
        <x:v>-345.7068</x:v>
      </x:c>
      <x:c r="J101" t="str">
        <x:f>IF(COUNTIFS('CONTEOS'!$F$2:$F$4000,A101,'CONTEOS'!$H$2:$H$4000,C101)=0,"PENDIENTE",IF(I101=0,"CUADRA",IF(I101&gt;0,"SOBRANTE","FALTANTE")))</x:f>
        <x:v>PENDIENTE</x:v>
      </x:c>
    </x:row>
    <x:row r="102">
      <x:c r="A102" t="str">
        <x:f>'STOCK_SISTEMA'!A102</x:f>
        <x:v>EE10040</x:v>
      </x:c>
      <x:c r="B102" s="29" t="str">
        <x:f>'STOCK_SISTEMA'!B102</x:f>
        <x:v>[EE10040] LAMINA TIYAPUY CHIPS QUINUA NATURAL 40 GR X KG</x:v>
      </x:c>
      <x:c r="C102" t="str">
        <x:f>IF('STOCK_SISTEMA'!C102="","",'STOCK_SISTEMA'!C102)</x:f>
        <x:v>INFORME 03/25</x:v>
      </x:c>
      <x:c r="D102" s="27" t="n">
        <x:f>IF('STOCK_SISTEMA'!D102="","",'STOCK_SISTEMA'!D102)</x:f>
        <x:v>46326.5574537037</x:v>
      </x:c>
      <x:c r="E102" t="str">
        <x:f>'STOCK_SISTEMA'!E102</x:f>
        <x:v>SF-03/Materiales</x:v>
      </x:c>
      <x:c r="F102" t="str">
        <x:f>'STOCK_SISTEMA'!G102</x:f>
        <x:v>Kilogramo</x:v>
      </x:c>
      <x:c r="G102" s="28" t="n">
        <x:f>'STOCK_SISTEMA'!F102</x:f>
        <x:v>338.642</x:v>
      </x:c>
      <x:c r="H102" s="28" t="n">
        <x:f>SUMIFS('CONTEOS'!$N$2:$N$4000,'CONTEOS'!$F$2:$F$4000,A102,'CONTEOS'!$H$2:$H$4000,C102)</x:f>
        <x:v>0</x:v>
      </x:c>
      <x:c r="I102" s="28" t="n">
        <x:f>H102-G102</x:f>
        <x:v>-338.642</x:v>
      </x:c>
      <x:c r="J102" t="str">
        <x:f>IF(COUNTIFS('CONTEOS'!$F$2:$F$4000,A102,'CONTEOS'!$H$2:$H$4000,C102)=0,"PENDIENTE",IF(I102=0,"CUADRA",IF(I102&gt;0,"SOBRANTE","FALTANTE")))</x:f>
        <x:v>PENDIENTE</x:v>
      </x:c>
    </x:row>
    <x:row r="103">
      <x:c r="A103" t="str">
        <x:f>'STOCK_SISTEMA'!A103</x:f>
        <x:v>EE10149-1</x:v>
      </x:c>
      <x:c r="B103" s="29" t="str">
        <x:f>'STOCK_SISTEMA'!B103</x:f>
        <x:v>[EE10149-1] STICKERS RIKYTOK PARA LAMINA CONG SIN IMPRESION PEBD 2.5KG</x:v>
      </x:c>
      <x:c r="C103" t="str">
        <x:f>IF('STOCK_SISTEMA'!C103="","",'STOCK_SISTEMA'!C103)</x:f>
        <x:v>INFORME 20/25</x:v>
      </x:c>
      <x:c r="D103" s="27" t="n">
        <x:f>IF('STOCK_SISTEMA'!D103="","",'STOCK_SISTEMA'!D103)</x:f>
        <x:v>46356.85682870371</x:v>
      </x:c>
      <x:c r="E103" t="str">
        <x:f>'STOCK_SISTEMA'!E103</x:f>
        <x:v>SF-03/Materiales</x:v>
      </x:c>
      <x:c r="F103" t="str">
        <x:f>'STOCK_SISTEMA'!G103</x:f>
        <x:v>Unidades</x:v>
      </x:c>
      <x:c r="G103" s="28" t="n">
        <x:f>'STOCK_SISTEMA'!F103</x:f>
        <x:v>19800</x:v>
      </x:c>
      <x:c r="H103" s="28" t="n">
        <x:f>SUMIFS('CONTEOS'!$N$2:$N$4000,'CONTEOS'!$F$2:$F$4000,A103,'CONTEOS'!$H$2:$H$4000,C103)</x:f>
        <x:v>0</x:v>
      </x:c>
      <x:c r="I103" s="28" t="n">
        <x:f>H103-G103</x:f>
        <x:v>-19800</x:v>
      </x:c>
      <x:c r="J103" t="str">
        <x:f>IF(COUNTIFS('CONTEOS'!$F$2:$F$4000,A103,'CONTEOS'!$H$2:$H$4000,C103)=0,"PENDIENTE",IF(I103=0,"CUADRA",IF(I103&gt;0,"SOBRANTE","FALTANTE")))</x:f>
        <x:v>PENDIENTE</x:v>
      </x:c>
    </x:row>
    <x:row r="104">
      <x:c r="A104" t="str">
        <x:f>'STOCK_SISTEMA'!A104</x:f>
        <x:v>EE10223</x:v>
      </x:c>
      <x:c r="B104" s="29" t="str">
        <x:f>'STOCK_SISTEMA'!B104</x:f>
        <x:v>[EE10223] LAMINA TIYAPUY NATIVA MIX AJÍ AMARILLO 142G X KG</x:v>
      </x:c>
      <x:c r="C104" t="str">
        <x:f>IF('STOCK_SISTEMA'!C104="","",'STOCK_SISTEMA'!C104)</x:f>
        <x:v>INFORME 02/25</x:v>
      </x:c>
      <x:c r="D104" s="27" t="n">
        <x:f>IF('STOCK_SISTEMA'!D104="","",'STOCK_SISTEMA'!D104)</x:f>
        <x:v>46323.67672453704</x:v>
      </x:c>
      <x:c r="E104" t="str">
        <x:f>'STOCK_SISTEMA'!E104</x:f>
        <x:v>SF-03/Materiales</x:v>
      </x:c>
      <x:c r="F104" t="str">
        <x:f>'STOCK_SISTEMA'!G104</x:f>
        <x:v>Kilogramo</x:v>
      </x:c>
      <x:c r="G104" s="28" t="n">
        <x:f>'STOCK_SISTEMA'!F104</x:f>
        <x:v>568.44</x:v>
      </x:c>
      <x:c r="H104" s="28" t="n">
        <x:f>SUMIFS('CONTEOS'!$N$2:$N$4000,'CONTEOS'!$F$2:$F$4000,A104,'CONTEOS'!$H$2:$H$4000,C104)</x:f>
        <x:v>0</x:v>
      </x:c>
      <x:c r="I104" s="28" t="n">
        <x:f>H104-G104</x:f>
        <x:v>-568.44</x:v>
      </x:c>
      <x:c r="J104" t="str">
        <x:f>IF(COUNTIFS('CONTEOS'!$F$2:$F$4000,A104,'CONTEOS'!$H$2:$H$4000,C104)=0,"PENDIENTE",IF(I104=0,"CUADRA",IF(I104&gt;0,"SOBRANTE","FALTANTE")))</x:f>
        <x:v>PENDIENTE</x:v>
      </x:c>
    </x:row>
    <x:row r="105">
      <x:c r="A105" t="str">
        <x:f>'STOCK_SISTEMA'!A105</x:f>
        <x:v>EE10117</x:v>
      </x:c>
      <x:c r="B105" s="29" t="str">
        <x:f>'STOCK_SISTEMA'!B105</x:f>
        <x:v>[EE10117] LAMINA TIYAPUY JALAPEÑO 30GR X KG</x:v>
      </x:c>
      <x:c r="C105" t="str">
        <x:f>IF('STOCK_SISTEMA'!C105="","",'STOCK_SISTEMA'!C105)</x:f>
        <x:v>INFORME 13/25</x:v>
      </x:c>
      <x:c r="D105" s="27" t="n">
        <x:f>IF('STOCK_SISTEMA'!D105="","",'STOCK_SISTEMA'!D105)</x:f>
        <x:v>46330.41112268518</x:v>
      </x:c>
      <x:c r="E105" t="str">
        <x:f>'STOCK_SISTEMA'!E105</x:f>
        <x:v>SF-03/Materiales</x:v>
      </x:c>
      <x:c r="F105" t="str">
        <x:f>'STOCK_SISTEMA'!G105</x:f>
        <x:v>Kilogramo</x:v>
      </x:c>
      <x:c r="G105" s="28" t="n">
        <x:f>'STOCK_SISTEMA'!F105</x:f>
        <x:v>428.27</x:v>
      </x:c>
      <x:c r="H105" s="28" t="n">
        <x:f>SUMIFS('CONTEOS'!$N$2:$N$4000,'CONTEOS'!$F$2:$F$4000,A105,'CONTEOS'!$H$2:$H$4000,C105)</x:f>
        <x:v>0</x:v>
      </x:c>
      <x:c r="I105" s="28" t="n">
        <x:f>H105-G105</x:f>
        <x:v>-428.27</x:v>
      </x:c>
      <x:c r="J105" t="str">
        <x:f>IF(COUNTIFS('CONTEOS'!$F$2:$F$4000,A105,'CONTEOS'!$H$2:$H$4000,C105)=0,"PENDIENTE",IF(I105=0,"CUADRA",IF(I105&gt;0,"SOBRANTE","FALTANTE")))</x:f>
        <x:v>PENDIENTE</x:v>
      </x:c>
    </x:row>
    <x:row r="106">
      <x:c r="A106" t="str">
        <x:f>'STOCK_SISTEMA'!A106</x:f>
        <x:v>EE10224</x:v>
      </x:c>
      <x:c r="B106" s="29" t="str">
        <x:f>'STOCK_SISTEMA'!B106</x:f>
        <x:v>[EE10224] STICKERS NUTRICIONAL PREFRITAS CONGELADAS 1 KG ESPAÑA</x:v>
      </x:c>
      <x:c r="C106" t="str">
        <x:f>IF('STOCK_SISTEMA'!C106="","",'STOCK_SISTEMA'!C106)</x:f>
        <x:v>INFORME 99/25</x:v>
      </x:c>
      <x:c r="D106" s="27" t="n">
        <x:f>IF('STOCK_SISTEMA'!D106="","",'STOCK_SISTEMA'!D106)</x:f>
        <x:v>46295.59033564815</x:v>
      </x:c>
      <x:c r="E106" t="str">
        <x:f>'STOCK_SISTEMA'!E106</x:f>
        <x:v>SF-03/Materiales</x:v>
      </x:c>
      <x:c r="F106" t="str">
        <x:f>'STOCK_SISTEMA'!G106</x:f>
        <x:v>Unidades</x:v>
      </x:c>
      <x:c r="G106" s="28" t="n">
        <x:f>'STOCK_SISTEMA'!F106</x:f>
        <x:v>2875</x:v>
      </x:c>
      <x:c r="H106" s="28" t="n">
        <x:f>SUMIFS('CONTEOS'!$N$2:$N$4000,'CONTEOS'!$F$2:$F$4000,A106,'CONTEOS'!$H$2:$H$4000,C106)</x:f>
        <x:v>0</x:v>
      </x:c>
      <x:c r="I106" s="28" t="n">
        <x:f>H106-G106</x:f>
        <x:v>-2875</x:v>
      </x:c>
      <x:c r="J106" t="str">
        <x:f>IF(COUNTIFS('CONTEOS'!$F$2:$F$4000,A106,'CONTEOS'!$H$2:$H$4000,C106)=0,"PENDIENTE",IF(I106=0,"CUADRA",IF(I106&gt;0,"SOBRANTE","FALTANTE")))</x:f>
        <x:v>PENDIENTE</x:v>
      </x:c>
    </x:row>
    <x:row r="107">
      <x:c r="A107" t="str">
        <x:f>'STOCK_SISTEMA'!A107</x:f>
        <x:v>EE10242</x:v>
      </x:c>
      <x:c r="B107" s="29" t="str">
        <x:f>'STOCK_SISTEMA'!B107</x:f>
        <x:v>[EE10242] STICKERS NUTRICIONAL PARA ARGENTINA 142G LIMÓN Y PIMIENTA</x:v>
      </x:c>
      <x:c r="C107" t="str">
        <x:f>IF('STOCK_SISTEMA'!C107="","",'STOCK_SISTEMA'!C107)</x:f>
        <x:v>INFORME 116/25</x:v>
      </x:c>
      <x:c r="D107" s="27" t="n">
        <x:f>IF('STOCK_SISTEMA'!D107="","",'STOCK_SISTEMA'!D107)</x:f>
        <x:v>46699.58180555556</x:v>
      </x:c>
      <x:c r="E107" t="str">
        <x:f>'STOCK_SISTEMA'!E107</x:f>
        <x:v>SF-03/Materiales</x:v>
      </x:c>
      <x:c r="F107" t="str">
        <x:f>'STOCK_SISTEMA'!G107</x:f>
        <x:v>Unidades</x:v>
      </x:c>
      <x:c r="G107" s="28" t="n">
        <x:f>'STOCK_SISTEMA'!F107</x:f>
        <x:v>3550</x:v>
      </x:c>
      <x:c r="H107" s="28" t="n">
        <x:f>SUMIFS('CONTEOS'!$N$2:$N$4000,'CONTEOS'!$F$2:$F$4000,A107,'CONTEOS'!$H$2:$H$4000,C107)</x:f>
        <x:v>0</x:v>
      </x:c>
      <x:c r="I107" s="28" t="n">
        <x:f>H107-G107</x:f>
        <x:v>-3550</x:v>
      </x:c>
      <x:c r="J107" t="str">
        <x:f>IF(COUNTIFS('CONTEOS'!$F$2:$F$4000,A107,'CONTEOS'!$H$2:$H$4000,C107)=0,"PENDIENTE",IF(I107=0,"CUADRA",IF(I107&gt;0,"SOBRANTE","FALTANTE")))</x:f>
        <x:v>PENDIENTE</x:v>
      </x:c>
    </x:row>
    <x:row r="108">
      <x:c r="A108" t="str">
        <x:f>'STOCK_SISTEMA'!A108</x:f>
        <x:v>EE10197</x:v>
      </x:c>
      <x:c r="B108" s="29" t="str">
        <x:f>'STOCK_SISTEMA'!B108</x:f>
        <x:v>[EE10197] STICKERS OCTOGONOS PARA ARGENTINA 142G</x:v>
      </x:c>
      <x:c r="C108" t="str">
        <x:f>IF('STOCK_SISTEMA'!C108="","",'STOCK_SISTEMA'!C108)</x:f>
        <x:v>INFORME 117/25</x:v>
      </x:c>
      <x:c r="D108" s="27" t="n">
        <x:f>IF('STOCK_SISTEMA'!D108="","",'STOCK_SISTEMA'!D108)</x:f>
        <x:v>46699.58195601852</x:v>
      </x:c>
      <x:c r="E108" t="str">
        <x:f>'STOCK_SISTEMA'!E108</x:f>
        <x:v>SF-03/Materiales</x:v>
      </x:c>
      <x:c r="F108" t="str">
        <x:f>'STOCK_SISTEMA'!G108</x:f>
        <x:v>Unidades</x:v>
      </x:c>
      <x:c r="G108" s="28" t="n">
        <x:f>'STOCK_SISTEMA'!F108</x:f>
        <x:v>4500</x:v>
      </x:c>
      <x:c r="H108" s="28" t="n">
        <x:f>SUMIFS('CONTEOS'!$N$2:$N$4000,'CONTEOS'!$F$2:$F$4000,A108,'CONTEOS'!$H$2:$H$4000,C108)</x:f>
        <x:v>0</x:v>
      </x:c>
      <x:c r="I108" s="28" t="n">
        <x:f>H108-G108</x:f>
        <x:v>-4500</x:v>
      </x:c>
      <x:c r="J108" t="str">
        <x:f>IF(COUNTIFS('CONTEOS'!$F$2:$F$4000,A108,'CONTEOS'!$H$2:$H$4000,C108)=0,"PENDIENTE",IF(I108=0,"CUADRA",IF(I108&gt;0,"SOBRANTE","FALTANTE")))</x:f>
        <x:v>PENDIENTE</x:v>
      </x:c>
    </x:row>
    <x:row r="109">
      <x:c r="A109" t="str">
        <x:f>'STOCK_SISTEMA'!A109</x:f>
        <x:v>EE10149</x:v>
      </x:c>
      <x:c r="B109" s="29" t="str">
        <x:f>'STOCK_SISTEMA'!B109</x:f>
        <x:v>[EE10149] LAMINA RIKYTOK SIN IMPRESION PAPAS CONG PEBD 2.5KG</x:v>
      </x:c>
      <x:c r="C109" t="str">
        <x:f>IF('STOCK_SISTEMA'!C109="","",'STOCK_SISTEMA'!C109)</x:f>
        <x:v>INFORME 04/25</x:v>
      </x:c>
      <x:c r="D109" s="27" t="n">
        <x:f>IF('STOCK_SISTEMA'!D109="","",'STOCK_SISTEMA'!D109)</x:f>
        <x:v>46197.47545138889</x:v>
      </x:c>
      <x:c r="E109" t="str">
        <x:f>'STOCK_SISTEMA'!E109</x:f>
        <x:v>SF-03/Materiales</x:v>
      </x:c>
      <x:c r="F109" t="str">
        <x:f>'STOCK_SISTEMA'!G109</x:f>
        <x:v>Kilogramo</x:v>
      </x:c>
      <x:c r="G109" s="28" t="n">
        <x:f>'STOCK_SISTEMA'!F109</x:f>
        <x:v>1534.38</x:v>
      </x:c>
      <x:c r="H109" s="28" t="n">
        <x:f>SUMIFS('CONTEOS'!$N$2:$N$4000,'CONTEOS'!$F$2:$F$4000,A109,'CONTEOS'!$H$2:$H$4000,C109)</x:f>
        <x:v>0</x:v>
      </x:c>
      <x:c r="I109" s="28" t="n">
        <x:f>H109-G109</x:f>
        <x:v>-1534.38</x:v>
      </x:c>
      <x:c r="J109" t="str">
        <x:f>IF(COUNTIFS('CONTEOS'!$F$2:$F$4000,A109,'CONTEOS'!$H$2:$H$4000,C109)=0,"PENDIENTE",IF(I109=0,"CUADRA",IF(I109&gt;0,"SOBRANTE","FALTANTE")))</x:f>
        <x:v>PENDIENTE</x:v>
      </x:c>
    </x:row>
    <x:row r="110">
      <x:c r="A110" t="str">
        <x:f>'STOCK_SISTEMA'!A110</x:f>
        <x:v>EE10145</x:v>
      </x:c>
      <x:c r="B110" s="29" t="str">
        <x:f>'STOCK_SISTEMA'!B110</x:f>
        <x:v>[EE10145] LAMINA TIYAPUY LIMON PIMIENTA 142GR ORG. MEXICO X KG</x:v>
      </x:c>
      <x:c r="C110" t="str">
        <x:f>IF('STOCK_SISTEMA'!C110="","",'STOCK_SISTEMA'!C110)</x:f>
        <x:v>INFORME 07/25</x:v>
      </x:c>
      <x:c r="D110" s="27" t="n">
        <x:f>IF('STOCK_SISTEMA'!D110="","",'STOCK_SISTEMA'!D110)</x:f>
        <x:v>46339.61149305556</x:v>
      </x:c>
      <x:c r="E110" t="str">
        <x:f>'STOCK_SISTEMA'!E110</x:f>
        <x:v>SF-03/Materiales</x:v>
      </x:c>
      <x:c r="F110" t="str">
        <x:f>'STOCK_SISTEMA'!G110</x:f>
        <x:v>Kilogramo</x:v>
      </x:c>
      <x:c r="G110" s="28" t="n">
        <x:f>'STOCK_SISTEMA'!F110</x:f>
        <x:v>38.286</x:v>
      </x:c>
      <x:c r="H110" s="28" t="n">
        <x:f>SUMIFS('CONTEOS'!$N$2:$N$4000,'CONTEOS'!$F$2:$F$4000,A110,'CONTEOS'!$H$2:$H$4000,C110)</x:f>
        <x:v>0</x:v>
      </x:c>
      <x:c r="I110" s="28" t="n">
        <x:f>H110-G110</x:f>
        <x:v>-38.286</x:v>
      </x:c>
      <x:c r="J110" t="str">
        <x:f>IF(COUNTIFS('CONTEOS'!$F$2:$F$4000,A110,'CONTEOS'!$H$2:$H$4000,C110)=0,"PENDIENTE",IF(I110=0,"CUADRA",IF(I110&gt;0,"SOBRANTE","FALTANTE")))</x:f>
        <x:v>PENDIENTE</x:v>
      </x:c>
    </x:row>
    <x:row r="111">
      <x:c r="A111" t="str">
        <x:f>'STOCK_SISTEMA'!A111</x:f>
        <x:v>MP10018</x:v>
      </x:c>
      <x:c r="B111" s="29" t="str">
        <x:f>'STOCK_SISTEMA'!B111</x:f>
        <x:v>[MP10018] SAL YODADA X KG</x:v>
      </x:c>
      <x:c r="C111" t="str">
        <x:f>IF('STOCK_SISTEMA'!C111="","",'STOCK_SISTEMA'!C111)</x:f>
        <x:v>INFORME 05/25</x:v>
      </x:c>
      <x:c r="D111" s="27" t="n">
        <x:f>IF('STOCK_SISTEMA'!D111="","",'STOCK_SISTEMA'!D111)</x:f>
        <x:v>46618.76055555556</x:v>
      </x:c>
      <x:c r="E111" t="str">
        <x:f>'STOCK_SISTEMA'!E111</x:f>
        <x:v>SF-03/Materiales</x:v>
      </x:c>
      <x:c r="F111" t="str">
        <x:f>'STOCK_SISTEMA'!G111</x:f>
        <x:v>Kilogramo</x:v>
      </x:c>
      <x:c r="G111" s="28" t="n">
        <x:f>'STOCK_SISTEMA'!F111</x:f>
        <x:v>577.592</x:v>
      </x:c>
      <x:c r="H111" s="28" t="n">
        <x:f>SUMIFS('CONTEOS'!$N$2:$N$4000,'CONTEOS'!$F$2:$F$4000,A111,'CONTEOS'!$H$2:$H$4000,C111)</x:f>
        <x:v>0</x:v>
      </x:c>
      <x:c r="I111" s="28" t="n">
        <x:f>H111-G111</x:f>
        <x:v>-577.592</x:v>
      </x:c>
      <x:c r="J111" t="str">
        <x:f>IF(COUNTIFS('CONTEOS'!$F$2:$F$4000,A111,'CONTEOS'!$H$2:$H$4000,C111)=0,"PENDIENTE",IF(I111=0,"CUADRA",IF(I111&gt;0,"SOBRANTE","FALTANTE")))</x:f>
        <x:v>PENDIENTE</x:v>
      </x:c>
    </x:row>
    <x:row r="112">
      <x:c r="A112" t="str">
        <x:f>'STOCK_SISTEMA'!A112</x:f>
        <x:v>EE10245</x:v>
      </x:c>
      <x:c r="B112" s="29" t="str">
        <x:f>'STOCK_SISTEMA'!B112</x:f>
        <x:v>[EE10245] STICKER RIPLEY PROMOCIÓN PRECIO P/TUBOS NATIVA MIX 100G</x:v>
      </x:c>
      <x:c r="C112" t="str">
        <x:f>IF('STOCK_SISTEMA'!C112="","",'STOCK_SISTEMA'!C112)</x:f>
        <x:v>INFORME 119/25</x:v>
      </x:c>
      <x:c r="D112" s="27" t="n">
        <x:f>IF('STOCK_SISTEMA'!D112="","",'STOCK_SISTEMA'!D112)</x:f>
        <x:v>46346.78388888889</x:v>
      </x:c>
      <x:c r="E112" t="str">
        <x:f>'STOCK_SISTEMA'!E112</x:f>
        <x:v>SF-03/Materiales</x:v>
      </x:c>
      <x:c r="F112" t="str">
        <x:f>'STOCK_SISTEMA'!G112</x:f>
        <x:v>Unidades</x:v>
      </x:c>
      <x:c r="G112" s="28" t="n">
        <x:f>'STOCK_SISTEMA'!F112</x:f>
        <x:v>3000</x:v>
      </x:c>
      <x:c r="H112" s="28" t="n">
        <x:f>SUMIFS('CONTEOS'!$N$2:$N$4000,'CONTEOS'!$F$2:$F$4000,A112,'CONTEOS'!$H$2:$H$4000,C112)</x:f>
        <x:v>0</x:v>
      </x:c>
      <x:c r="I112" s="28" t="n">
        <x:f>H112-G112</x:f>
        <x:v>-3000</x:v>
      </x:c>
      <x:c r="J112" t="str">
        <x:f>IF(COUNTIFS('CONTEOS'!$F$2:$F$4000,A112,'CONTEOS'!$H$2:$H$4000,C112)=0,"PENDIENTE",IF(I112=0,"CUADRA",IF(I112&gt;0,"SOBRANTE","FALTANTE")))</x:f>
        <x:v>PENDIENTE</x:v>
      </x:c>
    </x:row>
    <x:row r="113">
      <x:c r="A113" t="str">
        <x:f>'STOCK_SISTEMA'!A113</x:f>
        <x:v>EE10006</x:v>
      </x:c>
      <x:c r="B113" s="29" t="str">
        <x:f>'STOCK_SISTEMA'!B113</x:f>
        <x:v>[EE10006] CAJA MASTER TIYAPUY P/TUBO # 6 X UND</x:v>
      </x:c>
      <x:c r="C113" t="str">
        <x:f>IF('STOCK_SISTEMA'!C113="","",'STOCK_SISTEMA'!C113)</x:f>
        <x:v>INFORME 42</x:v>
      </x:c>
      <x:c r="D113" s="27" t="n">
        <x:f>IF('STOCK_SISTEMA'!D113="","",'STOCK_SISTEMA'!D113)</x:f>
        <x:v>46260.53552083333</x:v>
      </x:c>
      <x:c r="E113" t="str">
        <x:f>'STOCK_SISTEMA'!E113</x:f>
        <x:v>SF-03/Materiales</x:v>
      </x:c>
      <x:c r="F113" t="str">
        <x:f>'STOCK_SISTEMA'!G113</x:f>
        <x:v>Unidades</x:v>
      </x:c>
      <x:c r="G113" s="28" t="n">
        <x:f>'STOCK_SISTEMA'!F113</x:f>
        <x:v>1940</x:v>
      </x:c>
      <x:c r="H113" s="28" t="n">
        <x:f>SUMIFS('CONTEOS'!$N$2:$N$4000,'CONTEOS'!$F$2:$F$4000,A113,'CONTEOS'!$H$2:$H$4000,C113)</x:f>
        <x:v>0</x:v>
      </x:c>
      <x:c r="I113" s="28" t="n">
        <x:f>H113-G113</x:f>
        <x:v>-1940</x:v>
      </x:c>
      <x:c r="J113" t="str">
        <x:f>IF(COUNTIFS('CONTEOS'!$F$2:$F$4000,A113,'CONTEOS'!$H$2:$H$4000,C113)=0,"PENDIENTE",IF(I113=0,"CUADRA",IF(I113&gt;0,"SOBRANTE","FALTANTE")))</x:f>
        <x:v>PENDIENTE</x:v>
      </x:c>
    </x:row>
    <x:row r="114">
      <x:c r="A114" t="str">
        <x:f>'STOCK_SISTEMA'!A114</x:f>
        <x:v>EE10161</x:v>
      </x:c>
      <x:c r="B114" s="29" t="str">
        <x:f>'STOCK_SISTEMA'!B114</x:f>
        <x:v>[EE10161] BOLSA TIYAPUY SUPERPACK 160GR X UND</x:v>
      </x:c>
      <x:c r="C114" t="str">
        <x:f>IF('STOCK_SISTEMA'!C114="","",'STOCK_SISTEMA'!C114)</x:f>
        <x:v>LT-SF-AGR</x:v>
      </x:c>
      <x:c r="D114" s="27" t="str">
        <x:f>IF('STOCK_SISTEMA'!D114="","",'STOCK_SISTEMA'!D114)</x:f>
      </x:c>
      <x:c r="E114" t="str">
        <x:f>'STOCK_SISTEMA'!E114</x:f>
        <x:v>SF-03/Materiales</x:v>
      </x:c>
      <x:c r="F114" t="str">
        <x:f>'STOCK_SISTEMA'!G114</x:f>
        <x:v>Millar</x:v>
      </x:c>
      <x:c r="G114" s="28" t="n">
        <x:f>'STOCK_SISTEMA'!F114</x:f>
        <x:v>16</x:v>
      </x:c>
      <x:c r="H114" s="28" t="n">
        <x:f>SUMIFS('CONTEOS'!$N$2:$N$4000,'CONTEOS'!$F$2:$F$4000,A114,'CONTEOS'!$H$2:$H$4000,C114)</x:f>
        <x:v>0</x:v>
      </x:c>
      <x:c r="I114" s="28" t="n">
        <x:f>H114-G114</x:f>
        <x:v>-16</x:v>
      </x:c>
      <x:c r="J114" t="str">
        <x:f>IF(COUNTIFS('CONTEOS'!$F$2:$F$4000,A114,'CONTEOS'!$H$2:$H$4000,C114)=0,"PENDIENTE",IF(I114=0,"CUADRA",IF(I114&gt;0,"SOBRANTE","FALTANTE")))</x:f>
        <x:v>PENDIENTE</x:v>
      </x:c>
    </x:row>
    <x:row r="115">
      <x:c r="A115" t="str">
        <x:f>'STOCK_SISTEMA'!A115</x:f>
        <x:v>EE10053</x:v>
      </x:c>
      <x:c r="B115" s="29" t="str">
        <x:f>'STOCK_SISTEMA'!B115</x:f>
        <x:v>[EE10053] LAMINA RIKY TOK 45GR BASTONCITOS QUESO CHEDDAR X KG</x:v>
      </x:c>
      <x:c r="C115" t="str">
        <x:f>IF('STOCK_SISTEMA'!C115="","",'STOCK_SISTEMA'!C115)</x:f>
        <x:v>INFORME 03/25</x:v>
      </x:c>
      <x:c r="D115" s="27" t="str">
        <x:f>IF('STOCK_SISTEMA'!D115="","",'STOCK_SISTEMA'!D115)</x:f>
      </x:c>
      <x:c r="E115" t="str">
        <x:f>'STOCK_SISTEMA'!E115</x:f>
        <x:v>SF-03/Materiales</x:v>
      </x:c>
      <x:c r="F115" t="str">
        <x:f>'STOCK_SISTEMA'!G115</x:f>
        <x:v>Kilogramo</x:v>
      </x:c>
      <x:c r="G115" s="28" t="n">
        <x:f>'STOCK_SISTEMA'!F115</x:f>
        <x:v>0.03</x:v>
      </x:c>
      <x:c r="H115" s="28" t="n">
        <x:f>SUMIFS('CONTEOS'!$N$2:$N$4000,'CONTEOS'!$F$2:$F$4000,A115,'CONTEOS'!$H$2:$H$4000,C115)</x:f>
        <x:v>0</x:v>
      </x:c>
      <x:c r="I115" s="28" t="n">
        <x:f>H115-G115</x:f>
        <x:v>-0.03</x:v>
      </x:c>
      <x:c r="J115" t="str">
        <x:f>IF(COUNTIFS('CONTEOS'!$F$2:$F$4000,A115,'CONTEOS'!$H$2:$H$4000,C115)=0,"PENDIENTE",IF(I115=0,"CUADRA",IF(I115&gt;0,"SOBRANTE","FALTANTE")))</x:f>
        <x:v>PENDIENTE</x:v>
      </x:c>
    </x:row>
    <x:row r="116">
      <x:c r="A116" t="str">
        <x:f>'STOCK_SISTEMA'!A116</x:f>
        <x:v>MP10048</x:v>
      </x:c>
      <x:c r="B116" s="29" t="str">
        <x:f>'STOCK_SISTEMA'!B116</x:f>
        <x:v>[MP10048] SABOR RIKY TOK BBQ ML NATURAL P-1623 GLM X KG</x:v>
      </x:c>
      <x:c r="C116" t="str">
        <x:f>IF('STOCK_SISTEMA'!C116="","",'STOCK_SISTEMA'!C116)</x:f>
        <x:v>INFORME 09/25</x:v>
      </x:c>
      <x:c r="D116" s="27" t="n">
        <x:f>IF('STOCK_SISTEMA'!D116="","",'STOCK_SISTEMA'!D116)</x:f>
        <x:v>46286.91210648148</x:v>
      </x:c>
      <x:c r="E116" t="str">
        <x:f>'STOCK_SISTEMA'!E116</x:f>
        <x:v>SF-03/Materiales</x:v>
      </x:c>
      <x:c r="F116" t="str">
        <x:f>'STOCK_SISTEMA'!G116</x:f>
        <x:v>Kilogramo</x:v>
      </x:c>
      <x:c r="G116" s="28" t="n">
        <x:f>'STOCK_SISTEMA'!F116</x:f>
        <x:v>669.8167000000001</x:v>
      </x:c>
      <x:c r="H116" s="28" t="n">
        <x:f>SUMIFS('CONTEOS'!$N$2:$N$4000,'CONTEOS'!$F$2:$F$4000,A116,'CONTEOS'!$H$2:$H$4000,C116)</x:f>
        <x:v>0</x:v>
      </x:c>
      <x:c r="I116" s="28" t="n">
        <x:f>H116-G116</x:f>
        <x:v>-669.8167000000001</x:v>
      </x:c>
      <x:c r="J116" t="str">
        <x:f>IF(COUNTIFS('CONTEOS'!$F$2:$F$4000,A116,'CONTEOS'!$H$2:$H$4000,C116)=0,"PENDIENTE",IF(I116=0,"CUADRA",IF(I116&gt;0,"SOBRANTE","FALTANTE")))</x:f>
        <x:v>PENDIENTE</x:v>
      </x:c>
    </x:row>
    <x:row r="117">
      <x:c r="A117" t="str">
        <x:f>'STOCK_SISTEMA'!A117</x:f>
        <x:v>EE10077</x:v>
      </x:c>
      <x:c r="B117" s="29" t="str">
        <x:f>'STOCK_SISTEMA'!B117</x:f>
        <x:v>[EE10077] CINTA C/IMPRESIÓN DUO PACK 1" X 110 YD X ROLLO</x:v>
      </x:c>
      <x:c r="C117" t="str">
        <x:f>IF('STOCK_SISTEMA'!C117="","",'STOCK_SISTEMA'!C117)</x:f>
      </x:c>
      <x:c r="D117" s="27" t="str">
        <x:f>IF('STOCK_SISTEMA'!D117="","",'STOCK_SISTEMA'!D117)</x:f>
      </x:c>
      <x:c r="E117" t="str">
        <x:f>'STOCK_SISTEMA'!E117</x:f>
        <x:v>SF-03/Materiales</x:v>
      </x:c>
      <x:c r="F117" t="str">
        <x:f>'STOCK_SISTEMA'!G117</x:f>
        <x:v>Unidades</x:v>
      </x:c>
      <x:c r="G117" s="28" t="n">
        <x:f>'STOCK_SISTEMA'!F117</x:f>
        <x:v>293</x:v>
      </x:c>
      <x:c r="H117" s="28" t="n">
        <x:f>SUMIFS('CONTEOS'!$N$2:$N$4000,'CONTEOS'!$F$2:$F$4000,A117,'CONTEOS'!$H$2:$H$4000,C117)</x:f>
        <x:v>0</x:v>
      </x:c>
      <x:c r="I117" s="28" t="n">
        <x:f>H117-G117</x:f>
        <x:v>-293</x:v>
      </x:c>
      <x:c r="J117" t="str">
        <x:f>IF(COUNTIFS('CONTEOS'!$F$2:$F$4000,A117,'CONTEOS'!$H$2:$H$4000,C117)=0,"PENDIENTE",IF(I117=0,"CUADRA",IF(I117&gt;0,"SOBRANTE","FALTANTE")))</x:f>
        <x:v>PENDIENTE</x:v>
      </x:c>
    </x:row>
    <x:row r="118">
      <x:c r="A118" t="str">
        <x:f>'STOCK_SISTEMA'!A118</x:f>
        <x:v>EE10149</x:v>
      </x:c>
      <x:c r="B118" s="29" t="str">
        <x:f>'STOCK_SISTEMA'!B118</x:f>
        <x:v>[EE10149] LAMINA RIKYTOK SIN IMPRESION PAPAS CONG PEBD 2.5KG</x:v>
      </x:c>
      <x:c r="C118" t="str">
        <x:f>IF('STOCK_SISTEMA'!C118="","",'STOCK_SISTEMA'!C118)</x:f>
        <x:v>INFORME 06/25</x:v>
      </x:c>
      <x:c r="D118" s="27" t="n">
        <x:f>IF('STOCK_SISTEMA'!D118="","",'STOCK_SISTEMA'!D118)</x:f>
        <x:v>46333.38842592593</x:v>
      </x:c>
      <x:c r="E118" t="str">
        <x:f>'STOCK_SISTEMA'!E118</x:f>
        <x:v>SF-03/Materiales</x:v>
      </x:c>
      <x:c r="F118" t="str">
        <x:f>'STOCK_SISTEMA'!G118</x:f>
        <x:v>Kilogramo</x:v>
      </x:c>
      <x:c r="G118" s="28" t="n">
        <x:f>'STOCK_SISTEMA'!F118</x:f>
        <x:v>1556.97</x:v>
      </x:c>
      <x:c r="H118" s="28" t="n">
        <x:f>SUMIFS('CONTEOS'!$N$2:$N$4000,'CONTEOS'!$F$2:$F$4000,A118,'CONTEOS'!$H$2:$H$4000,C118)</x:f>
        <x:v>0</x:v>
      </x:c>
      <x:c r="I118" s="28" t="n">
        <x:f>H118-G118</x:f>
        <x:v>-1556.97</x:v>
      </x:c>
      <x:c r="J118" t="str">
        <x:f>IF(COUNTIFS('CONTEOS'!$F$2:$F$4000,A118,'CONTEOS'!$H$2:$H$4000,C118)=0,"PENDIENTE",IF(I118=0,"CUADRA",IF(I118&gt;0,"SOBRANTE","FALTANTE")))</x:f>
        <x:v>PENDIENTE</x:v>
      </x:c>
    </x:row>
    <x:row r="119">
      <x:c r="A119" t="str">
        <x:f>'STOCK_SISTEMA'!A119</x:f>
        <x:v>EE10005</x:v>
      </x:c>
      <x:c r="B119" s="29" t="str">
        <x:f>'STOCK_SISTEMA'!B119</x:f>
        <x:v>[EE10005] CAJA MASTER TIYAPUY CAFÉ  # 5 X UND</x:v>
      </x:c>
      <x:c r="C119" t="str">
        <x:f>IF('STOCK_SISTEMA'!C119="","",'STOCK_SISTEMA'!C119)</x:f>
        <x:v>INFORME 16/25</x:v>
      </x:c>
      <x:c r="D119" s="27" t="n">
        <x:f>IF('STOCK_SISTEMA'!D119="","",'STOCK_SISTEMA'!D119)</x:f>
        <x:v>46752.99159722222</x:v>
      </x:c>
      <x:c r="E119" t="str">
        <x:f>'STOCK_SISTEMA'!E119</x:f>
        <x:v>SF-03/Materiales</x:v>
      </x:c>
      <x:c r="F119" t="str">
        <x:f>'STOCK_SISTEMA'!G119</x:f>
        <x:v>Unidades</x:v>
      </x:c>
      <x:c r="G119" s="28" t="n">
        <x:f>'STOCK_SISTEMA'!F119</x:f>
        <x:v>3070</x:v>
      </x:c>
      <x:c r="H119" s="28" t="n">
        <x:f>SUMIFS('CONTEOS'!$N$2:$N$4000,'CONTEOS'!$F$2:$F$4000,A119,'CONTEOS'!$H$2:$H$4000,C119)</x:f>
        <x:v>0</x:v>
      </x:c>
      <x:c r="I119" s="28" t="n">
        <x:f>H119-G119</x:f>
        <x:v>-3070</x:v>
      </x:c>
      <x:c r="J119" t="str">
        <x:f>IF(COUNTIFS('CONTEOS'!$F$2:$F$4000,A119,'CONTEOS'!$H$2:$H$4000,C119)=0,"PENDIENTE",IF(I119=0,"CUADRA",IF(I119&gt;0,"SOBRANTE","FALTANTE")))</x:f>
        <x:v>PENDIENTE</x:v>
      </x:c>
    </x:row>
    <x:row r="120">
      <x:c r="A120" t="str">
        <x:f>'STOCK_SISTEMA'!A120</x:f>
        <x:v>EE10239</x:v>
      </x:c>
      <x:c r="B120" s="29" t="str">
        <x:f>'STOCK_SISTEMA'!B120</x:f>
        <x:v>[EE10239] ETIQUETA LAMAR 120 GRAMOS (NATIVA MIX) USA</x:v>
      </x:c>
      <x:c r="C120" t="str">
        <x:f>IF('STOCK_SISTEMA'!C120="","",'STOCK_SISTEMA'!C120)</x:f>
        <x:v>INFORME 114/25</x:v>
      </x:c>
      <x:c r="D120" s="27" t="n">
        <x:f>IF('STOCK_SISTEMA'!D120="","",'STOCK_SISTEMA'!D120)</x:f>
        <x:v>46305.84133101852</x:v>
      </x:c>
      <x:c r="E120" t="str">
        <x:f>'STOCK_SISTEMA'!E120</x:f>
        <x:v>SF-03/Materiales</x:v>
      </x:c>
      <x:c r="F120" t="str">
        <x:f>'STOCK_SISTEMA'!G120</x:f>
        <x:v>Unidades</x:v>
      </x:c>
      <x:c r="G120" s="28" t="n">
        <x:f>'STOCK_SISTEMA'!F120</x:f>
        <x:v>341</x:v>
      </x:c>
      <x:c r="H120" s="28" t="n">
        <x:f>SUMIFS('CONTEOS'!$N$2:$N$4000,'CONTEOS'!$F$2:$F$4000,A120,'CONTEOS'!$H$2:$H$4000,C120)</x:f>
        <x:v>0</x:v>
      </x:c>
      <x:c r="I120" s="28" t="n">
        <x:f>H120-G120</x:f>
        <x:v>-341</x:v>
      </x:c>
      <x:c r="J120" t="str">
        <x:f>IF(COUNTIFS('CONTEOS'!$F$2:$F$4000,A120,'CONTEOS'!$H$2:$H$4000,C120)=0,"PENDIENTE",IF(I120=0,"CUADRA",IF(I120&gt;0,"SOBRANTE","FALTANTE")))</x:f>
        <x:v>PENDIENTE</x:v>
      </x:c>
    </x:row>
    <x:row r="121">
      <x:c r="A121" t="str">
        <x:f>'STOCK_SISTEMA'!A121</x:f>
        <x:v>EE10227</x:v>
      </x:c>
      <x:c r="B121" s="29" t="str">
        <x:f>'STOCK_SISTEMA'!B121</x:f>
        <x:v>[EE10227] ETIQUETA CELESTE CAJA (PREFRITA 10 mm) TT-50MMx100MM 1C-T1x1000</x:v>
      </x:c>
      <x:c r="C121" t="str">
        <x:f>IF('STOCK_SISTEMA'!C121="","",'STOCK_SISTEMA'!C121)</x:f>
        <x:v>INFORME 01</x:v>
      </x:c>
      <x:c r="D121" s="27" t="n">
        <x:f>IF('STOCK_SISTEMA'!D121="","",'STOCK_SISTEMA'!D121)</x:f>
        <x:v>46387.65543981481</x:v>
      </x:c>
      <x:c r="E121" t="str">
        <x:f>'STOCK_SISTEMA'!E121</x:f>
        <x:v>SF-03/Materiales</x:v>
      </x:c>
      <x:c r="F121" t="str">
        <x:f>'STOCK_SISTEMA'!G121</x:f>
        <x:v>Unidades</x:v>
      </x:c>
      <x:c r="G121" s="28" t="n">
        <x:f>'STOCK_SISTEMA'!F121</x:f>
        <x:v>16400</x:v>
      </x:c>
      <x:c r="H121" s="28" t="n">
        <x:f>SUMIFS('CONTEOS'!$N$2:$N$4000,'CONTEOS'!$F$2:$F$4000,A121,'CONTEOS'!$H$2:$H$4000,C121)</x:f>
        <x:v>0</x:v>
      </x:c>
      <x:c r="I121" s="28" t="n">
        <x:f>H121-G121</x:f>
        <x:v>-16400</x:v>
      </x:c>
      <x:c r="J121" t="str">
        <x:f>IF(COUNTIFS('CONTEOS'!$F$2:$F$4000,A121,'CONTEOS'!$H$2:$H$4000,C121)=0,"PENDIENTE",IF(I121=0,"CUADRA",IF(I121&gt;0,"SOBRANTE","FALTANTE")))</x:f>
        <x:v>PENDIENTE</x:v>
      </x:c>
    </x:row>
    <x:row r="122">
      <x:c r="A122" t="str">
        <x:f>'STOCK_SISTEMA'!A122</x:f>
        <x:v>EE10228</x:v>
      </x:c>
      <x:c r="B122" s="29" t="str">
        <x:f>'STOCK_SISTEMA'!B122</x:f>
        <x:v>[EE10228] LAMINA RIKY TOK 70 G ONDA NATURAL X KG</x:v>
      </x:c>
      <x:c r="C122" t="str">
        <x:f>IF('STOCK_SISTEMA'!C122="","",'STOCK_SISTEMA'!C122)</x:f>
        <x:v>INFORME 01/25</x:v>
      </x:c>
      <x:c r="D122" s="27" t="n">
        <x:f>IF('STOCK_SISTEMA'!D122="","",'STOCK_SISTEMA'!D122)</x:f>
        <x:v>46355.69598379629</x:v>
      </x:c>
      <x:c r="E122" t="str">
        <x:f>'STOCK_SISTEMA'!E122</x:f>
        <x:v>SF-03/Materiales</x:v>
      </x:c>
      <x:c r="F122" t="str">
        <x:f>'STOCK_SISTEMA'!G122</x:f>
        <x:v>Kilogramo</x:v>
      </x:c>
      <x:c r="G122" s="28" t="n">
        <x:f>'STOCK_SISTEMA'!F122</x:f>
        <x:v>19.087</x:v>
      </x:c>
      <x:c r="H122" s="28" t="n">
        <x:f>SUMIFS('CONTEOS'!$N$2:$N$4000,'CONTEOS'!$F$2:$F$4000,A122,'CONTEOS'!$H$2:$H$4000,C122)</x:f>
        <x:v>0</x:v>
      </x:c>
      <x:c r="I122" s="28" t="n">
        <x:f>H122-G122</x:f>
        <x:v>-19.087</x:v>
      </x:c>
      <x:c r="J122" t="str">
        <x:f>IF(COUNTIFS('CONTEOS'!$F$2:$F$4000,A122,'CONTEOS'!$H$2:$H$4000,C122)=0,"PENDIENTE",IF(I122=0,"CUADRA",IF(I122&gt;0,"SOBRANTE","FALTANTE")))</x:f>
        <x:v>PENDIENTE</x:v>
      </x:c>
    </x:row>
    <x:row r="123">
      <x:c r="A123" t="str">
        <x:f>'STOCK_SISTEMA'!A123</x:f>
        <x:v>EE10231</x:v>
      </x:c>
      <x:c r="B123" s="29" t="str">
        <x:f>'STOCK_SISTEMA'!B123</x:f>
        <x:v>[EE10231] LAMINA RIKY TOK 70 G ONDA JALAPEÑO X KG</x:v>
      </x:c>
      <x:c r="C123" t="str">
        <x:f>IF('STOCK_SISTEMA'!C123="","",'STOCK_SISTEMA'!C123)</x:f>
        <x:v>INFORME 01/25</x:v>
      </x:c>
      <x:c r="D123" s="27" t="n">
        <x:f>IF('STOCK_SISTEMA'!D123="","",'STOCK_SISTEMA'!D123)</x:f>
        <x:v>46355.69760416666</x:v>
      </x:c>
      <x:c r="E123" t="str">
        <x:f>'STOCK_SISTEMA'!E123</x:f>
        <x:v>SF-03/Materiales</x:v>
      </x:c>
      <x:c r="F123" t="str">
        <x:f>'STOCK_SISTEMA'!G123</x:f>
        <x:v>Kilogramo</x:v>
      </x:c>
      <x:c r="G123" s="28" t="n">
        <x:f>'STOCK_SISTEMA'!F123</x:f>
        <x:v>119.5</x:v>
      </x:c>
      <x:c r="H123" s="28" t="n">
        <x:f>SUMIFS('CONTEOS'!$N$2:$N$4000,'CONTEOS'!$F$2:$F$4000,A123,'CONTEOS'!$H$2:$H$4000,C123)</x:f>
        <x:v>0</x:v>
      </x:c>
      <x:c r="I123" s="28" t="n">
        <x:f>H123-G123</x:f>
        <x:v>-119.5</x:v>
      </x:c>
      <x:c r="J123" t="str">
        <x:f>IF(COUNTIFS('CONTEOS'!$F$2:$F$4000,A123,'CONTEOS'!$H$2:$H$4000,C123)=0,"PENDIENTE",IF(I123=0,"CUADRA",IF(I123&gt;0,"SOBRANTE","FALTANTE")))</x:f>
        <x:v>PENDIENTE</x:v>
      </x:c>
    </x:row>
    <x:row r="124">
      <x:c r="A124" t="str">
        <x:f>'STOCK_SISTEMA'!A124</x:f>
        <x:v>EE10248</x:v>
      </x:c>
      <x:c r="B124" s="29" t="str">
        <x:f>'STOCK_SISTEMA'!B124</x:f>
        <x:v>[EE10248] PAPEL ABSORBENTE PARA LATA 400g</x:v>
      </x:c>
      <x:c r="C124" t="str">
        <x:f>IF('STOCK_SISTEMA'!C124="","",'STOCK_SISTEMA'!C124)</x:f>
        <x:v>INFORME 01/25</x:v>
      </x:c>
      <x:c r="D124" s="27" t="n">
        <x:f>IF('STOCK_SISTEMA'!D124="","",'STOCK_SISTEMA'!D124)</x:f>
        <x:v>46373.70059027777</x:v>
      </x:c>
      <x:c r="E124" t="str">
        <x:f>'STOCK_SISTEMA'!E124</x:f>
        <x:v>SF-03/Materiales</x:v>
      </x:c>
      <x:c r="F124" t="str">
        <x:f>'STOCK_SISTEMA'!G124</x:f>
        <x:v>Unidades</x:v>
      </x:c>
      <x:c r="G124" s="28" t="n">
        <x:f>'STOCK_SISTEMA'!F124</x:f>
        <x:v>4000</x:v>
      </x:c>
      <x:c r="H124" s="28" t="n">
        <x:f>SUMIFS('CONTEOS'!$N$2:$N$4000,'CONTEOS'!$F$2:$F$4000,A124,'CONTEOS'!$H$2:$H$4000,C124)</x:f>
        <x:v>0</x:v>
      </x:c>
      <x:c r="I124" s="28" t="n">
        <x:f>H124-G124</x:f>
        <x:v>-4000</x:v>
      </x:c>
      <x:c r="J124" t="str">
        <x:f>IF(COUNTIFS('CONTEOS'!$F$2:$F$4000,A124,'CONTEOS'!$H$2:$H$4000,C124)=0,"PENDIENTE",IF(I124=0,"CUADRA",IF(I124&gt;0,"SOBRANTE","FALTANTE")))</x:f>
        <x:v>PENDIENTE</x:v>
      </x:c>
    </x:row>
    <x:row r="125">
      <x:c r="A125" t="str">
        <x:f>'STOCK_SISTEMA'!A125</x:f>
        <x:v>EE10232</x:v>
      </x:c>
      <x:c r="B125" s="29" t="str">
        <x:f>'STOCK_SISTEMA'!B125</x:f>
        <x:v>[EE10232] LAMINA TIYAPUY NATIVA MIX 20G X KG</x:v>
      </x:c>
      <x:c r="C125" t="str">
        <x:f>IF('STOCK_SISTEMA'!C125="","",'STOCK_SISTEMA'!C125)</x:f>
        <x:v>INFORME 24/25</x:v>
      </x:c>
      <x:c r="D125" s="27" t="n">
        <x:f>IF('STOCK_SISTEMA'!D125="","",'STOCK_SISTEMA'!D125)</x:f>
        <x:v>46367.22716435185</x:v>
      </x:c>
      <x:c r="E125" t="str">
        <x:f>'STOCK_SISTEMA'!E125</x:f>
        <x:v>SF-03/Materiales</x:v>
      </x:c>
      <x:c r="F125" t="str">
        <x:f>'STOCK_SISTEMA'!G125</x:f>
        <x:v>Kilogramo</x:v>
      </x:c>
      <x:c r="G125" s="28" t="n">
        <x:f>'STOCK_SISTEMA'!F125</x:f>
        <x:v>23.65</x:v>
      </x:c>
      <x:c r="H125" s="28" t="n">
        <x:f>SUMIFS('CONTEOS'!$N$2:$N$4000,'CONTEOS'!$F$2:$F$4000,A125,'CONTEOS'!$H$2:$H$4000,C125)</x:f>
        <x:v>0</x:v>
      </x:c>
      <x:c r="I125" s="28" t="n">
        <x:f>H125-G125</x:f>
        <x:v>-23.65</x:v>
      </x:c>
      <x:c r="J125" t="str">
        <x:f>IF(COUNTIFS('CONTEOS'!$F$2:$F$4000,A125,'CONTEOS'!$H$2:$H$4000,C125)=0,"PENDIENTE",IF(I125=0,"CUADRA",IF(I125&gt;0,"SOBRANTE","FALTANTE")))</x:f>
        <x:v>PENDIENTE</x:v>
      </x:c>
    </x:row>
    <x:row r="126">
      <x:c r="A126" t="str">
        <x:f>'STOCK_SISTEMA'!A126</x:f>
        <x:v>EE10185</x:v>
      </x:c>
      <x:c r="B126" s="29" t="str">
        <x:f>'STOCK_SISTEMA'!B126</x:f>
        <x:v>[EE10185] LAMINA JAPPY ONDA PICANTE 200G X KG</x:v>
      </x:c>
      <x:c r="C126" t="str">
        <x:f>IF('STOCK_SISTEMA'!C126="","",'STOCK_SISTEMA'!C126)</x:f>
        <x:v>INFORME 14/25</x:v>
      </x:c>
      <x:c r="D126" s="27" t="n">
        <x:f>IF('STOCK_SISTEMA'!D126="","",'STOCK_SISTEMA'!D126)</x:f>
        <x:v>46376.69924768519</x:v>
      </x:c>
      <x:c r="E126" t="str">
        <x:f>'STOCK_SISTEMA'!E126</x:f>
        <x:v>SF-03/Materiales</x:v>
      </x:c>
      <x:c r="F126" t="str">
        <x:f>'STOCK_SISTEMA'!G126</x:f>
        <x:v>Kilogramo</x:v>
      </x:c>
      <x:c r="G126" s="28" t="n">
        <x:f>'STOCK_SISTEMA'!F126</x:f>
        <x:v>283</x:v>
      </x:c>
      <x:c r="H126" s="28" t="n">
        <x:f>SUMIFS('CONTEOS'!$N$2:$N$4000,'CONTEOS'!$F$2:$F$4000,A126,'CONTEOS'!$H$2:$H$4000,C126)</x:f>
        <x:v>0</x:v>
      </x:c>
      <x:c r="I126" s="28" t="n">
        <x:f>H126-G126</x:f>
        <x:v>-283</x:v>
      </x:c>
      <x:c r="J126" t="str">
        <x:f>IF(COUNTIFS('CONTEOS'!$F$2:$F$4000,A126,'CONTEOS'!$H$2:$H$4000,C126)=0,"PENDIENTE",IF(I126=0,"CUADRA",IF(I126&gt;0,"SOBRANTE","FALTANTE")))</x:f>
        <x:v>PENDIENTE</x:v>
      </x:c>
    </x:row>
    <x:row r="127">
      <x:c r="A127" t="str">
        <x:f>'STOCK_SISTEMA'!A127</x:f>
        <x:v>EE10166</x:v>
      </x:c>
      <x:c r="B127" s="29" t="str">
        <x:f>'STOCK_SISTEMA'!B127</x:f>
        <x:v>[EE10166] LAMINA TIYAPUY NATIVA MIX 40G ESPAÑA X KG</x:v>
      </x:c>
      <x:c r="C127" t="str">
        <x:f>IF('STOCK_SISTEMA'!C127="","",'STOCK_SISTEMA'!C127)</x:f>
        <x:v>INFORME 25/25</x:v>
      </x:c>
      <x:c r="D127" s="27" t="n">
        <x:f>IF('STOCK_SISTEMA'!D127="","",'STOCK_SISTEMA'!D127)</x:f>
        <x:v>46367.70219907408</x:v>
      </x:c>
      <x:c r="E127" t="str">
        <x:f>'STOCK_SISTEMA'!E127</x:f>
        <x:v>SF-03/Materiales</x:v>
      </x:c>
      <x:c r="F127" t="str">
        <x:f>'STOCK_SISTEMA'!G127</x:f>
        <x:v>Kilogramo</x:v>
      </x:c>
      <x:c r="G127" s="28" t="n">
        <x:f>'STOCK_SISTEMA'!F127</x:f>
        <x:v>423.55</x:v>
      </x:c>
      <x:c r="H127" s="28" t="n">
        <x:f>SUMIFS('CONTEOS'!$N$2:$N$4000,'CONTEOS'!$F$2:$F$4000,A127,'CONTEOS'!$H$2:$H$4000,C127)</x:f>
        <x:v>0</x:v>
      </x:c>
      <x:c r="I127" s="28" t="n">
        <x:f>H127-G127</x:f>
        <x:v>-423.55</x:v>
      </x:c>
      <x:c r="J127" t="str">
        <x:f>IF(COUNTIFS('CONTEOS'!$F$2:$F$4000,A127,'CONTEOS'!$H$2:$H$4000,C127)=0,"PENDIENTE",IF(I127=0,"CUADRA",IF(I127&gt;0,"SOBRANTE","FALTANTE")))</x:f>
        <x:v>PENDIENTE</x:v>
      </x:c>
    </x:row>
    <x:row r="128">
      <x:c r="A128" t="str">
        <x:f>'STOCK_SISTEMA'!A128</x:f>
        <x:v>EE10096</x:v>
      </x:c>
      <x:c r="B128" s="29" t="str">
        <x:f>'STOCK_SISTEMA'!B128</x:f>
        <x:v>[EE10096] CAJA MASTER C/LOGO # 12 CONGELADOS 25X38.5X26</x:v>
      </x:c>
      <x:c r="C128" t="str">
        <x:f>IF('STOCK_SISTEMA'!C128="","",'STOCK_SISTEMA'!C128)</x:f>
        <x:v>INFORME 10/25</x:v>
      </x:c>
      <x:c r="D128" s="27" t="n">
        <x:f>IF('STOCK_SISTEMA'!D128="","",'STOCK_SISTEMA'!D128)</x:f>
        <x:v>46376.47387731481</x:v>
      </x:c>
      <x:c r="E128" t="str">
        <x:f>'STOCK_SISTEMA'!E128</x:f>
        <x:v>SF-03/Materiales</x:v>
      </x:c>
      <x:c r="F128" t="str">
        <x:f>'STOCK_SISTEMA'!G128</x:f>
        <x:v>Unidades</x:v>
      </x:c>
      <x:c r="G128" s="28" t="n">
        <x:f>'STOCK_SISTEMA'!F128</x:f>
        <x:v>525</x:v>
      </x:c>
      <x:c r="H128" s="28" t="n">
        <x:f>SUMIFS('CONTEOS'!$N$2:$N$4000,'CONTEOS'!$F$2:$F$4000,A128,'CONTEOS'!$H$2:$H$4000,C128)</x:f>
        <x:v>0</x:v>
      </x:c>
      <x:c r="I128" s="28" t="n">
        <x:f>H128-G128</x:f>
        <x:v>-525</x:v>
      </x:c>
      <x:c r="J128" t="str">
        <x:f>IF(COUNTIFS('CONTEOS'!$F$2:$F$4000,A128,'CONTEOS'!$H$2:$H$4000,C128)=0,"PENDIENTE",IF(I128=0,"CUADRA",IF(I128&gt;0,"SOBRANTE","FALTANTE")))</x:f>
        <x:v>PENDIENTE</x:v>
      </x:c>
    </x:row>
    <x:row r="129">
      <x:c r="A129" t="str">
        <x:f>'STOCK_SISTEMA'!A129</x:f>
        <x:v>EE10096</x:v>
      </x:c>
      <x:c r="B129" s="29" t="str">
        <x:f>'STOCK_SISTEMA'!B129</x:f>
        <x:v>[EE10096] CAJA MASTER C/LOGO # 12 CONGELADOS 25X38.5X26</x:v>
      </x:c>
      <x:c r="C129" t="str">
        <x:f>IF('STOCK_SISTEMA'!C129="","",'STOCK_SISTEMA'!C129)</x:f>
        <x:v>INFORME 11/25</x:v>
      </x:c>
      <x:c r="D129" s="27" t="n">
        <x:f>IF('STOCK_SISTEMA'!D129="","",'STOCK_SISTEMA'!D129)</x:f>
        <x:v>46374.47560185185</x:v>
      </x:c>
      <x:c r="E129" t="str">
        <x:f>'STOCK_SISTEMA'!E129</x:f>
        <x:v>SF-03/Materiales</x:v>
      </x:c>
      <x:c r="F129" t="str">
        <x:f>'STOCK_SISTEMA'!G129</x:f>
        <x:v>Unidades</x:v>
      </x:c>
      <x:c r="G129" s="28" t="n">
        <x:f>'STOCK_SISTEMA'!F129</x:f>
        <x:v>5000</x:v>
      </x:c>
      <x:c r="H129" s="28" t="n">
        <x:f>SUMIFS('CONTEOS'!$N$2:$N$4000,'CONTEOS'!$F$2:$F$4000,A129,'CONTEOS'!$H$2:$H$4000,C129)</x:f>
        <x:v>0</x:v>
      </x:c>
      <x:c r="I129" s="28" t="n">
        <x:f>H129-G129</x:f>
        <x:v>-5000</x:v>
      </x:c>
      <x:c r="J129" t="str">
        <x:f>IF(COUNTIFS('CONTEOS'!$F$2:$F$4000,A129,'CONTEOS'!$H$2:$H$4000,C129)=0,"PENDIENTE",IF(I129=0,"CUADRA",IF(I129&gt;0,"SOBRANTE","FALTANTE")))</x:f>
        <x:v>PENDIENTE</x:v>
      </x:c>
    </x:row>
    <x:row r="130">
      <x:c r="A130" t="str">
        <x:f>'STOCK_SISTEMA'!A130</x:f>
        <x:v>EE10117</x:v>
      </x:c>
      <x:c r="B130" s="29" t="str">
        <x:f>'STOCK_SISTEMA'!B130</x:f>
        <x:v>[EE10117] LAMINA TIYAPUY JALAPEÑO 30GR X KG</x:v>
      </x:c>
      <x:c r="C130" t="str">
        <x:f>IF('STOCK_SISTEMA'!C130="","",'STOCK_SISTEMA'!C130)</x:f>
        <x:v>INFORME 04/25</x:v>
      </x:c>
      <x:c r="D130" s="27" t="n">
        <x:f>IF('STOCK_SISTEMA'!D130="","",'STOCK_SISTEMA'!D130)</x:f>
        <x:v>45959.74798611111</x:v>
      </x:c>
      <x:c r="E130" t="str">
        <x:f>'STOCK_SISTEMA'!E130</x:f>
        <x:v>SF-03/Materiales</x:v>
      </x:c>
      <x:c r="F130" t="str">
        <x:f>'STOCK_SISTEMA'!G130</x:f>
        <x:v>Kilogramo</x:v>
      </x:c>
      <x:c r="G130" s="28" t="n">
        <x:f>'STOCK_SISTEMA'!F130</x:f>
        <x:v>702.76</x:v>
      </x:c>
      <x:c r="H130" s="28" t="n">
        <x:f>SUMIFS('CONTEOS'!$N$2:$N$4000,'CONTEOS'!$F$2:$F$4000,A130,'CONTEOS'!$H$2:$H$4000,C130)</x:f>
        <x:v>0</x:v>
      </x:c>
      <x:c r="I130" s="28" t="n">
        <x:f>H130-G130</x:f>
        <x:v>-702.76</x:v>
      </x:c>
      <x:c r="J130" t="str">
        <x:f>IF(COUNTIFS('CONTEOS'!$F$2:$F$4000,A130,'CONTEOS'!$H$2:$H$4000,C130)=0,"PENDIENTE",IF(I130=0,"CUADRA",IF(I130&gt;0,"SOBRANTE","FALTANTE")))</x:f>
        <x:v>PENDIENTE</x:v>
      </x:c>
    </x:row>
    <x:row r="131">
      <x:c r="A131" t="str">
        <x:f>'STOCK_SISTEMA'!A131</x:f>
        <x:v>EE10212</x:v>
      </x:c>
      <x:c r="B131" s="29" t="str">
        <x:f>'STOCK_SISTEMA'!B131</x:f>
        <x:v>[EE10212] LAMINA TOTTUS  BBQ 130G X KG</x:v>
      </x:c>
      <x:c r="C131" t="str">
        <x:f>IF('STOCK_SISTEMA'!C131="","",'STOCK_SISTEMA'!C131)</x:f>
        <x:v>INFORME 01/26</x:v>
      </x:c>
      <x:c r="D131" s="27" t="n">
        <x:f>IF('STOCK_SISTEMA'!D131="","",'STOCK_SISTEMA'!D131)</x:f>
        <x:v>46401.35895833333</x:v>
      </x:c>
      <x:c r="E131" t="str">
        <x:f>'STOCK_SISTEMA'!E131</x:f>
        <x:v>SF-03/Materiales</x:v>
      </x:c>
      <x:c r="F131" t="str">
        <x:f>'STOCK_SISTEMA'!G131</x:f>
        <x:v>Kilogramo</x:v>
      </x:c>
      <x:c r="G131" s="28" t="n">
        <x:f>'STOCK_SISTEMA'!F131</x:f>
        <x:v>7.512</x:v>
      </x:c>
      <x:c r="H131" s="28" t="n">
        <x:f>SUMIFS('CONTEOS'!$N$2:$N$4000,'CONTEOS'!$F$2:$F$4000,A131,'CONTEOS'!$H$2:$H$4000,C131)</x:f>
        <x:v>0</x:v>
      </x:c>
      <x:c r="I131" s="28" t="n">
        <x:f>H131-G131</x:f>
        <x:v>-7.512</x:v>
      </x:c>
      <x:c r="J131" t="str">
        <x:f>IF(COUNTIFS('CONTEOS'!$F$2:$F$4000,A131,'CONTEOS'!$H$2:$H$4000,C131)=0,"PENDIENTE",IF(I131=0,"CUADRA",IF(I131&gt;0,"SOBRANTE","FALTANTE")))</x:f>
        <x:v>PENDIENTE</x:v>
      </x:c>
    </x:row>
    <x:row r="132">
      <x:c r="A132" t="str">
        <x:f>'STOCK_SISTEMA'!A132</x:f>
        <x:v>EE10057</x:v>
      </x:c>
      <x:c r="B132" s="29" t="str">
        <x:f>'STOCK_SISTEMA'!B132</x:f>
        <x:v>[EE10057] BOLSA TIYAPUY PACK LONCHERA X UND</x:v>
      </x:c>
      <x:c r="C132" t="str">
        <x:f>IF('STOCK_SISTEMA'!C132="","",'STOCK_SISTEMA'!C132)</x:f>
        <x:v>INFORME  01/26</x:v>
      </x:c>
      <x:c r="D132" s="27" t="str">
        <x:f>IF('STOCK_SISTEMA'!D132="","",'STOCK_SISTEMA'!D132)</x:f>
      </x:c>
      <x:c r="E132" t="str">
        <x:f>'STOCK_SISTEMA'!E132</x:f>
        <x:v>SF-03/Materiales</x:v>
      </x:c>
      <x:c r="F132" t="str">
        <x:f>'STOCK_SISTEMA'!G132</x:f>
        <x:v>Unidades</x:v>
      </x:c>
      <x:c r="G132" s="28" t="n">
        <x:f>'STOCK_SISTEMA'!F132</x:f>
        <x:v>9800</x:v>
      </x:c>
      <x:c r="H132" s="28" t="n">
        <x:f>SUMIFS('CONTEOS'!$N$2:$N$4000,'CONTEOS'!$F$2:$F$4000,A132,'CONTEOS'!$H$2:$H$4000,C132)</x:f>
        <x:v>0</x:v>
      </x:c>
      <x:c r="I132" s="28" t="n">
        <x:f>H132-G132</x:f>
        <x:v>-9800</x:v>
      </x:c>
      <x:c r="J132" t="str">
        <x:f>IF(COUNTIFS('CONTEOS'!$F$2:$F$4000,A132,'CONTEOS'!$H$2:$H$4000,C132)=0,"PENDIENTE",IF(I132=0,"CUADRA",IF(I132&gt;0,"SOBRANTE","FALTANTE")))</x:f>
        <x:v>PENDIENTE</x:v>
      </x:c>
    </x:row>
    <x:row r="133">
      <x:c r="A133" t="str">
        <x:f>'STOCK_SISTEMA'!A133</x:f>
        <x:v>EE10160</x:v>
      </x:c>
      <x:c r="B133" s="29" t="str">
        <x:f>'STOCK_SISTEMA'!B133</x:f>
        <x:v>[EE10160] CAJA MASTER RIKY TOK S/LOGO # 9 X UND</x:v>
      </x:c>
      <x:c r="C133" t="str">
        <x:f>IF('STOCK_SISTEMA'!C133="","",'STOCK_SISTEMA'!C133)</x:f>
        <x:v>INFORME 01/26</x:v>
      </x:c>
      <x:c r="D133" s="27" t="n">
        <x:f>IF('STOCK_SISTEMA'!D133="","",'STOCK_SISTEMA'!D133)</x:f>
        <x:v>46407.59181712963</x:v>
      </x:c>
      <x:c r="E133" t="str">
        <x:f>'STOCK_SISTEMA'!E133</x:f>
        <x:v>SF-03/Materiales</x:v>
      </x:c>
      <x:c r="F133" t="str">
        <x:f>'STOCK_SISTEMA'!G133</x:f>
        <x:v>Unidades</x:v>
      </x:c>
      <x:c r="G133" s="28" t="n">
        <x:f>'STOCK_SISTEMA'!F133</x:f>
        <x:v>13</x:v>
      </x:c>
      <x:c r="H133" s="28" t="n">
        <x:f>SUMIFS('CONTEOS'!$N$2:$N$4000,'CONTEOS'!$F$2:$F$4000,A133,'CONTEOS'!$H$2:$H$4000,C133)</x:f>
        <x:v>0</x:v>
      </x:c>
      <x:c r="I133" s="28" t="n">
        <x:f>H133-G133</x:f>
        <x:v>-13</x:v>
      </x:c>
      <x:c r="J133" t="str">
        <x:f>IF(COUNTIFS('CONTEOS'!$F$2:$F$4000,A133,'CONTEOS'!$H$2:$H$4000,C133)=0,"PENDIENTE",IF(I133=0,"CUADRA",IF(I133&gt;0,"SOBRANTE","FALTANTE")))</x:f>
        <x:v>PENDIENTE</x:v>
      </x:c>
    </x:row>
    <x:row r="134">
      <x:c r="A134" t="str">
        <x:f>'STOCK_SISTEMA'!A134</x:f>
        <x:v>EE10255</x:v>
      </x:c>
      <x:c r="B134" s="29" t="str">
        <x:f>'STOCK_SISTEMA'!B134</x:f>
        <x:v>[EE10255] ETIQUETA TEXTOS LEGALES LIMON PIMIENTA 142g USA</x:v>
      </x:c>
      <x:c r="C134" t="str">
        <x:f>IF('STOCK_SISTEMA'!C134="","",'STOCK_SISTEMA'!C134)</x:f>
        <x:v>INFORME 01/26</x:v>
      </x:c>
      <x:c r="D134" s="27" t="n">
        <x:f>IF('STOCK_SISTEMA'!D134="","",'STOCK_SISTEMA'!D134)</x:f>
        <x:v>46388.49923611111</x:v>
      </x:c>
      <x:c r="E134" t="str">
        <x:f>'STOCK_SISTEMA'!E134</x:f>
        <x:v>SF-03/Materiales</x:v>
      </x:c>
      <x:c r="F134" t="str">
        <x:f>'STOCK_SISTEMA'!G134</x:f>
        <x:v>Unidades</x:v>
      </x:c>
      <x:c r="G134" s="28" t="n">
        <x:f>'STOCK_SISTEMA'!F134</x:f>
        <x:v>900</x:v>
      </x:c>
      <x:c r="H134" s="28" t="n">
        <x:f>SUMIFS('CONTEOS'!$N$2:$N$4000,'CONTEOS'!$F$2:$F$4000,A134,'CONTEOS'!$H$2:$H$4000,C134)</x:f>
        <x:v>0</x:v>
      </x:c>
      <x:c r="I134" s="28" t="n">
        <x:f>H134-G134</x:f>
        <x:v>-900</x:v>
      </x:c>
      <x:c r="J134" t="str">
        <x:f>IF(COUNTIFS('CONTEOS'!$F$2:$F$4000,A134,'CONTEOS'!$H$2:$H$4000,C134)=0,"PENDIENTE",IF(I134=0,"CUADRA",IF(I134&gt;0,"SOBRANTE","FALTANTE")))</x:f>
        <x:v>PENDIENTE</x:v>
      </x:c>
    </x:row>
    <x:row r="135">
      <x:c r="A135" t="str">
        <x:f>'STOCK_SISTEMA'!A135</x:f>
        <x:v>EE10254</x:v>
      </x:c>
      <x:c r="B135" s="29" t="str">
        <x:f>'STOCK_SISTEMA'!B135</x:f>
        <x:v>[EE10254] ETIQUETA TEXTOS LEGALES JALAPEÑO 142g USA</x:v>
      </x:c>
      <x:c r="C135" t="str">
        <x:f>IF('STOCK_SISTEMA'!C135="","",'STOCK_SISTEMA'!C135)</x:f>
        <x:v>INFORME 01/26</x:v>
      </x:c>
      <x:c r="D135" s="27" t="n">
        <x:f>IF('STOCK_SISTEMA'!D135="","",'STOCK_SISTEMA'!D135)</x:f>
        <x:v>46388.49950231481</x:v>
      </x:c>
      <x:c r="E135" t="str">
        <x:f>'STOCK_SISTEMA'!E135</x:f>
        <x:v>SF-03/Materiales</x:v>
      </x:c>
      <x:c r="F135" t="str">
        <x:f>'STOCK_SISTEMA'!G135</x:f>
        <x:v>Unidades</x:v>
      </x:c>
      <x:c r="G135" s="28" t="n">
        <x:f>'STOCK_SISTEMA'!F135</x:f>
        <x:v>900</x:v>
      </x:c>
      <x:c r="H135" s="28" t="n">
        <x:f>SUMIFS('CONTEOS'!$N$2:$N$4000,'CONTEOS'!$F$2:$F$4000,A135,'CONTEOS'!$H$2:$H$4000,C135)</x:f>
        <x:v>0</x:v>
      </x:c>
      <x:c r="I135" s="28" t="n">
        <x:f>H135-G135</x:f>
        <x:v>-900</x:v>
      </x:c>
      <x:c r="J135" t="str">
        <x:f>IF(COUNTIFS('CONTEOS'!$F$2:$F$4000,A135,'CONTEOS'!$H$2:$H$4000,C135)=0,"PENDIENTE",IF(I135=0,"CUADRA",IF(I135&gt;0,"SOBRANTE","FALTANTE")))</x:f>
        <x:v>PENDIENTE</x:v>
      </x:c>
    </x:row>
    <x:row r="136">
      <x:c r="A136" t="str">
        <x:f>'STOCK_SISTEMA'!A136</x:f>
        <x:v>EE10156</x:v>
      </x:c>
      <x:c r="B136" s="29" t="str">
        <x:f>'STOCK_SISTEMA'!B136</x:f>
        <x:v>[EE10156] LAMINA JAPPY 200 GR ONDA JALAPEÑO X KG</x:v>
      </x:c>
      <x:c r="C136" t="str">
        <x:f>IF('STOCK_SISTEMA'!C136="","",'STOCK_SISTEMA'!C136)</x:f>
        <x:v>INFORME 05/25</x:v>
      </x:c>
      <x:c r="D136" s="27" t="n">
        <x:f>IF('STOCK_SISTEMA'!D136="","",'STOCK_SISTEMA'!D136)</x:f>
        <x:v>46227.92324074074</x:v>
      </x:c>
      <x:c r="E136" t="str">
        <x:f>'STOCK_SISTEMA'!E136</x:f>
        <x:v>SF-03/Materiales</x:v>
      </x:c>
      <x:c r="F136" t="str">
        <x:f>'STOCK_SISTEMA'!G136</x:f>
        <x:v>Kilogramo</x:v>
      </x:c>
      <x:c r="G136" s="28" t="n">
        <x:f>'STOCK_SISTEMA'!F136</x:f>
        <x:v>2.7</x:v>
      </x:c>
      <x:c r="H136" s="28" t="n">
        <x:f>SUMIFS('CONTEOS'!$N$2:$N$4000,'CONTEOS'!$F$2:$F$4000,A136,'CONTEOS'!$H$2:$H$4000,C136)</x:f>
        <x:v>0</x:v>
      </x:c>
      <x:c r="I136" s="28" t="n">
        <x:f>H136-G136</x:f>
        <x:v>-2.7</x:v>
      </x:c>
      <x:c r="J136" t="str">
        <x:f>IF(COUNTIFS('CONTEOS'!$F$2:$F$4000,A136,'CONTEOS'!$H$2:$H$4000,C136)=0,"PENDIENTE",IF(I136=0,"CUADRA",IF(I136&gt;0,"SOBRANTE","FALTANTE")))</x:f>
        <x:v>PENDIENTE</x:v>
      </x:c>
    </x:row>
    <x:row r="137">
      <x:c r="A137" t="str">
        <x:f>'STOCK_SISTEMA'!A137</x:f>
        <x:v>EE10255</x:v>
      </x:c>
      <x:c r="B137" s="29" t="str">
        <x:f>'STOCK_SISTEMA'!B137</x:f>
        <x:v>[EE10255] ETIQUETA TEXTOS LEGALES LIMON PIMIENTA 142g USA</x:v>
      </x:c>
      <x:c r="C137" t="str">
        <x:f>IF('STOCK_SISTEMA'!C137="","",'STOCK_SISTEMA'!C137)</x:f>
        <x:v>INFORME 02/26</x:v>
      </x:c>
      <x:c r="D137" s="27" t="n">
        <x:f>IF('STOCK_SISTEMA'!D137="","",'STOCK_SISTEMA'!D137)</x:f>
        <x:v>46415.5681712963</x:v>
      </x:c>
      <x:c r="E137" t="str">
        <x:f>'STOCK_SISTEMA'!E137</x:f>
        <x:v>SF-03/Materiales</x:v>
      </x:c>
      <x:c r="F137" t="str">
        <x:f>'STOCK_SISTEMA'!G137</x:f>
        <x:v>Unidades</x:v>
      </x:c>
      <x:c r="G137" s="28" t="n">
        <x:f>'STOCK_SISTEMA'!F137</x:f>
        <x:v>80</x:v>
      </x:c>
      <x:c r="H137" s="28" t="n">
        <x:f>SUMIFS('CONTEOS'!$N$2:$N$4000,'CONTEOS'!$F$2:$F$4000,A137,'CONTEOS'!$H$2:$H$4000,C137)</x:f>
        <x:v>0</x:v>
      </x:c>
      <x:c r="I137" s="28" t="n">
        <x:f>H137-G137</x:f>
        <x:v>-80</x:v>
      </x:c>
      <x:c r="J137" t="str">
        <x:f>IF(COUNTIFS('CONTEOS'!$F$2:$F$4000,A137,'CONTEOS'!$H$2:$H$4000,C137)=0,"PENDIENTE",IF(I137=0,"CUADRA",IF(I137&gt;0,"SOBRANTE","FALTANTE")))</x:f>
        <x:v>PENDIENTE</x:v>
      </x:c>
    </x:row>
    <x:row r="138">
      <x:c r="A138" t="str">
        <x:f>'STOCK_SISTEMA'!A138</x:f>
        <x:v>EE10254</x:v>
      </x:c>
      <x:c r="B138" s="29" t="str">
        <x:f>'STOCK_SISTEMA'!B138</x:f>
        <x:v>[EE10254] ETIQUETA TEXTOS LEGALES JALAPEÑO 142g USA</x:v>
      </x:c>
      <x:c r="C138" t="str">
        <x:f>IF('STOCK_SISTEMA'!C138="","",'STOCK_SISTEMA'!C138)</x:f>
        <x:v>INFORME 02/26</x:v>
      </x:c>
      <x:c r="D138" s="27" t="n">
        <x:f>IF('STOCK_SISTEMA'!D138="","",'STOCK_SISTEMA'!D138)</x:f>
        <x:v>46413.56793981481</x:v>
      </x:c>
      <x:c r="E138" t="str">
        <x:f>'STOCK_SISTEMA'!E138</x:f>
        <x:v>SF-03/Materiales</x:v>
      </x:c>
      <x:c r="F138" t="str">
        <x:f>'STOCK_SISTEMA'!G138</x:f>
        <x:v>Unidades</x:v>
      </x:c>
      <x:c r="G138" s="28" t="n">
        <x:f>'STOCK_SISTEMA'!F138</x:f>
        <x:v>78</x:v>
      </x:c>
      <x:c r="H138" s="28" t="n">
        <x:f>SUMIFS('CONTEOS'!$N$2:$N$4000,'CONTEOS'!$F$2:$F$4000,A138,'CONTEOS'!$H$2:$H$4000,C138)</x:f>
        <x:v>0</x:v>
      </x:c>
      <x:c r="I138" s="28" t="n">
        <x:f>H138-G138</x:f>
        <x:v>-78</x:v>
      </x:c>
      <x:c r="J138" t="str">
        <x:f>IF(COUNTIFS('CONTEOS'!$F$2:$F$4000,A138,'CONTEOS'!$H$2:$H$4000,C138)=0,"PENDIENTE",IF(I138=0,"CUADRA",IF(I138&gt;0,"SOBRANTE","FALTANTE")))</x:f>
        <x:v>PENDIENTE</x:v>
      </x:c>
    </x:row>
    <x:row r="139">
      <x:c r="A139" t="str">
        <x:f>'STOCK_SISTEMA'!A139</x:f>
        <x:v>EE10093</x:v>
      </x:c>
      <x:c r="B139" s="29" t="str">
        <x:f>'STOCK_SISTEMA'!B139</x:f>
        <x:v>[EE10093] ETIQUETA TEXTOS LEGALES PAPAS NATIVAS 142g USA</x:v>
      </x:c>
      <x:c r="C139" t="str">
        <x:f>IF('STOCK_SISTEMA'!C139="","",'STOCK_SISTEMA'!C139)</x:f>
        <x:v>INFORME 01/26</x:v>
      </x:c>
      <x:c r="D139" s="27" t="str">
        <x:f>IF('STOCK_SISTEMA'!D139="","",'STOCK_SISTEMA'!D139)</x:f>
      </x:c>
      <x:c r="E139" t="str">
        <x:f>'STOCK_SISTEMA'!E139</x:f>
        <x:v>SF-03/Materiales</x:v>
      </x:c>
      <x:c r="F139" t="str">
        <x:f>'STOCK_SISTEMA'!G139</x:f>
        <x:v>Unidades</x:v>
      </x:c>
      <x:c r="G139" s="28" t="n">
        <x:f>'STOCK_SISTEMA'!F139</x:f>
        <x:v>150</x:v>
      </x:c>
      <x:c r="H139" s="28" t="n">
        <x:f>SUMIFS('CONTEOS'!$N$2:$N$4000,'CONTEOS'!$F$2:$F$4000,A139,'CONTEOS'!$H$2:$H$4000,C139)</x:f>
        <x:v>0</x:v>
      </x:c>
      <x:c r="I139" s="28" t="n">
        <x:f>H139-G139</x:f>
        <x:v>-150</x:v>
      </x:c>
      <x:c r="J139" t="str">
        <x:f>IF(COUNTIFS('CONTEOS'!$F$2:$F$4000,A139,'CONTEOS'!$H$2:$H$4000,C139)=0,"PENDIENTE",IF(I139=0,"CUADRA",IF(I139&gt;0,"SOBRANTE","FALTANTE")))</x:f>
        <x:v>PENDIENTE</x:v>
      </x:c>
    </x:row>
    <x:row r="140">
      <x:c r="A140" t="str">
        <x:f>'STOCK_SISTEMA'!A140</x:f>
        <x:v>EE10256</x:v>
      </x:c>
      <x:c r="B140" s="29" t="str">
        <x:f>'STOCK_SISTEMA'!B140</x:f>
        <x:v>[EE10256] ETIQUETA TEXTOS LEGALES CAMOTE 142g USA</x:v>
      </x:c>
      <x:c r="C140" t="str">
        <x:f>IF('STOCK_SISTEMA'!C140="","",'STOCK_SISTEMA'!C140)</x:f>
        <x:v>INFORME 01/26</x:v>
      </x:c>
      <x:c r="D140" s="27" t="n">
        <x:f>IF('STOCK_SISTEMA'!D140="","",'STOCK_SISTEMA'!D140)</x:f>
        <x:v>46752.50054398148</x:v>
      </x:c>
      <x:c r="E140" t="str">
        <x:f>'STOCK_SISTEMA'!E140</x:f>
        <x:v>SF-03/Materiales</x:v>
      </x:c>
      <x:c r="F140" t="str">
        <x:f>'STOCK_SISTEMA'!G140</x:f>
        <x:v>Unidades</x:v>
      </x:c>
      <x:c r="G140" s="28" t="n">
        <x:f>'STOCK_SISTEMA'!F140</x:f>
        <x:v>272</x:v>
      </x:c>
      <x:c r="H140" s="28" t="n">
        <x:f>SUMIFS('CONTEOS'!$N$2:$N$4000,'CONTEOS'!$F$2:$F$4000,A140,'CONTEOS'!$H$2:$H$4000,C140)</x:f>
        <x:v>0</x:v>
      </x:c>
      <x:c r="I140" s="28" t="n">
        <x:f>H140-G140</x:f>
        <x:v>-272</x:v>
      </x:c>
      <x:c r="J140" t="str">
        <x:f>IF(COUNTIFS('CONTEOS'!$F$2:$F$4000,A140,'CONTEOS'!$H$2:$H$4000,C140)=0,"PENDIENTE",IF(I140=0,"CUADRA",IF(I140&gt;0,"SOBRANTE","FALTANTE")))</x:f>
        <x:v>PENDIENTE</x:v>
      </x:c>
    </x:row>
    <x:row r="141">
      <x:c r="A141" t="str">
        <x:f>'STOCK_SISTEMA'!A141</x:f>
        <x:v>EE10117</x:v>
      </x:c>
      <x:c r="B141" s="29" t="str">
        <x:f>'STOCK_SISTEMA'!B141</x:f>
        <x:v>[EE10117] LAMINA TIYAPUY JALAPEÑO 30GR X KG</x:v>
      </x:c>
      <x:c r="C141" t="str">
        <x:f>IF('STOCK_SISTEMA'!C141="","",'STOCK_SISTEMA'!C141)</x:f>
        <x:v>INFORM 04/25</x:v>
      </x:c>
      <x:c r="D141" s="27" t="n">
        <x:f>IF('STOCK_SISTEMA'!D141="","",'STOCK_SISTEMA'!D141)</x:f>
        <x:v>46366.79166666666</x:v>
      </x:c>
      <x:c r="E141" t="str">
        <x:f>'STOCK_SISTEMA'!E141</x:f>
        <x:v>SF-03/Materiales</x:v>
      </x:c>
      <x:c r="F141" t="str">
        <x:f>'STOCK_SISTEMA'!G141</x:f>
        <x:v>Kilogramo</x:v>
      </x:c>
      <x:c r="G141" s="28" t="n">
        <x:f>'STOCK_SISTEMA'!F141</x:f>
        <x:v>150.94</x:v>
      </x:c>
      <x:c r="H141" s="28" t="n">
        <x:f>SUMIFS('CONTEOS'!$N$2:$N$4000,'CONTEOS'!$F$2:$F$4000,A141,'CONTEOS'!$H$2:$H$4000,C141)</x:f>
        <x:v>0</x:v>
      </x:c>
      <x:c r="I141" s="28" t="n">
        <x:f>H141-G141</x:f>
        <x:v>-150.94</x:v>
      </x:c>
      <x:c r="J141" t="str">
        <x:f>IF(COUNTIFS('CONTEOS'!$F$2:$F$4000,A141,'CONTEOS'!$H$2:$H$4000,C141)=0,"PENDIENTE",IF(I141=0,"CUADRA",IF(I141&gt;0,"SOBRANTE","FALTANTE")))</x:f>
        <x:v>PENDIENTE</x:v>
      </x:c>
    </x:row>
    <x:row r="142">
      <x:c r="A142" t="str">
        <x:f>'STOCK_SISTEMA'!A142</x:f>
        <x:v>EE10253</x:v>
      </x:c>
      <x:c r="B142" s="29" t="str">
        <x:f>'STOCK_SISTEMA'!B142</x:f>
        <x:v>[EE10253] ETIQUETA TEXTOS LEGALES PFT 2500g CH</x:v>
      </x:c>
      <x:c r="C142" t="str">
        <x:f>IF('STOCK_SISTEMA'!C142="","",'STOCK_SISTEMA'!C142)</x:f>
        <x:v>INFORME 01/26</x:v>
      </x:c>
      <x:c r="D142" s="27" t="n">
        <x:f>IF('STOCK_SISTEMA'!D142="","",'STOCK_SISTEMA'!D142)</x:f>
        <x:v>46417.67490740741</x:v>
      </x:c>
      <x:c r="E142" t="str">
        <x:f>'STOCK_SISTEMA'!E142</x:f>
        <x:v>SF-03/Materiales</x:v>
      </x:c>
      <x:c r="F142" t="str">
        <x:f>'STOCK_SISTEMA'!G142</x:f>
        <x:v>Unidades</x:v>
      </x:c>
      <x:c r="G142" s="28" t="n">
        <x:f>'STOCK_SISTEMA'!F142</x:f>
        <x:v>900</x:v>
      </x:c>
      <x:c r="H142" s="28" t="n">
        <x:f>SUMIFS('CONTEOS'!$N$2:$N$4000,'CONTEOS'!$F$2:$F$4000,A142,'CONTEOS'!$H$2:$H$4000,C142)</x:f>
        <x:v>0</x:v>
      </x:c>
      <x:c r="I142" s="28" t="n">
        <x:f>H142-G142</x:f>
        <x:v>-900</x:v>
      </x:c>
      <x:c r="J142" t="str">
        <x:f>IF(COUNTIFS('CONTEOS'!$F$2:$F$4000,A142,'CONTEOS'!$H$2:$H$4000,C142)=0,"PENDIENTE",IF(I142=0,"CUADRA",IF(I142&gt;0,"SOBRANTE","FALTANTE")))</x:f>
        <x:v>PENDIENTE</x:v>
      </x:c>
    </x:row>
    <x:row r="143">
      <x:c r="A143" t="str">
        <x:f>'STOCK_SISTEMA'!A143</x:f>
        <x:v>EE10229</x:v>
      </x:c>
      <x:c r="B143" s="29" t="str">
        <x:f>'STOCK_SISTEMA'!B143</x:f>
        <x:v>[EE10229] LAMINA RIKY TOK 70 G ONDA PICANTE X KG</x:v>
      </x:c>
      <x:c r="C143" t="str">
        <x:f>IF('STOCK_SISTEMA'!C143="","",'STOCK_SISTEMA'!C143)</x:f>
        <x:v>INFORME 01/26</x:v>
      </x:c>
      <x:c r="D143" s="27" t="n">
        <x:f>IF('STOCK_SISTEMA'!D143="","",'STOCK_SISTEMA'!D143)</x:f>
        <x:v>46425.5352199074</x:v>
      </x:c>
      <x:c r="E143" t="str">
        <x:f>'STOCK_SISTEMA'!E143</x:f>
        <x:v>SF-03/Materiales</x:v>
      </x:c>
      <x:c r="F143" t="str">
        <x:f>'STOCK_SISTEMA'!G143</x:f>
        <x:v>Kilogramo</x:v>
      </x:c>
      <x:c r="G143" s="28" t="n">
        <x:f>'STOCK_SISTEMA'!F143</x:f>
        <x:v>25.777</x:v>
      </x:c>
      <x:c r="H143" s="28" t="n">
        <x:f>SUMIFS('CONTEOS'!$N$2:$N$4000,'CONTEOS'!$F$2:$F$4000,A143,'CONTEOS'!$H$2:$H$4000,C143)</x:f>
        <x:v>0</x:v>
      </x:c>
      <x:c r="I143" s="28" t="n">
        <x:f>H143-G143</x:f>
        <x:v>-25.777</x:v>
      </x:c>
      <x:c r="J143" t="str">
        <x:f>IF(COUNTIFS('CONTEOS'!$F$2:$F$4000,A143,'CONTEOS'!$H$2:$H$4000,C143)=0,"PENDIENTE",IF(I143=0,"CUADRA",IF(I143&gt;0,"SOBRANTE","FALTANTE")))</x:f>
        <x:v>PENDIENTE</x:v>
      </x:c>
    </x:row>
    <x:row r="144">
      <x:c r="A144" t="str">
        <x:f>'STOCK_SISTEMA'!A144</x:f>
        <x:v>EE10029-1</x:v>
      </x:c>
      <x:c r="B144" s="29" t="str">
        <x:f>'STOCK_SISTEMA'!B144</x:f>
        <x:v>[EE10029-1] LAMINA TIYAPUY NATIVA MIX 160GR ORG MEXICO X KG</x:v>
      </x:c>
      <x:c r="C144" t="str">
        <x:f>IF('STOCK_SISTEMA'!C144="","",'STOCK_SISTEMA'!C144)</x:f>
        <x:v>INFORME 01/26</x:v>
      </x:c>
      <x:c r="D144" s="27" t="n">
        <x:f>IF('STOCK_SISTEMA'!D144="","",'STOCK_SISTEMA'!D144)</x:f>
        <x:v>46427.41864583334</x:v>
      </x:c>
      <x:c r="E144" t="str">
        <x:f>'STOCK_SISTEMA'!E144</x:f>
        <x:v>SF-03/Materiales</x:v>
      </x:c>
      <x:c r="F144" t="str">
        <x:f>'STOCK_SISTEMA'!G144</x:f>
        <x:v>Kilogramo</x:v>
      </x:c>
      <x:c r="G144" s="28" t="n">
        <x:f>'STOCK_SISTEMA'!F144</x:f>
        <x:v>1071</x:v>
      </x:c>
      <x:c r="H144" s="28" t="n">
        <x:f>SUMIFS('CONTEOS'!$N$2:$N$4000,'CONTEOS'!$F$2:$F$4000,A144,'CONTEOS'!$H$2:$H$4000,C144)</x:f>
        <x:v>0</x:v>
      </x:c>
      <x:c r="I144" s="28" t="n">
        <x:f>H144-G144</x:f>
        <x:v>-1071</x:v>
      </x:c>
      <x:c r="J144" t="str">
        <x:f>IF(COUNTIFS('CONTEOS'!$F$2:$F$4000,A144,'CONTEOS'!$H$2:$H$4000,C144)=0,"PENDIENTE",IF(I144=0,"CUADRA",IF(I144&gt;0,"SOBRANTE","FALTANTE")))</x:f>
        <x:v>PENDIENTE</x:v>
      </x:c>
    </x:row>
    <x:row r="145">
      <x:c r="A145" t="str">
        <x:f>'STOCK_SISTEMA'!A145</x:f>
        <x:v>EE10142</x:v>
      </x:c>
      <x:c r="B145" s="29" t="str">
        <x:f>'STOCK_SISTEMA'!B145</x:f>
        <x:v>[EE10142] LAMINA TIYAPUY CHIPS QUINUA BBQ 100GR MEXICO X KG</x:v>
      </x:c>
      <x:c r="C145" t="str">
        <x:f>IF('STOCK_SISTEMA'!C145="","",'STOCK_SISTEMA'!C145)</x:f>
        <x:v>INFORME 01/26</x:v>
      </x:c>
      <x:c r="D145" s="27" t="n">
        <x:f>IF('STOCK_SISTEMA'!D145="","",'STOCK_SISTEMA'!D145)</x:f>
        <x:v>46427.41887731481</x:v>
      </x:c>
      <x:c r="E145" t="str">
        <x:f>'STOCK_SISTEMA'!E145</x:f>
        <x:v>SF-03/Materiales</x:v>
      </x:c>
      <x:c r="F145" t="str">
        <x:f>'STOCK_SISTEMA'!G145</x:f>
        <x:v>Kilogramo</x:v>
      </x:c>
      <x:c r="G145" s="28" t="n">
        <x:f>'STOCK_SISTEMA'!F145</x:f>
        <x:v>526.02</x:v>
      </x:c>
      <x:c r="H145" s="28" t="n">
        <x:f>SUMIFS('CONTEOS'!$N$2:$N$4000,'CONTEOS'!$F$2:$F$4000,A145,'CONTEOS'!$H$2:$H$4000,C145)</x:f>
        <x:v>0</x:v>
      </x:c>
      <x:c r="I145" s="28" t="n">
        <x:f>H145-G145</x:f>
        <x:v>-526.02</x:v>
      </x:c>
      <x:c r="J145" t="str">
        <x:f>IF(COUNTIFS('CONTEOS'!$F$2:$F$4000,A145,'CONTEOS'!$H$2:$H$4000,C145)=0,"PENDIENTE",IF(I145=0,"CUADRA",IF(I145&gt;0,"SOBRANTE","FALTANTE")))</x:f>
        <x:v>PENDIENTE</x:v>
      </x:c>
    </x:row>
    <x:row r="146">
      <x:c r="A146" t="str">
        <x:f>'STOCK_SISTEMA'!A146</x:f>
        <x:v>EE10050</x:v>
      </x:c>
      <x:c r="B146" s="29" t="str">
        <x:f>'STOCK_SISTEMA'!B146</x:f>
        <x:v>[EE10050] LAMINA RIKY TOK 180 GR ONDA PICANTE X KG</x:v>
      </x:c>
      <x:c r="C146" t="str">
        <x:f>IF('STOCK_SISTEMA'!C146="","",'STOCK_SISTEMA'!C146)</x:f>
        <x:v>INFORME 14/25</x:v>
      </x:c>
      <x:c r="D146" s="27" t="n">
        <x:f>IF('STOCK_SISTEMA'!D146="","",'STOCK_SISTEMA'!D146)</x:f>
        <x:v>46290.4428125</x:v>
      </x:c>
      <x:c r="E146" t="str">
        <x:f>'STOCK_SISTEMA'!E146</x:f>
        <x:v>SF-03/Materiales</x:v>
      </x:c>
      <x:c r="F146" t="str">
        <x:f>'STOCK_SISTEMA'!G146</x:f>
        <x:v>Kilogramo</x:v>
      </x:c>
      <x:c r="G146" s="28" t="n">
        <x:f>'STOCK_SISTEMA'!F146</x:f>
        <x:v>25.94</x:v>
      </x:c>
      <x:c r="H146" s="28" t="n">
        <x:f>SUMIFS('CONTEOS'!$N$2:$N$4000,'CONTEOS'!$F$2:$F$4000,A146,'CONTEOS'!$H$2:$H$4000,C146)</x:f>
        <x:v>0</x:v>
      </x:c>
      <x:c r="I146" s="28" t="n">
        <x:f>H146-G146</x:f>
        <x:v>-25.94</x:v>
      </x:c>
      <x:c r="J146" t="str">
        <x:f>IF(COUNTIFS('CONTEOS'!$F$2:$F$4000,A146,'CONTEOS'!$H$2:$H$4000,C146)=0,"PENDIENTE",IF(I146=0,"CUADRA",IF(I146&gt;0,"SOBRANTE","FALTANTE")))</x:f>
        <x:v>PENDIENTE</x:v>
      </x:c>
    </x:row>
    <x:row r="147">
      <x:c r="A147" t="str">
        <x:f>'STOCK_SISTEMA'!A147</x:f>
        <x:v>EE10171</x:v>
      </x:c>
      <x:c r="B147" s="29" t="str">
        <x:f>'STOCK_SISTEMA'!B147</x:f>
        <x:v>[EE10171] LAMINA TIYAPUY CAMOTE 160G ESPAÑA X KG</x:v>
      </x:c>
      <x:c r="C147" t="str">
        <x:f>IF('STOCK_SISTEMA'!C147="","",'STOCK_SISTEMA'!C147)</x:f>
        <x:v>INFORME 01/26</x:v>
      </x:c>
      <x:c r="D147" s="27" t="n">
        <x:f>IF('STOCK_SISTEMA'!D147="","",'STOCK_SISTEMA'!D147)</x:f>
        <x:v>46436.4624537037</x:v>
      </x:c>
      <x:c r="E147" t="str">
        <x:f>'STOCK_SISTEMA'!E147</x:f>
        <x:v>SF-03/Materiales</x:v>
      </x:c>
      <x:c r="F147" t="str">
        <x:f>'STOCK_SISTEMA'!G147</x:f>
        <x:v>Kilogramo</x:v>
      </x:c>
      <x:c r="G147" s="28" t="n">
        <x:f>'STOCK_SISTEMA'!F147</x:f>
        <x:v>427.1527</x:v>
      </x:c>
      <x:c r="H147" s="28" t="n">
        <x:f>SUMIFS('CONTEOS'!$N$2:$N$4000,'CONTEOS'!$F$2:$F$4000,A147,'CONTEOS'!$H$2:$H$4000,C147)</x:f>
        <x:v>0</x:v>
      </x:c>
      <x:c r="I147" s="28" t="n">
        <x:f>H147-G147</x:f>
        <x:v>-427.1527</x:v>
      </x:c>
      <x:c r="J147" t="str">
        <x:f>IF(COUNTIFS('CONTEOS'!$F$2:$F$4000,A147,'CONTEOS'!$H$2:$H$4000,C147)=0,"PENDIENTE",IF(I147=0,"CUADRA",IF(I147&gt;0,"SOBRANTE","FALTANTE")))</x:f>
        <x:v>PENDIENTE</x:v>
      </x:c>
    </x:row>
    <x:row r="148">
      <x:c r="A148" t="str">
        <x:f>'STOCK_SISTEMA'!A148</x:f>
        <x:v>EE10249</x:v>
      </x:c>
      <x:c r="B148" s="29" t="str">
        <x:f>'STOCK_SISTEMA'!B148</x:f>
        <x:v>[EE10249] CINTA DE EMBALAJE TRANSPARENTE 48MMX548M X ROLLO</x:v>
      </x:c>
      <x:c r="C148" t="str">
        <x:f>IF('STOCK_SISTEMA'!C148="","",'STOCK_SISTEMA'!C148)</x:f>
        <x:v>INFORME 03/26</x:v>
      </x:c>
      <x:c r="D148" s="27" t="n">
        <x:f>IF('STOCK_SISTEMA'!D148="","",'STOCK_SISTEMA'!D148)</x:f>
        <x:v>46371.48214120371</x:v>
      </x:c>
      <x:c r="E148" t="str">
        <x:f>'STOCK_SISTEMA'!E148</x:f>
        <x:v>SF-03/Materiales</x:v>
      </x:c>
      <x:c r="F148" t="str">
        <x:f>'STOCK_SISTEMA'!G148</x:f>
        <x:v>Unidades</x:v>
      </x:c>
      <x:c r="G148" s="28" t="n">
        <x:f>'STOCK_SISTEMA'!F148</x:f>
        <x:v>0.7994</x:v>
      </x:c>
      <x:c r="H148" s="28" t="n">
        <x:f>SUMIFS('CONTEOS'!$N$2:$N$4000,'CONTEOS'!$F$2:$F$4000,A148,'CONTEOS'!$H$2:$H$4000,C148)</x:f>
        <x:v>0</x:v>
      </x:c>
      <x:c r="I148" s="28" t="n">
        <x:f>H148-G148</x:f>
        <x:v>-0.7994</x:v>
      </x:c>
      <x:c r="J148" t="str">
        <x:f>IF(COUNTIFS('CONTEOS'!$F$2:$F$4000,A148,'CONTEOS'!$H$2:$H$4000,C148)=0,"PENDIENTE",IF(I148=0,"CUADRA",IF(I148&gt;0,"SOBRANTE","FALTANTE")))</x:f>
        <x:v>PENDIENTE</x:v>
      </x:c>
    </x:row>
    <x:row r="149">
      <x:c r="A149" t="str">
        <x:f>'STOCK_SISTEMA'!A149</x:f>
        <x:v>EE10250</x:v>
      </x:c>
      <x:c r="B149" s="29" t="str">
        <x:f>'STOCK_SISTEMA'!B149</x:f>
        <x:v>[EE10250] CINTA DE EMBALAJE TRANSPARENTE 48MMX1000M X ROLLO</x:v>
      </x:c>
      <x:c r="C149" t="str">
        <x:f>IF('STOCK_SISTEMA'!C149="","",'STOCK_SISTEMA'!C149)</x:f>
        <x:v>INFORME 02/26</x:v>
      </x:c>
      <x:c r="D149" s="27" t="n">
        <x:f>IF('STOCK_SISTEMA'!D149="","",'STOCK_SISTEMA'!D149)</x:f>
        <x:v>46267.48269675926</x:v>
      </x:c>
      <x:c r="E149" t="str">
        <x:f>'STOCK_SISTEMA'!E149</x:f>
        <x:v>SF-03/Materiales</x:v>
      </x:c>
      <x:c r="F149" t="str">
        <x:f>'STOCK_SISTEMA'!G149</x:f>
        <x:v>Unidades</x:v>
      </x:c>
      <x:c r="G149" s="28" t="n">
        <x:f>'STOCK_SISTEMA'!F149</x:f>
        <x:v>0.6142000000000001</x:v>
      </x:c>
      <x:c r="H149" s="28" t="n">
        <x:f>SUMIFS('CONTEOS'!$N$2:$N$4000,'CONTEOS'!$F$2:$F$4000,A149,'CONTEOS'!$H$2:$H$4000,C149)</x:f>
        <x:v>0</x:v>
      </x:c>
      <x:c r="I149" s="28" t="n">
        <x:f>H149-G149</x:f>
        <x:v>-0.6142000000000001</x:v>
      </x:c>
      <x:c r="J149" t="str">
        <x:f>IF(COUNTIFS('CONTEOS'!$F$2:$F$4000,A149,'CONTEOS'!$H$2:$H$4000,C149)=0,"PENDIENTE",IF(I149=0,"CUADRA",IF(I149&gt;0,"SOBRANTE","FALTANTE")))</x:f>
        <x:v>PENDIENTE</x:v>
      </x:c>
    </x:row>
    <x:row r="150">
      <x:c r="A150" t="str">
        <x:f>'STOCK_SISTEMA'!A150</x:f>
        <x:v>EE10250</x:v>
      </x:c>
      <x:c r="B150" s="29" t="str">
        <x:f>'STOCK_SISTEMA'!B150</x:f>
        <x:v>[EE10250] CINTA DE EMBALAJE TRANSPARENTE 48MMX1000M X ROLLO</x:v>
      </x:c>
      <x:c r="C150" t="str">
        <x:f>IF('STOCK_SISTEMA'!C150="","",'STOCK_SISTEMA'!C150)</x:f>
        <x:v>INFORME 04/26</x:v>
      </x:c>
      <x:c r="D150" s="27" t="n">
        <x:f>IF('STOCK_SISTEMA'!D150="","",'STOCK_SISTEMA'!D150)</x:f>
        <x:v>46343.48318287037</x:v>
      </x:c>
      <x:c r="E150" t="str">
        <x:f>'STOCK_SISTEMA'!E150</x:f>
        <x:v>SF-03/Materiales</x:v>
      </x:c>
      <x:c r="F150" t="str">
        <x:f>'STOCK_SISTEMA'!G150</x:f>
        <x:v>Unidades</x:v>
      </x:c>
      <x:c r="G150" s="28" t="n">
        <x:f>'STOCK_SISTEMA'!F150</x:f>
        <x:v>169.7118</x:v>
      </x:c>
      <x:c r="H150" s="28" t="n">
        <x:f>SUMIFS('CONTEOS'!$N$2:$N$4000,'CONTEOS'!$F$2:$F$4000,A150,'CONTEOS'!$H$2:$H$4000,C150)</x:f>
        <x:v>0</x:v>
      </x:c>
      <x:c r="I150" s="28" t="n">
        <x:f>H150-G150</x:f>
        <x:v>-169.7118</x:v>
      </x:c>
      <x:c r="J150" t="str">
        <x:f>IF(COUNTIFS('CONTEOS'!$F$2:$F$4000,A150,'CONTEOS'!$H$2:$H$4000,C150)=0,"PENDIENTE",IF(I150=0,"CUADRA",IF(I150&gt;0,"SOBRANTE","FALTANTE")))</x:f>
        <x:v>PENDIENTE</x:v>
      </x:c>
    </x:row>
    <x:row r="151">
      <x:c r="A151" t="str">
        <x:f>'STOCK_SISTEMA'!A151</x:f>
        <x:v>EE10212</x:v>
      </x:c>
      <x:c r="B151" s="29" t="str">
        <x:f>'STOCK_SISTEMA'!B151</x:f>
        <x:v>[EE10212] LAMINA TOTTUS  BBQ 130G X KG</x:v>
      </x:c>
      <x:c r="C151" t="str">
        <x:f>IF('STOCK_SISTEMA'!C151="","",'STOCK_SISTEMA'!C151)</x:f>
        <x:v>INFORME 02/26</x:v>
      </x:c>
      <x:c r="D151" s="27" t="n">
        <x:f>IF('STOCK_SISTEMA'!D151="","",'STOCK_SISTEMA'!D151)</x:f>
        <x:v>46429.74310185185</x:v>
      </x:c>
      <x:c r="E151" t="str">
        <x:f>'STOCK_SISTEMA'!E151</x:f>
        <x:v>SF-03/Materiales</x:v>
      </x:c>
      <x:c r="F151" t="str">
        <x:f>'STOCK_SISTEMA'!G151</x:f>
        <x:v>Kilogramo</x:v>
      </x:c>
      <x:c r="G151" s="28" t="n">
        <x:f>'STOCK_SISTEMA'!F151</x:f>
        <x:v>536.0400000000001</x:v>
      </x:c>
      <x:c r="H151" s="28" t="n">
        <x:f>SUMIFS('CONTEOS'!$N$2:$N$4000,'CONTEOS'!$F$2:$F$4000,A151,'CONTEOS'!$H$2:$H$4000,C151)</x:f>
        <x:v>0</x:v>
      </x:c>
      <x:c r="I151" s="28" t="n">
        <x:f>H151-G151</x:f>
        <x:v>-536.0400000000001</x:v>
      </x:c>
      <x:c r="J151" t="str">
        <x:f>IF(COUNTIFS('CONTEOS'!$F$2:$F$4000,A151,'CONTEOS'!$H$2:$H$4000,C151)=0,"PENDIENTE",IF(I151=0,"CUADRA",IF(I151&gt;0,"SOBRANTE","FALTANTE")))</x:f>
        <x:v>PENDIENTE</x:v>
      </x:c>
    </x:row>
    <x:row r="152">
      <x:c r="A152" t="str">
        <x:f>'STOCK_SISTEMA'!A152</x:f>
        <x:v>EE10211</x:v>
      </x:c>
      <x:c r="B152" s="29" t="str">
        <x:f>'STOCK_SISTEMA'!B152</x:f>
        <x:v>[EE10211] LAMINA TOTTUS  JALAPEÑO 130G X KG</x:v>
      </x:c>
      <x:c r="C152" t="str">
        <x:f>IF('STOCK_SISTEMA'!C152="","",'STOCK_SISTEMA'!C152)</x:f>
        <x:v>INFORME 02/26</x:v>
      </x:c>
      <x:c r="D152" s="27" t="n">
        <x:f>IF('STOCK_SISTEMA'!D152="","",'STOCK_SISTEMA'!D152)</x:f>
        <x:v>46429.74336805556</x:v>
      </x:c>
      <x:c r="E152" t="str">
        <x:f>'STOCK_SISTEMA'!E152</x:f>
        <x:v>SF-03/Materiales</x:v>
      </x:c>
      <x:c r="F152" t="str">
        <x:f>'STOCK_SISTEMA'!G152</x:f>
        <x:v>Kilogramo</x:v>
      </x:c>
      <x:c r="G152" s="28" t="n">
        <x:f>'STOCK_SISTEMA'!F152</x:f>
        <x:v>362.11</x:v>
      </x:c>
      <x:c r="H152" s="28" t="n">
        <x:f>SUMIFS('CONTEOS'!$N$2:$N$4000,'CONTEOS'!$F$2:$F$4000,A152,'CONTEOS'!$H$2:$H$4000,C152)</x:f>
        <x:v>0</x:v>
      </x:c>
      <x:c r="I152" s="28" t="n">
        <x:f>H152-G152</x:f>
        <x:v>-362.11</x:v>
      </x:c>
      <x:c r="J152" t="str">
        <x:f>IF(COUNTIFS('CONTEOS'!$F$2:$F$4000,A152,'CONTEOS'!$H$2:$H$4000,C152)=0,"PENDIENTE",IF(I152=0,"CUADRA",IF(I152&gt;0,"SOBRANTE","FALTANTE")))</x:f>
        <x:v>PENDIENTE</x:v>
      </x:c>
    </x:row>
    <x:row r="153">
      <x:c r="A153" t="str">
        <x:f>'STOCK_SISTEMA'!A153</x:f>
        <x:v>EE10209</x:v>
      </x:c>
      <x:c r="B153" s="29" t="str">
        <x:f>'STOCK_SISTEMA'!B153</x:f>
        <x:v>[EE10209] LAMINA TOTTUS  NATURAL 130G X KG</x:v>
      </x:c>
      <x:c r="C153" t="str">
        <x:f>IF('STOCK_SISTEMA'!C153="","",'STOCK_SISTEMA'!C153)</x:f>
        <x:v>INFORME 02/26</x:v>
      </x:c>
      <x:c r="D153" s="27" t="n">
        <x:f>IF('STOCK_SISTEMA'!D153="","",'STOCK_SISTEMA'!D153)</x:f>
        <x:v>46429.74344907407</x:v>
      </x:c>
      <x:c r="E153" t="str">
        <x:f>'STOCK_SISTEMA'!E153</x:f>
        <x:v>SF-03/Materiales</x:v>
      </x:c>
      <x:c r="F153" t="str">
        <x:f>'STOCK_SISTEMA'!G153</x:f>
        <x:v>Kilogramo</x:v>
      </x:c>
      <x:c r="G153" s="28" t="n">
        <x:f>'STOCK_SISTEMA'!F153</x:f>
        <x:v>427.206</x:v>
      </x:c>
      <x:c r="H153" s="28" t="n">
        <x:f>SUMIFS('CONTEOS'!$N$2:$N$4000,'CONTEOS'!$F$2:$F$4000,A153,'CONTEOS'!$H$2:$H$4000,C153)</x:f>
        <x:v>0</x:v>
      </x:c>
      <x:c r="I153" s="28" t="n">
        <x:f>H153-G153</x:f>
        <x:v>-427.206</x:v>
      </x:c>
      <x:c r="J153" t="str">
        <x:f>IF(COUNTIFS('CONTEOS'!$F$2:$F$4000,A153,'CONTEOS'!$H$2:$H$4000,C153)=0,"PENDIENTE",IF(I153=0,"CUADRA",IF(I153&gt;0,"SOBRANTE","FALTANTE")))</x:f>
        <x:v>PENDIENTE</x:v>
      </x:c>
    </x:row>
    <x:row r="154">
      <x:c r="A154" t="str">
        <x:f>'STOCK_SISTEMA'!A154</x:f>
        <x:v>EE10199</x:v>
      </x:c>
      <x:c r="B154" s="29" t="str">
        <x:f>'STOCK_SISTEMA'!B154</x:f>
        <x:v>[EE10199] ETIQUETA TEXTOS LEGALES TIYATUBO ESPAÑA</x:v>
      </x:c>
      <x:c r="C154" t="str">
        <x:f>IF('STOCK_SISTEMA'!C154="","",'STOCK_SISTEMA'!C154)</x:f>
        <x:v>INFORME 05/26</x:v>
      </x:c>
      <x:c r="D154" s="27" t="n">
        <x:f>IF('STOCK_SISTEMA'!D154="","",'STOCK_SISTEMA'!D154)</x:f>
        <x:v>46450.7475462963</x:v>
      </x:c>
      <x:c r="E154" t="str">
        <x:f>'STOCK_SISTEMA'!E154</x:f>
        <x:v>SF-03/Materiales</x:v>
      </x:c>
      <x:c r="F154" t="str">
        <x:f>'STOCK_SISTEMA'!G154</x:f>
        <x:v>Unidades</x:v>
      </x:c>
      <x:c r="G154" s="28" t="n">
        <x:f>'STOCK_SISTEMA'!F154</x:f>
        <x:v>23740</x:v>
      </x:c>
      <x:c r="H154" s="28" t="n">
        <x:f>SUMIFS('CONTEOS'!$N$2:$N$4000,'CONTEOS'!$F$2:$F$4000,A154,'CONTEOS'!$H$2:$H$4000,C154)</x:f>
        <x:v>0</x:v>
      </x:c>
      <x:c r="I154" s="28" t="n">
        <x:f>H154-G154</x:f>
        <x:v>-23740</x:v>
      </x:c>
      <x:c r="J154" t="str">
        <x:f>IF(COUNTIFS('CONTEOS'!$F$2:$F$4000,A154,'CONTEOS'!$H$2:$H$4000,C154)=0,"PENDIENTE",IF(I154=0,"CUADRA",IF(I154&gt;0,"SOBRANTE","FALTANTE")))</x:f>
        <x:v>PENDIENTE</x:v>
      </x:c>
    </x:row>
    <x:row r="155">
      <x:c r="A155" t="str">
        <x:f>'STOCK_SISTEMA'!A155</x:f>
        <x:v>EE10201</x:v>
      </x:c>
      <x:c r="B155" s="29" t="str">
        <x:f>'STOCK_SISTEMA'!B155</x:f>
        <x:v>[EE10201] STICKERS NUTRICIONAL PARA ARGENTINA 142G AMARILLA PICANTE</x:v>
      </x:c>
      <x:c r="C155" t="str">
        <x:f>IF('STOCK_SISTEMA'!C155="","",'STOCK_SISTEMA'!C155)</x:f>
        <x:v>AS2603</x:v>
      </x:c>
      <x:c r="D155" s="27" t="n">
        <x:f>IF('STOCK_SISTEMA'!D155="","",'STOCK_SISTEMA'!D155)</x:f>
        <x:v>46752.56418981482</x:v>
      </x:c>
      <x:c r="E155" t="str">
        <x:f>'STOCK_SISTEMA'!E155</x:f>
        <x:v>SF-03/Materiales</x:v>
      </x:c>
      <x:c r="F155" t="str">
        <x:f>'STOCK_SISTEMA'!G155</x:f>
        <x:v>Unidades</x:v>
      </x:c>
      <x:c r="G155" s="28" t="n">
        <x:f>'STOCK_SISTEMA'!F155</x:f>
        <x:v>21000</x:v>
      </x:c>
      <x:c r="H155" s="28" t="n">
        <x:f>SUMIFS('CONTEOS'!$N$2:$N$4000,'CONTEOS'!$F$2:$F$4000,A155,'CONTEOS'!$H$2:$H$4000,C155)</x:f>
        <x:v>0</x:v>
      </x:c>
      <x:c r="I155" s="28" t="n">
        <x:f>H155-G155</x:f>
        <x:v>-21000</x:v>
      </x:c>
      <x:c r="J155" t="str">
        <x:f>IF(COUNTIFS('CONTEOS'!$F$2:$F$4000,A155,'CONTEOS'!$H$2:$H$4000,C155)=0,"PENDIENTE",IF(I155=0,"CUADRA",IF(I155&gt;0,"SOBRANTE","FALTANTE")))</x:f>
        <x:v>PENDIENTE</x:v>
      </x:c>
    </x:row>
    <x:row r="156">
      <x:c r="A156" t="str">
        <x:f>'STOCK_SISTEMA'!A156</x:f>
        <x:v>EE10199</x:v>
      </x:c>
      <x:c r="B156" s="29" t="str">
        <x:f>'STOCK_SISTEMA'!B156</x:f>
        <x:v>[EE10199] ETIQUETA TEXTOS LEGALES TIYATUBO ESPAÑA</x:v>
      </x:c>
      <x:c r="C156" t="str">
        <x:f>IF('STOCK_SISTEMA'!C156="","",'STOCK_SISTEMA'!C156)</x:f>
        <x:v>INFORME 01/26</x:v>
      </x:c>
      <x:c r="D156" s="27" t="n">
        <x:f>IF('STOCK_SISTEMA'!D156="","",'STOCK_SISTEMA'!D156)</x:f>
        <x:v>46441.4203587963</x:v>
      </x:c>
      <x:c r="E156" t="str">
        <x:f>'STOCK_SISTEMA'!E156</x:f>
        <x:v>SF-03/Materiales</x:v>
      </x:c>
      <x:c r="F156" t="str">
        <x:f>'STOCK_SISTEMA'!G156</x:f>
        <x:v>Unidades</x:v>
      </x:c>
      <x:c r="G156" s="28" t="n">
        <x:f>'STOCK_SISTEMA'!F156</x:f>
        <x:v>9736</x:v>
      </x:c>
      <x:c r="H156" s="28" t="n">
        <x:f>SUMIFS('CONTEOS'!$N$2:$N$4000,'CONTEOS'!$F$2:$F$4000,A156,'CONTEOS'!$H$2:$H$4000,C156)</x:f>
        <x:v>0</x:v>
      </x:c>
      <x:c r="I156" s="28" t="n">
        <x:f>H156-G156</x:f>
        <x:v>-9736</x:v>
      </x:c>
      <x:c r="J156" t="str">
        <x:f>IF(COUNTIFS('CONTEOS'!$F$2:$F$4000,A156,'CONTEOS'!$H$2:$H$4000,C156)=0,"PENDIENTE",IF(I156=0,"CUADRA",IF(I156&gt;0,"SOBRANTE","FALTANTE")))</x:f>
        <x:v>PENDIENTE</x:v>
      </x:c>
    </x:row>
    <x:row r="157">
      <x:c r="A157" t="str">
        <x:f>'STOCK_SISTEMA'!A157</x:f>
        <x:v>EE10260</x:v>
      </x:c>
      <x:c r="B157" s="29" t="str">
        <x:f>'STOCK_SISTEMA'!B157</x:f>
        <x:v>[EE10260] PAPEL ABSORVENTE TUBOS 100g</x:v>
      </x:c>
      <x:c r="C157" t="str">
        <x:f>IF('STOCK_SISTEMA'!C157="","",'STOCK_SISTEMA'!C157)</x:f>
        <x:v>INFORME 01/26</x:v>
      </x:c>
      <x:c r="D157" s="27" t="n">
        <x:f>IF('STOCK_SISTEMA'!D157="","",'STOCK_SISTEMA'!D157)</x:f>
        <x:v>46449.46046296296</x:v>
      </x:c>
      <x:c r="E157" t="str">
        <x:f>'STOCK_SISTEMA'!E157</x:f>
        <x:v>SF-03/Materiales</x:v>
      </x:c>
      <x:c r="F157" t="str">
        <x:f>'STOCK_SISTEMA'!G157</x:f>
        <x:v>Unidades</x:v>
      </x:c>
      <x:c r="G157" s="28" t="n">
        <x:f>'STOCK_SISTEMA'!F157</x:f>
        <x:v>4000</x:v>
      </x:c>
      <x:c r="H157" s="28" t="n">
        <x:f>SUMIFS('CONTEOS'!$N$2:$N$4000,'CONTEOS'!$F$2:$F$4000,A157,'CONTEOS'!$H$2:$H$4000,C157)</x:f>
        <x:v>0</x:v>
      </x:c>
      <x:c r="I157" s="28" t="n">
        <x:f>H157-G157</x:f>
        <x:v>-4000</x:v>
      </x:c>
      <x:c r="J157" t="str">
        <x:f>IF(COUNTIFS('CONTEOS'!$F$2:$F$4000,A157,'CONTEOS'!$H$2:$H$4000,C157)=0,"PENDIENTE",IF(I157=0,"CUADRA",IF(I157&gt;0,"SOBRANTE","FALTANTE")))</x:f>
        <x:v>PENDIENTE</x:v>
      </x:c>
    </x:row>
    <x:row r="158">
      <x:c r="A158" t="str">
        <x:f>'STOCK_SISTEMA'!A158</x:f>
        <x:v>EE10047</x:v>
      </x:c>
      <x:c r="B158" s="29" t="str">
        <x:f>'STOCK_SISTEMA'!B158</x:f>
        <x:v>[EE10047] LAMINA RIKY TOK 30 GR ONDA PICANTE X KG</x:v>
      </x:c>
      <x:c r="C158" t="str">
        <x:f>IF('STOCK_SISTEMA'!C158="","",'STOCK_SISTEMA'!C158)</x:f>
        <x:v>INFORME 04/26</x:v>
      </x:c>
      <x:c r="D158" s="27" t="n">
        <x:f>IF('STOCK_SISTEMA'!D158="","",'STOCK_SISTEMA'!D158)</x:f>
        <x:v>46419.75739583333</x:v>
      </x:c>
      <x:c r="E158" t="str">
        <x:f>'STOCK_SISTEMA'!E158</x:f>
        <x:v>SF-03/Materiales</x:v>
      </x:c>
      <x:c r="F158" t="str">
        <x:f>'STOCK_SISTEMA'!G158</x:f>
        <x:v>Kilogramo</x:v>
      </x:c>
      <x:c r="G158" s="28" t="n">
        <x:f>'STOCK_SISTEMA'!F158</x:f>
        <x:v>0.002</x:v>
      </x:c>
      <x:c r="H158" s="28" t="n">
        <x:f>SUMIFS('CONTEOS'!$N$2:$N$4000,'CONTEOS'!$F$2:$F$4000,A158,'CONTEOS'!$H$2:$H$4000,C158)</x:f>
        <x:v>0</x:v>
      </x:c>
      <x:c r="I158" s="28" t="n">
        <x:f>H158-G158</x:f>
        <x:v>-0.002</x:v>
      </x:c>
      <x:c r="J158" t="str">
        <x:f>IF(COUNTIFS('CONTEOS'!$F$2:$F$4000,A158,'CONTEOS'!$H$2:$H$4000,C158)=0,"PENDIENTE",IF(I158=0,"CUADRA",IF(I158&gt;0,"SOBRANTE","FALTANTE")))</x:f>
        <x:v>PENDIENTE</x:v>
      </x:c>
    </x:row>
    <x:row r="159">
      <x:c r="A159" t="str">
        <x:f>'STOCK_SISTEMA'!A159</x:f>
        <x:v>EE10265</x:v>
      </x:c>
      <x:c r="B159" s="29" t="str">
        <x:f>'STOCK_SISTEMA'!B159</x:f>
        <x:v>[EE10265] STRECH FILM PRE-ESTIRADO 18 PULGADAS</x:v>
      </x:c>
      <x:c r="C159" t="str">
        <x:f>IF('STOCK_SISTEMA'!C159="","",'STOCK_SISTEMA'!C159)</x:f>
      </x:c>
      <x:c r="D159" s="27" t="str">
        <x:f>IF('STOCK_SISTEMA'!D159="","",'STOCK_SISTEMA'!D159)</x:f>
      </x:c>
      <x:c r="E159" t="str">
        <x:f>'STOCK_SISTEMA'!E159</x:f>
        <x:v>SF-03/Materiales</x:v>
      </x:c>
      <x:c r="F159" t="str">
        <x:f>'STOCK_SISTEMA'!G159</x:f>
        <x:v>Unidades</x:v>
      </x:c>
      <x:c r="G159" s="28" t="n">
        <x:f>'STOCK_SISTEMA'!F159</x:f>
        <x:v>463.9384</x:v>
      </x:c>
      <x:c r="H159" s="28" t="n">
        <x:f>SUMIFS('CONTEOS'!$N$2:$N$4000,'CONTEOS'!$F$2:$F$4000,A159,'CONTEOS'!$H$2:$H$4000,C159)</x:f>
        <x:v>0</x:v>
      </x:c>
      <x:c r="I159" s="28" t="n">
        <x:f>H159-G159</x:f>
        <x:v>-463.9384</x:v>
      </x:c>
      <x:c r="J159" t="str">
        <x:f>IF(COUNTIFS('CONTEOS'!$F$2:$F$4000,A159,'CONTEOS'!$H$2:$H$4000,C159)=0,"PENDIENTE",IF(I159=0,"CUADRA",IF(I159&gt;0,"SOBRANTE","FALTANTE")))</x:f>
        <x:v>PENDIENTE</x:v>
      </x:c>
    </x:row>
    <x:row r="160">
      <x:c r="A160" t="str">
        <x:f>'STOCK_SISTEMA'!A160</x:f>
        <x:v>EE10058</x:v>
      </x:c>
      <x:c r="B160" s="29" t="str">
        <x:f>'STOCK_SISTEMA'!B160</x:f>
        <x:v>[EE10058] DOYPACK NEGRO MATE 86 PUNTOS CAFÉ 250 GR ORG X UND</x:v>
      </x:c>
      <x:c r="C160" t="str">
        <x:f>IF('STOCK_SISTEMA'!C160="","",'STOCK_SISTEMA'!C160)</x:f>
        <x:v>INFORME 01/26</x:v>
      </x:c>
      <x:c r="D160" s="27" t="str">
        <x:f>IF('STOCK_SISTEMA'!D160="","",'STOCK_SISTEMA'!D160)</x:f>
      </x:c>
      <x:c r="E160" t="str">
        <x:f>'STOCK_SISTEMA'!E160</x:f>
        <x:v>SF-03/Materiales</x:v>
      </x:c>
      <x:c r="F160" t="str">
        <x:f>'STOCK_SISTEMA'!G160</x:f>
        <x:v>Unidades</x:v>
      </x:c>
      <x:c r="G160" s="28" t="n">
        <x:f>'STOCK_SISTEMA'!F160</x:f>
        <x:v>4550</x:v>
      </x:c>
      <x:c r="H160" s="28" t="n">
        <x:f>SUMIFS('CONTEOS'!$N$2:$N$4000,'CONTEOS'!$F$2:$F$4000,A160,'CONTEOS'!$H$2:$H$4000,C160)</x:f>
        <x:v>0</x:v>
      </x:c>
      <x:c r="I160" s="28" t="n">
        <x:f>H160-G160</x:f>
        <x:v>-4550</x:v>
      </x:c>
      <x:c r="J160" t="str">
        <x:f>IF(COUNTIFS('CONTEOS'!$F$2:$F$4000,A160,'CONTEOS'!$H$2:$H$4000,C160)=0,"PENDIENTE",IF(I160=0,"CUADRA",IF(I160&gt;0,"SOBRANTE","FALTANTE")))</x:f>
        <x:v>PENDIENTE</x:v>
      </x:c>
    </x:row>
    <x:row r="161">
      <x:c r="A161" t="str">
        <x:f>'STOCK_SISTEMA'!A161</x:f>
        <x:v>EE10262</x:v>
      </x:c>
      <x:c r="B161" s="29" t="str">
        <x:f>'STOCK_SISTEMA'!B161</x:f>
        <x:v>[EE10262] STICKERS NUTRICIONAL COLOMBIA 142g MIX NATIVA</x:v>
      </x:c>
      <x:c r="C161" t="str">
        <x:f>IF('STOCK_SISTEMA'!C161="","",'STOCK_SISTEMA'!C161)</x:f>
        <x:v>INFORME 09/26</x:v>
      </x:c>
      <x:c r="D161" s="27" t="n">
        <x:f>IF('STOCK_SISTEMA'!D161="","",'STOCK_SISTEMA'!D161)</x:f>
        <x:v>46465.35931712963</x:v>
      </x:c>
      <x:c r="E161" t="str">
        <x:f>'STOCK_SISTEMA'!E161</x:f>
        <x:v>SF-03/Materiales</x:v>
      </x:c>
      <x:c r="F161" t="str">
        <x:f>'STOCK_SISTEMA'!G161</x:f>
        <x:v>Unidades</x:v>
      </x:c>
      <x:c r="G161" s="28" t="n">
        <x:f>'STOCK_SISTEMA'!F161</x:f>
        <x:v>13560</x:v>
      </x:c>
      <x:c r="H161" s="28" t="n">
        <x:f>SUMIFS('CONTEOS'!$N$2:$N$4000,'CONTEOS'!$F$2:$F$4000,A161,'CONTEOS'!$H$2:$H$4000,C161)</x:f>
        <x:v>0</x:v>
      </x:c>
      <x:c r="I161" s="28" t="n">
        <x:f>H161-G161</x:f>
        <x:v>-13560</x:v>
      </x:c>
      <x:c r="J161" t="str">
        <x:f>IF(COUNTIFS('CONTEOS'!$F$2:$F$4000,A161,'CONTEOS'!$H$2:$H$4000,C161)=0,"PENDIENTE",IF(I161=0,"CUADRA",IF(I161&gt;0,"SOBRANTE","FALTANTE")))</x:f>
        <x:v>PENDIENTE</x:v>
      </x:c>
    </x:row>
    <x:row r="162">
      <x:c r="A162" t="str">
        <x:f>'STOCK_SISTEMA'!A162</x:f>
        <x:v>EE10263</x:v>
      </x:c>
      <x:c r="B162" s="29" t="str">
        <x:f>'STOCK_SISTEMA'!B162</x:f>
        <x:v>[EE10263] STICKERS NUTRICIONAL COLOMBIA 142g JALAPEÑO</x:v>
      </x:c>
      <x:c r="C162" t="str">
        <x:f>IF('STOCK_SISTEMA'!C162="","",'STOCK_SISTEMA'!C162)</x:f>
        <x:v>INFORME 09/26</x:v>
      </x:c>
      <x:c r="D162" s="27" t="n">
        <x:f>IF('STOCK_SISTEMA'!D162="","",'STOCK_SISTEMA'!D162)</x:f>
        <x:v>46465.35949074074</x:v>
      </x:c>
      <x:c r="E162" t="str">
        <x:f>'STOCK_SISTEMA'!E162</x:f>
        <x:v>SF-03/Materiales</x:v>
      </x:c>
      <x:c r="F162" t="str">
        <x:f>'STOCK_SISTEMA'!G162</x:f>
        <x:v>Unidades</x:v>
      </x:c>
      <x:c r="G162" s="28" t="n">
        <x:f>'STOCK_SISTEMA'!F162</x:f>
        <x:v>9050</x:v>
      </x:c>
      <x:c r="H162" s="28" t="n">
        <x:f>SUMIFS('CONTEOS'!$N$2:$N$4000,'CONTEOS'!$F$2:$F$4000,A162,'CONTEOS'!$H$2:$H$4000,C162)</x:f>
        <x:v>0</x:v>
      </x:c>
      <x:c r="I162" s="28" t="n">
        <x:f>H162-G162</x:f>
        <x:v>-9050</x:v>
      </x:c>
      <x:c r="J162" t="str">
        <x:f>IF(COUNTIFS('CONTEOS'!$F$2:$F$4000,A162,'CONTEOS'!$H$2:$H$4000,C162)=0,"PENDIENTE",IF(I162=0,"CUADRA",IF(I162&gt;0,"SOBRANTE","FALTANTE")))</x:f>
        <x:v>PENDIENTE</x:v>
      </x:c>
    </x:row>
    <x:row r="163">
      <x:c r="A163" t="str">
        <x:f>'STOCK_SISTEMA'!A163</x:f>
        <x:v>EE10264</x:v>
      </x:c>
      <x:c r="B163" s="29" t="str">
        <x:f>'STOCK_SISTEMA'!B163</x:f>
        <x:v>[EE10264] STICKERS NUTRICIONAL COLOMBIA 142g LIMON PIMIENTA</x:v>
      </x:c>
      <x:c r="C163" t="str">
        <x:f>IF('STOCK_SISTEMA'!C163="","",'STOCK_SISTEMA'!C163)</x:f>
        <x:v>INFORME 09/26</x:v>
      </x:c>
      <x:c r="D163" s="27" t="n">
        <x:f>IF('STOCK_SISTEMA'!D163="","",'STOCK_SISTEMA'!D163)</x:f>
        <x:v>46465.35958333333</x:v>
      </x:c>
      <x:c r="E163" t="str">
        <x:f>'STOCK_SISTEMA'!E163</x:f>
        <x:v>SF-03/Materiales</x:v>
      </x:c>
      <x:c r="F163" t="str">
        <x:f>'STOCK_SISTEMA'!G163</x:f>
        <x:v>Unidades</x:v>
      </x:c>
      <x:c r="G163" s="28" t="n">
        <x:f>'STOCK_SISTEMA'!F163</x:f>
        <x:v>15000</x:v>
      </x:c>
      <x:c r="H163" s="28" t="n">
        <x:f>SUMIFS('CONTEOS'!$N$2:$N$4000,'CONTEOS'!$F$2:$F$4000,A163,'CONTEOS'!$H$2:$H$4000,C163)</x:f>
        <x:v>0</x:v>
      </x:c>
      <x:c r="I163" s="28" t="n">
        <x:f>H163-G163</x:f>
        <x:v>-15000</x:v>
      </x:c>
      <x:c r="J163" t="str">
        <x:f>IF(COUNTIFS('CONTEOS'!$F$2:$F$4000,A163,'CONTEOS'!$H$2:$H$4000,C163)=0,"PENDIENTE",IF(I163=0,"CUADRA",IF(I163&gt;0,"SOBRANTE","FALTANTE")))</x:f>
        <x:v>PENDIENTE</x:v>
      </x:c>
    </x:row>
    <x:row r="164">
      <x:c r="A164" t="str">
        <x:f>'STOCK_SISTEMA'!A164</x:f>
        <x:v>EE10199</x:v>
      </x:c>
      <x:c r="B164" s="29" t="str">
        <x:f>'STOCK_SISTEMA'!B164</x:f>
        <x:v>[EE10199] ETIQUETA TEXTOS LEGALES TIYATUBO ESPAÑA</x:v>
      </x:c>
      <x:c r="C164" t="str">
        <x:f>IF('STOCK_SISTEMA'!C164="","",'STOCK_SISTEMA'!C164)</x:f>
        <x:v>INFORME 08/26</x:v>
      </x:c>
      <x:c r="D164" s="27" t="n">
        <x:f>IF('STOCK_SISTEMA'!D164="","",'STOCK_SISTEMA'!D164)</x:f>
        <x:v>46465.4690162037</x:v>
      </x:c>
      <x:c r="E164" t="str">
        <x:f>'STOCK_SISTEMA'!E164</x:f>
        <x:v>SF-03/Materiales</x:v>
      </x:c>
      <x:c r="F164" t="str">
        <x:f>'STOCK_SISTEMA'!G164</x:f>
        <x:v>Unidades</x:v>
      </x:c>
      <x:c r="G164" s="28" t="n">
        <x:f>'STOCK_SISTEMA'!F164</x:f>
        <x:v>10000</x:v>
      </x:c>
      <x:c r="H164" s="28" t="n">
        <x:f>SUMIFS('CONTEOS'!$N$2:$N$4000,'CONTEOS'!$F$2:$F$4000,A164,'CONTEOS'!$H$2:$H$4000,C164)</x:f>
        <x:v>0</x:v>
      </x:c>
      <x:c r="I164" s="28" t="n">
        <x:f>H164-G164</x:f>
        <x:v>-10000</x:v>
      </x:c>
      <x:c r="J164" t="str">
        <x:f>IF(COUNTIFS('CONTEOS'!$F$2:$F$4000,A164,'CONTEOS'!$H$2:$H$4000,C164)=0,"PENDIENTE",IF(I164=0,"CUADRA",IF(I164&gt;0,"SOBRANTE","FALTANTE")))</x:f>
        <x:v>PENDIENTE</x:v>
      </x:c>
    </x:row>
    <x:row r="165">
      <x:c r="A165" t="str">
        <x:f>'STOCK_SISTEMA'!A165</x:f>
        <x:v>EE10021-1</x:v>
      </x:c>
      <x:c r="B165" s="29" t="str">
        <x:f>'STOCK_SISTEMA'!B165</x:f>
        <x:v>[EE10021-1] LAMINA TIYAPUY AMARILLA 160GR ORG MEXICO X KG</x:v>
      </x:c>
      <x:c r="C165" t="str">
        <x:f>IF('STOCK_SISTEMA'!C165="","",'STOCK_SISTEMA'!C165)</x:f>
        <x:v>INFORME 01/26</x:v>
      </x:c>
      <x:c r="D165" s="27" t="n">
        <x:f>IF('STOCK_SISTEMA'!D165="","",'STOCK_SISTEMA'!D165)</x:f>
        <x:v>46485.91298611111</x:v>
      </x:c>
      <x:c r="E165" t="str">
        <x:f>'STOCK_SISTEMA'!E165</x:f>
        <x:v>SF-03/Materiales</x:v>
      </x:c>
      <x:c r="F165" t="str">
        <x:f>'STOCK_SISTEMA'!G165</x:f>
        <x:v>Kilogramo</x:v>
      </x:c>
      <x:c r="G165" s="28" t="n">
        <x:f>'STOCK_SISTEMA'!F165</x:f>
        <x:v>388.328</x:v>
      </x:c>
      <x:c r="H165" s="28" t="n">
        <x:f>SUMIFS('CONTEOS'!$N$2:$N$4000,'CONTEOS'!$F$2:$F$4000,A165,'CONTEOS'!$H$2:$H$4000,C165)</x:f>
        <x:v>0</x:v>
      </x:c>
      <x:c r="I165" s="28" t="n">
        <x:f>H165-G165</x:f>
        <x:v>-388.328</x:v>
      </x:c>
      <x:c r="J165" t="str">
        <x:f>IF(COUNTIFS('CONTEOS'!$F$2:$F$4000,A165,'CONTEOS'!$H$2:$H$4000,C165)=0,"PENDIENTE",IF(I165=0,"CUADRA",IF(I165&gt;0,"SOBRANTE","FALTANTE")))</x:f>
        <x:v>PENDIENTE</x:v>
      </x:c>
    </x:row>
    <x:row r="166">
      <x:c r="A166" t="str">
        <x:f>'STOCK_SISTEMA'!A166</x:f>
        <x:v>EE10041</x:v>
      </x:c>
      <x:c r="B166" s="29" t="str">
        <x:f>'STOCK_SISTEMA'!B166</x:f>
        <x:v>[EE10041] LAMINA TIYAPUY CHIPS QUINUA NATURAL 100 GR X KG</x:v>
      </x:c>
      <x:c r="C166" t="str">
        <x:f>IF('STOCK_SISTEMA'!C166="","",'STOCK_SISTEMA'!C166)</x:f>
        <x:v>INFORME 01/26</x:v>
      </x:c>
      <x:c r="D166" s="27" t="n">
        <x:f>IF('STOCK_SISTEMA'!D166="","",'STOCK_SISTEMA'!D166)</x:f>
        <x:v>46483.93354166667</x:v>
      </x:c>
      <x:c r="E166" t="str">
        <x:f>'STOCK_SISTEMA'!E166</x:f>
        <x:v>SF-03/Materiales</x:v>
      </x:c>
      <x:c r="F166" t="str">
        <x:f>'STOCK_SISTEMA'!G166</x:f>
        <x:v>Kilogramo</x:v>
      </x:c>
      <x:c r="G166" s="28" t="n">
        <x:f>'STOCK_SISTEMA'!F166</x:f>
        <x:v>327.438</x:v>
      </x:c>
      <x:c r="H166" s="28" t="n">
        <x:f>SUMIFS('CONTEOS'!$N$2:$N$4000,'CONTEOS'!$F$2:$F$4000,A166,'CONTEOS'!$H$2:$H$4000,C166)</x:f>
        <x:v>0</x:v>
      </x:c>
      <x:c r="I166" s="28" t="n">
        <x:f>H166-G166</x:f>
        <x:v>-327.438</x:v>
      </x:c>
      <x:c r="J166" t="str">
        <x:f>IF(COUNTIFS('CONTEOS'!$F$2:$F$4000,A166,'CONTEOS'!$H$2:$H$4000,C166)=0,"PENDIENTE",IF(I166=0,"CUADRA",IF(I166&gt;0,"SOBRANTE","FALTANTE")))</x:f>
        <x:v>PENDIENTE</x:v>
      </x:c>
    </x:row>
    <x:row r="167">
      <x:c r="A167" t="str">
        <x:f>'STOCK_SISTEMA'!A167</x:f>
        <x:v>EE10228</x:v>
      </x:c>
      <x:c r="B167" s="29" t="str">
        <x:f>'STOCK_SISTEMA'!B167</x:f>
        <x:v>[EE10228] LAMINA RIKY TOK 70 G ONDA NATURAL X KG</x:v>
      </x:c>
      <x:c r="C167" t="str">
        <x:f>IF('STOCK_SISTEMA'!C167="","",'STOCK_SISTEMA'!C167)</x:f>
        <x:v>INFORME 01/26</x:v>
      </x:c>
      <x:c r="D167" s="27" t="n">
        <x:f>IF('STOCK_SISTEMA'!D167="","",'STOCK_SISTEMA'!D167)</x:f>
        <x:v>46485.93689814815</x:v>
      </x:c>
      <x:c r="E167" t="str">
        <x:f>'STOCK_SISTEMA'!E167</x:f>
        <x:v>SF-03/Materiales</x:v>
      </x:c>
      <x:c r="F167" t="str">
        <x:f>'STOCK_SISTEMA'!G167</x:f>
        <x:v>Kilogramo</x:v>
      </x:c>
      <x:c r="G167" s="28" t="n">
        <x:f>'STOCK_SISTEMA'!F167</x:f>
        <x:v>526.7900000000001</x:v>
      </x:c>
      <x:c r="H167" s="28" t="n">
        <x:f>SUMIFS('CONTEOS'!$N$2:$N$4000,'CONTEOS'!$F$2:$F$4000,A167,'CONTEOS'!$H$2:$H$4000,C167)</x:f>
        <x:v>0</x:v>
      </x:c>
      <x:c r="I167" s="28" t="n">
        <x:f>H167-G167</x:f>
        <x:v>-526.7900000000001</x:v>
      </x:c>
      <x:c r="J167" t="str">
        <x:f>IF(COUNTIFS('CONTEOS'!$F$2:$F$4000,A167,'CONTEOS'!$H$2:$H$4000,C167)=0,"PENDIENTE",IF(I167=0,"CUADRA",IF(I167&gt;0,"SOBRANTE","FALTANTE")))</x:f>
        <x:v>PENDIENTE</x:v>
      </x:c>
    </x:row>
    <x:row r="168">
      <x:c r="A168" t="str">
        <x:f>'STOCK_SISTEMA'!A168</x:f>
        <x:v>EE10231</x:v>
      </x:c>
      <x:c r="B168" s="29" t="str">
        <x:f>'STOCK_SISTEMA'!B168</x:f>
        <x:v>[EE10231] LAMINA RIKY TOK 70 G ONDA JALAPEÑO X KG</x:v>
      </x:c>
      <x:c r="C168" t="str">
        <x:f>IF('STOCK_SISTEMA'!C168="","",'STOCK_SISTEMA'!C168)</x:f>
        <x:v>INFORME 01/26</x:v>
      </x:c>
      <x:c r="D168" s="27" t="n">
        <x:f>IF('STOCK_SISTEMA'!D168="","",'STOCK_SISTEMA'!D168)</x:f>
        <x:v>46485.93716435185</x:v>
      </x:c>
      <x:c r="E168" t="str">
        <x:f>'STOCK_SISTEMA'!E168</x:f>
        <x:v>SF-03/Materiales</x:v>
      </x:c>
      <x:c r="F168" t="str">
        <x:f>'STOCK_SISTEMA'!G168</x:f>
        <x:v>Kilogramo</x:v>
      </x:c>
      <x:c r="G168" s="28" t="n">
        <x:f>'STOCK_SISTEMA'!F168</x:f>
        <x:v>560.34</x:v>
      </x:c>
      <x:c r="H168" s="28" t="n">
        <x:f>SUMIFS('CONTEOS'!$N$2:$N$4000,'CONTEOS'!$F$2:$F$4000,A168,'CONTEOS'!$H$2:$H$4000,C168)</x:f>
        <x:v>0</x:v>
      </x:c>
      <x:c r="I168" s="28" t="n">
        <x:f>H168-G168</x:f>
        <x:v>-560.34</x:v>
      </x:c>
      <x:c r="J168" t="str">
        <x:f>IF(COUNTIFS('CONTEOS'!$F$2:$F$4000,A168,'CONTEOS'!$H$2:$H$4000,C168)=0,"PENDIENTE",IF(I168=0,"CUADRA",IF(I168&gt;0,"SOBRANTE","FALTANTE")))</x:f>
        <x:v>PENDIENTE</x:v>
      </x:c>
    </x:row>
    <x:row r="169">
      <x:c r="A169" t="str">
        <x:f>'STOCK_SISTEMA'!A169</x:f>
        <x:v>EE10235</x:v>
      </x:c>
      <x:c r="B169" s="29" t="str">
        <x:f>'STOCK_SISTEMA'!B169</x:f>
        <x:v>[EE10235] LAMINA RIKY TOK 135 G ONDA NATURAL X KG</x:v>
      </x:c>
      <x:c r="C169" t="str">
        <x:f>IF('STOCK_SISTEMA'!C169="","",'STOCK_SISTEMA'!C169)</x:f>
        <x:v>INFORME 01/26</x:v>
      </x:c>
      <x:c r="D169" s="27" t="n">
        <x:f>IF('STOCK_SISTEMA'!D169="","",'STOCK_SISTEMA'!D169)</x:f>
        <x:v>46485.94340277778</x:v>
      </x:c>
      <x:c r="E169" t="str">
        <x:f>'STOCK_SISTEMA'!E169</x:f>
        <x:v>SF-03/Materiales</x:v>
      </x:c>
      <x:c r="F169" t="str">
        <x:f>'STOCK_SISTEMA'!G169</x:f>
        <x:v>Kilogramo</x:v>
      </x:c>
      <x:c r="G169" s="28" t="n">
        <x:f>'STOCK_SISTEMA'!F169</x:f>
        <x:v>357.89</x:v>
      </x:c>
      <x:c r="H169" s="28" t="n">
        <x:f>SUMIFS('CONTEOS'!$N$2:$N$4000,'CONTEOS'!$F$2:$F$4000,A169,'CONTEOS'!$H$2:$H$4000,C169)</x:f>
        <x:v>0</x:v>
      </x:c>
      <x:c r="I169" s="28" t="n">
        <x:f>H169-G169</x:f>
        <x:v>-357.89</x:v>
      </x:c>
      <x:c r="J169" t="str">
        <x:f>IF(COUNTIFS('CONTEOS'!$F$2:$F$4000,A169,'CONTEOS'!$H$2:$H$4000,C169)=0,"PENDIENTE",IF(I169=0,"CUADRA",IF(I169&gt;0,"SOBRANTE","FALTANTE")))</x:f>
        <x:v>PENDIENTE</x:v>
      </x:c>
    </x:row>
    <x:row r="170">
      <x:c r="A170" t="str">
        <x:f>'STOCK_SISTEMA'!A170</x:f>
        <x:v>EE10238</x:v>
      </x:c>
      <x:c r="B170" s="29" t="str">
        <x:f>'STOCK_SISTEMA'!B170</x:f>
        <x:v>[EE10238] LAMINA RIKY TOK 135 G ONDA JALAPEÑO X KG</x:v>
      </x:c>
      <x:c r="C170" t="str">
        <x:f>IF('STOCK_SISTEMA'!C170="","",'STOCK_SISTEMA'!C170)</x:f>
        <x:v>INFORME 01/26</x:v>
      </x:c>
      <x:c r="D170" s="27" t="n">
        <x:f>IF('STOCK_SISTEMA'!D170="","",'STOCK_SISTEMA'!D170)</x:f>
        <x:v>46485.94368055555</x:v>
      </x:c>
      <x:c r="E170" t="str">
        <x:f>'STOCK_SISTEMA'!E170</x:f>
        <x:v>SF-03/Materiales</x:v>
      </x:c>
      <x:c r="F170" t="str">
        <x:f>'STOCK_SISTEMA'!G170</x:f>
        <x:v>Kilogramo</x:v>
      </x:c>
      <x:c r="G170" s="28" t="n">
        <x:f>'STOCK_SISTEMA'!F170</x:f>
        <x:v>459.78</x:v>
      </x:c>
      <x:c r="H170" s="28" t="n">
        <x:f>SUMIFS('CONTEOS'!$N$2:$N$4000,'CONTEOS'!$F$2:$F$4000,A170,'CONTEOS'!$H$2:$H$4000,C170)</x:f>
        <x:v>0</x:v>
      </x:c>
      <x:c r="I170" s="28" t="n">
        <x:f>H170-G170</x:f>
        <x:v>-459.78</x:v>
      </x:c>
      <x:c r="J170" t="str">
        <x:f>IF(COUNTIFS('CONTEOS'!$F$2:$F$4000,A170,'CONTEOS'!$H$2:$H$4000,C170)=0,"PENDIENTE",IF(I170=0,"CUADRA",IF(I170&gt;0,"SOBRANTE","FALTANTE")))</x:f>
        <x:v>PENDIENTE</x:v>
      </x:c>
    </x:row>
    <x:row r="171">
      <x:c r="A171" t="str">
        <x:f>'STOCK_SISTEMA'!A171</x:f>
        <x:v>EE10236</x:v>
      </x:c>
      <x:c r="B171" s="29" t="str">
        <x:f>'STOCK_SISTEMA'!B171</x:f>
        <x:v>[EE10236] LAMINA RIKY TOK 135 G ONDA PICANTE X KG</x:v>
      </x:c>
      <x:c r="C171" t="str">
        <x:f>IF('STOCK_SISTEMA'!C171="","",'STOCK_SISTEMA'!C171)</x:f>
        <x:v>INFORME 01/26</x:v>
      </x:c>
      <x:c r="D171" s="27" t="n">
        <x:f>IF('STOCK_SISTEMA'!D171="","",'STOCK_SISTEMA'!D171)</x:f>
        <x:v>46485.94401620371</x:v>
      </x:c>
      <x:c r="E171" t="str">
        <x:f>'STOCK_SISTEMA'!E171</x:f>
        <x:v>SF-03/Materiales</x:v>
      </x:c>
      <x:c r="F171" t="str">
        <x:f>'STOCK_SISTEMA'!G171</x:f>
        <x:v>Kilogramo</x:v>
      </x:c>
      <x:c r="G171" s="28" t="n">
        <x:f>'STOCK_SISTEMA'!F171</x:f>
        <x:v>389.54</x:v>
      </x:c>
      <x:c r="H171" s="28" t="n">
        <x:f>SUMIFS('CONTEOS'!$N$2:$N$4000,'CONTEOS'!$F$2:$F$4000,A171,'CONTEOS'!$H$2:$H$4000,C171)</x:f>
        <x:v>0</x:v>
      </x:c>
      <x:c r="I171" s="28" t="n">
        <x:f>H171-G171</x:f>
        <x:v>-389.54</x:v>
      </x:c>
      <x:c r="J171" t="str">
        <x:f>IF(COUNTIFS('CONTEOS'!$F$2:$F$4000,A171,'CONTEOS'!$H$2:$H$4000,C171)=0,"PENDIENTE",IF(I171=0,"CUADRA",IF(I171&gt;0,"SOBRANTE","FALTANTE")))</x:f>
        <x:v>PENDIENTE</x:v>
      </x:c>
    </x:row>
    <x:row r="172">
      <x:c r="A172" t="str">
        <x:f>'STOCK_SISTEMA'!A172</x:f>
        <x:v>EE10022</x:v>
      </x:c>
      <x:c r="B172" s="29" t="str">
        <x:f>'STOCK_SISTEMA'!B172</x:f>
        <x:v>[EE10022] LAMINA TIYAPUY AMARILLA PICANTE 30GR X KG</x:v>
      </x:c>
      <x:c r="C172" t="str">
        <x:f>IF('STOCK_SISTEMA'!C172="","",'STOCK_SISTEMA'!C172)</x:f>
        <x:v>INFORME 12</x:v>
      </x:c>
      <x:c r="D172" s="27" t="n">
        <x:f>IF('STOCK_SISTEMA'!D172="","",'STOCK_SISTEMA'!D172)</x:f>
        <x:v>45838.50295138889</x:v>
      </x:c>
      <x:c r="E172" t="str">
        <x:f>'STOCK_SISTEMA'!E172</x:f>
        <x:v>SF-03/Materiales</x:v>
      </x:c>
      <x:c r="F172" t="str">
        <x:f>'STOCK_SISTEMA'!G172</x:f>
        <x:v>Kilogramo</x:v>
      </x:c>
      <x:c r="G172" s="28" t="n">
        <x:f>'STOCK_SISTEMA'!F172</x:f>
        <x:v>0.4</x:v>
      </x:c>
      <x:c r="H172" s="28" t="n">
        <x:f>SUMIFS('CONTEOS'!$N$2:$N$4000,'CONTEOS'!$F$2:$F$4000,A172,'CONTEOS'!$H$2:$H$4000,C172)</x:f>
        <x:v>0</x:v>
      </x:c>
      <x:c r="I172" s="28" t="n">
        <x:f>H172-G172</x:f>
        <x:v>-0.4</x:v>
      </x:c>
      <x:c r="J172" t="str">
        <x:f>IF(COUNTIFS('CONTEOS'!$F$2:$F$4000,A172,'CONTEOS'!$H$2:$H$4000,C172)=0,"PENDIENTE",IF(I172=0,"CUADRA",IF(I172&gt;0,"SOBRANTE","FALTANTE")))</x:f>
        <x:v>PENDIENTE</x:v>
      </x:c>
    </x:row>
    <x:row r="173">
      <x:c r="A173" t="str">
        <x:f>'STOCK_SISTEMA'!A173</x:f>
        <x:v>EE10229</x:v>
      </x:c>
      <x:c r="B173" s="29" t="str">
        <x:f>'STOCK_SISTEMA'!B173</x:f>
        <x:v>[EE10229] LAMINA RIKY TOK 70 G ONDA PICANTE X KG</x:v>
      </x:c>
      <x:c r="C173" t="str">
        <x:f>IF('STOCK_SISTEMA'!C173="","",'STOCK_SISTEMA'!C173)</x:f>
        <x:v>INFORME 02/26</x:v>
      </x:c>
      <x:c r="D173" s="27" t="n">
        <x:f>IF('STOCK_SISTEMA'!D173="","",'STOCK_SISTEMA'!D173)</x:f>
        <x:v>46500.66388888889</x:v>
      </x:c>
      <x:c r="E173" t="str">
        <x:f>'STOCK_SISTEMA'!E173</x:f>
        <x:v>SF-03/Materiales</x:v>
      </x:c>
      <x:c r="F173" t="str">
        <x:f>'STOCK_SISTEMA'!G173</x:f>
        <x:v>Kilogramo</x:v>
      </x:c>
      <x:c r="G173" s="28" t="n">
        <x:f>'STOCK_SISTEMA'!F173</x:f>
        <x:v>456.174</x:v>
      </x:c>
      <x:c r="H173" s="28" t="n">
        <x:f>SUMIFS('CONTEOS'!$N$2:$N$4000,'CONTEOS'!$F$2:$F$4000,A173,'CONTEOS'!$H$2:$H$4000,C173)</x:f>
        <x:v>0</x:v>
      </x:c>
      <x:c r="I173" s="28" t="n">
        <x:f>H173-G173</x:f>
        <x:v>-456.174</x:v>
      </x:c>
      <x:c r="J173" t="str">
        <x:f>IF(COUNTIFS('CONTEOS'!$F$2:$F$4000,A173,'CONTEOS'!$H$2:$H$4000,C173)=0,"PENDIENTE",IF(I173=0,"CUADRA",IF(I173&gt;0,"SOBRANTE","FALTANTE")))</x:f>
        <x:v>PENDIENTE</x:v>
      </x:c>
    </x:row>
    <x:row r="174">
      <x:c r="A174" t="str">
        <x:f>'STOCK_SISTEMA'!A174</x:f>
        <x:v>EE10032</x:v>
      </x:c>
      <x:c r="B174" s="29" t="str">
        <x:f>'STOCK_SISTEMA'!B174</x:f>
        <x:v>[EE10032] LAMINA TIYAPUY CHIFLES 30 GR X KG</x:v>
      </x:c>
      <x:c r="C174" t="str">
        <x:f>IF('STOCK_SISTEMA'!C174="","",'STOCK_SISTEMA'!C174)</x:f>
        <x:v>INFORME 01/26</x:v>
      </x:c>
      <x:c r="D174" s="27" t="n">
        <x:f>IF('STOCK_SISTEMA'!D174="","",'STOCK_SISTEMA'!D174)</x:f>
        <x:v>46503.66787037037</x:v>
      </x:c>
      <x:c r="E174" t="str">
        <x:f>'STOCK_SISTEMA'!E174</x:f>
        <x:v>SF-03/Materiales</x:v>
      </x:c>
      <x:c r="F174" t="str">
        <x:f>'STOCK_SISTEMA'!G174</x:f>
        <x:v>Kilogramo</x:v>
      </x:c>
      <x:c r="G174" s="28" t="n">
        <x:f>'STOCK_SISTEMA'!F174</x:f>
        <x:v>210.02</x:v>
      </x:c>
      <x:c r="H174" s="28" t="n">
        <x:f>SUMIFS('CONTEOS'!$N$2:$N$4000,'CONTEOS'!$F$2:$F$4000,A174,'CONTEOS'!$H$2:$H$4000,C174)</x:f>
        <x:v>0</x:v>
      </x:c>
      <x:c r="I174" s="28" t="n">
        <x:f>H174-G174</x:f>
        <x:v>-210.02</x:v>
      </x:c>
      <x:c r="J174" t="str">
        <x:f>IF(COUNTIFS('CONTEOS'!$F$2:$F$4000,A174,'CONTEOS'!$H$2:$H$4000,C174)=0,"PENDIENTE",IF(I174=0,"CUADRA",IF(I174&gt;0,"SOBRANTE","FALTANTE")))</x:f>
        <x:v>PENDIENTE</x:v>
      </x:c>
    </x:row>
    <x:row r="175">
      <x:c r="A175" t="str">
        <x:f>'STOCK_SISTEMA'!A175</x:f>
        <x:v>EE10035</x:v>
      </x:c>
      <x:c r="B175" s="29" t="str">
        <x:f>'STOCK_SISTEMA'!B175</x:f>
        <x:v>[EE10035] LAMINA TIYAPUY CAMOTE 30 GR X KG</x:v>
      </x:c>
      <x:c r="C175" t="str">
        <x:f>IF('STOCK_SISTEMA'!C175="","",'STOCK_SISTEMA'!C175)</x:f>
        <x:v>INFORME 01/26</x:v>
      </x:c>
      <x:c r="D175" s="27" t="n">
        <x:f>IF('STOCK_SISTEMA'!D175="","",'STOCK_SISTEMA'!D175)</x:f>
        <x:v>46500.668125</x:v>
      </x:c>
      <x:c r="E175" t="str">
        <x:f>'STOCK_SISTEMA'!E175</x:f>
        <x:v>SF-03/Materiales</x:v>
      </x:c>
      <x:c r="F175" t="str">
        <x:f>'STOCK_SISTEMA'!G175</x:f>
        <x:v>Kilogramo</x:v>
      </x:c>
      <x:c r="G175" s="28" t="n">
        <x:f>'STOCK_SISTEMA'!F175</x:f>
        <x:v>33.659</x:v>
      </x:c>
      <x:c r="H175" s="28" t="n">
        <x:f>SUMIFS('CONTEOS'!$N$2:$N$4000,'CONTEOS'!$F$2:$F$4000,A175,'CONTEOS'!$H$2:$H$4000,C175)</x:f>
        <x:v>0</x:v>
      </x:c>
      <x:c r="I175" s="28" t="n">
        <x:f>H175-G175</x:f>
        <x:v>-33.659</x:v>
      </x:c>
      <x:c r="J175" t="str">
        <x:f>IF(COUNTIFS('CONTEOS'!$F$2:$F$4000,A175,'CONTEOS'!$H$2:$H$4000,C175)=0,"PENDIENTE",IF(I175=0,"CUADRA",IF(I175&gt;0,"SOBRANTE","FALTANTE")))</x:f>
        <x:v>PENDIENTE</x:v>
      </x:c>
    </x:row>
    <x:row r="176">
      <x:c r="A176" t="str">
        <x:f>'STOCK_SISTEMA'!A176</x:f>
        <x:v>MP10019-1</x:v>
      </x:c>
      <x:c r="B176" s="29" t="str">
        <x:f>'STOCK_SISTEMA'!B176</x:f>
        <x:v>[MP10019-1] SABOR TIYAPUY AJI AMARILLO MX SP A60948-28 CRAMER X KG</x:v>
      </x:c>
      <x:c r="C176" t="str">
        <x:f>IF('STOCK_SISTEMA'!C176="","",'STOCK_SISTEMA'!C176)</x:f>
        <x:v>INFORME 02/26</x:v>
      </x:c>
      <x:c r="D176" s="27" t="n">
        <x:f>IF('STOCK_SISTEMA'!D176="","",'STOCK_SISTEMA'!D176)</x:f>
        <x:v>46490.01157407407</x:v>
      </x:c>
      <x:c r="E176" t="str">
        <x:f>'STOCK_SISTEMA'!E176</x:f>
        <x:v>SF-03/Materiales</x:v>
      </x:c>
      <x:c r="F176" t="str">
        <x:f>'STOCK_SISTEMA'!G176</x:f>
        <x:v>Kilogramo</x:v>
      </x:c>
      <x:c r="G176" s="28" t="n">
        <x:f>'STOCK_SISTEMA'!F176</x:f>
        <x:v>30.808</x:v>
      </x:c>
      <x:c r="H176" s="28" t="n">
        <x:f>SUMIFS('CONTEOS'!$N$2:$N$4000,'CONTEOS'!$F$2:$F$4000,A176,'CONTEOS'!$H$2:$H$4000,C176)</x:f>
        <x:v>0</x:v>
      </x:c>
      <x:c r="I176" s="28" t="n">
        <x:f>H176-G176</x:f>
        <x:v>-30.808</x:v>
      </x:c>
      <x:c r="J176" t="str">
        <x:f>IF(COUNTIFS('CONTEOS'!$F$2:$F$4000,A176,'CONTEOS'!$H$2:$H$4000,C176)=0,"PENDIENTE",IF(I176=0,"CUADRA",IF(I176&gt;0,"SOBRANTE","FALTANTE")))</x:f>
        <x:v>PENDIENTE</x:v>
      </x:c>
    </x:row>
    <x:row r="177">
      <x:c r="A177" t="str">
        <x:f>'STOCK_SISTEMA'!A177</x:f>
        <x:v>EE10282</x:v>
      </x:c>
      <x:c r="B177" s="29" t="str">
        <x:f>'STOCK_SISTEMA'!B177</x:f>
        <x:v>[EE10282] STICKERS NUTRICIONAL BRASIL 142g LIMON PIMIENTA</x:v>
      </x:c>
      <x:c r="C177" t="str">
        <x:f>IF('STOCK_SISTEMA'!C177="","",'STOCK_SISTEMA'!C177)</x:f>
        <x:v>INFORME 01/26</x:v>
      </x:c>
      <x:c r="D177" s="27" t="n">
        <x:f>IF('STOCK_SISTEMA'!D177="","",'STOCK_SISTEMA'!D177)</x:f>
        <x:v>46752.53684027777</x:v>
      </x:c>
      <x:c r="E177" t="str">
        <x:f>'STOCK_SISTEMA'!E177</x:f>
        <x:v>SF-03/Materiales</x:v>
      </x:c>
      <x:c r="F177" t="str">
        <x:f>'STOCK_SISTEMA'!G177</x:f>
        <x:v>Unidades</x:v>
      </x:c>
      <x:c r="G177" s="28" t="n">
        <x:f>'STOCK_SISTEMA'!F177</x:f>
        <x:v>500</x:v>
      </x:c>
      <x:c r="H177" s="28" t="n">
        <x:f>SUMIFS('CONTEOS'!$N$2:$N$4000,'CONTEOS'!$F$2:$F$4000,A177,'CONTEOS'!$H$2:$H$4000,C177)</x:f>
        <x:v>0</x:v>
      </x:c>
      <x:c r="I177" s="28" t="n">
        <x:f>H177-G177</x:f>
        <x:v>-500</x:v>
      </x:c>
      <x:c r="J177" t="str">
        <x:f>IF(COUNTIFS('CONTEOS'!$F$2:$F$4000,A177,'CONTEOS'!$H$2:$H$4000,C177)=0,"PENDIENTE",IF(I177=0,"CUADRA",IF(I177&gt;0,"SOBRANTE","FALTANTE")))</x:f>
        <x:v>PENDIENTE</x:v>
      </x:c>
    </x:row>
    <x:row r="178">
      <x:c r="A178" t="str">
        <x:f>'STOCK_SISTEMA'!A178</x:f>
        <x:v>EE10284</x:v>
      </x:c>
      <x:c r="B178" s="29" t="str">
        <x:f>'STOCK_SISTEMA'!B178</x:f>
        <x:v>[EE10284] STICKERS NUTRICIONAL BRASIL 142g CAMOTE</x:v>
      </x:c>
      <x:c r="C178" t="str">
        <x:f>IF('STOCK_SISTEMA'!C178="","",'STOCK_SISTEMA'!C178)</x:f>
        <x:v>INFORME 01/26</x:v>
      </x:c>
      <x:c r="D178" s="27" t="n">
        <x:f>IF('STOCK_SISTEMA'!D178="","",'STOCK_SISTEMA'!D178)</x:f>
        <x:v>46752.53688657407</x:v>
      </x:c>
      <x:c r="E178" t="str">
        <x:f>'STOCK_SISTEMA'!E178</x:f>
        <x:v>SF-03/Materiales</x:v>
      </x:c>
      <x:c r="F178" t="str">
        <x:f>'STOCK_SISTEMA'!G178</x:f>
        <x:v>Unidades</x:v>
      </x:c>
      <x:c r="G178" s="28" t="n">
        <x:f>'STOCK_SISTEMA'!F178</x:f>
        <x:v>460</x:v>
      </x:c>
      <x:c r="H178" s="28" t="n">
        <x:f>SUMIFS('CONTEOS'!$N$2:$N$4000,'CONTEOS'!$F$2:$F$4000,A178,'CONTEOS'!$H$2:$H$4000,C178)</x:f>
        <x:v>0</x:v>
      </x:c>
      <x:c r="I178" s="28" t="n">
        <x:f>H178-G178</x:f>
        <x:v>-460</x:v>
      </x:c>
      <x:c r="J178" t="str">
        <x:f>IF(COUNTIFS('CONTEOS'!$F$2:$F$4000,A178,'CONTEOS'!$H$2:$H$4000,C178)=0,"PENDIENTE",IF(I178=0,"CUADRA",IF(I178&gt;0,"SOBRANTE","FALTANTE")))</x:f>
        <x:v>PENDIENTE</x:v>
      </x:c>
    </x:row>
    <x:row r="179">
      <x:c r="A179" t="str">
        <x:f>'STOCK_SISTEMA'!A179</x:f>
        <x:v>EE10283</x:v>
      </x:c>
      <x:c r="B179" s="29" t="str">
        <x:f>'STOCK_SISTEMA'!B179</x:f>
        <x:v>[EE10283] STICKERS NUTRICIONAL BRASIL 142g NATIVA PICANTE</x:v>
      </x:c>
      <x:c r="C179" t="str">
        <x:f>IF('STOCK_SISTEMA'!C179="","",'STOCK_SISTEMA'!C179)</x:f>
        <x:v>INFORME 01/26</x:v>
      </x:c>
      <x:c r="D179" s="27" t="n">
        <x:f>IF('STOCK_SISTEMA'!D179="","",'STOCK_SISTEMA'!D179)</x:f>
        <x:v>46752.53936342592</x:v>
      </x:c>
      <x:c r="E179" t="str">
        <x:f>'STOCK_SISTEMA'!E179</x:f>
        <x:v>SF-03/Materiales</x:v>
      </x:c>
      <x:c r="F179" t="str">
        <x:f>'STOCK_SISTEMA'!G179</x:f>
        <x:v>Unidades</x:v>
      </x:c>
      <x:c r="G179" s="28" t="n">
        <x:f>'STOCK_SISTEMA'!F179</x:f>
        <x:v>400</x:v>
      </x:c>
      <x:c r="H179" s="28" t="n">
        <x:f>SUMIFS('CONTEOS'!$N$2:$N$4000,'CONTEOS'!$F$2:$F$4000,A179,'CONTEOS'!$H$2:$H$4000,C179)</x:f>
        <x:v>0</x:v>
      </x:c>
      <x:c r="I179" s="28" t="n">
        <x:f>H179-G179</x:f>
        <x:v>-400</x:v>
      </x:c>
      <x:c r="J179" t="str">
        <x:f>IF(COUNTIFS('CONTEOS'!$F$2:$F$4000,A179,'CONTEOS'!$H$2:$H$4000,C179)=0,"PENDIENTE",IF(I179=0,"CUADRA",IF(I179&gt;0,"SOBRANTE","FALTANTE")))</x:f>
        <x:v>PENDIENTE</x:v>
      </x:c>
    </x:row>
    <x:row r="180">
      <x:c r="A180" t="str">
        <x:f>'STOCK_SISTEMA'!A180</x:f>
        <x:v>EE10280</x:v>
      </x:c>
      <x:c r="B180" s="29" t="str">
        <x:f>'STOCK_SISTEMA'!B180</x:f>
        <x:v>[EE10280] STICKERS NUTRICIONAL BRASIL 142g MIX NATIVA</x:v>
      </x:c>
      <x:c r="C180" t="str">
        <x:f>IF('STOCK_SISTEMA'!C180="","",'STOCK_SISTEMA'!C180)</x:f>
        <x:v>INFORME 01/26</x:v>
      </x:c>
      <x:c r="D180" s="27" t="n">
        <x:f>IF('STOCK_SISTEMA'!D180="","",'STOCK_SISTEMA'!D180)</x:f>
        <x:v>46752.53930555555</x:v>
      </x:c>
      <x:c r="E180" t="str">
        <x:f>'STOCK_SISTEMA'!E180</x:f>
        <x:v>SF-03/Materiales</x:v>
      </x:c>
      <x:c r="F180" t="str">
        <x:f>'STOCK_SISTEMA'!G180</x:f>
        <x:v>Unidades</x:v>
      </x:c>
      <x:c r="G180" s="28" t="n">
        <x:f>'STOCK_SISTEMA'!F180</x:f>
        <x:v>500</x:v>
      </x:c>
      <x:c r="H180" s="28" t="n">
        <x:f>SUMIFS('CONTEOS'!$N$2:$N$4000,'CONTEOS'!$F$2:$F$4000,A180,'CONTEOS'!$H$2:$H$4000,C180)</x:f>
        <x:v>0</x:v>
      </x:c>
      <x:c r="I180" s="28" t="n">
        <x:f>H180-G180</x:f>
        <x:v>-500</x:v>
      </x:c>
      <x:c r="J180" t="str">
        <x:f>IF(COUNTIFS('CONTEOS'!$F$2:$F$4000,A180,'CONTEOS'!$H$2:$H$4000,C180)=0,"PENDIENTE",IF(I180=0,"CUADRA",IF(I180&gt;0,"SOBRANTE","FALTANTE")))</x:f>
        <x:v>PENDIENTE</x:v>
      </x:c>
    </x:row>
    <x:row r="181">
      <x:c r="A181" t="str">
        <x:f>'STOCK_SISTEMA'!A181</x:f>
        <x:v>EE10047</x:v>
      </x:c>
      <x:c r="B181" s="29" t="str">
        <x:f>'STOCK_SISTEMA'!B181</x:f>
        <x:v>[EE10047] LAMINA RIKY TOK 30 GR ONDA PICANTE X KG</x:v>
      </x:c>
      <x:c r="C181" t="str">
        <x:f>IF('STOCK_SISTEMA'!C181="","",'STOCK_SISTEMA'!C181)</x:f>
        <x:v>INFORME 07/26</x:v>
      </x:c>
      <x:c r="D181" s="27" t="n">
        <x:f>IF('STOCK_SISTEMA'!D181="","",'STOCK_SISTEMA'!D181)</x:f>
        <x:v>46337.51521990741</x:v>
      </x:c>
      <x:c r="E181" t="str">
        <x:f>'STOCK_SISTEMA'!E181</x:f>
        <x:v>SF-03/Materiales</x:v>
      </x:c>
      <x:c r="F181" t="str">
        <x:f>'STOCK_SISTEMA'!G181</x:f>
        <x:v>Kilogramo</x:v>
      </x:c>
      <x:c r="G181" s="28" t="n">
        <x:f>'STOCK_SISTEMA'!F181</x:f>
        <x:v>0.32</x:v>
      </x:c>
      <x:c r="H181" s="28" t="n">
        <x:f>SUMIFS('CONTEOS'!$N$2:$N$4000,'CONTEOS'!$F$2:$F$4000,A181,'CONTEOS'!$H$2:$H$4000,C181)</x:f>
        <x:v>0</x:v>
      </x:c>
      <x:c r="I181" s="28" t="n">
        <x:f>H181-G181</x:f>
        <x:v>-0.32</x:v>
      </x:c>
      <x:c r="J181" t="str">
        <x:f>IF(COUNTIFS('CONTEOS'!$F$2:$F$4000,A181,'CONTEOS'!$H$2:$H$4000,C181)=0,"PENDIENTE",IF(I181=0,"CUADRA",IF(I181&gt;0,"SOBRANTE","FALTANTE")))</x:f>
        <x:v>PENDIENTE</x:v>
      </x:c>
    </x:row>
    <x:row r="182">
      <x:c r="A182" t="str">
        <x:f>'STOCK_SISTEMA'!A182</x:f>
        <x:v>MP10044</x:v>
      </x:c>
      <x:c r="B182" s="29" t="str">
        <x:f>'STOCK_SISTEMA'!B182</x:f>
        <x:v>[MP10044] SABOR TIYAPUY PIMIENTA LIMÓN NAT SP P49514-28 CRAMER X KG</x:v>
      </x:c>
      <x:c r="C182" t="str">
        <x:f>IF('STOCK_SISTEMA'!C182="","",'STOCK_SISTEMA'!C182)</x:f>
        <x:v>INFORME 03/26</x:v>
      </x:c>
      <x:c r="D182" s="27" t="n">
        <x:f>IF('STOCK_SISTEMA'!D182="","",'STOCK_SISTEMA'!D182)</x:f>
        <x:v>46490.65012731482</x:v>
      </x:c>
      <x:c r="E182" t="str">
        <x:f>'STOCK_SISTEMA'!E182</x:f>
        <x:v>SF-03/Materiales</x:v>
      </x:c>
      <x:c r="F182" t="str">
        <x:f>'STOCK_SISTEMA'!G182</x:f>
        <x:v>Kilogramo</x:v>
      </x:c>
      <x:c r="G182" s="28" t="n">
        <x:f>'STOCK_SISTEMA'!F182</x:f>
        <x:v>102.796</x:v>
      </x:c>
      <x:c r="H182" s="28" t="n">
        <x:f>SUMIFS('CONTEOS'!$N$2:$N$4000,'CONTEOS'!$F$2:$F$4000,A182,'CONTEOS'!$H$2:$H$4000,C182)</x:f>
        <x:v>0</x:v>
      </x:c>
      <x:c r="I182" s="28" t="n">
        <x:f>H182-G182</x:f>
        <x:v>-102.796</x:v>
      </x:c>
      <x:c r="J182" t="str">
        <x:f>IF(COUNTIFS('CONTEOS'!$F$2:$F$4000,A182,'CONTEOS'!$H$2:$H$4000,C182)=0,"PENDIENTE",IF(I182=0,"CUADRA",IF(I182&gt;0,"SOBRANTE","FALTANTE")))</x:f>
        <x:v>PENDIENTE</x:v>
      </x:c>
    </x:row>
    <x:row r="183">
      <x:c r="A183" t="str">
        <x:f>'STOCK_SISTEMA'!A183</x:f>
        <x:v>EE10106</x:v>
      </x:c>
      <x:c r="B183" s="29" t="str">
        <x:f>'STOCK_SISTEMA'!B183</x:f>
        <x:v>[EE10106] LAMINA TIYAPUY PAPAS NATIVAS CONGELADAS PEBD 1KG</x:v>
      </x:c>
      <x:c r="C183" t="str">
        <x:f>IF('STOCK_SISTEMA'!C183="","",'STOCK_SISTEMA'!C183)</x:f>
        <x:v>INFORME 01/26</x:v>
      </x:c>
      <x:c r="D183" s="27" t="n">
        <x:f>IF('STOCK_SISTEMA'!D183="","",'STOCK_SISTEMA'!D183)</x:f>
        <x:v>46519.58070601852</x:v>
      </x:c>
      <x:c r="E183" t="str">
        <x:f>'STOCK_SISTEMA'!E183</x:f>
        <x:v>SF-03/Materiales</x:v>
      </x:c>
      <x:c r="F183" t="str">
        <x:f>'STOCK_SISTEMA'!G183</x:f>
        <x:v>Kilogramo</x:v>
      </x:c>
      <x:c r="G183" s="28" t="n">
        <x:f>'STOCK_SISTEMA'!F183</x:f>
        <x:v>544.75</x:v>
      </x:c>
      <x:c r="H183" s="28" t="n">
        <x:f>SUMIFS('CONTEOS'!$N$2:$N$4000,'CONTEOS'!$F$2:$F$4000,A183,'CONTEOS'!$H$2:$H$4000,C183)</x:f>
        <x:v>0</x:v>
      </x:c>
      <x:c r="I183" s="28" t="n">
        <x:f>H183-G183</x:f>
        <x:v>-544.75</x:v>
      </x:c>
      <x:c r="J183" t="str">
        <x:f>IF(COUNTIFS('CONTEOS'!$F$2:$F$4000,A183,'CONTEOS'!$H$2:$H$4000,C183)=0,"PENDIENTE",IF(I183=0,"CUADRA",IF(I183&gt;0,"SOBRANTE","FALTANTE")))</x:f>
        <x:v>PENDIENTE</x:v>
      </x:c>
    </x:row>
    <x:row r="184">
      <x:c r="A184" t="str">
        <x:f>'STOCK_SISTEMA'!A184</x:f>
        <x:v>MP10020</x:v>
      </x:c>
      <x:c r="B184" s="29" t="str">
        <x:f>'STOCK_SISTEMA'!B184</x:f>
        <x:v>[MP10020] SABOR TIYAPUY BBQ B48620-26 CRAMER X KG</x:v>
      </x:c>
      <x:c r="C184" t="str">
        <x:f>IF('STOCK_SISTEMA'!C184="","",'STOCK_SISTEMA'!C184)</x:f>
        <x:v>INFORME 02/26</x:v>
      </x:c>
      <x:c r="D184" s="27" t="n">
        <x:f>IF('STOCK_SISTEMA'!D184="","",'STOCK_SISTEMA'!D184)</x:f>
        <x:v>46499.5925</x:v>
      </x:c>
      <x:c r="E184" t="str">
        <x:f>'STOCK_SISTEMA'!E184</x:f>
        <x:v>SF-03/Materiales</x:v>
      </x:c>
      <x:c r="F184" t="str">
        <x:f>'STOCK_SISTEMA'!G184</x:f>
        <x:v>Kilogramo</x:v>
      </x:c>
      <x:c r="G184" s="28" t="n">
        <x:f>'STOCK_SISTEMA'!F184</x:f>
        <x:v>117</x:v>
      </x:c>
      <x:c r="H184" s="28" t="n">
        <x:f>SUMIFS('CONTEOS'!$N$2:$N$4000,'CONTEOS'!$F$2:$F$4000,A184,'CONTEOS'!$H$2:$H$4000,C184)</x:f>
        <x:v>0</x:v>
      </x:c>
      <x:c r="I184" s="28" t="n">
        <x:f>H184-G184</x:f>
        <x:v>-117</x:v>
      </x:c>
      <x:c r="J184" t="str">
        <x:f>IF(COUNTIFS('CONTEOS'!$F$2:$F$4000,A184,'CONTEOS'!$H$2:$H$4000,C184)=0,"PENDIENTE",IF(I184=0,"CUADRA",IF(I184&gt;0,"SOBRANTE","FALTANTE")))</x:f>
        <x:v>PENDIENTE</x:v>
      </x:c>
    </x:row>
    <x:row r="185">
      <x:c r="A185" t="str">
        <x:f>'STOCK_SISTEMA'!A185</x:f>
        <x:v>EE10300</x:v>
      </x:c>
      <x:c r="B185" s="29" t="str">
        <x:f>'STOCK_SISTEMA'!B185</x:f>
        <x:v>[EE10300] LAMINA RIKY TOK 25 G JALAPEÑO X KG</x:v>
      </x:c>
      <x:c r="C185" t="str">
        <x:f>IF('STOCK_SISTEMA'!C185="","",'STOCK_SISTEMA'!C185)</x:f>
        <x:v>INFORME 01/26</x:v>
      </x:c>
      <x:c r="D185" s="27" t="n">
        <x:f>IF('STOCK_SISTEMA'!D185="","",'STOCK_SISTEMA'!D185)</x:f>
        <x:v>46341.52040509259</x:v>
      </x:c>
      <x:c r="E185" t="str">
        <x:f>'STOCK_SISTEMA'!E185</x:f>
        <x:v>SF-03/Materiales</x:v>
      </x:c>
      <x:c r="F185" t="str">
        <x:f>'STOCK_SISTEMA'!G185</x:f>
        <x:v>Kilogramo</x:v>
      </x:c>
      <x:c r="G185" s="28" t="n">
        <x:f>'STOCK_SISTEMA'!F185</x:f>
        <x:v>442.38</x:v>
      </x:c>
      <x:c r="H185" s="28" t="n">
        <x:f>SUMIFS('CONTEOS'!$N$2:$N$4000,'CONTEOS'!$F$2:$F$4000,A185,'CONTEOS'!$H$2:$H$4000,C185)</x:f>
        <x:v>0</x:v>
      </x:c>
      <x:c r="I185" s="28" t="n">
        <x:f>H185-G185</x:f>
        <x:v>-442.38</x:v>
      </x:c>
      <x:c r="J185" t="str">
        <x:f>IF(COUNTIFS('CONTEOS'!$F$2:$F$4000,A185,'CONTEOS'!$H$2:$H$4000,C185)=0,"PENDIENTE",IF(I185=0,"CUADRA",IF(I185&gt;0,"SOBRANTE","FALTANTE")))</x:f>
        <x:v>PENDIENTE</x:v>
      </x:c>
    </x:row>
    <x:row r="186">
      <x:c r="A186" t="str">
        <x:f>'STOCK_SISTEMA'!A186</x:f>
        <x:v>EE10297</x:v>
      </x:c>
      <x:c r="B186" s="29" t="str">
        <x:f>'STOCK_SISTEMA'!B186</x:f>
        <x:v>[EE10297] LAMINA RIKY TOK 25 G NATURAL X KG</x:v>
      </x:c>
      <x:c r="C186" t="str">
        <x:f>IF('STOCK_SISTEMA'!C186="","",'STOCK_SISTEMA'!C186)</x:f>
        <x:v>INFORME 01/26</x:v>
      </x:c>
      <x:c r="D186" s="27" t="n">
        <x:f>IF('STOCK_SISTEMA'!D186="","",'STOCK_SISTEMA'!D186)</x:f>
        <x:v>46341.52461805556</x:v>
      </x:c>
      <x:c r="E186" t="str">
        <x:f>'STOCK_SISTEMA'!E186</x:f>
        <x:v>SF-03/Materiales</x:v>
      </x:c>
      <x:c r="F186" t="str">
        <x:f>'STOCK_SISTEMA'!G186</x:f>
        <x:v>Kilogramo</x:v>
      </x:c>
      <x:c r="G186" s="28" t="n">
        <x:f>'STOCK_SISTEMA'!F186</x:f>
        <x:v>1135.45</x:v>
      </x:c>
      <x:c r="H186" s="28" t="n">
        <x:f>SUMIFS('CONTEOS'!$N$2:$N$4000,'CONTEOS'!$F$2:$F$4000,A186,'CONTEOS'!$H$2:$H$4000,C186)</x:f>
        <x:v>0</x:v>
      </x:c>
      <x:c r="I186" s="28" t="n">
        <x:f>H186-G186</x:f>
        <x:v>-1135.45</x:v>
      </x:c>
      <x:c r="J186" t="str">
        <x:f>IF(COUNTIFS('CONTEOS'!$F$2:$F$4000,A186,'CONTEOS'!$H$2:$H$4000,C186)=0,"PENDIENTE",IF(I186=0,"CUADRA",IF(I186&gt;0,"SOBRANTE","FALTANTE")))</x:f>
        <x:v>PENDIENTE</x:v>
      </x:c>
    </x:row>
    <x:row r="187">
      <x:c r="A187" t="str">
        <x:f>'STOCK_SISTEMA'!A187</x:f>
        <x:v>EE10299</x:v>
      </x:c>
      <x:c r="B187" s="29" t="str">
        <x:f>'STOCK_SISTEMA'!B187</x:f>
        <x:v>[EE10299] LAMINA RIKY TOK 25 G BBQ X KG</x:v>
      </x:c>
      <x:c r="C187" t="str">
        <x:f>IF('STOCK_SISTEMA'!C187="","",'STOCK_SISTEMA'!C187)</x:f>
        <x:v>INFORME 01/26</x:v>
      </x:c>
      <x:c r="D187" s="27" t="n">
        <x:f>IF('STOCK_SISTEMA'!D187="","",'STOCK_SISTEMA'!D187)</x:f>
        <x:v>46341.5265162037</x:v>
      </x:c>
      <x:c r="E187" t="str">
        <x:f>'STOCK_SISTEMA'!E187</x:f>
        <x:v>SF-03/Materiales</x:v>
      </x:c>
      <x:c r="F187" t="str">
        <x:f>'STOCK_SISTEMA'!G187</x:f>
        <x:v>Kilogramo</x:v>
      </x:c>
      <x:c r="G187" s="28" t="n">
        <x:f>'STOCK_SISTEMA'!F187</x:f>
        <x:v>604.94</x:v>
      </x:c>
      <x:c r="H187" s="28" t="n">
        <x:f>SUMIFS('CONTEOS'!$N$2:$N$4000,'CONTEOS'!$F$2:$F$4000,A187,'CONTEOS'!$H$2:$H$4000,C187)</x:f>
        <x:v>0</x:v>
      </x:c>
      <x:c r="I187" s="28" t="n">
        <x:f>H187-G187</x:f>
        <x:v>-604.94</x:v>
      </x:c>
      <x:c r="J187" t="str">
        <x:f>IF(COUNTIFS('CONTEOS'!$F$2:$F$4000,A187,'CONTEOS'!$H$2:$H$4000,C187)=0,"PENDIENTE",IF(I187=0,"CUADRA",IF(I187&gt;0,"SOBRANTE","FALTANTE")))</x:f>
        <x:v>PENDIENTE</x:v>
      </x:c>
    </x:row>
    <x:row r="188">
      <x:c r="A188" t="str">
        <x:f>'STOCK_SISTEMA'!A188</x:f>
        <x:v>EE10041</x:v>
      </x:c>
      <x:c r="B188" s="29" t="str">
        <x:f>'STOCK_SISTEMA'!B188</x:f>
        <x:v>[EE10041] LAMINA TIYAPUY CHIPS QUINUA NATURAL 100 GR X KG</x:v>
      </x:c>
      <x:c r="C188" t="str">
        <x:f>IF('STOCK_SISTEMA'!C188="","",'STOCK_SISTEMA'!C188)</x:f>
        <x:v>INFORME 01/25</x:v>
      </x:c>
      <x:c r="D188" s="27" t="n">
        <x:f>IF('STOCK_SISTEMA'!D188="","",'STOCK_SISTEMA'!D188)</x:f>
        <x:v>46248.805</x:v>
      </x:c>
      <x:c r="E188" t="str">
        <x:f>'STOCK_SISTEMA'!E188</x:f>
        <x:v>SF-03/Materiales</x:v>
      </x:c>
      <x:c r="F188" t="str">
        <x:f>'STOCK_SISTEMA'!G188</x:f>
        <x:v>Kilogramo</x:v>
      </x:c>
      <x:c r="G188" s="28" t="n">
        <x:f>'STOCK_SISTEMA'!F188</x:f>
        <x:v>2.8644</x:v>
      </x:c>
      <x:c r="H188" s="28" t="n">
        <x:f>SUMIFS('CONTEOS'!$N$2:$N$4000,'CONTEOS'!$F$2:$F$4000,A188,'CONTEOS'!$H$2:$H$4000,C188)</x:f>
        <x:v>0</x:v>
      </x:c>
      <x:c r="I188" s="28" t="n">
        <x:f>H188-G188</x:f>
        <x:v>-2.8644</x:v>
      </x:c>
      <x:c r="J188" t="str">
        <x:f>IF(COUNTIFS('CONTEOS'!$F$2:$F$4000,A188,'CONTEOS'!$H$2:$H$4000,C188)=0,"PENDIENTE",IF(I188=0,"CUADRA",IF(I188&gt;0,"SOBRANTE","FALTANTE")))</x:f>
        <x:v>PENDIENTE</x:v>
      </x:c>
    </x:row>
    <x:row r="189">
      <x:c r="A189" t="str">
        <x:f>'STOCK_SISTEMA'!A189</x:f>
        <x:v>EE10058-1</x:v>
      </x:c>
      <x:c r="B189" s="29" t="str">
        <x:f>'STOCK_SISTEMA'!B189</x:f>
        <x:v>[EE10058-1] ENVASE FIBRA MIX NATIVA 73x220mm TUBO 100g + TAPAS (metal + plástico)</x:v>
      </x:c>
      <x:c r="C189" t="str">
        <x:f>IF('STOCK_SISTEMA'!C189="","",'STOCK_SISTEMA'!C189)</x:f>
        <x:v>INFORME 07/26</x:v>
      </x:c>
      <x:c r="D189" s="27" t="n">
        <x:f>IF('STOCK_SISTEMA'!D189="","",'STOCK_SISTEMA'!D189)</x:f>
        <x:v>46515.42880787037</x:v>
      </x:c>
      <x:c r="E189" t="str">
        <x:f>'STOCK_SISTEMA'!E189</x:f>
        <x:v>SF-03/Materiales</x:v>
      </x:c>
      <x:c r="F189" t="str">
        <x:f>'STOCK_SISTEMA'!G189</x:f>
        <x:v>Unidades</x:v>
      </x:c>
      <x:c r="G189" s="28" t="n">
        <x:f>'STOCK_SISTEMA'!F189</x:f>
        <x:v>2880</x:v>
      </x:c>
      <x:c r="H189" s="28" t="n">
        <x:f>SUMIFS('CONTEOS'!$N$2:$N$4000,'CONTEOS'!$F$2:$F$4000,A189,'CONTEOS'!$H$2:$H$4000,C189)</x:f>
        <x:v>0</x:v>
      </x:c>
      <x:c r="I189" s="28" t="n">
        <x:f>H189-G189</x:f>
        <x:v>-2880</x:v>
      </x:c>
      <x:c r="J189" t="str">
        <x:f>IF(COUNTIFS('CONTEOS'!$F$2:$F$4000,A189,'CONTEOS'!$H$2:$H$4000,C189)=0,"PENDIENTE",IF(I189=0,"CUADRA",IF(I189&gt;0,"SOBRANTE","FALTANTE")))</x:f>
        <x:v>PENDIENTE</x:v>
      </x:c>
    </x:row>
    <x:row r="190">
      <x:c r="A190" t="str">
        <x:f>'STOCK_SISTEMA'!A190</x:f>
        <x:v>EE10213</x:v>
      </x:c>
      <x:c r="B190" s="29" t="str">
        <x:f>'STOCK_SISTEMA'!B190</x:f>
        <x:v>[EE10213] CAJA MASTER TIYAPUY S/LOGO # 15 X UND</x:v>
      </x:c>
      <x:c r="C190" t="str">
        <x:f>IF('STOCK_SISTEMA'!C190="","",'STOCK_SISTEMA'!C190)</x:f>
        <x:v>INFORME 02/26</x:v>
      </x:c>
      <x:c r="D190" s="27" t="n">
        <x:f>IF('STOCK_SISTEMA'!D190="","",'STOCK_SISTEMA'!D190)</x:f>
        <x:v>46533.91618055556</x:v>
      </x:c>
      <x:c r="E190" t="str">
        <x:f>'STOCK_SISTEMA'!E190</x:f>
        <x:v>SF-03/Materiales</x:v>
      </x:c>
      <x:c r="F190" t="str">
        <x:f>'STOCK_SISTEMA'!G190</x:f>
        <x:v>Unidades</x:v>
      </x:c>
      <x:c r="G190" s="28" t="n">
        <x:f>'STOCK_SISTEMA'!F190</x:f>
        <x:v>304</x:v>
      </x:c>
      <x:c r="H190" s="28" t="n">
        <x:f>SUMIFS('CONTEOS'!$N$2:$N$4000,'CONTEOS'!$F$2:$F$4000,A190,'CONTEOS'!$H$2:$H$4000,C190)</x:f>
        <x:v>0</x:v>
      </x:c>
      <x:c r="I190" s="28" t="n">
        <x:f>H190-G190</x:f>
        <x:v>-304</x:v>
      </x:c>
      <x:c r="J190" t="str">
        <x:f>IF(COUNTIFS('CONTEOS'!$F$2:$F$4000,A190,'CONTEOS'!$H$2:$H$4000,C190)=0,"PENDIENTE",IF(I190=0,"CUADRA",IF(I190&gt;0,"SOBRANTE","FALTANTE")))</x:f>
        <x:v>PENDIENTE</x:v>
      </x:c>
    </x:row>
    <x:row r="191">
      <x:c r="A191" t="str">
        <x:f>'STOCK_SISTEMA'!A191</x:f>
        <x:v>EE10256</x:v>
      </x:c>
      <x:c r="B191" s="29" t="str">
        <x:f>'STOCK_SISTEMA'!B191</x:f>
        <x:v>[EE10256] ETIQUETA TEXTOS LEGALES CAMOTE 142g USA</x:v>
      </x:c>
      <x:c r="C191" t="str">
        <x:f>IF('STOCK_SISTEMA'!C191="","",'STOCK_SISTEMA'!C191)</x:f>
        <x:v>INFORME 02/26</x:v>
      </x:c>
      <x:c r="D191" s="27" t="n">
        <x:f>IF('STOCK_SISTEMA'!D191="","",'STOCK_SISTEMA'!D191)</x:f>
        <x:v>46538.48396990741</x:v>
      </x:c>
      <x:c r="E191" t="str">
        <x:f>'STOCK_SISTEMA'!E191</x:f>
        <x:v>SF-03/Materiales</x:v>
      </x:c>
      <x:c r="F191" t="str">
        <x:f>'STOCK_SISTEMA'!G191</x:f>
        <x:v>Unidades</x:v>
      </x:c>
      <x:c r="G191" s="28" t="n">
        <x:f>'STOCK_SISTEMA'!F191</x:f>
        <x:v>696</x:v>
      </x:c>
      <x:c r="H191" s="28" t="n">
        <x:f>SUMIFS('CONTEOS'!$N$2:$N$4000,'CONTEOS'!$F$2:$F$4000,A191,'CONTEOS'!$H$2:$H$4000,C191)</x:f>
        <x:v>0</x:v>
      </x:c>
      <x:c r="I191" s="28" t="n">
        <x:f>H191-G191</x:f>
        <x:v>-696</x:v>
      </x:c>
      <x:c r="J191" t="str">
        <x:f>IF(COUNTIFS('CONTEOS'!$F$2:$F$4000,A191,'CONTEOS'!$H$2:$H$4000,C191)=0,"PENDIENTE",IF(I191=0,"CUADRA",IF(I191&gt;0,"SOBRANTE","FALTANTE")))</x:f>
        <x:v>PENDIENTE</x:v>
      </x:c>
    </x:row>
    <x:row r="192">
      <x:c r="A192" t="str">
        <x:f>'STOCK_SISTEMA'!A192</x:f>
        <x:v>EE10302</x:v>
      </x:c>
      <x:c r="B192" s="29" t="str">
        <x:f>'STOCK_SISTEMA'!B192</x:f>
        <x:v>[EE10302] ETIQUETA TEXTOS LEGALES MIX NATIVA 40g USA</x:v>
      </x:c>
      <x:c r="C192" t="str">
        <x:f>IF('STOCK_SISTEMA'!C192="","",'STOCK_SISTEMA'!C192)</x:f>
        <x:v>INFORME 01/26</x:v>
      </x:c>
      <x:c r="D192" s="27" t="n">
        <x:f>IF('STOCK_SISTEMA'!D192="","",'STOCK_SISTEMA'!D192)</x:f>
        <x:v>46538.47976851852</x:v>
      </x:c>
      <x:c r="E192" t="str">
        <x:f>'STOCK_SISTEMA'!E192</x:f>
        <x:v>SF-03/Materiales</x:v>
      </x:c>
      <x:c r="F192" t="str">
        <x:f>'STOCK_SISTEMA'!G192</x:f>
        <x:v>Unidades</x:v>
      </x:c>
      <x:c r="G192" s="28" t="n">
        <x:f>'STOCK_SISTEMA'!F192</x:f>
        <x:v>235</x:v>
      </x:c>
      <x:c r="H192" s="28" t="n">
        <x:f>SUMIFS('CONTEOS'!$N$2:$N$4000,'CONTEOS'!$F$2:$F$4000,A192,'CONTEOS'!$H$2:$H$4000,C192)</x:f>
        <x:v>0</x:v>
      </x:c>
      <x:c r="I192" s="28" t="n">
        <x:f>H192-G192</x:f>
        <x:v>-235</x:v>
      </x:c>
      <x:c r="J192" t="str">
        <x:f>IF(COUNTIFS('CONTEOS'!$F$2:$F$4000,A192,'CONTEOS'!$H$2:$H$4000,C192)=0,"PENDIENTE",IF(I192=0,"CUADRA",IF(I192&gt;0,"SOBRANTE","FALTANTE")))</x:f>
        <x:v>PENDIENTE</x:v>
      </x:c>
    </x:row>
    <x:row r="193">
      <x:c r="A193" t="str">
        <x:f>'STOCK_SISTEMA'!A193</x:f>
        <x:v>MP10002</x:v>
      </x:c>
      <x:c r="B193" s="29" t="str">
        <x:f>'STOCK_SISTEMA'!B193</x:f>
        <x:v>[MP10002] PAPA NATIVA MIX CONVENCIONAL X KG</x:v>
      </x:c>
      <x:c r="C193" t="str">
        <x:f>IF('STOCK_SISTEMA'!C193="","",'STOCK_SISTEMA'!C193)</x:f>
        <x:v>INFORME 107/26</x:v>
      </x:c>
      <x:c r="D193" s="27" t="n">
        <x:f>IF('STOCK_SISTEMA'!D193="","",'STOCK_SISTEMA'!D193)</x:f>
        <x:v>46241.93621527778</x:v>
      </x:c>
      <x:c r="E193" t="str">
        <x:f>'STOCK_SISTEMA'!E193</x:f>
        <x:v>SF-03/Materiales</x:v>
      </x:c>
      <x:c r="F193" t="str">
        <x:f>'STOCK_SISTEMA'!G193</x:f>
        <x:v>Kilogramo</x:v>
      </x:c>
      <x:c r="G193" s="28" t="n">
        <x:f>'STOCK_SISTEMA'!F193</x:f>
        <x:v>5612.6573</x:v>
      </x:c>
      <x:c r="H193" s="28" t="n">
        <x:f>SUMIFS('CONTEOS'!$N$2:$N$4000,'CONTEOS'!$F$2:$F$4000,A193,'CONTEOS'!$H$2:$H$4000,C193)</x:f>
        <x:v>0</x:v>
      </x:c>
      <x:c r="I193" s="28" t="n">
        <x:f>H193-G193</x:f>
        <x:v>-5612.6573</x:v>
      </x:c>
      <x:c r="J193" t="str">
        <x:f>IF(COUNTIFS('CONTEOS'!$F$2:$F$4000,A193,'CONTEOS'!$H$2:$H$4000,C193)=0,"PENDIENTE",IF(I193=0,"CUADRA",IF(I193&gt;0,"SOBRANTE","FALTANTE")))</x:f>
        <x:v>PENDIENTE</x:v>
      </x:c>
    </x:row>
    <x:row r="194">
      <x:c r="A194" t="str">
        <x:f>'STOCK_SISTEMA'!A194</x:f>
        <x:v>MP10002</x:v>
      </x:c>
      <x:c r="B194" s="29" t="str">
        <x:f>'STOCK_SISTEMA'!B194</x:f>
        <x:v>[MP10002] PAPA NATIVA MIX CONVENCIONAL X KG</x:v>
      </x:c>
      <x:c r="C194" t="str">
        <x:f>IF('STOCK_SISTEMA'!C194="","",'STOCK_SISTEMA'!C194)</x:f>
        <x:v>INFORME 111/26</x:v>
      </x:c>
      <x:c r="D194" s="27" t="n">
        <x:f>IF('STOCK_SISTEMA'!D194="","",'STOCK_SISTEMA'!D194)</x:f>
        <x:v>46235.93888888889</x:v>
      </x:c>
      <x:c r="E194" t="str">
        <x:f>'STOCK_SISTEMA'!E194</x:f>
        <x:v>SF-03/Materiales</x:v>
      </x:c>
      <x:c r="F194" t="str">
        <x:f>'STOCK_SISTEMA'!G194</x:f>
        <x:v>Kilogramo</x:v>
      </x:c>
      <x:c r="G194" s="28" t="n">
        <x:f>'STOCK_SISTEMA'!F194</x:f>
        <x:v>336.8083</x:v>
      </x:c>
      <x:c r="H194" s="28" t="n">
        <x:f>SUMIFS('CONTEOS'!$N$2:$N$4000,'CONTEOS'!$F$2:$F$4000,A194,'CONTEOS'!$H$2:$H$4000,C194)</x:f>
        <x:v>0</x:v>
      </x:c>
      <x:c r="I194" s="28" t="n">
        <x:f>H194-G194</x:f>
        <x:v>-336.8083</x:v>
      </x:c>
      <x:c r="J194" t="str">
        <x:f>IF(COUNTIFS('CONTEOS'!$F$2:$F$4000,A194,'CONTEOS'!$H$2:$H$4000,C194)=0,"PENDIENTE",IF(I194=0,"CUADRA",IF(I194&gt;0,"SOBRANTE","FALTANTE")))</x:f>
        <x:v>PENDIENTE</x:v>
      </x:c>
    </x:row>
    <x:row r="195">
      <x:c r="A195" t="str">
        <x:f>'STOCK_SISTEMA'!A195</x:f>
        <x:v>MP10002</x:v>
      </x:c>
      <x:c r="B195" s="29" t="str">
        <x:f>'STOCK_SISTEMA'!B195</x:f>
        <x:v>[MP10002] PAPA NATIVA MIX CONVENCIONAL X KG</x:v>
      </x:c>
      <x:c r="C195" t="str">
        <x:f>IF('STOCK_SISTEMA'!C195="","",'STOCK_SISTEMA'!C195)</x:f>
        <x:v>INFORME 112/26</x:v>
      </x:c>
      <x:c r="D195" s="27" t="n">
        <x:f>IF('STOCK_SISTEMA'!D195="","",'STOCK_SISTEMA'!D195)</x:f>
        <x:v>46235.94278935185</x:v>
      </x:c>
      <x:c r="E195" t="str">
        <x:f>'STOCK_SISTEMA'!E195</x:f>
        <x:v>SF-03/Materiales</x:v>
      </x:c>
      <x:c r="F195" t="str">
        <x:f>'STOCK_SISTEMA'!G195</x:f>
        <x:v>Kilogramo</x:v>
      </x:c>
      <x:c r="G195" s="28" t="n">
        <x:f>'STOCK_SISTEMA'!F195</x:f>
        <x:v>4291</x:v>
      </x:c>
      <x:c r="H195" s="28" t="n">
        <x:f>SUMIFS('CONTEOS'!$N$2:$N$4000,'CONTEOS'!$F$2:$F$4000,A195,'CONTEOS'!$H$2:$H$4000,C195)</x:f>
        <x:v>0</x:v>
      </x:c>
      <x:c r="I195" s="28" t="n">
        <x:f>H195-G195</x:f>
        <x:v>-4291</x:v>
      </x:c>
      <x:c r="J195" t="str">
        <x:f>IF(COUNTIFS('CONTEOS'!$F$2:$F$4000,A195,'CONTEOS'!$H$2:$H$4000,C195)=0,"PENDIENTE",IF(I195=0,"CUADRA",IF(I195&gt;0,"SOBRANTE","FALTANTE")))</x:f>
        <x:v>PENDIENTE</x:v>
      </x:c>
    </x:row>
    <x:row r="196">
      <x:c r="A196" t="str">
        <x:f>'STOCK_SISTEMA'!A196</x:f>
        <x:v>MP10002</x:v>
      </x:c>
      <x:c r="B196" s="29" t="str">
        <x:f>'STOCK_SISTEMA'!B196</x:f>
        <x:v>[MP10002] PAPA NATIVA MIX CONVENCIONAL X KG</x:v>
      </x:c>
      <x:c r="C196" t="str">
        <x:f>IF('STOCK_SISTEMA'!C196="","",'STOCK_SISTEMA'!C196)</x:f>
        <x:v>INFORME 116/26</x:v>
      </x:c>
      <x:c r="D196" s="27" t="n">
        <x:f>IF('STOCK_SISTEMA'!D196="","",'STOCK_SISTEMA'!D196)</x:f>
        <x:v>46203.94520833333</x:v>
      </x:c>
      <x:c r="E196" t="str">
        <x:f>'STOCK_SISTEMA'!E196</x:f>
        <x:v>SF-03/Materiales</x:v>
      </x:c>
      <x:c r="F196" t="str">
        <x:f>'STOCK_SISTEMA'!G196</x:f>
        <x:v>Kilogramo</x:v>
      </x:c>
      <x:c r="G196" s="28" t="n">
        <x:f>'STOCK_SISTEMA'!F196</x:f>
        <x:v>1926.9489</x:v>
      </x:c>
      <x:c r="H196" s="28" t="n">
        <x:f>SUMIFS('CONTEOS'!$N$2:$N$4000,'CONTEOS'!$F$2:$F$4000,A196,'CONTEOS'!$H$2:$H$4000,C196)</x:f>
        <x:v>0</x:v>
      </x:c>
      <x:c r="I196" s="28" t="n">
        <x:f>H196-G196</x:f>
        <x:v>-1926.9489</x:v>
      </x:c>
      <x:c r="J196" t="str">
        <x:f>IF(COUNTIFS('CONTEOS'!$F$2:$F$4000,A196,'CONTEOS'!$H$2:$H$4000,C196)=0,"PENDIENTE",IF(I196=0,"CUADRA",IF(I196&gt;0,"SOBRANTE","FALTANTE")))</x:f>
        <x:v>PENDIENTE</x:v>
      </x:c>
    </x:row>
    <x:row r="197">
      <x:c r="A197" t="str">
        <x:f>'STOCK_SISTEMA'!A197</x:f>
        <x:v>MP10002</x:v>
      </x:c>
      <x:c r="B197" s="29" t="str">
        <x:f>'STOCK_SISTEMA'!B197</x:f>
        <x:v>[MP10002] PAPA NATIVA MIX CONVENCIONAL X KG</x:v>
      </x:c>
      <x:c r="C197" t="str">
        <x:f>IF('STOCK_SISTEMA'!C197="","",'STOCK_SISTEMA'!C197)</x:f>
        <x:v>INFORME 118/26</x:v>
      </x:c>
      <x:c r="D197" s="27" t="n">
        <x:f>IF('STOCK_SISTEMA'!D197="","",'STOCK_SISTEMA'!D197)</x:f>
        <x:v>46265.94653935185</x:v>
      </x:c>
      <x:c r="E197" t="str">
        <x:f>'STOCK_SISTEMA'!E197</x:f>
        <x:v>SF-03/Materiales</x:v>
      </x:c>
      <x:c r="F197" t="str">
        <x:f>'STOCK_SISTEMA'!G197</x:f>
        <x:v>Kilogramo</x:v>
      </x:c>
      <x:c r="G197" s="28" t="n">
        <x:f>'STOCK_SISTEMA'!F197</x:f>
        <x:v>4332.2052</x:v>
      </x:c>
      <x:c r="H197" s="28" t="n">
        <x:f>SUMIFS('CONTEOS'!$N$2:$N$4000,'CONTEOS'!$F$2:$F$4000,A197,'CONTEOS'!$H$2:$H$4000,C197)</x:f>
        <x:v>0</x:v>
      </x:c>
      <x:c r="I197" s="28" t="n">
        <x:f>H197-G197</x:f>
        <x:v>-4332.2052</x:v>
      </x:c>
      <x:c r="J197" t="str">
        <x:f>IF(COUNTIFS('CONTEOS'!$F$2:$F$4000,A197,'CONTEOS'!$H$2:$H$4000,C197)=0,"PENDIENTE",IF(I197=0,"CUADRA",IF(I197&gt;0,"SOBRANTE","FALTANTE")))</x:f>
        <x:v>PENDIENTE</x:v>
      </x:c>
    </x:row>
    <x:row r="198">
      <x:c r="A198" t="str">
        <x:f>'STOCK_SISTEMA'!A198</x:f>
        <x:v>EE10249</x:v>
      </x:c>
      <x:c r="B198" s="29" t="str">
        <x:f>'STOCK_SISTEMA'!B198</x:f>
        <x:v>[EE10249] CINTA DE EMBALAJE TRANSPARENTE 48MMX548M X ROLLO</x:v>
      </x:c>
      <x:c r="C198" t="str">
        <x:f>IF('STOCK_SISTEMA'!C198="","",'STOCK_SISTEMA'!C198)</x:f>
        <x:v>INFORME 04/26</x:v>
      </x:c>
      <x:c r="D198" s="27" t="n">
        <x:f>IF('STOCK_SISTEMA'!D198="","",'STOCK_SISTEMA'!D198)</x:f>
        <x:v>46536.40045138889</x:v>
      </x:c>
      <x:c r="E198" t="str">
        <x:f>'STOCK_SISTEMA'!E198</x:f>
        <x:v>SF-03/Materiales</x:v>
      </x:c>
      <x:c r="F198" t="str">
        <x:f>'STOCK_SISTEMA'!G198</x:f>
        <x:v>Unidades</x:v>
      </x:c>
      <x:c r="G198" s="28" t="n">
        <x:f>'STOCK_SISTEMA'!F198</x:f>
        <x:v>103.8526</x:v>
      </x:c>
      <x:c r="H198" s="28" t="n">
        <x:f>SUMIFS('CONTEOS'!$N$2:$N$4000,'CONTEOS'!$F$2:$F$4000,A198,'CONTEOS'!$H$2:$H$4000,C198)</x:f>
        <x:v>0</x:v>
      </x:c>
      <x:c r="I198" s="28" t="n">
        <x:f>H198-G198</x:f>
        <x:v>-103.8526</x:v>
      </x:c>
      <x:c r="J198" t="str">
        <x:f>IF(COUNTIFS('CONTEOS'!$F$2:$F$4000,A198,'CONTEOS'!$H$2:$H$4000,C198)=0,"PENDIENTE",IF(I198=0,"CUADRA",IF(I198&gt;0,"SOBRANTE","FALTANTE")))</x:f>
        <x:v>PENDIENTE</x:v>
      </x:c>
    </x:row>
    <x:row r="199">
      <x:c r="A199" t="str">
        <x:f>'STOCK_SISTEMA'!A199</x:f>
        <x:v>MP10062</x:v>
      </x:c>
      <x:c r="B199" s="29" t="str">
        <x:f>'STOCK_SISTEMA'!B199</x:f>
        <x:v>[MP10062] SABOR JALAPEÑO II SP J9441328 CRAMER  X KG</x:v>
      </x:c>
      <x:c r="C199" t="str">
        <x:f>IF('STOCK_SISTEMA'!C199="","",'STOCK_SISTEMA'!C199)</x:f>
        <x:v>INFORME 04/26</x:v>
      </x:c>
      <x:c r="D199" s="27" t="n">
        <x:f>IF('STOCK_SISTEMA'!D199="","",'STOCK_SISTEMA'!D199)</x:f>
        <x:v>46498.43697916667</x:v>
      </x:c>
      <x:c r="E199" t="str">
        <x:f>'STOCK_SISTEMA'!E199</x:f>
        <x:v>SF-03/Materiales</x:v>
      </x:c>
      <x:c r="F199" t="str">
        <x:f>'STOCK_SISTEMA'!G199</x:f>
        <x:v>Kilogramo</x:v>
      </x:c>
      <x:c r="G199" s="28" t="n">
        <x:f>'STOCK_SISTEMA'!F199</x:f>
        <x:v>260.68</x:v>
      </x:c>
      <x:c r="H199" s="28" t="n">
        <x:f>SUMIFS('CONTEOS'!$N$2:$N$4000,'CONTEOS'!$F$2:$F$4000,A199,'CONTEOS'!$H$2:$H$4000,C199)</x:f>
        <x:v>0</x:v>
      </x:c>
      <x:c r="I199" s="28" t="n">
        <x:f>H199-G199</x:f>
        <x:v>-260.68</x:v>
      </x:c>
      <x:c r="J199" t="str">
        <x:f>IF(COUNTIFS('CONTEOS'!$F$2:$F$4000,A199,'CONTEOS'!$H$2:$H$4000,C199)=0,"PENDIENTE",IF(I199=0,"CUADRA",IF(I199&gt;0,"SOBRANTE","FALTANTE")))</x:f>
        <x:v>PENDIENTE</x:v>
      </x:c>
    </x:row>
    <x:row r="200">
      <x:c r="A200" t="str">
        <x:f>'STOCK_SISTEMA'!A200</x:f>
        <x:v>EE10256</x:v>
      </x:c>
      <x:c r="B200" s="29" t="str">
        <x:f>'STOCK_SISTEMA'!B200</x:f>
        <x:v>[EE10256] ETIQUETA TEXTOS LEGALES CAMOTE 142g USA</x:v>
      </x:c>
      <x:c r="C200" t="str">
        <x:f>IF('STOCK_SISTEMA'!C200="","",'STOCK_SISTEMA'!C200)</x:f>
        <x:v>INFORME 03/26</x:v>
      </x:c>
      <x:c r="D200" s="27" t="n">
        <x:f>IF('STOCK_SISTEMA'!D200="","",'STOCK_SISTEMA'!D200)</x:f>
        <x:v>46565.56209490741</x:v>
      </x:c>
      <x:c r="E200" t="str">
        <x:f>'STOCK_SISTEMA'!E200</x:f>
        <x:v>SF-03/Materiales</x:v>
      </x:c>
      <x:c r="F200" t="str">
        <x:f>'STOCK_SISTEMA'!G200</x:f>
        <x:v>Unidades</x:v>
      </x:c>
      <x:c r="G200" s="28" t="n">
        <x:f>'STOCK_SISTEMA'!F200</x:f>
        <x:v>900</x:v>
      </x:c>
      <x:c r="H200" s="28" t="n">
        <x:f>SUMIFS('CONTEOS'!$N$2:$N$4000,'CONTEOS'!$F$2:$F$4000,A200,'CONTEOS'!$H$2:$H$4000,C200)</x:f>
        <x:v>0</x:v>
      </x:c>
      <x:c r="I200" s="28" t="n">
        <x:f>H200-G200</x:f>
        <x:v>-900</x:v>
      </x:c>
      <x:c r="J200" t="str">
        <x:f>IF(COUNTIFS('CONTEOS'!$F$2:$F$4000,A200,'CONTEOS'!$H$2:$H$4000,C200)=0,"PENDIENTE",IF(I200=0,"CUADRA",IF(I200&gt;0,"SOBRANTE","FALTANTE")))</x:f>
        <x:v>PENDIENTE</x:v>
      </x:c>
    </x:row>
    <x:row r="201">
      <x:c r="A201" t="str">
        <x:f>'STOCK_SISTEMA'!A201</x:f>
        <x:v>EE10256</x:v>
      </x:c>
      <x:c r="B201" s="29" t="str">
        <x:f>'STOCK_SISTEMA'!B201</x:f>
        <x:v>[EE10256] ETIQUETA TEXTOS LEGALES CAMOTE 142g USA</x:v>
      </x:c>
      <x:c r="C201" t="str">
        <x:f>IF('STOCK_SISTEMA'!C201="","",'STOCK_SISTEMA'!C201)</x:f>
        <x:v>INFORME 04/26</x:v>
      </x:c>
      <x:c r="D201" s="27" t="n">
        <x:f>IF('STOCK_SISTEMA'!D201="","",'STOCK_SISTEMA'!D201)</x:f>
        <x:v>46542.56519675926</x:v>
      </x:c>
      <x:c r="E201" t="str">
        <x:f>'STOCK_SISTEMA'!E201</x:f>
        <x:v>SF-03/Materiales</x:v>
      </x:c>
      <x:c r="F201" t="str">
        <x:f>'STOCK_SISTEMA'!G201</x:f>
        <x:v>Unidades</x:v>
      </x:c>
      <x:c r="G201" s="28" t="n">
        <x:f>'STOCK_SISTEMA'!F201</x:f>
        <x:v>3400</x:v>
      </x:c>
      <x:c r="H201" s="28" t="n">
        <x:f>SUMIFS('CONTEOS'!$N$2:$N$4000,'CONTEOS'!$F$2:$F$4000,A201,'CONTEOS'!$H$2:$H$4000,C201)</x:f>
        <x:v>0</x:v>
      </x:c>
      <x:c r="I201" s="28" t="n">
        <x:f>H201-G201</x:f>
        <x:v>-3400</x:v>
      </x:c>
      <x:c r="J201" t="str">
        <x:f>IF(COUNTIFS('CONTEOS'!$F$2:$F$4000,A201,'CONTEOS'!$H$2:$H$4000,C201)=0,"PENDIENTE",IF(I201=0,"CUADRA",IF(I201&gt;0,"SOBRANTE","FALTANTE")))</x:f>
        <x:v>PENDIENTE</x:v>
      </x:c>
    </x:row>
    <x:row r="202">
      <x:c r="A202" t="str">
        <x:f>'STOCK_SISTEMA'!A202</x:f>
        <x:v>EE10251</x:v>
      </x:c>
      <x:c r="B202" s="29" t="str">
        <x:f>'STOCK_SISTEMA'!B202</x:f>
        <x:v>[EE10251] ETIQUETA TEXTOS LEGALES PAPAS NATIVAS AJI AMARILLO 142g USA</x:v>
      </x:c>
      <x:c r="C202" t="str">
        <x:f>IF('STOCK_SISTEMA'!C202="","",'STOCK_SISTEMA'!C202)</x:f>
        <x:v>INFORME 01/26</x:v>
      </x:c>
      <x:c r="D202" s="27" t="n">
        <x:f>IF('STOCK_SISTEMA'!D202="","",'STOCK_SISTEMA'!D202)</x:f>
        <x:v>46254.50107638889</x:v>
      </x:c>
      <x:c r="E202" t="str">
        <x:f>'STOCK_SISTEMA'!E202</x:f>
        <x:v>SF-03/Materiales</x:v>
      </x:c>
      <x:c r="F202" t="str">
        <x:f>'STOCK_SISTEMA'!G202</x:f>
        <x:v>Unidades</x:v>
      </x:c>
      <x:c r="G202" s="28" t="n">
        <x:f>'STOCK_SISTEMA'!F202</x:f>
        <x:v>1000</x:v>
      </x:c>
      <x:c r="H202" s="28" t="n">
        <x:f>SUMIFS('CONTEOS'!$N$2:$N$4000,'CONTEOS'!$F$2:$F$4000,A202,'CONTEOS'!$H$2:$H$4000,C202)</x:f>
        <x:v>0</x:v>
      </x:c>
      <x:c r="I202" s="28" t="n">
        <x:f>H202-G202</x:f>
        <x:v>-1000</x:v>
      </x:c>
      <x:c r="J202" t="str">
        <x:f>IF(COUNTIFS('CONTEOS'!$F$2:$F$4000,A202,'CONTEOS'!$H$2:$H$4000,C202)=0,"PENDIENTE",IF(I202=0,"CUADRA",IF(I202&gt;0,"SOBRANTE","FALTANTE")))</x:f>
        <x:v>PENDIENTE</x:v>
      </x:c>
    </x:row>
    <x:row r="203">
      <x:c r="A203" t="str">
        <x:f>'STOCK_SISTEMA'!A203</x:f>
        <x:v>EE10093</x:v>
      </x:c>
      <x:c r="B203" s="29" t="str">
        <x:f>'STOCK_SISTEMA'!B203</x:f>
        <x:v>[EE10093] ETIQUETA TEXTOS LEGALES PAPAS NATIVAS 142g USA</x:v>
      </x:c>
      <x:c r="C203" t="str">
        <x:f>IF('STOCK_SISTEMA'!C203="","",'STOCK_SISTEMA'!C203)</x:f>
        <x:v>INFORME 02/26</x:v>
      </x:c>
      <x:c r="D203" s="27" t="str">
        <x:f>IF('STOCK_SISTEMA'!D203="","",'STOCK_SISTEMA'!D203)</x:f>
      </x:c>
      <x:c r="E203" t="str">
        <x:f>'STOCK_SISTEMA'!E203</x:f>
        <x:v>SF-03/Materiales</x:v>
      </x:c>
      <x:c r="F203" t="str">
        <x:f>'STOCK_SISTEMA'!G203</x:f>
        <x:v>Unidades</x:v>
      </x:c>
      <x:c r="G203" s="28" t="n">
        <x:f>'STOCK_SISTEMA'!F203</x:f>
        <x:v>3400</x:v>
      </x:c>
      <x:c r="H203" s="28" t="n">
        <x:f>SUMIFS('CONTEOS'!$N$2:$N$4000,'CONTEOS'!$F$2:$F$4000,A203,'CONTEOS'!$H$2:$H$4000,C203)</x:f>
        <x:v>0</x:v>
      </x:c>
      <x:c r="I203" s="28" t="n">
        <x:f>H203-G203</x:f>
        <x:v>-3400</x:v>
      </x:c>
      <x:c r="J203" t="str">
        <x:f>IF(COUNTIFS('CONTEOS'!$F$2:$F$4000,A203,'CONTEOS'!$H$2:$H$4000,C203)=0,"PENDIENTE",IF(I203=0,"CUADRA",IF(I203&gt;0,"SOBRANTE","FALTANTE")))</x:f>
        <x:v>PENDIENTE</x:v>
      </x:c>
    </x:row>
    <x:row r="204">
      <x:c r="A204" t="str">
        <x:f>'STOCK_SISTEMA'!A204</x:f>
        <x:v>EE10304</x:v>
      </x:c>
      <x:c r="B204" s="29" t="str">
        <x:f>'STOCK_SISTEMA'!B204</x:f>
        <x:v>[EE10304] ETIQUETA TEXTOS LEGALES CHIFLE 142g USA</x:v>
      </x:c>
      <x:c r="C204" t="str">
        <x:f>IF('STOCK_SISTEMA'!C204="","",'STOCK_SISTEMA'!C204)</x:f>
        <x:v>INFORME 01/26</x:v>
      </x:c>
      <x:c r="D204" s="27" t="n">
        <x:f>IF('STOCK_SISTEMA'!D204="","",'STOCK_SISTEMA'!D204)</x:f>
        <x:v>46542.56600694444</x:v>
      </x:c>
      <x:c r="E204" t="str">
        <x:f>'STOCK_SISTEMA'!E204</x:f>
        <x:v>SF-03/Materiales</x:v>
      </x:c>
      <x:c r="F204" t="str">
        <x:f>'STOCK_SISTEMA'!G204</x:f>
        <x:v>Unidades</x:v>
      </x:c>
      <x:c r="G204" s="28" t="n">
        <x:f>'STOCK_SISTEMA'!F204</x:f>
        <x:v>1000</x:v>
      </x:c>
      <x:c r="H204" s="28" t="n">
        <x:f>SUMIFS('CONTEOS'!$N$2:$N$4000,'CONTEOS'!$F$2:$F$4000,A204,'CONTEOS'!$H$2:$H$4000,C204)</x:f>
        <x:v>0</x:v>
      </x:c>
      <x:c r="I204" s="28" t="n">
        <x:f>H204-G204</x:f>
        <x:v>-1000</x:v>
      </x:c>
      <x:c r="J204" t="str">
        <x:f>IF(COUNTIFS('CONTEOS'!$F$2:$F$4000,A204,'CONTEOS'!$H$2:$H$4000,C204)=0,"PENDIENTE",IF(I204=0,"CUADRA",IF(I204&gt;0,"SOBRANTE","FALTANTE")))</x:f>
        <x:v>PENDIENTE</x:v>
      </x:c>
    </x:row>
    <x:row r="205">
      <x:c r="A205" t="str">
        <x:f>'STOCK_SISTEMA'!A205</x:f>
        <x:v>MP10002</x:v>
      </x:c>
      <x:c r="B205" s="29" t="str">
        <x:f>'STOCK_SISTEMA'!B205</x:f>
        <x:v>[MP10002] PAPA NATIVA MIX CONVENCIONAL X KG</x:v>
      </x:c>
      <x:c r="C205" t="str">
        <x:f>IF('STOCK_SISTEMA'!C205="","",'STOCK_SISTEMA'!C205)</x:f>
        <x:v>INFORME 102/26</x:v>
      </x:c>
      <x:c r="D205" s="27" t="n">
        <x:f>IF('STOCK_SISTEMA'!D205="","",'STOCK_SISTEMA'!D205)</x:f>
        <x:v>46231.62259259259</x:v>
      </x:c>
      <x:c r="E205" t="str">
        <x:f>'STOCK_SISTEMA'!E205</x:f>
        <x:v>SF-03/Materiales</x:v>
      </x:c>
      <x:c r="F205" t="str">
        <x:f>'STOCK_SISTEMA'!G205</x:f>
        <x:v>Kilogramo</x:v>
      </x:c>
      <x:c r="G205" s="28" t="n">
        <x:f>'STOCK_SISTEMA'!F205</x:f>
        <x:v>1217.1932</x:v>
      </x:c>
      <x:c r="H205" s="28" t="n">
        <x:f>SUMIFS('CONTEOS'!$N$2:$N$4000,'CONTEOS'!$F$2:$F$4000,A205,'CONTEOS'!$H$2:$H$4000,C205)</x:f>
        <x:v>0</x:v>
      </x:c>
      <x:c r="I205" s="28" t="n">
        <x:f>H205-G205</x:f>
        <x:v>-1217.1932</x:v>
      </x:c>
      <x:c r="J205" t="str">
        <x:f>IF(COUNTIFS('CONTEOS'!$F$2:$F$4000,A205,'CONTEOS'!$H$2:$H$4000,C205)=0,"PENDIENTE",IF(I205=0,"CUADRA",IF(I205&gt;0,"SOBRANTE","FALTANTE")))</x:f>
        <x:v>PENDIENTE</x:v>
      </x:c>
    </x:row>
    <x:row r="206">
      <x:c r="A206" t="str">
        <x:f>'STOCK_SISTEMA'!A206</x:f>
        <x:v>EE10200</x:v>
      </x:c>
      <x:c r="B206" s="29" t="str">
        <x:f>'STOCK_SISTEMA'!B206</x:f>
        <x:v>[EE10200] ETIQUETA AMARILLA CAJA (ALTURA) TT-50MMx100MM 1C-T1x1000</x:v>
      </x:c>
      <x:c r="C206" t="str">
        <x:f>IF('STOCK_SISTEMA'!C206="","",'STOCK_SISTEMA'!C206)</x:f>
        <x:v>INFORME 02/26</x:v>
      </x:c>
      <x:c r="D206" s="27" t="n">
        <x:f>IF('STOCK_SISTEMA'!D206="","",'STOCK_SISTEMA'!D206)</x:f>
        <x:v>46543.72875</x:v>
      </x:c>
      <x:c r="E206" t="str">
        <x:f>'STOCK_SISTEMA'!E206</x:f>
        <x:v>SF-03/Materiales</x:v>
      </x:c>
      <x:c r="F206" t="str">
        <x:f>'STOCK_SISTEMA'!G206</x:f>
        <x:v>Unidades</x:v>
      </x:c>
      <x:c r="G206" s="28" t="n">
        <x:f>'STOCK_SISTEMA'!F206</x:f>
        <x:v>5.031000000000001</x:v>
      </x:c>
      <x:c r="H206" s="28" t="n">
        <x:f>SUMIFS('CONTEOS'!$N$2:$N$4000,'CONTEOS'!$F$2:$F$4000,A206,'CONTEOS'!$H$2:$H$4000,C206)</x:f>
        <x:v>0</x:v>
      </x:c>
      <x:c r="I206" s="28" t="n">
        <x:f>H206-G206</x:f>
        <x:v>-5.031000000000001</x:v>
      </x:c>
      <x:c r="J206" t="str">
        <x:f>IF(COUNTIFS('CONTEOS'!$F$2:$F$4000,A206,'CONTEOS'!$H$2:$H$4000,C206)=0,"PENDIENTE",IF(I206=0,"CUADRA",IF(I206&gt;0,"SOBRANTE","FALTANTE")))</x:f>
        <x:v>PENDIENTE</x:v>
      </x:c>
    </x:row>
    <x:row r="207">
      <x:c r="A207" t="str">
        <x:f>'STOCK_SISTEMA'!A207</x:f>
        <x:v>EE10012</x:v>
      </x:c>
      <x:c r="B207" s="29" t="str">
        <x:f>'STOCK_SISTEMA'!B207</x:f>
        <x:v>[EE10012] ENVASE TIYAPUY LATA + TAPA 400 GR X UND</x:v>
      </x:c>
      <x:c r="C207" t="str">
        <x:f>IF('STOCK_SISTEMA'!C207="","",'STOCK_SISTEMA'!C207)</x:f>
        <x:v>INFORME 09/26</x:v>
      </x:c>
      <x:c r="D207" s="27" t="n">
        <x:f>IF('STOCK_SISTEMA'!D207="","",'STOCK_SISTEMA'!D207)</x:f>
        <x:v>46542.73207175926</x:v>
      </x:c>
      <x:c r="E207" t="str">
        <x:f>'STOCK_SISTEMA'!E207</x:f>
        <x:v>SF-03/Materiales</x:v>
      </x:c>
      <x:c r="F207" t="str">
        <x:f>'STOCK_SISTEMA'!G207</x:f>
        <x:v>Unidades</x:v>
      </x:c>
      <x:c r="G207" s="28" t="n">
        <x:f>'STOCK_SISTEMA'!F207</x:f>
        <x:v>791</x:v>
      </x:c>
      <x:c r="H207" s="28" t="n">
        <x:f>SUMIFS('CONTEOS'!$N$2:$N$4000,'CONTEOS'!$F$2:$F$4000,A207,'CONTEOS'!$H$2:$H$4000,C207)</x:f>
        <x:v>0</x:v>
      </x:c>
      <x:c r="I207" s="28" t="n">
        <x:f>H207-G207</x:f>
        <x:v>-791</x:v>
      </x:c>
      <x:c r="J207" t="str">
        <x:f>IF(COUNTIFS('CONTEOS'!$F$2:$F$4000,A207,'CONTEOS'!$H$2:$H$4000,C207)=0,"PENDIENTE",IF(I207=0,"CUADRA",IF(I207&gt;0,"SOBRANTE","FALTANTE")))</x:f>
        <x:v>PENDIENTE</x:v>
      </x:c>
    </x:row>
    <x:row r="208">
      <x:c r="A208" t="str">
        <x:f>'STOCK_SISTEMA'!A208</x:f>
        <x:v>MP10002</x:v>
      </x:c>
      <x:c r="B208" s="29" t="str">
        <x:f>'STOCK_SISTEMA'!B208</x:f>
        <x:v>[MP10002] PAPA NATIVA MIX CONVENCIONAL X KG</x:v>
      </x:c>
      <x:c r="C208" t="str">
        <x:f>IF('STOCK_SISTEMA'!C208="","",'STOCK_SISTEMA'!C208)</x:f>
        <x:v>INFORME 56/26</x:v>
      </x:c>
      <x:c r="D208" s="27" t="n">
        <x:f>IF('STOCK_SISTEMA'!D208="","",'STOCK_SISTEMA'!D208)</x:f>
        <x:v>46188.92659722222</x:v>
      </x:c>
      <x:c r="E208" t="str">
        <x:f>'STOCK_SISTEMA'!E208</x:f>
        <x:v>SF-03/Materiales</x:v>
      </x:c>
      <x:c r="F208" t="str">
        <x:f>'STOCK_SISTEMA'!G208</x:f>
        <x:v>Kilogramo</x:v>
      </x:c>
      <x:c r="G208" s="28" t="n">
        <x:f>'STOCK_SISTEMA'!F208</x:f>
        <x:v>850</x:v>
      </x:c>
      <x:c r="H208" s="28" t="n">
        <x:f>SUMIFS('CONTEOS'!$N$2:$N$4000,'CONTEOS'!$F$2:$F$4000,A208,'CONTEOS'!$H$2:$H$4000,C208)</x:f>
        <x:v>0</x:v>
      </x:c>
      <x:c r="I208" s="28" t="n">
        <x:f>H208-G208</x:f>
        <x:v>-850</x:v>
      </x:c>
      <x:c r="J208" t="str">
        <x:f>IF(COUNTIFS('CONTEOS'!$F$2:$F$4000,A208,'CONTEOS'!$H$2:$H$4000,C208)=0,"PENDIENTE",IF(I208=0,"CUADRA",IF(I208&gt;0,"SOBRANTE","FALTANTE")))</x:f>
        <x:v>PENDIENTE</x:v>
      </x:c>
    </x:row>
    <x:row r="209">
      <x:c r="A209" t="str">
        <x:f>'STOCK_SISTEMA'!A209</x:f>
        <x:v>EE10287</x:v>
      </x:c>
      <x:c r="B209" s="29" t="str">
        <x:f>'STOCK_SISTEMA'!B209</x:f>
        <x:v>[EE10287] STICKERS NUTRICIONAL BRASIL 40g MIX NATIVA</x:v>
      </x:c>
      <x:c r="C209" t="str">
        <x:f>IF('STOCK_SISTEMA'!C209="","",'STOCK_SISTEMA'!C209)</x:f>
        <x:v>INFORME 02/26</x:v>
      </x:c>
      <x:c r="D209" s="27" t="n">
        <x:f>IF('STOCK_SISTEMA'!D209="","",'STOCK_SISTEMA'!D209)</x:f>
        <x:v>46548.68179398148</x:v>
      </x:c>
      <x:c r="E209" t="str">
        <x:f>'STOCK_SISTEMA'!E209</x:f>
        <x:v>SF-03/Materiales</x:v>
      </x:c>
      <x:c r="F209" t="str">
        <x:f>'STOCK_SISTEMA'!G209</x:f>
        <x:v>Unidades</x:v>
      </x:c>
      <x:c r="G209" s="28" t="n">
        <x:f>'STOCK_SISTEMA'!F209</x:f>
        <x:v>600</x:v>
      </x:c>
      <x:c r="H209" s="28" t="n">
        <x:f>SUMIFS('CONTEOS'!$N$2:$N$4000,'CONTEOS'!$F$2:$F$4000,A209,'CONTEOS'!$H$2:$H$4000,C209)</x:f>
        <x:v>0</x:v>
      </x:c>
      <x:c r="I209" s="28" t="n">
        <x:f>H209-G209</x:f>
        <x:v>-600</x:v>
      </x:c>
      <x:c r="J209" t="str">
        <x:f>IF(COUNTIFS('CONTEOS'!$F$2:$F$4000,A209,'CONTEOS'!$H$2:$H$4000,C209)=0,"PENDIENTE",IF(I209=0,"CUADRA",IF(I209&gt;0,"SOBRANTE","FALTANTE")))</x:f>
        <x:v>PENDIENTE</x:v>
      </x:c>
    </x:row>
    <x:row r="210">
      <x:c r="A210" t="str">
        <x:f>'STOCK_SISTEMA'!A210</x:f>
        <x:v>EE10282</x:v>
      </x:c>
      <x:c r="B210" s="29" t="str">
        <x:f>'STOCK_SISTEMA'!B210</x:f>
        <x:v>[EE10282] STICKERS NUTRICIONAL BRASIL 142g LIMON PIMIENTA</x:v>
      </x:c>
      <x:c r="C210" t="str">
        <x:f>IF('STOCK_SISTEMA'!C210="","",'STOCK_SISTEMA'!C210)</x:f>
        <x:v>INFORME 02/26</x:v>
      </x:c>
      <x:c r="D210" s="27" t="n">
        <x:f>IF('STOCK_SISTEMA'!D210="","",'STOCK_SISTEMA'!D210)</x:f>
        <x:v>46539.5547337963</x:v>
      </x:c>
      <x:c r="E210" t="str">
        <x:f>'STOCK_SISTEMA'!E210</x:f>
        <x:v>SF-03/Materiales</x:v>
      </x:c>
      <x:c r="F210" t="str">
        <x:f>'STOCK_SISTEMA'!G210</x:f>
        <x:v>Unidades</x:v>
      </x:c>
      <x:c r="G210" s="28" t="n">
        <x:f>'STOCK_SISTEMA'!F210</x:f>
        <x:v>380</x:v>
      </x:c>
      <x:c r="H210" s="28" t="n">
        <x:f>SUMIFS('CONTEOS'!$N$2:$N$4000,'CONTEOS'!$F$2:$F$4000,A210,'CONTEOS'!$H$2:$H$4000,C210)</x:f>
        <x:v>0</x:v>
      </x:c>
      <x:c r="I210" s="28" t="n">
        <x:f>H210-G210</x:f>
        <x:v>-380</x:v>
      </x:c>
      <x:c r="J210" t="str">
        <x:f>IF(COUNTIFS('CONTEOS'!$F$2:$F$4000,A210,'CONTEOS'!$H$2:$H$4000,C210)=0,"PENDIENTE",IF(I210=0,"CUADRA",IF(I210&gt;0,"SOBRANTE","FALTANTE")))</x:f>
        <x:v>PENDIENTE</x:v>
      </x:c>
    </x:row>
    <x:row r="211">
      <x:c r="A211" t="str">
        <x:f>'STOCK_SISTEMA'!A211</x:f>
        <x:v>EE10284</x:v>
      </x:c>
      <x:c r="B211" s="29" t="str">
        <x:f>'STOCK_SISTEMA'!B211</x:f>
        <x:v>[EE10284] STICKERS NUTRICIONAL BRASIL 142g CAMOTE</x:v>
      </x:c>
      <x:c r="C211" t="str">
        <x:f>IF('STOCK_SISTEMA'!C211="","",'STOCK_SISTEMA'!C211)</x:f>
        <x:v>INFORME 02/26</x:v>
      </x:c>
      <x:c r="D211" s="27" t="n">
        <x:f>IF('STOCK_SISTEMA'!D211="","",'STOCK_SISTEMA'!D211)</x:f>
        <x:v>46539.55446759259</x:v>
      </x:c>
      <x:c r="E211" t="str">
        <x:f>'STOCK_SISTEMA'!E211</x:f>
        <x:v>SF-03/Materiales</x:v>
      </x:c>
      <x:c r="F211" t="str">
        <x:f>'STOCK_SISTEMA'!G211</x:f>
        <x:v>Unidades</x:v>
      </x:c>
      <x:c r="G211" s="28" t="n">
        <x:f>'STOCK_SISTEMA'!F211</x:f>
        <x:v>200</x:v>
      </x:c>
      <x:c r="H211" s="28" t="n">
        <x:f>SUMIFS('CONTEOS'!$N$2:$N$4000,'CONTEOS'!$F$2:$F$4000,A211,'CONTEOS'!$H$2:$H$4000,C211)</x:f>
        <x:v>0</x:v>
      </x:c>
      <x:c r="I211" s="28" t="n">
        <x:f>H211-G211</x:f>
        <x:v>-200</x:v>
      </x:c>
      <x:c r="J211" t="str">
        <x:f>IF(COUNTIFS('CONTEOS'!$F$2:$F$4000,A211,'CONTEOS'!$H$2:$H$4000,C211)=0,"PENDIENTE",IF(I211=0,"CUADRA",IF(I211&gt;0,"SOBRANTE","FALTANTE")))</x:f>
        <x:v>PENDIENTE</x:v>
      </x:c>
    </x:row>
    <x:row r="212">
      <x:c r="A212" t="str">
        <x:f>'STOCK_SISTEMA'!A212</x:f>
        <x:v>EE10280</x:v>
      </x:c>
      <x:c r="B212" s="29" t="str">
        <x:f>'STOCK_SISTEMA'!B212</x:f>
        <x:v>[EE10280] STICKERS NUTRICIONAL BRASIL 142g MIX NATIVA</x:v>
      </x:c>
      <x:c r="C212" t="str">
        <x:f>IF('STOCK_SISTEMA'!C212="","",'STOCK_SISTEMA'!C212)</x:f>
        <x:v>INFORME 02/26</x:v>
      </x:c>
      <x:c r="D212" s="27" t="n">
        <x:f>IF('STOCK_SISTEMA'!D212="","",'STOCK_SISTEMA'!D212)</x:f>
        <x:v>46539.55417824074</x:v>
      </x:c>
      <x:c r="E212" t="str">
        <x:f>'STOCK_SISTEMA'!E212</x:f>
        <x:v>SF-03/Materiales</x:v>
      </x:c>
      <x:c r="F212" t="str">
        <x:f>'STOCK_SISTEMA'!G212</x:f>
        <x:v>Unidades</x:v>
      </x:c>
      <x:c r="G212" s="28" t="n">
        <x:f>'STOCK_SISTEMA'!F212</x:f>
        <x:v>449</x:v>
      </x:c>
      <x:c r="H212" s="28" t="n">
        <x:f>SUMIFS('CONTEOS'!$N$2:$N$4000,'CONTEOS'!$F$2:$F$4000,A212,'CONTEOS'!$H$2:$H$4000,C212)</x:f>
        <x:v>0</x:v>
      </x:c>
      <x:c r="I212" s="28" t="n">
        <x:f>H212-G212</x:f>
        <x:v>-449</x:v>
      </x:c>
      <x:c r="J212" t="str">
        <x:f>IF(COUNTIFS('CONTEOS'!$F$2:$F$4000,A212,'CONTEOS'!$H$2:$H$4000,C212)=0,"PENDIENTE",IF(I212=0,"CUADRA",IF(I212&gt;0,"SOBRANTE","FALTANTE")))</x:f>
        <x:v>PENDIENTE</x:v>
      </x:c>
    </x:row>
    <x:row r="213">
      <x:c r="A213" t="str">
        <x:f>'STOCK_SISTEMA'!A213</x:f>
        <x:v>EE10287</x:v>
      </x:c>
      <x:c r="B213" s="29" t="str">
        <x:f>'STOCK_SISTEMA'!B213</x:f>
        <x:v>[EE10287] STICKERS NUTRICIONAL BRASIL 40g MIX NATIVA</x:v>
      </x:c>
      <x:c r="C213" t="str">
        <x:f>IF('STOCK_SISTEMA'!C213="","",'STOCK_SISTEMA'!C213)</x:f>
        <x:v>INFORME 01/26</x:v>
      </x:c>
      <x:c r="D213" s="27" t="n">
        <x:f>IF('STOCK_SISTEMA'!D213="","",'STOCK_SISTEMA'!D213)</x:f>
        <x:v>46539.55528935185</x:v>
      </x:c>
      <x:c r="E213" t="str">
        <x:f>'STOCK_SISTEMA'!E213</x:f>
        <x:v>SF-03/Materiales</x:v>
      </x:c>
      <x:c r="F213" t="str">
        <x:f>'STOCK_SISTEMA'!G213</x:f>
        <x:v>Unidades</x:v>
      </x:c>
      <x:c r="G213" s="28" t="n">
        <x:f>'STOCK_SISTEMA'!F213</x:f>
        <x:v>557</x:v>
      </x:c>
      <x:c r="H213" s="28" t="n">
        <x:f>SUMIFS('CONTEOS'!$N$2:$N$4000,'CONTEOS'!$F$2:$F$4000,A213,'CONTEOS'!$H$2:$H$4000,C213)</x:f>
        <x:v>0</x:v>
      </x:c>
      <x:c r="I213" s="28" t="n">
        <x:f>H213-G213</x:f>
        <x:v>-557</x:v>
      </x:c>
      <x:c r="J213" t="str">
        <x:f>IF(COUNTIFS('CONTEOS'!$F$2:$F$4000,A213,'CONTEOS'!$H$2:$H$4000,C213)=0,"PENDIENTE",IF(I213=0,"CUADRA",IF(I213&gt;0,"SOBRANTE","FALTANTE")))</x:f>
        <x:v>PENDIENTE</x:v>
      </x:c>
    </x:row>
    <x:row r="214">
      <x:c r="A214" t="str">
        <x:f>'STOCK_SISTEMA'!A214</x:f>
        <x:v>EE10281</x:v>
      </x:c>
      <x:c r="B214" s="29" t="str">
        <x:f>'STOCK_SISTEMA'!B214</x:f>
        <x:v>[EE10281] STICKERS NUTRICIONAL BRASIL 142g JALAPEÑO</x:v>
      </x:c>
      <x:c r="C214" t="str">
        <x:f>IF('STOCK_SISTEMA'!C214="","",'STOCK_SISTEMA'!C214)</x:f>
        <x:v>INFORME 01/26</x:v>
      </x:c>
      <x:c r="D214" s="27" t="n">
        <x:f>IF('STOCK_SISTEMA'!D214="","",'STOCK_SISTEMA'!D214)</x:f>
        <x:v>46539.55396990741</x:v>
      </x:c>
      <x:c r="E214" t="str">
        <x:f>'STOCK_SISTEMA'!E214</x:f>
        <x:v>SF-03/Materiales</x:v>
      </x:c>
      <x:c r="F214" t="str">
        <x:f>'STOCK_SISTEMA'!G214</x:f>
        <x:v>Unidades</x:v>
      </x:c>
      <x:c r="G214" s="28" t="n">
        <x:f>'STOCK_SISTEMA'!F214</x:f>
        <x:v>600</x:v>
      </x:c>
      <x:c r="H214" s="28" t="n">
        <x:f>SUMIFS('CONTEOS'!$N$2:$N$4000,'CONTEOS'!$F$2:$F$4000,A214,'CONTEOS'!$H$2:$H$4000,C214)</x:f>
        <x:v>0</x:v>
      </x:c>
      <x:c r="I214" s="28" t="n">
        <x:f>H214-G214</x:f>
        <x:v>-600</x:v>
      </x:c>
      <x:c r="J214" t="str">
        <x:f>IF(COUNTIFS('CONTEOS'!$F$2:$F$4000,A214,'CONTEOS'!$H$2:$H$4000,C214)=0,"PENDIENTE",IF(I214=0,"CUADRA",IF(I214&gt;0,"SOBRANTE","FALTANTE")))</x:f>
        <x:v>PENDIENTE</x:v>
      </x:c>
    </x:row>
    <x:row r="215">
      <x:c r="A215" t="str">
        <x:f>'STOCK_SISTEMA'!A215</x:f>
        <x:v>EE10285</x:v>
      </x:c>
      <x:c r="B215" s="29" t="str">
        <x:f>'STOCK_SISTEMA'!B215</x:f>
        <x:v>[EE10285] STICKERS NUTRICIONAL BRASIL 142g PLATANO</x:v>
      </x:c>
      <x:c r="C215" t="str">
        <x:f>IF('STOCK_SISTEMA'!C215="","",'STOCK_SISTEMA'!C215)</x:f>
        <x:v>INFORME 01/26</x:v>
      </x:c>
      <x:c r="D215" s="27" t="n">
        <x:f>IF('STOCK_SISTEMA'!D215="","",'STOCK_SISTEMA'!D215)</x:f>
        <x:v>46539.55505787037</x:v>
      </x:c>
      <x:c r="E215" t="str">
        <x:f>'STOCK_SISTEMA'!E215</x:f>
        <x:v>SF-03/Materiales</x:v>
      </x:c>
      <x:c r="F215" t="str">
        <x:f>'STOCK_SISTEMA'!G215</x:f>
        <x:v>Unidades</x:v>
      </x:c>
      <x:c r="G215" s="28" t="n">
        <x:f>'STOCK_SISTEMA'!F215</x:f>
        <x:v>200</x:v>
      </x:c>
      <x:c r="H215" s="28" t="n">
        <x:f>SUMIFS('CONTEOS'!$N$2:$N$4000,'CONTEOS'!$F$2:$F$4000,A215,'CONTEOS'!$H$2:$H$4000,C215)</x:f>
        <x:v>0</x:v>
      </x:c>
      <x:c r="I215" s="28" t="n">
        <x:f>H215-G215</x:f>
        <x:v>-200</x:v>
      </x:c>
      <x:c r="J215" t="str">
        <x:f>IF(COUNTIFS('CONTEOS'!$F$2:$F$4000,A215,'CONTEOS'!$H$2:$H$4000,C215)=0,"PENDIENTE",IF(I215=0,"CUADRA",IF(I215&gt;0,"SOBRANTE","FALTANTE")))</x:f>
        <x:v>PENDIENTE</x:v>
      </x:c>
    </x:row>
    <x:row r="216">
      <x:c r="A216" t="str">
        <x:f>'STOCK_SISTEMA'!A216</x:f>
        <x:v>EE10286</x:v>
      </x:c>
      <x:c r="B216" s="29" t="str">
        <x:f>'STOCK_SISTEMA'!B216</x:f>
        <x:v>[EE10286] STICKERS NUTRICIONAL BRASIL 100g QUINUA NATURAL</x:v>
      </x:c>
      <x:c r="C216" t="str">
        <x:f>IF('STOCK_SISTEMA'!C216="","",'STOCK_SISTEMA'!C216)</x:f>
        <x:v>INFORME 01/26</x:v>
      </x:c>
      <x:c r="D216" s="27" t="n">
        <x:f>IF('STOCK_SISTEMA'!D216="","",'STOCK_SISTEMA'!D216)</x:f>
        <x:v>46752.55547453704</x:v>
      </x:c>
      <x:c r="E216" t="str">
        <x:f>'STOCK_SISTEMA'!E216</x:f>
        <x:v>SF-03/Materiales</x:v>
      </x:c>
      <x:c r="F216" t="str">
        <x:f>'STOCK_SISTEMA'!G216</x:f>
        <x:v>Unidades</x:v>
      </x:c>
      <x:c r="G216" s="28" t="n">
        <x:f>'STOCK_SISTEMA'!F216</x:f>
        <x:v>120</x:v>
      </x:c>
      <x:c r="H216" s="28" t="n">
        <x:f>SUMIFS('CONTEOS'!$N$2:$N$4000,'CONTEOS'!$F$2:$F$4000,A216,'CONTEOS'!$H$2:$H$4000,C216)</x:f>
        <x:v>0</x:v>
      </x:c>
      <x:c r="I216" s="28" t="n">
        <x:f>H216-G216</x:f>
        <x:v>-120</x:v>
      </x:c>
      <x:c r="J216" t="str">
        <x:f>IF(COUNTIFS('CONTEOS'!$F$2:$F$4000,A216,'CONTEOS'!$H$2:$H$4000,C216)=0,"PENDIENTE",IF(I216=0,"CUADRA",IF(I216&gt;0,"SOBRANTE","FALTANTE")))</x:f>
        <x:v>PENDIENTE</x:v>
      </x:c>
    </x:row>
    <x:row r="217">
      <x:c r="A217" t="str">
        <x:f>'STOCK_SISTEMA'!A217</x:f>
        <x:v>EE10303</x:v>
      </x:c>
      <x:c r="B217" s="29" t="str">
        <x:f>'STOCK_SISTEMA'!B217</x:f>
        <x:v>[EE10303] ETIQUETA TEXTOS LEGALES QUINUA PICANTE 100g USA</x:v>
      </x:c>
      <x:c r="C217" t="str">
        <x:f>IF('STOCK_SISTEMA'!C217="","",'STOCK_SISTEMA'!C217)</x:f>
        <x:v>INFORME 01/26</x:v>
      </x:c>
      <x:c r="D217" s="27" t="n">
        <x:f>IF('STOCK_SISTEMA'!D217="","",'STOCK_SISTEMA'!D217)</x:f>
        <x:v>46538.4796875</x:v>
      </x:c>
      <x:c r="E217" t="str">
        <x:f>'STOCK_SISTEMA'!E217</x:f>
        <x:v>SF-03/Materiales</x:v>
      </x:c>
      <x:c r="F217" t="str">
        <x:f>'STOCK_SISTEMA'!G217</x:f>
        <x:v>Unidades</x:v>
      </x:c>
      <x:c r="G217" s="28" t="n">
        <x:f>'STOCK_SISTEMA'!F217</x:f>
        <x:v>173</x:v>
      </x:c>
      <x:c r="H217" s="28" t="n">
        <x:f>SUMIFS('CONTEOS'!$N$2:$N$4000,'CONTEOS'!$F$2:$F$4000,A217,'CONTEOS'!$H$2:$H$4000,C217)</x:f>
        <x:v>0</x:v>
      </x:c>
      <x:c r="I217" s="28" t="n">
        <x:f>H217-G217</x:f>
        <x:v>-173</x:v>
      </x:c>
      <x:c r="J217" t="str">
        <x:f>IF(COUNTIFS('CONTEOS'!$F$2:$F$4000,A217,'CONTEOS'!$H$2:$H$4000,C217)=0,"PENDIENTE",IF(I217=0,"CUADRA",IF(I217&gt;0,"SOBRANTE","FALTANTE")))</x:f>
        <x:v>PENDIENTE</x:v>
      </x:c>
    </x:row>
    <x:row r="218">
      <x:c r="A218" t="str">
        <x:f>'STOCK_SISTEMA'!A218</x:f>
        <x:v>EE10290</x:v>
      </x:c>
      <x:c r="B218" s="29" t="str">
        <x:f>'STOCK_SISTEMA'!B218</x:f>
        <x:v>[EE10290] STICKERS NUTRICIONAL BRASIL 100g QUINUA BBQ</x:v>
      </x:c>
      <x:c r="C218" t="str">
        <x:f>IF('STOCK_SISTEMA'!C218="","",'STOCK_SISTEMA'!C218)</x:f>
        <x:v>INFORME 01/26</x:v>
      </x:c>
      <x:c r="D218" s="27" t="n">
        <x:f>IF('STOCK_SISTEMA'!D218="","",'STOCK_SISTEMA'!D218)</x:f>
        <x:v>46539.55572916667</x:v>
      </x:c>
      <x:c r="E218" t="str">
        <x:f>'STOCK_SISTEMA'!E218</x:f>
        <x:v>SF-03/Materiales</x:v>
      </x:c>
      <x:c r="F218" t="str">
        <x:f>'STOCK_SISTEMA'!G218</x:f>
        <x:v>Unidades</x:v>
      </x:c>
      <x:c r="G218" s="28" t="n">
        <x:f>'STOCK_SISTEMA'!F218</x:f>
        <x:v>142</x:v>
      </x:c>
      <x:c r="H218" s="28" t="n">
        <x:f>SUMIFS('CONTEOS'!$N$2:$N$4000,'CONTEOS'!$F$2:$F$4000,A218,'CONTEOS'!$H$2:$H$4000,C218)</x:f>
        <x:v>0</x:v>
      </x:c>
      <x:c r="I218" s="28" t="n">
        <x:f>H218-G218</x:f>
        <x:v>-142</x:v>
      </x:c>
      <x:c r="J218" t="str">
        <x:f>IF(COUNTIFS('CONTEOS'!$F$2:$F$4000,A218,'CONTEOS'!$H$2:$H$4000,C218)=0,"PENDIENTE",IF(I218=0,"CUADRA",IF(I218&gt;0,"SOBRANTE","FALTANTE")))</x:f>
        <x:v>PENDIENTE</x:v>
      </x:c>
    </x:row>
    <x:row r="219">
      <x:c r="A219" t="str">
        <x:f>'STOCK_SISTEMA'!A219</x:f>
        <x:v>EE10036</x:v>
      </x:c>
      <x:c r="B219" s="29" t="str">
        <x:f>'STOCK_SISTEMA'!B219</x:f>
        <x:v>[EE10036] LAMINA TIYAPUY CAMOTE 40 GR X KG</x:v>
      </x:c>
      <x:c r="C219" t="str">
        <x:f>IF('STOCK_SISTEMA'!C219="","",'STOCK_SISTEMA'!C219)</x:f>
        <x:v>INFORME 01/26</x:v>
      </x:c>
      <x:c r="D219" s="27" t="n">
        <x:f>IF('STOCK_SISTEMA'!D219="","",'STOCK_SISTEMA'!D219)</x:f>
        <x:v>46550.41601851852</x:v>
      </x:c>
      <x:c r="E219" t="str">
        <x:f>'STOCK_SISTEMA'!E219</x:f>
        <x:v>SF-03/Materiales</x:v>
      </x:c>
      <x:c r="F219" t="str">
        <x:f>'STOCK_SISTEMA'!G219</x:f>
        <x:v>Kilogramo</x:v>
      </x:c>
      <x:c r="G219" s="28" t="n">
        <x:f>'STOCK_SISTEMA'!F219</x:f>
        <x:v>352.4463</x:v>
      </x:c>
      <x:c r="H219" s="28" t="n">
        <x:f>SUMIFS('CONTEOS'!$N$2:$N$4000,'CONTEOS'!$F$2:$F$4000,A219,'CONTEOS'!$H$2:$H$4000,C219)</x:f>
        <x:v>0</x:v>
      </x:c>
      <x:c r="I219" s="28" t="n">
        <x:f>H219-G219</x:f>
        <x:v>-352.4463</x:v>
      </x:c>
      <x:c r="J219" t="str">
        <x:f>IF(COUNTIFS('CONTEOS'!$F$2:$F$4000,A219,'CONTEOS'!$H$2:$H$4000,C219)=0,"PENDIENTE",IF(I219=0,"CUADRA",IF(I219&gt;0,"SOBRANTE","FALTANTE")))</x:f>
        <x:v>PENDIENTE</x:v>
      </x:c>
    </x:row>
    <x:row r="220">
      <x:c r="A220" t="str">
        <x:f>'STOCK_SISTEMA'!A220</x:f>
        <x:v>MP10036</x:v>
      </x:c>
      <x:c r="B220" s="29" t="str">
        <x:f>'STOCK_SISTEMA'!B220</x:f>
        <x:v>[MP10036] SABOR TIYAPUY JALAPEÑO MX SP J06708-28 X KG</x:v>
      </x:c>
      <x:c r="C220" t="str">
        <x:f>IF('STOCK_SISTEMA'!C220="","",'STOCK_SISTEMA'!C220)</x:f>
        <x:v>INFORME 08/26</x:v>
      </x:c>
      <x:c r="D220" s="27" t="n">
        <x:f>IF('STOCK_SISTEMA'!D220="","",'STOCK_SISTEMA'!D220)</x:f>
        <x:v>46542.60833333333</x:v>
      </x:c>
      <x:c r="E220" t="str">
        <x:f>'STOCK_SISTEMA'!E220</x:f>
        <x:v>SF-03/Materiales</x:v>
      </x:c>
      <x:c r="F220" t="str">
        <x:f>'STOCK_SISTEMA'!G220</x:f>
        <x:v>Kilogramo</x:v>
      </x:c>
      <x:c r="G220" s="28" t="n">
        <x:f>'STOCK_SISTEMA'!F220</x:f>
        <x:v>273.084</x:v>
      </x:c>
      <x:c r="H220" s="28" t="n">
        <x:f>SUMIFS('CONTEOS'!$N$2:$N$4000,'CONTEOS'!$F$2:$F$4000,A220,'CONTEOS'!$H$2:$H$4000,C220)</x:f>
        <x:v>0</x:v>
      </x:c>
      <x:c r="I220" s="28" t="n">
        <x:f>H220-G220</x:f>
        <x:v>-273.084</x:v>
      </x:c>
      <x:c r="J220" t="str">
        <x:f>IF(COUNTIFS('CONTEOS'!$F$2:$F$4000,A220,'CONTEOS'!$H$2:$H$4000,C220)=0,"PENDIENTE",IF(I220=0,"CUADRA",IF(I220&gt;0,"SOBRANTE","FALTANTE")))</x:f>
        <x:v>PENDIENTE</x:v>
      </x:c>
    </x:row>
    <x:row r="221">
      <x:c r="A221" t="str">
        <x:f>'STOCK_SISTEMA'!A221</x:f>
        <x:v>MP10002</x:v>
      </x:c>
      <x:c r="B221" s="29" t="str">
        <x:f>'STOCK_SISTEMA'!B221</x:f>
        <x:v>[MP10002] PAPA NATIVA MIX CONVENCIONAL X KG</x:v>
      </x:c>
      <x:c r="C221" t="str">
        <x:f>IF('STOCK_SISTEMA'!C221="","",'STOCK_SISTEMA'!C221)</x:f>
        <x:v>INFORME 123/26</x:v>
      </x:c>
      <x:c r="D221" s="27" t="n">
        <x:f>IF('STOCK_SISTEMA'!D221="","",'STOCK_SISTEMA'!D221)</x:f>
        <x:v>46251.59892361111</x:v>
      </x:c>
      <x:c r="E221" t="str">
        <x:f>'STOCK_SISTEMA'!E221</x:f>
        <x:v>SF-03/Materiales</x:v>
      </x:c>
      <x:c r="F221" t="str">
        <x:f>'STOCK_SISTEMA'!G221</x:f>
        <x:v>Kilogramo</x:v>
      </x:c>
      <x:c r="G221" s="28" t="n">
        <x:f>'STOCK_SISTEMA'!F221</x:f>
        <x:v>4284.9927</x:v>
      </x:c>
      <x:c r="H221" s="28" t="n">
        <x:f>SUMIFS('CONTEOS'!$N$2:$N$4000,'CONTEOS'!$F$2:$F$4000,A221,'CONTEOS'!$H$2:$H$4000,C221)</x:f>
        <x:v>0</x:v>
      </x:c>
      <x:c r="I221" s="28" t="n">
        <x:f>H221-G221</x:f>
        <x:v>-4284.9927</x:v>
      </x:c>
      <x:c r="J221" t="str">
        <x:f>IF(COUNTIFS('CONTEOS'!$F$2:$F$4000,A221,'CONTEOS'!$H$2:$H$4000,C221)=0,"PENDIENTE",IF(I221=0,"CUADRA",IF(I221&gt;0,"SOBRANTE","FALTANTE")))</x:f>
        <x:v>PENDIENTE</x:v>
      </x:c>
    </x:row>
    <x:row r="222">
      <x:c r="A222" t="str">
        <x:f>'STOCK_SISTEMA'!A222</x:f>
        <x:v>MP10002</x:v>
      </x:c>
      <x:c r="B222" s="29" t="str">
        <x:f>'STOCK_SISTEMA'!B222</x:f>
        <x:v>[MP10002] PAPA NATIVA MIX CONVENCIONAL X KG</x:v>
      </x:c>
      <x:c r="C222" t="str">
        <x:f>IF('STOCK_SISTEMA'!C222="","",'STOCK_SISTEMA'!C222)</x:f>
        <x:v>INFORME 131/26</x:v>
      </x:c>
      <x:c r="D222" s="27" t="n">
        <x:f>IF('STOCK_SISTEMA'!D222="","",'STOCK_SISTEMA'!D222)</x:f>
        <x:v>46251.60275462963</x:v>
      </x:c>
      <x:c r="E222" t="str">
        <x:f>'STOCK_SISTEMA'!E222</x:f>
        <x:v>SF-03/Materiales</x:v>
      </x:c>
      <x:c r="F222" t="str">
        <x:f>'STOCK_SISTEMA'!G222</x:f>
        <x:v>Kilogramo</x:v>
      </x:c>
      <x:c r="G222" s="28" t="n">
        <x:f>'STOCK_SISTEMA'!F222</x:f>
        <x:v>437.12</x:v>
      </x:c>
      <x:c r="H222" s="28" t="n">
        <x:f>SUMIFS('CONTEOS'!$N$2:$N$4000,'CONTEOS'!$F$2:$F$4000,A222,'CONTEOS'!$H$2:$H$4000,C222)</x:f>
        <x:v>0</x:v>
      </x:c>
      <x:c r="I222" s="28" t="n">
        <x:f>H222-G222</x:f>
        <x:v>-437.12</x:v>
      </x:c>
      <x:c r="J222" t="str">
        <x:f>IF(COUNTIFS('CONTEOS'!$F$2:$F$4000,A222,'CONTEOS'!$H$2:$H$4000,C222)=0,"PENDIENTE",IF(I222=0,"CUADRA",IF(I222&gt;0,"SOBRANTE","FALTANTE")))</x:f>
        <x:v>PENDIENTE</x:v>
      </x:c>
    </x:row>
    <x:row r="223">
      <x:c r="A223" t="str">
        <x:f>'STOCK_SISTEMA'!A223</x:f>
        <x:v>MP10002</x:v>
      </x:c>
      <x:c r="B223" s="29" t="str">
        <x:f>'STOCK_SISTEMA'!B223</x:f>
        <x:v>[MP10002] PAPA NATIVA MIX CONVENCIONAL X KG</x:v>
      </x:c>
      <x:c r="C223" t="str">
        <x:f>IF('STOCK_SISTEMA'!C223="","",'STOCK_SISTEMA'!C223)</x:f>
        <x:v>INFORME 140/26</x:v>
      </x:c>
      <x:c r="D223" s="27" t="n">
        <x:f>IF('STOCK_SISTEMA'!D223="","",'STOCK_SISTEMA'!D223)</x:f>
        <x:v>46249.48166666667</x:v>
      </x:c>
      <x:c r="E223" t="str">
        <x:f>'STOCK_SISTEMA'!E223</x:f>
        <x:v>SF-03/Materiales</x:v>
      </x:c>
      <x:c r="F223" t="str">
        <x:f>'STOCK_SISTEMA'!G223</x:f>
        <x:v>Kilogramo</x:v>
      </x:c>
      <x:c r="G223" s="28" t="n">
        <x:f>'STOCK_SISTEMA'!F223</x:f>
        <x:v>4345.3</x:v>
      </x:c>
      <x:c r="H223" s="28" t="n">
        <x:f>SUMIFS('CONTEOS'!$N$2:$N$4000,'CONTEOS'!$F$2:$F$4000,A223,'CONTEOS'!$H$2:$H$4000,C223)</x:f>
        <x:v>0</x:v>
      </x:c>
      <x:c r="I223" s="28" t="n">
        <x:f>H223-G223</x:f>
        <x:v>-4345.3</x:v>
      </x:c>
      <x:c r="J223" t="str">
        <x:f>IF(COUNTIFS('CONTEOS'!$F$2:$F$4000,A223,'CONTEOS'!$H$2:$H$4000,C223)=0,"PENDIENTE",IF(I223=0,"CUADRA",IF(I223&gt;0,"SOBRANTE","FALTANTE")))</x:f>
        <x:v>PENDIENTE</x:v>
      </x:c>
    </x:row>
    <x:row r="224">
      <x:c r="A224" t="str">
        <x:f>'STOCK_SISTEMA'!A224</x:f>
        <x:v>MP10002</x:v>
      </x:c>
      <x:c r="B224" s="29" t="str">
        <x:f>'STOCK_SISTEMA'!B224</x:f>
        <x:v>[MP10002] PAPA NATIVA MIX CONVENCIONAL X KG</x:v>
      </x:c>
      <x:c r="C224" t="str">
        <x:f>IF('STOCK_SISTEMA'!C224="","",'STOCK_SISTEMA'!C224)</x:f>
        <x:v>INFORME 141/26</x:v>
      </x:c>
      <x:c r="D224" s="27" t="n">
        <x:f>IF('STOCK_SISTEMA'!D224="","",'STOCK_SISTEMA'!D224)</x:f>
        <x:v>46249.49210648148</x:v>
      </x:c>
      <x:c r="E224" t="str">
        <x:f>'STOCK_SISTEMA'!E224</x:f>
        <x:v>SF-03/Materiales</x:v>
      </x:c>
      <x:c r="F224" t="str">
        <x:f>'STOCK_SISTEMA'!G224</x:f>
        <x:v>Kilogramo</x:v>
      </x:c>
      <x:c r="G224" s="28" t="n">
        <x:f>'STOCK_SISTEMA'!F224</x:f>
        <x:v>4665.900000000001</x:v>
      </x:c>
      <x:c r="H224" s="28" t="n">
        <x:f>SUMIFS('CONTEOS'!$N$2:$N$4000,'CONTEOS'!$F$2:$F$4000,A224,'CONTEOS'!$H$2:$H$4000,C224)</x:f>
        <x:v>0</x:v>
      </x:c>
      <x:c r="I224" s="28" t="n">
        <x:f>H224-G224</x:f>
        <x:v>-4665.900000000001</x:v>
      </x:c>
      <x:c r="J224" t="str">
        <x:f>IF(COUNTIFS('CONTEOS'!$F$2:$F$4000,A224,'CONTEOS'!$H$2:$H$4000,C224)=0,"PENDIENTE",IF(I224=0,"CUADRA",IF(I224&gt;0,"SOBRANTE","FALTANTE")))</x:f>
        <x:v>PENDIENTE</x:v>
      </x:c>
    </x:row>
    <x:row r="225">
      <x:c r="A225" t="str">
        <x:f>'STOCK_SISTEMA'!A225</x:f>
        <x:v>MP10002</x:v>
      </x:c>
      <x:c r="B225" s="29" t="str">
        <x:f>'STOCK_SISTEMA'!B225</x:f>
        <x:v>[MP10002] PAPA NATIVA MIX CONVENCIONAL X KG</x:v>
      </x:c>
      <x:c r="C225" t="str">
        <x:f>IF('STOCK_SISTEMA'!C225="","",'STOCK_SISTEMA'!C225)</x:f>
        <x:v>INFORME 147/26</x:v>
      </x:c>
      <x:c r="D225" s="27" t="n">
        <x:f>IF('STOCK_SISTEMA'!D225="","",'STOCK_SISTEMA'!D225)</x:f>
        <x:v>46253.67636574074</x:v>
      </x:c>
      <x:c r="E225" t="str">
        <x:f>'STOCK_SISTEMA'!E225</x:f>
        <x:v>SF-03/Materiales</x:v>
      </x:c>
      <x:c r="F225" t="str">
        <x:f>'STOCK_SISTEMA'!G225</x:f>
        <x:v>Kilogramo</x:v>
      </x:c>
      <x:c r="G225" s="28" t="n">
        <x:f>'STOCK_SISTEMA'!F225</x:f>
        <x:v>8277.800000000001</x:v>
      </x:c>
      <x:c r="H225" s="28" t="n">
        <x:f>SUMIFS('CONTEOS'!$N$2:$N$4000,'CONTEOS'!$F$2:$F$4000,A225,'CONTEOS'!$H$2:$H$4000,C225)</x:f>
        <x:v>0</x:v>
      </x:c>
      <x:c r="I225" s="28" t="n">
        <x:f>H225-G225</x:f>
        <x:v>-8277.800000000001</x:v>
      </x:c>
      <x:c r="J225" t="str">
        <x:f>IF(COUNTIFS('CONTEOS'!$F$2:$F$4000,A225,'CONTEOS'!$H$2:$H$4000,C225)=0,"PENDIENTE",IF(I225=0,"CUADRA",IF(I225&gt;0,"SOBRANTE","FALTANTE")))</x:f>
        <x:v>PENDIENTE</x:v>
      </x:c>
    </x:row>
    <x:row r="226">
      <x:c r="A226" t="str">
        <x:f>'STOCK_SISTEMA'!A226</x:f>
        <x:v>MP10030</x:v>
      </x:c>
      <x:c r="B226" s="29" t="str">
        <x:f>'STOCK_SISTEMA'!B226</x:f>
        <x:v>[MP10030] ALMIDÓN DE MAIZ X KG</x:v>
      </x:c>
      <x:c r="C226" t="str">
        <x:f>IF('STOCK_SISTEMA'!C226="","",'STOCK_SISTEMA'!C226)</x:f>
        <x:v>INFORME 03/26</x:v>
      </x:c>
      <x:c r="D226" s="27" t="n">
        <x:f>IF('STOCK_SISTEMA'!D226="","",'STOCK_SISTEMA'!D226)</x:f>
        <x:v>46844.36883101852</x:v>
      </x:c>
      <x:c r="E226" t="str">
        <x:f>'STOCK_SISTEMA'!E226</x:f>
        <x:v>SF-03/Materiales</x:v>
      </x:c>
      <x:c r="F226" t="str">
        <x:f>'STOCK_SISTEMA'!G226</x:f>
        <x:v>Kilogramo</x:v>
      </x:c>
      <x:c r="G226" s="28" t="n">
        <x:f>'STOCK_SISTEMA'!F226</x:f>
        <x:v>68.25500000000001</x:v>
      </x:c>
      <x:c r="H226" s="28" t="n">
        <x:f>SUMIFS('CONTEOS'!$N$2:$N$4000,'CONTEOS'!$F$2:$F$4000,A226,'CONTEOS'!$H$2:$H$4000,C226)</x:f>
        <x:v>0</x:v>
      </x:c>
      <x:c r="I226" s="28" t="n">
        <x:f>H226-G226</x:f>
        <x:v>-68.25500000000001</x:v>
      </x:c>
      <x:c r="J226" t="str">
        <x:f>IF(COUNTIFS('CONTEOS'!$F$2:$F$4000,A226,'CONTEOS'!$H$2:$H$4000,C226)=0,"PENDIENTE",IF(I226=0,"CUADRA",IF(I226&gt;0,"SOBRANTE","FALTANTE")))</x:f>
        <x:v>PENDIENTE</x:v>
      </x:c>
    </x:row>
    <x:row r="227">
      <x:c r="A227" t="str">
        <x:f>'STOCK_SISTEMA'!A227</x:f>
        <x:v>MP10002</x:v>
      </x:c>
      <x:c r="B227" s="29" t="str">
        <x:f>'STOCK_SISTEMA'!B227</x:f>
        <x:v>[MP10002] PAPA NATIVA MIX CONVENCIONAL X KG</x:v>
      </x:c>
      <x:c r="C227" t="str">
        <x:f>IF('STOCK_SISTEMA'!C227="","",'STOCK_SISTEMA'!C227)</x:f>
        <x:v>INFORME 148/26</x:v>
      </x:c>
      <x:c r="D227" s="27" t="n">
        <x:f>IF('STOCK_SISTEMA'!D227="","",'STOCK_SISTEMA'!D227)</x:f>
        <x:v>46257.96482638889</x:v>
      </x:c>
      <x:c r="E227" t="str">
        <x:f>'STOCK_SISTEMA'!E227</x:f>
        <x:v>SF-03/Materiales</x:v>
      </x:c>
      <x:c r="F227" t="str">
        <x:f>'STOCK_SISTEMA'!G227</x:f>
        <x:v>Kilogramo</x:v>
      </x:c>
      <x:c r="G227" s="28" t="n">
        <x:f>'STOCK_SISTEMA'!F227</x:f>
        <x:v>12837.9</x:v>
      </x:c>
      <x:c r="H227" s="28" t="n">
        <x:f>SUMIFS('CONTEOS'!$N$2:$N$4000,'CONTEOS'!$F$2:$F$4000,A227,'CONTEOS'!$H$2:$H$4000,C227)</x:f>
        <x:v>0</x:v>
      </x:c>
      <x:c r="I227" s="28" t="n">
        <x:f>H227-G227</x:f>
        <x:v>-12837.9</x:v>
      </x:c>
      <x:c r="J227" t="str">
        <x:f>IF(COUNTIFS('CONTEOS'!$F$2:$F$4000,A227,'CONTEOS'!$H$2:$H$4000,C227)=0,"PENDIENTE",IF(I227=0,"CUADRA",IF(I227&gt;0,"SOBRANTE","FALTANTE")))</x:f>
        <x:v>PENDIENTE</x:v>
      </x:c>
    </x:row>
    <x:row r="228">
      <x:c r="A228" t="str">
        <x:f>'STOCK_SISTEMA'!A228</x:f>
        <x:v>MP10002</x:v>
      </x:c>
      <x:c r="B228" s="29" t="str">
        <x:f>'STOCK_SISTEMA'!B228</x:f>
        <x:v>[MP10002] PAPA NATIVA MIX CONVENCIONAL X KG</x:v>
      </x:c>
      <x:c r="C228" t="str">
        <x:f>IF('STOCK_SISTEMA'!C228="","",'STOCK_SISTEMA'!C228)</x:f>
        <x:v>INFORME 152/26</x:v>
      </x:c>
      <x:c r="D228" s="27" t="n">
        <x:f>IF('STOCK_SISTEMA'!D228="","",'STOCK_SISTEMA'!D228)</x:f>
        <x:v>46257.96818287037</x:v>
      </x:c>
      <x:c r="E228" t="str">
        <x:f>'STOCK_SISTEMA'!E228</x:f>
        <x:v>SF-03/Materiales</x:v>
      </x:c>
      <x:c r="F228" t="str">
        <x:f>'STOCK_SISTEMA'!G228</x:f>
        <x:v>Kilogramo</x:v>
      </x:c>
      <x:c r="G228" s="28" t="n">
        <x:f>'STOCK_SISTEMA'!F228</x:f>
        <x:v>17396.5</x:v>
      </x:c>
      <x:c r="H228" s="28" t="n">
        <x:f>SUMIFS('CONTEOS'!$N$2:$N$4000,'CONTEOS'!$F$2:$F$4000,A228,'CONTEOS'!$H$2:$H$4000,C228)</x:f>
        <x:v>0</x:v>
      </x:c>
      <x:c r="I228" s="28" t="n">
        <x:f>H228-G228</x:f>
        <x:v>-17396.5</x:v>
      </x:c>
      <x:c r="J228" t="str">
        <x:f>IF(COUNTIFS('CONTEOS'!$F$2:$F$4000,A228,'CONTEOS'!$H$2:$H$4000,C228)=0,"PENDIENTE",IF(I228=0,"CUADRA",IF(I228&gt;0,"SOBRANTE","FALTANTE")))</x:f>
        <x:v>PENDIENTE</x:v>
      </x:c>
    </x:row>
    <x:row r="229">
      <x:c r="A229" t="str">
        <x:f>'STOCK_SISTEMA'!A229</x:f>
        <x:v>MP10002</x:v>
      </x:c>
      <x:c r="B229" s="29" t="str">
        <x:f>'STOCK_SISTEMA'!B229</x:f>
        <x:v>[MP10002] PAPA NATIVA MIX CONVENCIONAL X KG</x:v>
      </x:c>
      <x:c r="C229" t="str">
        <x:f>IF('STOCK_SISTEMA'!C229="","",'STOCK_SISTEMA'!C229)</x:f>
        <x:v>INFORME 156/26</x:v>
      </x:c>
      <x:c r="D229" s="27" t="n">
        <x:f>IF('STOCK_SISTEMA'!D229="","",'STOCK_SISTEMA'!D229)</x:f>
        <x:v>46258.44619212963</x:v>
      </x:c>
      <x:c r="E229" t="str">
        <x:f>'STOCK_SISTEMA'!E229</x:f>
        <x:v>SF-03/Materiales</x:v>
      </x:c>
      <x:c r="F229" t="str">
        <x:f>'STOCK_SISTEMA'!G229</x:f>
        <x:v>Kilogramo</x:v>
      </x:c>
      <x:c r="G229" s="28" t="n">
        <x:f>'STOCK_SISTEMA'!F229</x:f>
        <x:v>6005</x:v>
      </x:c>
      <x:c r="H229" s="28" t="n">
        <x:f>SUMIFS('CONTEOS'!$N$2:$N$4000,'CONTEOS'!$F$2:$F$4000,A229,'CONTEOS'!$H$2:$H$4000,C229)</x:f>
        <x:v>0</x:v>
      </x:c>
      <x:c r="I229" s="28" t="n">
        <x:f>H229-G229</x:f>
        <x:v>-6005</x:v>
      </x:c>
      <x:c r="J229" t="str">
        <x:f>IF(COUNTIFS('CONTEOS'!$F$2:$F$4000,A229,'CONTEOS'!$H$2:$H$4000,C229)=0,"PENDIENTE",IF(I229=0,"CUADRA",IF(I229&gt;0,"SOBRANTE","FALTANTE")))</x:f>
        <x:v>PENDIENTE</x:v>
      </x:c>
    </x:row>
    <x:row r="230">
      <x:c r="A230" t="str">
        <x:f>'STOCK_SISTEMA'!A230</x:f>
        <x:v>MP10002</x:v>
      </x:c>
      <x:c r="B230" s="29" t="str">
        <x:f>'STOCK_SISTEMA'!B230</x:f>
        <x:v>[MP10002] PAPA NATIVA MIX CONVENCIONAL X KG</x:v>
      </x:c>
      <x:c r="C230" t="str">
        <x:f>IF('STOCK_SISTEMA'!C230="","",'STOCK_SISTEMA'!C230)</x:f>
        <x:v>INFORME 157/26</x:v>
      </x:c>
      <x:c r="D230" s="27" t="n">
        <x:f>IF('STOCK_SISTEMA'!D230="","",'STOCK_SISTEMA'!D230)</x:f>
        <x:v>46258.44962962963</x:v>
      </x:c>
      <x:c r="E230" t="str">
        <x:f>'STOCK_SISTEMA'!E230</x:f>
        <x:v>SF-03/Materiales</x:v>
      </x:c>
      <x:c r="F230" t="str">
        <x:f>'STOCK_SISTEMA'!G230</x:f>
        <x:v>Kilogramo</x:v>
      </x:c>
      <x:c r="G230" s="28" t="n">
        <x:f>'STOCK_SISTEMA'!F230</x:f>
        <x:v>14523.2</x:v>
      </x:c>
      <x:c r="H230" s="28" t="n">
        <x:f>SUMIFS('CONTEOS'!$N$2:$N$4000,'CONTEOS'!$F$2:$F$4000,A230,'CONTEOS'!$H$2:$H$4000,C230)</x:f>
        <x:v>0</x:v>
      </x:c>
      <x:c r="I230" s="28" t="n">
        <x:f>H230-G230</x:f>
        <x:v>-14523.2</x:v>
      </x:c>
      <x:c r="J230" t="str">
        <x:f>IF(COUNTIFS('CONTEOS'!$F$2:$F$4000,A230,'CONTEOS'!$H$2:$H$4000,C230)=0,"PENDIENTE",IF(I230=0,"CUADRA",IF(I230&gt;0,"SOBRANTE","FALTANTE")))</x:f>
        <x:v>PENDIENTE</x:v>
      </x:c>
    </x:row>
    <x:row r="231">
      <x:c r="A231" t="str">
        <x:f>'STOCK_SISTEMA'!A231</x:f>
        <x:v>EE10278</x:v>
      </x:c>
      <x:c r="B231" s="29" t="str">
        <x:f>'STOCK_SISTEMA'!B231</x:f>
        <x:v>[EE10278] DIVISORES DE CAJA LATAS 400g</x:v>
      </x:c>
      <x:c r="C231" t="str">
        <x:f>IF('STOCK_SISTEMA'!C231="","",'STOCK_SISTEMA'!C231)</x:f>
        <x:v>INFORME 01/26</x:v>
      </x:c>
      <x:c r="D231" s="27" t="n">
        <x:f>IF('STOCK_SISTEMA'!D231="","",'STOCK_SISTEMA'!D231)</x:f>
        <x:v>46555.56459490741</x:v>
      </x:c>
      <x:c r="E231" t="str">
        <x:f>'STOCK_SISTEMA'!E231</x:f>
        <x:v>SF-03/Materiales</x:v>
      </x:c>
      <x:c r="F231" t="str">
        <x:f>'STOCK_SISTEMA'!G231</x:f>
        <x:v>Unidades</x:v>
      </x:c>
      <x:c r="G231" s="28" t="n">
        <x:f>'STOCK_SISTEMA'!F231</x:f>
        <x:v>4000</x:v>
      </x:c>
      <x:c r="H231" s="28" t="n">
        <x:f>SUMIFS('CONTEOS'!$N$2:$N$4000,'CONTEOS'!$F$2:$F$4000,A231,'CONTEOS'!$H$2:$H$4000,C231)</x:f>
        <x:v>0</x:v>
      </x:c>
      <x:c r="I231" s="28" t="n">
        <x:f>H231-G231</x:f>
        <x:v>-4000</x:v>
      </x:c>
      <x:c r="J231" t="str">
        <x:f>IF(COUNTIFS('CONTEOS'!$F$2:$F$4000,A231,'CONTEOS'!$H$2:$H$4000,C231)=0,"PENDIENTE",IF(I231=0,"CUADRA",IF(I231&gt;0,"SOBRANTE","FALTANTE")))</x:f>
        <x:v>PENDIENTE</x:v>
      </x:c>
    </x:row>
    <x:row r="232">
      <x:c r="A232" t="str">
        <x:f>'STOCK_SISTEMA'!A232</x:f>
        <x:v>MP10027</x:v>
      </x:c>
      <x:c r="B232" s="29" t="str">
        <x:f>'STOCK_SISTEMA'!B232</x:f>
        <x:v>[MP10027] HARINA DE QUINUA CONVECIONAL X KG</x:v>
      </x:c>
      <x:c r="C232" t="str">
        <x:f>IF('STOCK_SISTEMA'!C232="","",'STOCK_SISTEMA'!C232)</x:f>
        <x:v>INFORME 05/26</x:v>
      </x:c>
      <x:c r="D232" s="27" t="n">
        <x:f>IF('STOCK_SISTEMA'!D232="","",'STOCK_SISTEMA'!D232)</x:f>
        <x:v>46934.65471064814</x:v>
      </x:c>
      <x:c r="E232" t="str">
        <x:f>'STOCK_SISTEMA'!E232</x:f>
        <x:v>SF-03/Materiales</x:v>
      </x:c>
      <x:c r="F232" t="str">
        <x:f>'STOCK_SISTEMA'!G232</x:f>
        <x:v>Kilogramo</x:v>
      </x:c>
      <x:c r="G232" s="28" t="n">
        <x:f>'STOCK_SISTEMA'!F232</x:f>
        <x:v>26</x:v>
      </x:c>
      <x:c r="H232" s="28" t="n">
        <x:f>SUMIFS('CONTEOS'!$N$2:$N$4000,'CONTEOS'!$F$2:$F$4000,A232,'CONTEOS'!$H$2:$H$4000,C232)</x:f>
        <x:v>0</x:v>
      </x:c>
      <x:c r="I232" s="28" t="n">
        <x:f>H232-G232</x:f>
        <x:v>-26</x:v>
      </x:c>
      <x:c r="J232" t="str">
        <x:f>IF(COUNTIFS('CONTEOS'!$F$2:$F$4000,A232,'CONTEOS'!$H$2:$H$4000,C232)=0,"PENDIENTE",IF(I232=0,"CUADRA",IF(I232&gt;0,"SOBRANTE","FALTANTE")))</x:f>
        <x:v>PENDIENTE</x:v>
      </x:c>
    </x:row>
    <x:row r="233">
      <x:c r="A233" t="str">
        <x:f>'STOCK_SISTEMA'!A233</x:f>
        <x:v>MP10002</x:v>
      </x:c>
      <x:c r="B233" s="29" t="str">
        <x:f>'STOCK_SISTEMA'!B233</x:f>
        <x:v>[MP10002] PAPA NATIVA MIX CONVENCIONAL X KG</x:v>
      </x:c>
      <x:c r="C233" t="str">
        <x:f>IF('STOCK_SISTEMA'!C233="","",'STOCK_SISTEMA'!C233)</x:f>
        <x:v>INFORME 162/26</x:v>
      </x:c>
      <x:c r="D233" s="27" t="n">
        <x:f>IF('STOCK_SISTEMA'!D233="","",'STOCK_SISTEMA'!D233)</x:f>
        <x:v>46259.70936342593</x:v>
      </x:c>
      <x:c r="E233" t="str">
        <x:f>'STOCK_SISTEMA'!E233</x:f>
        <x:v>SF-03/Materiales</x:v>
      </x:c>
      <x:c r="F233" t="str">
        <x:f>'STOCK_SISTEMA'!G233</x:f>
        <x:v>Kilogramo</x:v>
      </x:c>
      <x:c r="G233" s="28" t="n">
        <x:f>'STOCK_SISTEMA'!F233</x:f>
        <x:v>7372.200000000001</x:v>
      </x:c>
      <x:c r="H233" s="28" t="n">
        <x:f>SUMIFS('CONTEOS'!$N$2:$N$4000,'CONTEOS'!$F$2:$F$4000,A233,'CONTEOS'!$H$2:$H$4000,C233)</x:f>
        <x:v>0</x:v>
      </x:c>
      <x:c r="I233" s="28" t="n">
        <x:f>H233-G233</x:f>
        <x:v>-7372.200000000001</x:v>
      </x:c>
      <x:c r="J233" t="str">
        <x:f>IF(COUNTIFS('CONTEOS'!$F$2:$F$4000,A233,'CONTEOS'!$H$2:$H$4000,C233)=0,"PENDIENTE",IF(I233=0,"CUADRA",IF(I233&gt;0,"SOBRANTE","FALTANTE")))</x:f>
        <x:v>PENDIENTE</x:v>
      </x:c>
    </x:row>
    <x:row r="234">
      <x:c r="A234" t="str">
        <x:f>'STOCK_SISTEMA'!A234</x:f>
        <x:v>MP10002</x:v>
      </x:c>
      <x:c r="B234" s="29" t="str">
        <x:f>'STOCK_SISTEMA'!B234</x:f>
        <x:v>[MP10002] PAPA NATIVA MIX CONVENCIONAL X KG</x:v>
      </x:c>
      <x:c r="C234" t="str">
        <x:f>IF('STOCK_SISTEMA'!C234="","",'STOCK_SISTEMA'!C234)</x:f>
        <x:v>INFORME 161/26</x:v>
      </x:c>
      <x:c r="D234" s="27" t="n">
        <x:f>IF('STOCK_SISTEMA'!D234="","",'STOCK_SISTEMA'!D234)</x:f>
        <x:v>46257.71491898148</x:v>
      </x:c>
      <x:c r="E234" t="str">
        <x:f>'STOCK_SISTEMA'!E234</x:f>
        <x:v>SF-03/Materiales</x:v>
      </x:c>
      <x:c r="F234" t="str">
        <x:f>'STOCK_SISTEMA'!G234</x:f>
        <x:v>Kilogramo</x:v>
      </x:c>
      <x:c r="G234" s="28" t="n">
        <x:f>'STOCK_SISTEMA'!F234</x:f>
        <x:v>6734.3</x:v>
      </x:c>
      <x:c r="H234" s="28" t="n">
        <x:f>SUMIFS('CONTEOS'!$N$2:$N$4000,'CONTEOS'!$F$2:$F$4000,A234,'CONTEOS'!$H$2:$H$4000,C234)</x:f>
        <x:v>0</x:v>
      </x:c>
      <x:c r="I234" s="28" t="n">
        <x:f>H234-G234</x:f>
        <x:v>-6734.3</x:v>
      </x:c>
      <x:c r="J234" t="str">
        <x:f>IF(COUNTIFS('CONTEOS'!$F$2:$F$4000,A234,'CONTEOS'!$H$2:$H$4000,C234)=0,"PENDIENTE",IF(I234=0,"CUADRA",IF(I234&gt;0,"SOBRANTE","FALTANTE")))</x:f>
        <x:v>PENDIENTE</x:v>
      </x:c>
    </x:row>
    <x:row r="235">
      <x:c r="A235" t="str">
        <x:f>'STOCK_SISTEMA'!A235</x:f>
        <x:v>MP10002</x:v>
      </x:c>
      <x:c r="B235" s="29" t="str">
        <x:f>'STOCK_SISTEMA'!B235</x:f>
        <x:v>[MP10002] PAPA NATIVA MIX CONVENCIONAL X KG</x:v>
      </x:c>
      <x:c r="C235" t="str">
        <x:f>IF('STOCK_SISTEMA'!C235="","",'STOCK_SISTEMA'!C235)</x:f>
        <x:v>INFORME 160/26</x:v>
      </x:c>
      <x:c r="D235" s="27" t="n">
        <x:f>IF('STOCK_SISTEMA'!D235="","",'STOCK_SISTEMA'!D235)</x:f>
        <x:v>46260.72052083333</x:v>
      </x:c>
      <x:c r="E235" t="str">
        <x:f>'STOCK_SISTEMA'!E235</x:f>
        <x:v>SF-03/Materiales</x:v>
      </x:c>
      <x:c r="F235" t="str">
        <x:f>'STOCK_SISTEMA'!G235</x:f>
        <x:v>Kilogramo</x:v>
      </x:c>
      <x:c r="G235" s="28" t="n">
        <x:f>'STOCK_SISTEMA'!F235</x:f>
        <x:v>6346.644</x:v>
      </x:c>
      <x:c r="H235" s="28" t="n">
        <x:f>SUMIFS('CONTEOS'!$N$2:$N$4000,'CONTEOS'!$F$2:$F$4000,A235,'CONTEOS'!$H$2:$H$4000,C235)</x:f>
        <x:v>0</x:v>
      </x:c>
      <x:c r="I235" s="28" t="n">
        <x:f>H235-G235</x:f>
        <x:v>-6346.644</x:v>
      </x:c>
      <x:c r="J235" t="str">
        <x:f>IF(COUNTIFS('CONTEOS'!$F$2:$F$4000,A235,'CONTEOS'!$H$2:$H$4000,C235)=0,"PENDIENTE",IF(I235=0,"CUADRA",IF(I235&gt;0,"SOBRANTE","FALTANTE")))</x:f>
        <x:v>PENDIENTE</x:v>
      </x:c>
    </x:row>
    <x:row r="236">
      <x:c r="A236" t="str">
        <x:f>'STOCK_SISTEMA'!A236</x:f>
        <x:v>EE10139</x:v>
      </x:c>
      <x:c r="B236" s="29" t="str">
        <x:f>'STOCK_SISTEMA'!B236</x:f>
        <x:v>[EE10139] LAMINA TIYAPUY JALAPEÑO 142GR CONVENCIONAL X KG</x:v>
      </x:c>
      <x:c r="C236" t="str">
        <x:f>IF('STOCK_SISTEMA'!C236="","",'STOCK_SISTEMA'!C236)</x:f>
        <x:v>INFORME 01/26</x:v>
      </x:c>
      <x:c r="D236" s="27" t="n">
        <x:f>IF('STOCK_SISTEMA'!D236="","",'STOCK_SISTEMA'!D236)</x:f>
        <x:v>46557.64444444444</x:v>
      </x:c>
      <x:c r="E236" t="str">
        <x:f>'STOCK_SISTEMA'!E236</x:f>
        <x:v>SF-03/Materiales</x:v>
      </x:c>
      <x:c r="F236" t="str">
        <x:f>'STOCK_SISTEMA'!G236</x:f>
        <x:v>Kilogramo</x:v>
      </x:c>
      <x:c r="G236" s="28" t="n">
        <x:f>'STOCK_SISTEMA'!F236</x:f>
        <x:v>823.59</x:v>
      </x:c>
      <x:c r="H236" s="28" t="n">
        <x:f>SUMIFS('CONTEOS'!$N$2:$N$4000,'CONTEOS'!$F$2:$F$4000,A236,'CONTEOS'!$H$2:$H$4000,C236)</x:f>
        <x:v>0</x:v>
      </x:c>
      <x:c r="I236" s="28" t="n">
        <x:f>H236-G236</x:f>
        <x:v>-823.59</x:v>
      </x:c>
      <x:c r="J236" t="str">
        <x:f>IF(COUNTIFS('CONTEOS'!$F$2:$F$4000,A236,'CONTEOS'!$H$2:$H$4000,C236)=0,"PENDIENTE",IF(I236=0,"CUADRA",IF(I236&gt;0,"SOBRANTE","FALTANTE")))</x:f>
        <x:v>PENDIENTE</x:v>
      </x:c>
    </x:row>
    <x:row r="237">
      <x:c r="A237" t="str">
        <x:f>'STOCK_SISTEMA'!A237</x:f>
        <x:v>EE10124</x:v>
      </x:c>
      <x:c r="B237" s="29" t="str">
        <x:f>'STOCK_SISTEMA'!B237</x:f>
        <x:v>[EE10124] LAMINA TIYAPUY CAMOTE 142GR X KG</x:v>
      </x:c>
      <x:c r="C237" t="str">
        <x:f>IF('STOCK_SISTEMA'!C237="","",'STOCK_SISTEMA'!C237)</x:f>
        <x:v>INFORME 01/26</x:v>
      </x:c>
      <x:c r="D237" s="27" t="n">
        <x:f>IF('STOCK_SISTEMA'!D237="","",'STOCK_SISTEMA'!D237)</x:f>
        <x:v>46558.45261574074</x:v>
      </x:c>
      <x:c r="E237" t="str">
        <x:f>'STOCK_SISTEMA'!E237</x:f>
        <x:v>SF-03/Materiales</x:v>
      </x:c>
      <x:c r="F237" t="str">
        <x:f>'STOCK_SISTEMA'!G237</x:f>
        <x:v>Kilogramo</x:v>
      </x:c>
      <x:c r="G237" s="28" t="n">
        <x:f>'STOCK_SISTEMA'!F237</x:f>
        <x:v>1022.98</x:v>
      </x:c>
      <x:c r="H237" s="28" t="n">
        <x:f>SUMIFS('CONTEOS'!$N$2:$N$4000,'CONTEOS'!$F$2:$F$4000,A237,'CONTEOS'!$H$2:$H$4000,C237)</x:f>
        <x:v>0</x:v>
      </x:c>
      <x:c r="I237" s="28" t="n">
        <x:f>H237-G237</x:f>
        <x:v>-1022.98</x:v>
      </x:c>
      <x:c r="J237" t="str">
        <x:f>IF(COUNTIFS('CONTEOS'!$F$2:$F$4000,A237,'CONTEOS'!$H$2:$H$4000,C237)=0,"PENDIENTE",IF(I237=0,"CUADRA",IF(I237&gt;0,"SOBRANTE","FALTANTE")))</x:f>
        <x:v>PENDIENTE</x:v>
      </x:c>
    </x:row>
    <x:row r="238">
      <x:c r="A238" t="str">
        <x:f>'STOCK_SISTEMA'!A238</x:f>
        <x:v>EE10145</x:v>
      </x:c>
      <x:c r="B238" s="29" t="str">
        <x:f>'STOCK_SISTEMA'!B238</x:f>
        <x:v>[EE10145] LAMINA TIYAPUY LIMON PIMIENTA 142GR ORG. MEXICO X KG</x:v>
      </x:c>
      <x:c r="C238" t="str">
        <x:f>IF('STOCK_SISTEMA'!C238="","",'STOCK_SISTEMA'!C238)</x:f>
        <x:v>INFORME 01/26</x:v>
      </x:c>
      <x:c r="D238" s="27" t="n">
        <x:f>IF('STOCK_SISTEMA'!D238="","",'STOCK_SISTEMA'!D238)</x:f>
        <x:v>46556.45763888889</x:v>
      </x:c>
      <x:c r="E238" t="str">
        <x:f>'STOCK_SISTEMA'!E238</x:f>
        <x:v>SF-03/Materiales</x:v>
      </x:c>
      <x:c r="F238" t="str">
        <x:f>'STOCK_SISTEMA'!G238</x:f>
        <x:v>Kilogramo</x:v>
      </x:c>
      <x:c r="G238" s="28" t="n">
        <x:f>'STOCK_SISTEMA'!F238</x:f>
        <x:v>432.88</x:v>
      </x:c>
      <x:c r="H238" s="28" t="n">
        <x:f>SUMIFS('CONTEOS'!$N$2:$N$4000,'CONTEOS'!$F$2:$F$4000,A238,'CONTEOS'!$H$2:$H$4000,C238)</x:f>
        <x:v>0</x:v>
      </x:c>
      <x:c r="I238" s="28" t="n">
        <x:f>H238-G238</x:f>
        <x:v>-432.88</x:v>
      </x:c>
      <x:c r="J238" t="str">
        <x:f>IF(COUNTIFS('CONTEOS'!$F$2:$F$4000,A238,'CONTEOS'!$H$2:$H$4000,C238)=0,"PENDIENTE",IF(I238=0,"CUADRA",IF(I238&gt;0,"SOBRANTE","FALTANTE")))</x:f>
        <x:v>PENDIENTE</x:v>
      </x:c>
    </x:row>
    <x:row r="239">
      <x:c r="A239" t="str">
        <x:f>'STOCK_SISTEMA'!A239</x:f>
        <x:v>EE10223</x:v>
      </x:c>
      <x:c r="B239" s="29" t="str">
        <x:f>'STOCK_SISTEMA'!B239</x:f>
        <x:v>[EE10223] LAMINA TIYAPUY NATIVA MIX AJÍ AMARILLO 142G X KG</x:v>
      </x:c>
      <x:c r="C239" t="str">
        <x:f>IF('STOCK_SISTEMA'!C239="","",'STOCK_SISTEMA'!C239)</x:f>
        <x:v>INFORME 01/26</x:v>
      </x:c>
      <x:c r="D239" s="27" t="n">
        <x:f>IF('STOCK_SISTEMA'!D239="","",'STOCK_SISTEMA'!D239)</x:f>
        <x:v>46555.46186342592</x:v>
      </x:c>
      <x:c r="E239" t="str">
        <x:f>'STOCK_SISTEMA'!E239</x:f>
        <x:v>SF-03/Materiales</x:v>
      </x:c>
      <x:c r="F239" t="str">
        <x:f>'STOCK_SISTEMA'!G239</x:f>
        <x:v>Kilogramo</x:v>
      </x:c>
      <x:c r="G239" s="28" t="n">
        <x:f>'STOCK_SISTEMA'!F239</x:f>
        <x:v>737.96</x:v>
      </x:c>
      <x:c r="H239" s="28" t="n">
        <x:f>SUMIFS('CONTEOS'!$N$2:$N$4000,'CONTEOS'!$F$2:$F$4000,A239,'CONTEOS'!$H$2:$H$4000,C239)</x:f>
        <x:v>0</x:v>
      </x:c>
      <x:c r="I239" s="28" t="n">
        <x:f>H239-G239</x:f>
        <x:v>-737.96</x:v>
      </x:c>
      <x:c r="J239" t="str">
        <x:f>IF(COUNTIFS('CONTEOS'!$F$2:$F$4000,A239,'CONTEOS'!$H$2:$H$4000,C239)=0,"PENDIENTE",IF(I239=0,"CUADRA",IF(I239&gt;0,"SOBRANTE","FALTANTE")))</x:f>
        <x:v>PENDIENTE</x:v>
      </x:c>
    </x:row>
    <x:row r="240">
      <x:c r="A240" t="str">
        <x:f>'STOCK_SISTEMA'!A240</x:f>
        <x:v>EE10117</x:v>
      </x:c>
      <x:c r="B240" s="29" t="str">
        <x:f>'STOCK_SISTEMA'!B240</x:f>
        <x:v>[EE10117] LAMINA TIYAPUY JALAPEÑO 30GR X KG</x:v>
      </x:c>
      <x:c r="C240" t="str">
        <x:f>IF('STOCK_SISTEMA'!C240="","",'STOCK_SISTEMA'!C240)</x:f>
        <x:v>INFORME 01/26</x:v>
      </x:c>
      <x:c r="D240" s="27" t="n">
        <x:f>IF('STOCK_SISTEMA'!D240="","",'STOCK_SISTEMA'!D240)</x:f>
        <x:v>46557.4759375</x:v>
      </x:c>
      <x:c r="E240" t="str">
        <x:f>'STOCK_SISTEMA'!E240</x:f>
        <x:v>SF-03/Materiales</x:v>
      </x:c>
      <x:c r="F240" t="str">
        <x:f>'STOCK_SISTEMA'!G240</x:f>
        <x:v>Kilogramo</x:v>
      </x:c>
      <x:c r="G240" s="28" t="n">
        <x:f>'STOCK_SISTEMA'!F240</x:f>
        <x:v>1065.93</x:v>
      </x:c>
      <x:c r="H240" s="28" t="n">
        <x:f>SUMIFS('CONTEOS'!$N$2:$N$4000,'CONTEOS'!$F$2:$F$4000,A240,'CONTEOS'!$H$2:$H$4000,C240)</x:f>
        <x:v>0</x:v>
      </x:c>
      <x:c r="I240" s="28" t="n">
        <x:f>H240-G240</x:f>
        <x:v>-1065.93</x:v>
      </x:c>
      <x:c r="J240" t="str">
        <x:f>IF(COUNTIFS('CONTEOS'!$F$2:$F$4000,A240,'CONTEOS'!$H$2:$H$4000,C240)=0,"PENDIENTE",IF(I240=0,"CUADRA",IF(I240&gt;0,"SOBRANTE","FALTANTE")))</x:f>
        <x:v>PENDIENTE</x:v>
      </x:c>
    </x:row>
    <x:row r="241">
      <x:c r="A241" t="str">
        <x:f>'STOCK_SISTEMA'!A241</x:f>
        <x:v>EE10103</x:v>
      </x:c>
      <x:c r="B241" s="29" t="str">
        <x:f>'STOCK_SISTEMA'!B241</x:f>
        <x:v>[EE10103] LAMINA TIYAPUY NATIVA MIX 40GR CONV X KG</x:v>
      </x:c>
      <x:c r="C241" t="str">
        <x:f>IF('STOCK_SISTEMA'!C241="","",'STOCK_SISTEMA'!C241)</x:f>
        <x:v>INFORME 01/26</x:v>
      </x:c>
      <x:c r="D241" s="27" t="n">
        <x:f>IF('STOCK_SISTEMA'!D241="","",'STOCK_SISTEMA'!D241)</x:f>
        <x:v>46557.47819444445</x:v>
      </x:c>
      <x:c r="E241" t="str">
        <x:f>'STOCK_SISTEMA'!E241</x:f>
        <x:v>SF-03/Materiales</x:v>
      </x:c>
      <x:c r="F241" t="str">
        <x:f>'STOCK_SISTEMA'!G241</x:f>
        <x:v>Kilogramo</x:v>
      </x:c>
      <x:c r="G241" s="28" t="n">
        <x:f>'STOCK_SISTEMA'!F241</x:f>
        <x:v>486.036</x:v>
      </x:c>
      <x:c r="H241" s="28" t="n">
        <x:f>SUMIFS('CONTEOS'!$N$2:$N$4000,'CONTEOS'!$F$2:$F$4000,A241,'CONTEOS'!$H$2:$H$4000,C241)</x:f>
        <x:v>0</x:v>
      </x:c>
      <x:c r="I241" s="28" t="n">
        <x:f>H241-G241</x:f>
        <x:v>-486.036</x:v>
      </x:c>
      <x:c r="J241" t="str">
        <x:f>IF(COUNTIFS('CONTEOS'!$F$2:$F$4000,A241,'CONTEOS'!$H$2:$H$4000,C241)=0,"PENDIENTE",IF(I241=0,"CUADRA",IF(I241&gt;0,"SOBRANTE","FALTANTE")))</x:f>
        <x:v>PENDIENTE</x:v>
      </x:c>
    </x:row>
    <x:row r="242">
      <x:c r="A242" t="str">
        <x:f>'STOCK_SISTEMA'!A242</x:f>
        <x:v>MP10002</x:v>
      </x:c>
      <x:c r="B242" s="29" t="str">
        <x:f>'STOCK_SISTEMA'!B242</x:f>
        <x:v>[MP10002] PAPA NATIVA MIX CONVENCIONAL X KG</x:v>
      </x:c>
      <x:c r="C242" t="str">
        <x:f>IF('STOCK_SISTEMA'!C242="","",'STOCK_SISTEMA'!C242)</x:f>
        <x:v>INFORME 165/26</x:v>
      </x:c>
      <x:c r="D242" s="27" t="n">
        <x:f>IF('STOCK_SISTEMA'!D242="","",'STOCK_SISTEMA'!D242)</x:f>
        <x:v>46261.42877314815</x:v>
      </x:c>
      <x:c r="E242" t="str">
        <x:f>'STOCK_SISTEMA'!E242</x:f>
        <x:v>SF-03/Materiales</x:v>
      </x:c>
      <x:c r="F242" t="str">
        <x:f>'STOCK_SISTEMA'!G242</x:f>
        <x:v>Kilogramo</x:v>
      </x:c>
      <x:c r="G242" s="28" t="n">
        <x:f>'STOCK_SISTEMA'!F242</x:f>
        <x:v>10604.9</x:v>
      </x:c>
      <x:c r="H242" s="28" t="n">
        <x:f>SUMIFS('CONTEOS'!$N$2:$N$4000,'CONTEOS'!$F$2:$F$4000,A242,'CONTEOS'!$H$2:$H$4000,C242)</x:f>
        <x:v>0</x:v>
      </x:c>
      <x:c r="I242" s="28" t="n">
        <x:f>H242-G242</x:f>
        <x:v>-10604.9</x:v>
      </x:c>
      <x:c r="J242" t="str">
        <x:f>IF(COUNTIFS('CONTEOS'!$F$2:$F$4000,A242,'CONTEOS'!$H$2:$H$4000,C242)=0,"PENDIENTE",IF(I242=0,"CUADRA",IF(I242&gt;0,"SOBRANTE","FALTANTE")))</x:f>
        <x:v>PENDIENTE</x:v>
      </x:c>
    </x:row>
    <x:row r="243">
      <x:c r="A243" t="str">
        <x:f>'STOCK_SISTEMA'!A243</x:f>
        <x:v>MP10002</x:v>
      </x:c>
      <x:c r="B243" s="29" t="str">
        <x:f>'STOCK_SISTEMA'!B243</x:f>
        <x:v>[MP10002] PAPA NATIVA MIX CONVENCIONAL X KG</x:v>
      </x:c>
      <x:c r="C243" t="str">
        <x:f>IF('STOCK_SISTEMA'!C243="","",'STOCK_SISTEMA'!C243)</x:f>
        <x:v>INFORME 164/26</x:v>
      </x:c>
      <x:c r="D243" s="27" t="n">
        <x:f>IF('STOCK_SISTEMA'!D243="","",'STOCK_SISTEMA'!D243)</x:f>
        <x:v>46260.43913194445</x:v>
      </x:c>
      <x:c r="E243" t="str">
        <x:f>'STOCK_SISTEMA'!E243</x:f>
        <x:v>SF-03/Materiales</x:v>
      </x:c>
      <x:c r="F243" t="str">
        <x:f>'STOCK_SISTEMA'!G243</x:f>
        <x:v>Kilogramo</x:v>
      </x:c>
      <x:c r="G243" s="28" t="n">
        <x:f>'STOCK_SISTEMA'!F243</x:f>
        <x:v>9225.7</x:v>
      </x:c>
      <x:c r="H243" s="28" t="n">
        <x:f>SUMIFS('CONTEOS'!$N$2:$N$4000,'CONTEOS'!$F$2:$F$4000,A243,'CONTEOS'!$H$2:$H$4000,C243)</x:f>
        <x:v>0</x:v>
      </x:c>
      <x:c r="I243" s="28" t="n">
        <x:f>H243-G243</x:f>
        <x:v>-9225.7</x:v>
      </x:c>
      <x:c r="J243" t="str">
        <x:f>IF(COUNTIFS('CONTEOS'!$F$2:$F$4000,A243,'CONTEOS'!$H$2:$H$4000,C243)=0,"PENDIENTE",IF(I243=0,"CUADRA",IF(I243&gt;0,"SOBRANTE","FALTANTE")))</x:f>
        <x:v>PENDIENTE</x:v>
      </x:c>
    </x:row>
    <x:row r="244">
      <x:c r="A244" t="str">
        <x:f>'STOCK_SISTEMA'!A244</x:f>
        <x:v>EE10145</x:v>
      </x:c>
      <x:c r="B244" s="29" t="str">
        <x:f>'STOCK_SISTEMA'!B244</x:f>
        <x:v>[EE10145] LAMINA TIYAPUY LIMON PIMIENTA 142GR ORG. MEXICO X KG</x:v>
      </x:c>
      <x:c r="C244" t="str">
        <x:f>IF('STOCK_SISTEMA'!C244="","",'STOCK_SISTEMA'!C244)</x:f>
        <x:v>INFORME 02/26</x:v>
      </x:c>
      <x:c r="D244" s="27" t="n">
        <x:f>IF('STOCK_SISTEMA'!D244="","",'STOCK_SISTEMA'!D244)</x:f>
        <x:v>46556.41439814815</x:v>
      </x:c>
      <x:c r="E244" t="str">
        <x:f>'STOCK_SISTEMA'!E244</x:f>
        <x:v>SF-03/Materiales</x:v>
      </x:c>
      <x:c r="F244" t="str">
        <x:f>'STOCK_SISTEMA'!G244</x:f>
        <x:v>Kilogramo</x:v>
      </x:c>
      <x:c r="G244" s="28" t="n">
        <x:f>'STOCK_SISTEMA'!F244</x:f>
        <x:v>181.87</x:v>
      </x:c>
      <x:c r="H244" s="28" t="n">
        <x:f>SUMIFS('CONTEOS'!$N$2:$N$4000,'CONTEOS'!$F$2:$F$4000,A244,'CONTEOS'!$H$2:$H$4000,C244)</x:f>
        <x:v>0</x:v>
      </x:c>
      <x:c r="I244" s="28" t="n">
        <x:f>H244-G244</x:f>
        <x:v>-181.87</x:v>
      </x:c>
      <x:c r="J244" t="str">
        <x:f>IF(COUNTIFS('CONTEOS'!$F$2:$F$4000,A244,'CONTEOS'!$H$2:$H$4000,C244)=0,"PENDIENTE",IF(I244=0,"CUADRA",IF(I244&gt;0,"SOBRANTE","FALTANTE")))</x:f>
        <x:v>PENDIENTE</x:v>
      </x:c>
    </x:row>
    <x:row r="245">
      <x:c r="A245" t="str">
        <x:f>'STOCK_SISTEMA'!A245</x:f>
        <x:v>EE10138</x:v>
      </x:c>
      <x:c r="B245" s="29" t="str">
        <x:f>'STOCK_SISTEMA'!B245</x:f>
        <x:v>[EE10138] LAMINA TIYAPUY LIMON PIMIENTA 142GR CONVENCIONAL X KG</x:v>
      </x:c>
      <x:c r="C245" t="str">
        <x:f>IF('STOCK_SISTEMA'!C245="","",'STOCK_SISTEMA'!C245)</x:f>
        <x:v>INFORME 01/26</x:v>
      </x:c>
      <x:c r="D245" s="27" t="n">
        <x:f>IF('STOCK_SISTEMA'!D245="","",'STOCK_SISTEMA'!D245)</x:f>
        <x:v>46557.4169675926</x:v>
      </x:c>
      <x:c r="E245" t="str">
        <x:f>'STOCK_SISTEMA'!E245</x:f>
        <x:v>SF-03/Materiales</x:v>
      </x:c>
      <x:c r="F245" t="str">
        <x:f>'STOCK_SISTEMA'!G245</x:f>
        <x:v>Kilogramo</x:v>
      </x:c>
      <x:c r="G245" s="28" t="n">
        <x:f>'STOCK_SISTEMA'!F245</x:f>
        <x:v>264.52</x:v>
      </x:c>
      <x:c r="H245" s="28" t="n">
        <x:f>SUMIFS('CONTEOS'!$N$2:$N$4000,'CONTEOS'!$F$2:$F$4000,A245,'CONTEOS'!$H$2:$H$4000,C245)</x:f>
        <x:v>0</x:v>
      </x:c>
      <x:c r="I245" s="28" t="n">
        <x:f>H245-G245</x:f>
        <x:v>-264.52</x:v>
      </x:c>
      <x:c r="J245" t="str">
        <x:f>IF(COUNTIFS('CONTEOS'!$F$2:$F$4000,A245,'CONTEOS'!$H$2:$H$4000,C245)=0,"PENDIENTE",IF(I245=0,"CUADRA",IF(I245&gt;0,"SOBRANTE","FALTANTE")))</x:f>
        <x:v>PENDIENTE</x:v>
      </x:c>
    </x:row>
    <x:row r="246">
      <x:c r="A246" t="str">
        <x:f>'STOCK_SISTEMA'!A246</x:f>
        <x:v>EE10136</x:v>
      </x:c>
      <x:c r="B246" s="29" t="str">
        <x:f>'STOCK_SISTEMA'!B246</x:f>
        <x:v>[EE10136] LAMINA TIYAPUY TIYAMIX 200GR X KG</x:v>
      </x:c>
      <x:c r="C246" t="str">
        <x:f>IF('STOCK_SISTEMA'!C246="","",'STOCK_SISTEMA'!C246)</x:f>
        <x:v>INFORME 01/26</x:v>
      </x:c>
      <x:c r="D246" s="27" t="n">
        <x:f>IF('STOCK_SISTEMA'!D246="","",'STOCK_SISTEMA'!D246)</x:f>
        <x:v>46556.4200462963</x:v>
      </x:c>
      <x:c r="E246" t="str">
        <x:f>'STOCK_SISTEMA'!E246</x:f>
        <x:v>SF-03/Materiales</x:v>
      </x:c>
      <x:c r="F246" t="str">
        <x:f>'STOCK_SISTEMA'!G246</x:f>
        <x:v>Kilogramo</x:v>
      </x:c>
      <x:c r="G246" s="28" t="n">
        <x:f>'STOCK_SISTEMA'!F246</x:f>
        <x:v>825.1</x:v>
      </x:c>
      <x:c r="H246" s="28" t="n">
        <x:f>SUMIFS('CONTEOS'!$N$2:$N$4000,'CONTEOS'!$F$2:$F$4000,A246,'CONTEOS'!$H$2:$H$4000,C246)</x:f>
        <x:v>0</x:v>
      </x:c>
      <x:c r="I246" s="28" t="n">
        <x:f>H246-G246</x:f>
        <x:v>-825.1</x:v>
      </x:c>
      <x:c r="J246" t="str">
        <x:f>IF(COUNTIFS('CONTEOS'!$F$2:$F$4000,A246,'CONTEOS'!$H$2:$H$4000,C246)=0,"PENDIENTE",IF(I246=0,"CUADRA",IF(I246&gt;0,"SOBRANTE","FALTANTE")))</x:f>
        <x:v>PENDIENTE</x:v>
      </x:c>
    </x:row>
    <x:row r="247">
      <x:c r="A247" t="str">
        <x:f>'STOCK_SISTEMA'!A247</x:f>
        <x:v>EE10033</x:v>
      </x:c>
      <x:c r="B247" s="29" t="str">
        <x:f>'STOCK_SISTEMA'!B247</x:f>
        <x:v>[EE10033] LAMINA TIYAPUY CHIFLES 40 GR X KG</x:v>
      </x:c>
      <x:c r="C247" t="str">
        <x:f>IF('STOCK_SISTEMA'!C247="","",'STOCK_SISTEMA'!C247)</x:f>
        <x:v>INFORME 01/26</x:v>
      </x:c>
      <x:c r="D247" s="27" t="n">
        <x:f>IF('STOCK_SISTEMA'!D247="","",'STOCK_SISTEMA'!D247)</x:f>
        <x:v>46563.42222222222</x:v>
      </x:c>
      <x:c r="E247" t="str">
        <x:f>'STOCK_SISTEMA'!E247</x:f>
        <x:v>SF-03/Materiales</x:v>
      </x:c>
      <x:c r="F247" t="str">
        <x:f>'STOCK_SISTEMA'!G247</x:f>
        <x:v>Kilogramo</x:v>
      </x:c>
      <x:c r="G247" s="28" t="n">
        <x:f>'STOCK_SISTEMA'!F247</x:f>
        <x:v>887.97</x:v>
      </x:c>
      <x:c r="H247" s="28" t="n">
        <x:f>SUMIFS('CONTEOS'!$N$2:$N$4000,'CONTEOS'!$F$2:$F$4000,A247,'CONTEOS'!$H$2:$H$4000,C247)</x:f>
        <x:v>0</x:v>
      </x:c>
      <x:c r="I247" s="28" t="n">
        <x:f>H247-G247</x:f>
        <x:v>-887.97</x:v>
      </x:c>
      <x:c r="J247" t="str">
        <x:f>IF(COUNTIFS('CONTEOS'!$F$2:$F$4000,A247,'CONTEOS'!$H$2:$H$4000,C247)=0,"PENDIENTE",IF(I247=0,"CUADRA",IF(I247&gt;0,"SOBRANTE","FALTANTE")))</x:f>
        <x:v>PENDIENTE</x:v>
      </x:c>
    </x:row>
    <x:row r="248">
      <x:c r="A248" t="str">
        <x:f>'STOCK_SISTEMA'!A248</x:f>
        <x:v>EE10035</x:v>
      </x:c>
      <x:c r="B248" s="29" t="str">
        <x:f>'STOCK_SISTEMA'!B248</x:f>
        <x:v>[EE10035] LAMINA TIYAPUY CAMOTE 30 GR X KG</x:v>
      </x:c>
      <x:c r="C248" t="str">
        <x:f>IF('STOCK_SISTEMA'!C248="","",'STOCK_SISTEMA'!C248)</x:f>
        <x:v>INFORME 02/26</x:v>
      </x:c>
      <x:c r="D248" s="27" t="n">
        <x:f>IF('STOCK_SISTEMA'!D248="","",'STOCK_SISTEMA'!D248)</x:f>
        <x:v>46562.42862268518</x:v>
      </x:c>
      <x:c r="E248" t="str">
        <x:f>'STOCK_SISTEMA'!E248</x:f>
        <x:v>SF-03/Materiales</x:v>
      </x:c>
      <x:c r="F248" t="str">
        <x:f>'STOCK_SISTEMA'!G248</x:f>
        <x:v>Kilogramo</x:v>
      </x:c>
      <x:c r="G248" s="28" t="n">
        <x:f>'STOCK_SISTEMA'!F248</x:f>
        <x:v>740.2320000000001</x:v>
      </x:c>
      <x:c r="H248" s="28" t="n">
        <x:f>SUMIFS('CONTEOS'!$N$2:$N$4000,'CONTEOS'!$F$2:$F$4000,A248,'CONTEOS'!$H$2:$H$4000,C248)</x:f>
        <x:v>0</x:v>
      </x:c>
      <x:c r="I248" s="28" t="n">
        <x:f>H248-G248</x:f>
        <x:v>-740.2320000000001</x:v>
      </x:c>
      <x:c r="J248" t="str">
        <x:f>IF(COUNTIFS('CONTEOS'!$F$2:$F$4000,A248,'CONTEOS'!$H$2:$H$4000,C248)=0,"PENDIENTE",IF(I248=0,"CUADRA",IF(I248&gt;0,"SOBRANTE","FALTANTE")))</x:f>
        <x:v>PENDIENTE</x:v>
      </x:c>
    </x:row>
    <x:row r="249">
      <x:c r="A249" t="str">
        <x:f>'STOCK_SISTEMA'!A249</x:f>
        <x:v>EE10030</x:v>
      </x:c>
      <x:c r="B249" s="29" t="str">
        <x:f>'STOCK_SISTEMA'!B249</x:f>
        <x:v>[EE10030] LAMINA TIYAPUY NATIVA MIX 142GR CONVENCIONAL BOLIVIA X KG</x:v>
      </x:c>
      <x:c r="C249" t="str">
        <x:f>IF('STOCK_SISTEMA'!C249="","",'STOCK_SISTEMA'!C249)</x:f>
        <x:v>INFORME 01/26</x:v>
      </x:c>
      <x:c r="D249" s="27" t="n">
        <x:f>IF('STOCK_SISTEMA'!D249="","",'STOCK_SISTEMA'!D249)</x:f>
        <x:v>46563.43664351852</x:v>
      </x:c>
      <x:c r="E249" t="str">
        <x:f>'STOCK_SISTEMA'!E249</x:f>
        <x:v>SF-03/Materiales</x:v>
      </x:c>
      <x:c r="F249" t="str">
        <x:f>'STOCK_SISTEMA'!G249</x:f>
        <x:v>Kilogramo</x:v>
      </x:c>
      <x:c r="G249" s="28" t="n">
        <x:f>'STOCK_SISTEMA'!F249</x:f>
        <x:v>959.725</x:v>
      </x:c>
      <x:c r="H249" s="28" t="n">
        <x:f>SUMIFS('CONTEOS'!$N$2:$N$4000,'CONTEOS'!$F$2:$F$4000,A249,'CONTEOS'!$H$2:$H$4000,C249)</x:f>
        <x:v>0</x:v>
      </x:c>
      <x:c r="I249" s="28" t="n">
        <x:f>H249-G249</x:f>
        <x:v>-959.725</x:v>
      </x:c>
      <x:c r="J249" t="str">
        <x:f>IF(COUNTIFS('CONTEOS'!$F$2:$F$4000,A249,'CONTEOS'!$H$2:$H$4000,C249)=0,"PENDIENTE",IF(I249=0,"CUADRA",IF(I249&gt;0,"SOBRANTE","FALTANTE")))</x:f>
        <x:v>PENDIENTE</x:v>
      </x:c>
    </x:row>
    <x:row r="250">
      <x:c r="A250" t="str">
        <x:f>'STOCK_SISTEMA'!A250</x:f>
        <x:v>EE10138</x:v>
      </x:c>
      <x:c r="B250" s="29" t="str">
        <x:f>'STOCK_SISTEMA'!B250</x:f>
        <x:v>[EE10138] LAMINA TIYAPUY LIMON PIMIENTA 142GR CONVENCIONAL X KG</x:v>
      </x:c>
      <x:c r="C250" t="str">
        <x:f>IF('STOCK_SISTEMA'!C250="","",'STOCK_SISTEMA'!C250)</x:f>
        <x:v>INFORME 02/26</x:v>
      </x:c>
      <x:c r="D250" s="27" t="n">
        <x:f>IF('STOCK_SISTEMA'!D250="","",'STOCK_SISTEMA'!D250)</x:f>
        <x:v>46557.37069444444</x:v>
      </x:c>
      <x:c r="E250" t="str">
        <x:f>'STOCK_SISTEMA'!E250</x:f>
        <x:v>SF-03/Materiales</x:v>
      </x:c>
      <x:c r="F250" t="str">
        <x:f>'STOCK_SISTEMA'!G250</x:f>
        <x:v>Kilogramo</x:v>
      </x:c>
      <x:c r="G250" s="28" t="n">
        <x:f>'STOCK_SISTEMA'!F250</x:f>
        <x:v>187.25</x:v>
      </x:c>
      <x:c r="H250" s="28" t="n">
        <x:f>SUMIFS('CONTEOS'!$N$2:$N$4000,'CONTEOS'!$F$2:$F$4000,A250,'CONTEOS'!$H$2:$H$4000,C250)</x:f>
        <x:v>0</x:v>
      </x:c>
      <x:c r="I250" s="28" t="n">
        <x:f>H250-G250</x:f>
        <x:v>-187.25</x:v>
      </x:c>
      <x:c r="J250" t="str">
        <x:f>IF(COUNTIFS('CONTEOS'!$F$2:$F$4000,A250,'CONTEOS'!$H$2:$H$4000,C250)=0,"PENDIENTE",IF(I250=0,"CUADRA",IF(I250&gt;0,"SOBRANTE","FALTANTE")))</x:f>
        <x:v>PENDIENTE</x:v>
      </x:c>
    </x:row>
    <x:row r="251">
      <x:c r="A251" t="str">
        <x:f>'STOCK_SISTEMA'!A251</x:f>
        <x:v>EE10030</x:v>
      </x:c>
      <x:c r="B251" s="29" t="str">
        <x:f>'STOCK_SISTEMA'!B251</x:f>
        <x:v>[EE10030] LAMINA TIYAPUY NATIVA MIX 142GR CONVENCIONAL BOLIVIA X KG</x:v>
      </x:c>
      <x:c r="C251" t="str">
        <x:f>IF('STOCK_SISTEMA'!C251="","",'STOCK_SISTEMA'!C251)</x:f>
        <x:v>INFORME 03/26</x:v>
      </x:c>
      <x:c r="D251" s="27" t="n">
        <x:f>IF('STOCK_SISTEMA'!D251="","",'STOCK_SISTEMA'!D251)</x:f>
        <x:v>46563.37501157408</x:v>
      </x:c>
      <x:c r="E251" t="str">
        <x:f>'STOCK_SISTEMA'!E251</x:f>
        <x:v>SF-03/Materiales</x:v>
      </x:c>
      <x:c r="F251" t="str">
        <x:f>'STOCK_SISTEMA'!G251</x:f>
        <x:v>Kilogramo</x:v>
      </x:c>
      <x:c r="G251" s="28" t="n">
        <x:f>'STOCK_SISTEMA'!F251</x:f>
        <x:v>2266.28</x:v>
      </x:c>
      <x:c r="H251" s="28" t="n">
        <x:f>SUMIFS('CONTEOS'!$N$2:$N$4000,'CONTEOS'!$F$2:$F$4000,A251,'CONTEOS'!$H$2:$H$4000,C251)</x:f>
        <x:v>0</x:v>
      </x:c>
      <x:c r="I251" s="28" t="n">
        <x:f>H251-G251</x:f>
        <x:v>-2266.28</x:v>
      </x:c>
      <x:c r="J251" t="str">
        <x:f>IF(COUNTIFS('CONTEOS'!$F$2:$F$4000,A251,'CONTEOS'!$H$2:$H$4000,C251)=0,"PENDIENTE",IF(I251=0,"CUADRA",IF(I251&gt;0,"SOBRANTE","FALTANTE")))</x:f>
        <x:v>PENDIENTE</x:v>
      </x:c>
    </x:row>
    <x:row r="252">
      <x:c r="A252" t="str">
        <x:f>'STOCK_SISTEMA'!A252</x:f>
        <x:v>EE10030</x:v>
      </x:c>
      <x:c r="B252" s="29" t="str">
        <x:f>'STOCK_SISTEMA'!B252</x:f>
        <x:v>[EE10030] LAMINA TIYAPUY NATIVA MIX 142GR CONVENCIONAL BOLIVIA X KG</x:v>
      </x:c>
      <x:c r="C252" t="str">
        <x:f>IF('STOCK_SISTEMA'!C252="","",'STOCK_SISTEMA'!C252)</x:f>
        <x:v>INFORME 03/26.</x:v>
      </x:c>
      <x:c r="D252" s="27" t="n">
        <x:f>IF('STOCK_SISTEMA'!D252="","",'STOCK_SISTEMA'!D252)</x:f>
        <x:v>46563.37530092592</x:v>
      </x:c>
      <x:c r="E252" t="str">
        <x:f>'STOCK_SISTEMA'!E252</x:f>
        <x:v>SF-03/Materiales</x:v>
      </x:c>
      <x:c r="F252" t="str">
        <x:f>'STOCK_SISTEMA'!G252</x:f>
        <x:v>Kilogramo</x:v>
      </x:c>
      <x:c r="G252" s="28" t="n">
        <x:f>'STOCK_SISTEMA'!F252</x:f>
        <x:v>518.48</x:v>
      </x:c>
      <x:c r="H252" s="28" t="n">
        <x:f>SUMIFS('CONTEOS'!$N$2:$N$4000,'CONTEOS'!$F$2:$F$4000,A252,'CONTEOS'!$H$2:$H$4000,C252)</x:f>
        <x:v>0</x:v>
      </x:c>
      <x:c r="I252" s="28" t="n">
        <x:f>H252-G252</x:f>
        <x:v>-518.48</x:v>
      </x:c>
      <x:c r="J252" t="str">
        <x:f>IF(COUNTIFS('CONTEOS'!$F$2:$F$4000,A252,'CONTEOS'!$H$2:$H$4000,C252)=0,"PENDIENTE",IF(I252=0,"CUADRA",IF(I252&gt;0,"SOBRANTE","FALTANTE")))</x:f>
        <x:v>PENDIENTE</x:v>
      </x:c>
    </x:row>
    <x:row r="253">
      <x:c r="A253" t="str">
        <x:f>'STOCK_SISTEMA'!A253</x:f>
        <x:v>EE10044</x:v>
      </x:c>
      <x:c r="B253" s="29" t="str">
        <x:f>'STOCK_SISTEMA'!B253</x:f>
        <x:v>[EE10044] LAMINA TIYAPUY CHIPS QUINUA BBQ 100 GR X KG</x:v>
      </x:c>
      <x:c r="C253" t="str">
        <x:f>IF('STOCK_SISTEMA'!C253="","",'STOCK_SISTEMA'!C253)</x:f>
        <x:v>INFORME 01/26</x:v>
      </x:c>
      <x:c r="D253" s="27" t="n">
        <x:f>IF('STOCK_SISTEMA'!D253="","",'STOCK_SISTEMA'!D253)</x:f>
        <x:v>46563.3771875</x:v>
      </x:c>
      <x:c r="E253" t="str">
        <x:f>'STOCK_SISTEMA'!E253</x:f>
        <x:v>SF-03/Materiales</x:v>
      </x:c>
      <x:c r="F253" t="str">
        <x:f>'STOCK_SISTEMA'!G253</x:f>
        <x:v>Kilogramo</x:v>
      </x:c>
      <x:c r="G253" s="28" t="n">
        <x:f>'STOCK_SISTEMA'!F253</x:f>
        <x:v>641.14</x:v>
      </x:c>
      <x:c r="H253" s="28" t="n">
        <x:f>SUMIFS('CONTEOS'!$N$2:$N$4000,'CONTEOS'!$F$2:$F$4000,A253,'CONTEOS'!$H$2:$H$4000,C253)</x:f>
        <x:v>0</x:v>
      </x:c>
      <x:c r="I253" s="28" t="n">
        <x:f>H253-G253</x:f>
        <x:v>-641.14</x:v>
      </x:c>
      <x:c r="J253" t="str">
        <x:f>IF(COUNTIFS('CONTEOS'!$F$2:$F$4000,A253,'CONTEOS'!$H$2:$H$4000,C253)=0,"PENDIENTE",IF(I253=0,"CUADRA",IF(I253&gt;0,"SOBRANTE","FALTANTE")))</x:f>
        <x:v>PENDIENTE</x:v>
      </x:c>
    </x:row>
    <x:row r="254">
      <x:c r="A254" t="str">
        <x:f>'STOCK_SISTEMA'!A254</x:f>
        <x:v>EE10277</x:v>
      </x:c>
      <x:c r="B254" s="29" t="str">
        <x:f>'STOCK_SISTEMA'!B254</x:f>
        <x:v>[EE10277] LAMINA MIX NATIVA 30g ALTA BARRERA X KG</x:v>
      </x:c>
      <x:c r="C254" t="str">
        <x:f>IF('STOCK_SISTEMA'!C254="","",'STOCK_SISTEMA'!C254)</x:f>
        <x:v>INFORME 02/26</x:v>
      </x:c>
      <x:c r="D254" s="27" t="n">
        <x:f>IF('STOCK_SISTEMA'!D254="","",'STOCK_SISTEMA'!D254)</x:f>
        <x:v>46389.51737268519</x:v>
      </x:c>
      <x:c r="E254" t="str">
        <x:f>'STOCK_SISTEMA'!E254</x:f>
        <x:v>SF-03/Materiales</x:v>
      </x:c>
      <x:c r="F254" t="str">
        <x:f>'STOCK_SISTEMA'!G254</x:f>
        <x:v>Kilogramo</x:v>
      </x:c>
      <x:c r="G254" s="28" t="n">
        <x:f>'STOCK_SISTEMA'!F254</x:f>
        <x:v>124.4668</x:v>
      </x:c>
      <x:c r="H254" s="28" t="n">
        <x:f>SUMIFS('CONTEOS'!$N$2:$N$4000,'CONTEOS'!$F$2:$F$4000,A254,'CONTEOS'!$H$2:$H$4000,C254)</x:f>
        <x:v>0</x:v>
      </x:c>
      <x:c r="I254" s="28" t="n">
        <x:f>H254-G254</x:f>
        <x:v>-124.4668</x:v>
      </x:c>
      <x:c r="J254" t="str">
        <x:f>IF(COUNTIFS('CONTEOS'!$F$2:$F$4000,A254,'CONTEOS'!$H$2:$H$4000,C254)=0,"PENDIENTE",IF(I254=0,"CUADRA",IF(I254&gt;0,"SOBRANTE","FALTANTE")))</x:f>
        <x:v>PENDIENTE</x:v>
      </x:c>
    </x:row>
    <x:row r="255">
      <x:c r="A255" t="str">
        <x:f>'STOCK_SISTEMA'!A255</x:f>
        <x:v>MP10019-1</x:v>
      </x:c>
      <x:c r="B255" s="29" t="str">
        <x:f>'STOCK_SISTEMA'!B255</x:f>
        <x:v>[MP10019-1] SABOR TIYAPUY AJI AMARILLO MX SP A60948-28 CRAMER X KG</x:v>
      </x:c>
      <x:c r="C255" t="str">
        <x:f>IF('STOCK_SISTEMA'!C255="","",'STOCK_SISTEMA'!C255)</x:f>
        <x:v>INFORME 03/26</x:v>
      </x:c>
      <x:c r="D255" s="27" t="n">
        <x:f>IF('STOCK_SISTEMA'!D255="","",'STOCK_SISTEMA'!D255)</x:f>
        <x:v>46547.43193287037</x:v>
      </x:c>
      <x:c r="E255" t="str">
        <x:f>'STOCK_SISTEMA'!E255</x:f>
        <x:v>SF-03/Materiales</x:v>
      </x:c>
      <x:c r="F255" t="str">
        <x:f>'STOCK_SISTEMA'!G255</x:f>
        <x:v>Kilogramo</x:v>
      </x:c>
      <x:c r="G255" s="28" t="n">
        <x:f>'STOCK_SISTEMA'!F255</x:f>
        <x:v>300</x:v>
      </x:c>
      <x:c r="H255" s="28" t="n">
        <x:f>SUMIFS('CONTEOS'!$N$2:$N$4000,'CONTEOS'!$F$2:$F$4000,A255,'CONTEOS'!$H$2:$H$4000,C255)</x:f>
        <x:v>0</x:v>
      </x:c>
      <x:c r="I255" s="28" t="n">
        <x:f>H255-G255</x:f>
        <x:v>-300</x:v>
      </x:c>
      <x:c r="J255" t="str">
        <x:f>IF(COUNTIFS('CONTEOS'!$F$2:$F$4000,A255,'CONTEOS'!$H$2:$H$4000,C255)=0,"PENDIENTE",IF(I255=0,"CUADRA",IF(I255&gt;0,"SOBRANTE","FALTANTE")))</x:f>
        <x:v>PENDIENTE</x:v>
      </x:c>
    </x:row>
    <x:row r="256">
      <x:c r="A256" t="str">
        <x:f>'STOCK_SISTEMA'!A256</x:f>
        <x:v>MP10002</x:v>
      </x:c>
      <x:c r="B256" s="29" t="str">
        <x:f>'STOCK_SISTEMA'!B256</x:f>
        <x:v>[MP10002] PAPA NATIVA MIX CONVENCIONAL X KG</x:v>
      </x:c>
      <x:c r="C256" t="str">
        <x:f>IF('STOCK_SISTEMA'!C256="","",'STOCK_SISTEMA'!C256)</x:f>
        <x:v>INFORME 52/26</x:v>
      </x:c>
      <x:c r="D256" s="27" t="n">
        <x:f>IF('STOCK_SISTEMA'!D256="","",'STOCK_SISTEMA'!D256)</x:f>
        <x:v>46248.78591435185</x:v>
      </x:c>
      <x:c r="E256" t="str">
        <x:f>'STOCK_SISTEMA'!E256</x:f>
        <x:v>SF-03/Materiales</x:v>
      </x:c>
      <x:c r="F256" t="str">
        <x:f>'STOCK_SISTEMA'!G256</x:f>
        <x:v>Kilogramo</x:v>
      </x:c>
      <x:c r="G256" s="28" t="n">
        <x:f>'STOCK_SISTEMA'!F256</x:f>
        <x:v>214.2</x:v>
      </x:c>
      <x:c r="H256" s="28" t="n">
        <x:f>SUMIFS('CONTEOS'!$N$2:$N$4000,'CONTEOS'!$F$2:$F$4000,A256,'CONTEOS'!$H$2:$H$4000,C256)</x:f>
        <x:v>0</x:v>
      </x:c>
      <x:c r="I256" s="28" t="n">
        <x:f>H256-G256</x:f>
        <x:v>-214.2</x:v>
      </x:c>
      <x:c r="J256" t="str">
        <x:f>IF(COUNTIFS('CONTEOS'!$F$2:$F$4000,A256,'CONTEOS'!$H$2:$H$4000,C256)=0,"PENDIENTE",IF(I256=0,"CUADRA",IF(I256&gt;0,"SOBRANTE","FALTANTE")))</x:f>
        <x:v>PENDIENTE</x:v>
      </x:c>
    </x:row>
    <x:row r="257">
      <x:c r="A257" t="str">
        <x:f>'STOCK_SISTEMA'!A257</x:f>
        <x:v>MP10002</x:v>
      </x:c>
      <x:c r="B257" s="29" t="str">
        <x:f>'STOCK_SISTEMA'!B257</x:f>
        <x:v>[MP10002] PAPA NATIVA MIX CONVENCIONAL X KG</x:v>
      </x:c>
      <x:c r="C257" t="str">
        <x:f>IF('STOCK_SISTEMA'!C257="","",'STOCK_SISTEMA'!C257)</x:f>
        <x:v>INFORME 105/26</x:v>
      </x:c>
      <x:c r="D257" s="27" t="n">
        <x:f>IF('STOCK_SISTEMA'!D257="","",'STOCK_SISTEMA'!D257)</x:f>
        <x:v>46265.93393518519</x:v>
      </x:c>
      <x:c r="E257" t="str">
        <x:f>'STOCK_SISTEMA'!E257</x:f>
        <x:v>SF-03/Materiales</x:v>
      </x:c>
      <x:c r="F257" t="str">
        <x:f>'STOCK_SISTEMA'!G257</x:f>
        <x:v>Kilogramo</x:v>
      </x:c>
      <x:c r="G257" s="28" t="n">
        <x:f>'STOCK_SISTEMA'!F257</x:f>
        <x:v>1124.8107</x:v>
      </x:c>
      <x:c r="H257" s="28" t="n">
        <x:f>SUMIFS('CONTEOS'!$N$2:$N$4000,'CONTEOS'!$F$2:$F$4000,A257,'CONTEOS'!$H$2:$H$4000,C257)</x:f>
        <x:v>0</x:v>
      </x:c>
      <x:c r="I257" s="28" t="n">
        <x:f>H257-G257</x:f>
        <x:v>-1124.8107</x:v>
      </x:c>
      <x:c r="J257" t="str">
        <x:f>IF(COUNTIFS('CONTEOS'!$F$2:$F$4000,A257,'CONTEOS'!$H$2:$H$4000,C257)=0,"PENDIENTE",IF(I257=0,"CUADRA",IF(I257&gt;0,"SOBRANTE","FALTANTE")))</x:f>
        <x:v>PENDIENTE</x:v>
      </x:c>
    </x:row>
    <x:row r="258">
      <x:c r="A258" t="str">
        <x:f>'STOCK_SISTEMA'!A258</x:f>
        <x:v>EE10139</x:v>
      </x:c>
      <x:c r="B258" s="29" t="str">
        <x:f>'STOCK_SISTEMA'!B258</x:f>
        <x:v>[EE10139] LAMINA TIYAPUY JALAPEÑO 142GR CONVENCIONAL X KG</x:v>
      </x:c>
      <x:c r="C258" t="str">
        <x:f>IF('STOCK_SISTEMA'!C258="","",'STOCK_SISTEMA'!C258)</x:f>
        <x:v>INFORME 11/25.</x:v>
      </x:c>
      <x:c r="D258" s="27" t="n">
        <x:f>IF('STOCK_SISTEMA'!D258="","",'STOCK_SISTEMA'!D258)</x:f>
        <x:v>46379.43898148148</x:v>
      </x:c>
      <x:c r="E258" t="str">
        <x:f>'STOCK_SISTEMA'!E258</x:f>
        <x:v>SF-03/Materiales</x:v>
      </x:c>
      <x:c r="F258" t="str">
        <x:f>'STOCK_SISTEMA'!G258</x:f>
        <x:v>Kilogramo</x:v>
      </x:c>
      <x:c r="G258" s="28" t="n">
        <x:f>'STOCK_SISTEMA'!F258</x:f>
        <x:v>33.6</x:v>
      </x:c>
      <x:c r="H258" s="28" t="n">
        <x:f>SUMIFS('CONTEOS'!$N$2:$N$4000,'CONTEOS'!$F$2:$F$4000,A258,'CONTEOS'!$H$2:$H$4000,C258)</x:f>
        <x:v>0</x:v>
      </x:c>
      <x:c r="I258" s="28" t="n">
        <x:f>H258-G258</x:f>
        <x:v>-33.6</x:v>
      </x:c>
      <x:c r="J258" t="str">
        <x:f>IF(COUNTIFS('CONTEOS'!$F$2:$F$4000,A258,'CONTEOS'!$H$2:$H$4000,C258)=0,"PENDIENTE",IF(I258=0,"CUADRA",IF(I258&gt;0,"SOBRANTE","FALTANTE")))</x:f>
        <x:v>PENDIENTE</x:v>
      </x:c>
    </x:row>
    <x:row r="259">
      <x:c r="A259" t="n">
        <x:f>'STOCK_SISTEMA'!A259</x:f>
        <x:v>0</x:v>
      </x:c>
      <x:c r="B259" s="29" t="str">
        <x:f>'STOCK_SISTEMA'!B259</x:f>
        <x:v>JALAVISTAS</x:v>
      </x:c>
      <x:c r="C259" t="str">
        <x:f>IF('STOCK_SISTEMA'!C259="","",'STOCK_SISTEMA'!C259)</x:f>
      </x:c>
      <x:c r="D259" s="27" t="str">
        <x:f>IF('STOCK_SISTEMA'!D259="","",'STOCK_SISTEMA'!D259)</x:f>
      </x:c>
      <x:c r="E259" t="str">
        <x:f>'STOCK_SISTEMA'!E259</x:f>
        <x:v>SF-03/Materiales</x:v>
      </x:c>
      <x:c r="F259" t="str">
        <x:f>'STOCK_SISTEMA'!G259</x:f>
        <x:v>Unidades</x:v>
      </x:c>
      <x:c r="G259" s="28" t="n">
        <x:f>'STOCK_SISTEMA'!F259</x:f>
        <x:v>4000</x:v>
      </x:c>
      <x:c r="H259" s="28" t="n">
        <x:f>SUMIFS('CONTEOS'!$N$2:$N$4000,'CONTEOS'!$F$2:$F$4000,A259,'CONTEOS'!$H$2:$H$4000,C259)</x:f>
        <x:v>0</x:v>
      </x:c>
      <x:c r="I259" s="28" t="n">
        <x:f>H259-G259</x:f>
        <x:v>-4000</x:v>
      </x:c>
      <x:c r="J259" t="str">
        <x:f>IF(COUNTIFS('CONTEOS'!$F$2:$F$4000,A259,'CONTEOS'!$H$2:$H$4000,C259)=0,"PENDIENTE",IF(I259=0,"CUADRA",IF(I259&gt;0,"SOBRANTE","FALTANTE")))</x:f>
        <x:v>PENDIENTE</x:v>
      </x:c>
    </x:row>
    <x:row r="260">
      <x:c r="A260" t="str">
        <x:f>'STOCK_SISTEMA'!A260</x:f>
        <x:v>EE10235</x:v>
      </x:c>
      <x:c r="B260" s="29" t="str">
        <x:f>'STOCK_SISTEMA'!B260</x:f>
        <x:v>[EE10235] LAMINA RIKY TOK 135 G ONDA NATURAL X KG</x:v>
      </x:c>
      <x:c r="C260" t="str">
        <x:f>IF('STOCK_SISTEMA'!C260="","",'STOCK_SISTEMA'!C260)</x:f>
        <x:v>LA-01/26</x:v>
      </x:c>
      <x:c r="D260" s="27" t="n">
        <x:f>IF('STOCK_SISTEMA'!D260="","",'STOCK_SISTEMA'!D260)</x:f>
        <x:v>46571.34730324074</x:v>
      </x:c>
      <x:c r="E260" t="str">
        <x:f>'STOCK_SISTEMA'!E260</x:f>
        <x:v>SF-03/Materiales</x:v>
      </x:c>
      <x:c r="F260" t="str">
        <x:f>'STOCK_SISTEMA'!G260</x:f>
        <x:v>Kilogramo</x:v>
      </x:c>
      <x:c r="G260" s="28" t="n">
        <x:f>'STOCK_SISTEMA'!F260</x:f>
        <x:v>839.47</x:v>
      </x:c>
      <x:c r="H260" s="28" t="n">
        <x:f>SUMIFS('CONTEOS'!$N$2:$N$4000,'CONTEOS'!$F$2:$F$4000,A260,'CONTEOS'!$H$2:$H$4000,C260)</x:f>
        <x:v>0</x:v>
      </x:c>
      <x:c r="I260" s="28" t="n">
        <x:f>H260-G260</x:f>
        <x:v>-839.47</x:v>
      </x:c>
      <x:c r="J260" t="str">
        <x:f>IF(COUNTIFS('CONTEOS'!$F$2:$F$4000,A260,'CONTEOS'!$H$2:$H$4000,C260)=0,"PENDIENTE",IF(I260=0,"CUADRA",IF(I260&gt;0,"SOBRANTE","FALTANTE")))</x:f>
        <x:v>PENDIENTE</x:v>
      </x:c>
    </x:row>
    <x:row r="261">
      <x:c r="A261" t="str">
        <x:f>'STOCK_SISTEMA'!A261</x:f>
        <x:v>EE10236</x:v>
      </x:c>
      <x:c r="B261" s="29" t="str">
        <x:f>'STOCK_SISTEMA'!B261</x:f>
        <x:v>[EE10236] LAMINA RIKY TOK 135 G ONDA PICANTE X KG</x:v>
      </x:c>
      <x:c r="C261" t="str">
        <x:f>IF('STOCK_SISTEMA'!C261="","",'STOCK_SISTEMA'!C261)</x:f>
        <x:v>LA-02/26</x:v>
      </x:c>
      <x:c r="D261" s="27" t="n">
        <x:f>IF('STOCK_SISTEMA'!D261="","",'STOCK_SISTEMA'!D261)</x:f>
        <x:v>46571.34766203703</x:v>
      </x:c>
      <x:c r="E261" t="str">
        <x:f>'STOCK_SISTEMA'!E261</x:f>
        <x:v>SF-03/Materiales</x:v>
      </x:c>
      <x:c r="F261" t="str">
        <x:f>'STOCK_SISTEMA'!G261</x:f>
        <x:v>Kilogramo</x:v>
      </x:c>
      <x:c r="G261" s="28" t="n">
        <x:f>'STOCK_SISTEMA'!F261</x:f>
        <x:v>821.89</x:v>
      </x:c>
      <x:c r="H261" s="28" t="n">
        <x:f>SUMIFS('CONTEOS'!$N$2:$N$4000,'CONTEOS'!$F$2:$F$4000,A261,'CONTEOS'!$H$2:$H$4000,C261)</x:f>
        <x:v>0</x:v>
      </x:c>
      <x:c r="I261" s="28" t="n">
        <x:f>H261-G261</x:f>
        <x:v>-821.89</x:v>
      </x:c>
      <x:c r="J261" t="str">
        <x:f>IF(COUNTIFS('CONTEOS'!$F$2:$F$4000,A261,'CONTEOS'!$H$2:$H$4000,C261)=0,"PENDIENTE",IF(I261=0,"CUADRA",IF(I261&gt;0,"SOBRANTE","FALTANTE")))</x:f>
        <x:v>PENDIENTE</x:v>
      </x:c>
    </x:row>
    <x:row r="262">
      <x:c r="A262" t="str">
        <x:f>'STOCK_SISTEMA'!A262</x:f>
        <x:v>EE10238</x:v>
      </x:c>
      <x:c r="B262" s="29" t="str">
        <x:f>'STOCK_SISTEMA'!B262</x:f>
        <x:v>[EE10238] LAMINA RIKY TOK 135 G ONDA JALAPEÑO X KG</x:v>
      </x:c>
      <x:c r="C262" t="str">
        <x:f>IF('STOCK_SISTEMA'!C262="","",'STOCK_SISTEMA'!C262)</x:f>
        <x:v>LA-03/26</x:v>
      </x:c>
      <x:c r="D262" s="27" t="n">
        <x:f>IF('STOCK_SISTEMA'!D262="","",'STOCK_SISTEMA'!D262)</x:f>
        <x:v>46572.3483449074</x:v>
      </x:c>
      <x:c r="E262" t="str">
        <x:f>'STOCK_SISTEMA'!E262</x:f>
        <x:v>SF-03/Materiales</x:v>
      </x:c>
      <x:c r="F262" t="str">
        <x:f>'STOCK_SISTEMA'!G262</x:f>
        <x:v>Kilogramo</x:v>
      </x:c>
      <x:c r="G262" s="28" t="n">
        <x:f>'STOCK_SISTEMA'!F262</x:f>
        <x:v>894.49</x:v>
      </x:c>
      <x:c r="H262" s="28" t="n">
        <x:f>SUMIFS('CONTEOS'!$N$2:$N$4000,'CONTEOS'!$F$2:$F$4000,A262,'CONTEOS'!$H$2:$H$4000,C262)</x:f>
        <x:v>0</x:v>
      </x:c>
      <x:c r="I262" s="28" t="n">
        <x:f>H262-G262</x:f>
        <x:v>-894.49</x:v>
      </x:c>
      <x:c r="J262" t="str">
        <x:f>IF(COUNTIFS('CONTEOS'!$F$2:$F$4000,A262,'CONTEOS'!$H$2:$H$4000,C262)=0,"PENDIENTE",IF(I262=0,"CUADRA",IF(I262&gt;0,"SOBRANTE","FALTANTE")))</x:f>
        <x:v>PENDIENTE</x:v>
      </x:c>
    </x:row>
    <x:row r="263">
      <x:c r="A263" t="str">
        <x:f>'STOCK_SISTEMA'!A263</x:f>
        <x:v>EE10229</x:v>
      </x:c>
      <x:c r="B263" s="29" t="str">
        <x:f>'STOCK_SISTEMA'!B263</x:f>
        <x:v>[EE10229] LAMINA RIKY TOK 70 G ONDA PICANTE X KG</x:v>
      </x:c>
      <x:c r="C263" t="str">
        <x:f>IF('STOCK_SISTEMA'!C263="","",'STOCK_SISTEMA'!C263)</x:f>
        <x:v>LA-04/26</x:v>
      </x:c>
      <x:c r="D263" s="27" t="n">
        <x:f>IF('STOCK_SISTEMA'!D263="","",'STOCK_SISTEMA'!D263)</x:f>
        <x:v>46571.36081018519</x:v>
      </x:c>
      <x:c r="E263" t="str">
        <x:f>'STOCK_SISTEMA'!E263</x:f>
        <x:v>SF-03/Materiales</x:v>
      </x:c>
      <x:c r="F263" t="str">
        <x:f>'STOCK_SISTEMA'!G263</x:f>
        <x:v>Kilogramo</x:v>
      </x:c>
      <x:c r="G263" s="28" t="n">
        <x:f>'STOCK_SISTEMA'!F263</x:f>
        <x:v>500</x:v>
      </x:c>
      <x:c r="H263" s="28" t="n">
        <x:f>SUMIFS('CONTEOS'!$N$2:$N$4000,'CONTEOS'!$F$2:$F$4000,A263,'CONTEOS'!$H$2:$H$4000,C263)</x:f>
        <x:v>0</x:v>
      </x:c>
      <x:c r="I263" s="28" t="n">
        <x:f>H263-G263</x:f>
        <x:v>-500</x:v>
      </x:c>
      <x:c r="J263" t="str">
        <x:f>IF(COUNTIFS('CONTEOS'!$F$2:$F$4000,A263,'CONTEOS'!$H$2:$H$4000,C263)=0,"PENDIENTE",IF(I263=0,"CUADRA",IF(I263&gt;0,"SOBRANTE","FALTANTE")))</x:f>
        <x:v>PENDIENTE</x:v>
      </x:c>
    </x:row>
    <x:row r="264">
      <x:c r="A264" t="str">
        <x:f>'STOCK_SISTEMA'!A264</x:f>
        <x:v>EE10229</x:v>
      </x:c>
      <x:c r="B264" s="29" t="str">
        <x:f>'STOCK_SISTEMA'!B264</x:f>
        <x:v>[EE10229] LAMINA RIKY TOK 70 G ONDA PICANTE X KG</x:v>
      </x:c>
      <x:c r="C264" t="str">
        <x:f>IF('STOCK_SISTEMA'!C264="","",'STOCK_SISTEMA'!C264)</x:f>
        <x:v>LA 04/26</x:v>
      </x:c>
      <x:c r="D264" s="27" t="n">
        <x:f>IF('STOCK_SISTEMA'!D264="","",'STOCK_SISTEMA'!D264)</x:f>
        <x:v>46571.36116898148</x:v>
      </x:c>
      <x:c r="E264" t="str">
        <x:f>'STOCK_SISTEMA'!E264</x:f>
        <x:v>SF-03/Materiales</x:v>
      </x:c>
      <x:c r="F264" t="str">
        <x:f>'STOCK_SISTEMA'!G264</x:f>
        <x:v>Kilogramo</x:v>
      </x:c>
      <x:c r="G264" s="28" t="n">
        <x:f>'STOCK_SISTEMA'!F264</x:f>
        <x:v>559.1700000000001</x:v>
      </x:c>
      <x:c r="H264" s="28" t="n">
        <x:f>SUMIFS('CONTEOS'!$N$2:$N$4000,'CONTEOS'!$F$2:$F$4000,A264,'CONTEOS'!$H$2:$H$4000,C264)</x:f>
        <x:v>0</x:v>
      </x:c>
      <x:c r="I264" s="28" t="n">
        <x:f>H264-G264</x:f>
        <x:v>-559.1700000000001</x:v>
      </x:c>
      <x:c r="J264" t="str">
        <x:f>IF(COUNTIFS('CONTEOS'!$F$2:$F$4000,A264,'CONTEOS'!$H$2:$H$4000,C264)=0,"PENDIENTE",IF(I264=0,"CUADRA",IF(I264&gt;0,"SOBRANTE","FALTANTE")))</x:f>
        <x:v>PENDIENTE</x:v>
      </x:c>
    </x:row>
    <x:row r="265">
      <x:c r="A265" t="str">
        <x:f>'STOCK_SISTEMA'!A265</x:f>
        <x:v>EE10231</x:v>
      </x:c>
      <x:c r="B265" s="29" t="str">
        <x:f>'STOCK_SISTEMA'!B265</x:f>
        <x:v>[EE10231] LAMINA RIKY TOK 70 G ONDA JALAPEÑO X KG</x:v>
      </x:c>
      <x:c r="C265" t="str">
        <x:f>IF('STOCK_SISTEMA'!C265="","",'STOCK_SISTEMA'!C265)</x:f>
        <x:v>LA-05/26</x:v>
      </x:c>
      <x:c r="D265" s="27" t="n">
        <x:f>IF('STOCK_SISTEMA'!D265="","",'STOCK_SISTEMA'!D265)</x:f>
        <x:v>46572.36347222222</x:v>
      </x:c>
      <x:c r="E265" t="str">
        <x:f>'STOCK_SISTEMA'!E265</x:f>
        <x:v>SF-03/Materiales</x:v>
      </x:c>
      <x:c r="F265" t="str">
        <x:f>'STOCK_SISTEMA'!G265</x:f>
        <x:v>Kilogramo</x:v>
      </x:c>
      <x:c r="G265" s="28" t="n">
        <x:f>'STOCK_SISTEMA'!F265</x:f>
        <x:v>684.48</x:v>
      </x:c>
      <x:c r="H265" s="28" t="n">
        <x:f>SUMIFS('CONTEOS'!$N$2:$N$4000,'CONTEOS'!$F$2:$F$4000,A265,'CONTEOS'!$H$2:$H$4000,C265)</x:f>
        <x:v>0</x:v>
      </x:c>
      <x:c r="I265" s="28" t="n">
        <x:f>H265-G265</x:f>
        <x:v>-684.48</x:v>
      </x:c>
      <x:c r="J265" t="str">
        <x:f>IF(COUNTIFS('CONTEOS'!$F$2:$F$4000,A265,'CONTEOS'!$H$2:$H$4000,C265)=0,"PENDIENTE",IF(I265=0,"CUADRA",IF(I265&gt;0,"SOBRANTE","FALTANTE")))</x:f>
        <x:v>PENDIENTE</x:v>
      </x:c>
    </x:row>
    <x:row r="266">
      <x:c r="A266" t="str">
        <x:f>'STOCK_SISTEMA'!A266</x:f>
        <x:v>EE10228</x:v>
      </x:c>
      <x:c r="B266" s="29" t="str">
        <x:f>'STOCK_SISTEMA'!B266</x:f>
        <x:v>[EE10228] LAMINA RIKY TOK 70 G ONDA NATURAL X KG</x:v>
      </x:c>
      <x:c r="C266" t="str">
        <x:f>IF('STOCK_SISTEMA'!C266="","",'STOCK_SISTEMA'!C266)</x:f>
        <x:v>LA-06/26</x:v>
      </x:c>
      <x:c r="D266" s="27" t="n">
        <x:f>IF('STOCK_SISTEMA'!D266="","",'STOCK_SISTEMA'!D266)</x:f>
        <x:v>46572.3637962963</x:v>
      </x:c>
      <x:c r="E266" t="str">
        <x:f>'STOCK_SISTEMA'!E266</x:f>
        <x:v>SF-03/Materiales</x:v>
      </x:c>
      <x:c r="F266" t="str">
        <x:f>'STOCK_SISTEMA'!G266</x:f>
        <x:v>Kilogramo</x:v>
      </x:c>
      <x:c r="G266" s="28" t="n">
        <x:f>'STOCK_SISTEMA'!F266</x:f>
        <x:v>835.88</x:v>
      </x:c>
      <x:c r="H266" s="28" t="n">
        <x:f>SUMIFS('CONTEOS'!$N$2:$N$4000,'CONTEOS'!$F$2:$F$4000,A266,'CONTEOS'!$H$2:$H$4000,C266)</x:f>
        <x:v>0</x:v>
      </x:c>
      <x:c r="I266" s="28" t="n">
        <x:f>H266-G266</x:f>
        <x:v>-835.88</x:v>
      </x:c>
      <x:c r="J266" t="str">
        <x:f>IF(COUNTIFS('CONTEOS'!$F$2:$F$4000,A266,'CONTEOS'!$H$2:$H$4000,C266)=0,"PENDIENTE",IF(I266=0,"CUADRA",IF(I266&gt;0,"SOBRANTE","FALTANTE")))</x:f>
        <x:v>PENDIENTE</x:v>
      </x:c>
    </x:row>
    <x:row r="267">
      <x:c r="A267" t="str">
        <x:f>'STOCK_SISTEMA'!A267</x:f>
        <x:v>MP10027</x:v>
      </x:c>
      <x:c r="B267" s="29" t="str">
        <x:f>'STOCK_SISTEMA'!B267</x:f>
        <x:v>[MP10027] HARINA DE QUINUA CONVECIONAL X KG</x:v>
      </x:c>
      <x:c r="C267" t="str">
        <x:f>IF('STOCK_SISTEMA'!C267="","",'STOCK_SISTEMA'!C267)</x:f>
        <x:v>HA-01/26</x:v>
      </x:c>
      <x:c r="D267" s="27" t="n">
        <x:f>IF('STOCK_SISTEMA'!D267="","",'STOCK_SISTEMA'!D267)</x:f>
        <x:v>46935.40744212963</x:v>
      </x:c>
      <x:c r="E267" t="str">
        <x:f>'STOCK_SISTEMA'!E267</x:f>
        <x:v>SF-03/Materiales</x:v>
      </x:c>
      <x:c r="F267" t="str">
        <x:f>'STOCK_SISTEMA'!G267</x:f>
        <x:v>Kilogramo</x:v>
      </x:c>
      <x:c r="G267" s="28" t="n">
        <x:f>'STOCK_SISTEMA'!F267</x:f>
        <x:v>888</x:v>
      </x:c>
      <x:c r="H267" s="28" t="n">
        <x:f>SUMIFS('CONTEOS'!$N$2:$N$4000,'CONTEOS'!$F$2:$F$4000,A267,'CONTEOS'!$H$2:$H$4000,C267)</x:f>
        <x:v>0</x:v>
      </x:c>
      <x:c r="I267" s="28" t="n">
        <x:f>H267-G267</x:f>
        <x:v>-888</x:v>
      </x:c>
      <x:c r="J267" t="str">
        <x:f>IF(COUNTIFS('CONTEOS'!$F$2:$F$4000,A267,'CONTEOS'!$H$2:$H$4000,C267)=0,"PENDIENTE",IF(I267=0,"CUADRA",IF(I267&gt;0,"SOBRANTE","FALTANTE")))</x:f>
        <x:v>PENDIENTE</x:v>
      </x:c>
    </x:row>
    <x:row r="268">
      <x:c r="A268" t="str">
        <x:f>'STOCK_SISTEMA'!A268</x:f>
        <x:v>MP10017</x:v>
      </x:c>
      <x:c r="B268" s="29" t="str">
        <x:f>'STOCK_SISTEMA'!B268</x:f>
        <x:v>[MP10017] SAL DE MARAS X KG</x:v>
      </x:c>
      <x:c r="C268" t="str">
        <x:f>IF('STOCK_SISTEMA'!C268="","",'STOCK_SISTEMA'!C268)</x:f>
        <x:v>SM-06/26</x:v>
      </x:c>
      <x:c r="D268" s="27" t="n">
        <x:f>IF('STOCK_SISTEMA'!D268="","",'STOCK_SISTEMA'!D268)</x:f>
        <x:v>46844.36671296296</x:v>
      </x:c>
      <x:c r="E268" t="str">
        <x:f>'STOCK_SISTEMA'!E268</x:f>
        <x:v>SF-03/Materiales</x:v>
      </x:c>
      <x:c r="F268" t="str">
        <x:f>'STOCK_SISTEMA'!G268</x:f>
        <x:v>Kilogramo</x:v>
      </x:c>
      <x:c r="G268" s="28" t="n">
        <x:f>'STOCK_SISTEMA'!F268</x:f>
        <x:v>438.1041</x:v>
      </x:c>
      <x:c r="H268" s="28" t="n">
        <x:f>SUMIFS('CONTEOS'!$N$2:$N$4000,'CONTEOS'!$F$2:$F$4000,A268,'CONTEOS'!$H$2:$H$4000,C268)</x:f>
        <x:v>0</x:v>
      </x:c>
      <x:c r="I268" s="28" t="n">
        <x:f>H268-G268</x:f>
        <x:v>-438.1041</x:v>
      </x:c>
      <x:c r="J268" t="str">
        <x:f>IF(COUNTIFS('CONTEOS'!$F$2:$F$4000,A268,'CONTEOS'!$H$2:$H$4000,C268)=0,"PENDIENTE",IF(I268=0,"CUADRA",IF(I268&gt;0,"SOBRANTE","FALTANTE")))</x:f>
        <x:v>PENDIENTE</x:v>
      </x:c>
    </x:row>
    <x:row r="269">
      <x:c r="A269" t="str">
        <x:f>'STOCK_SISTEMA'!A269</x:f>
        <x:v>MP10030</x:v>
      </x:c>
      <x:c r="B269" s="29" t="str">
        <x:f>'STOCK_SISTEMA'!B269</x:f>
        <x:v>[MP10030] ALMIDÓN DE MAIZ X KG</x:v>
      </x:c>
      <x:c r="C269" t="str">
        <x:f>IF('STOCK_SISTEMA'!C269="","",'STOCK_SISTEMA'!C269)</x:f>
        <x:v>AM-01/26</x:v>
      </x:c>
      <x:c r="D269" s="27" t="n">
        <x:f>IF('STOCK_SISTEMA'!D269="","",'STOCK_SISTEMA'!D269)</x:f>
        <x:v>46904.4965162037</x:v>
      </x:c>
      <x:c r="E269" t="str">
        <x:f>'STOCK_SISTEMA'!E269</x:f>
        <x:v>SF-03/Materiales</x:v>
      </x:c>
      <x:c r="F269" t="str">
        <x:f>'STOCK_SISTEMA'!G269</x:f>
        <x:v>Kilogramo</x:v>
      </x:c>
      <x:c r="G269" s="28" t="n">
        <x:f>'STOCK_SISTEMA'!F269</x:f>
        <x:v>500</x:v>
      </x:c>
      <x:c r="H269" s="28" t="n">
        <x:f>SUMIFS('CONTEOS'!$N$2:$N$4000,'CONTEOS'!$F$2:$F$4000,A269,'CONTEOS'!$H$2:$H$4000,C269)</x:f>
        <x:v>0</x:v>
      </x:c>
      <x:c r="I269" s="28" t="n">
        <x:f>H269-G269</x:f>
        <x:v>-500</x:v>
      </x:c>
      <x:c r="J269" t="str">
        <x:f>IF(COUNTIFS('CONTEOS'!$F$2:$F$4000,A269,'CONTEOS'!$H$2:$H$4000,C269)=0,"PENDIENTE",IF(I269=0,"CUADRA",IF(I269&gt;0,"SOBRANTE","FALTANTE")))</x:f>
        <x:v>PENDIENTE</x:v>
      </x:c>
    </x:row>
    <x:row r="270">
      <x:c r="A270" t="str">
        <x:f>'STOCK_SISTEMA'!A270</x:f>
        <x:v>MP10031</x:v>
      </x:c>
      <x:c r="B270" s="29" t="str">
        <x:f>'STOCK_SISTEMA'!B270</x:f>
        <x:v>[MP10031] ALMIDÓN DE PAPA X KG</x:v>
      </x:c>
      <x:c r="C270" t="str">
        <x:f>IF('STOCK_SISTEMA'!C270="","",'STOCK_SISTEMA'!C270)</x:f>
        <x:v>AM-02/26</x:v>
      </x:c>
      <x:c r="D270" s="27" t="n">
        <x:f>IF('STOCK_SISTEMA'!D270="","",'STOCK_SISTEMA'!D270)</x:f>
        <x:v>47972.49729166667</x:v>
      </x:c>
      <x:c r="E270" t="str">
        <x:f>'STOCK_SISTEMA'!E270</x:f>
        <x:v>SF-03/Materiales</x:v>
      </x:c>
      <x:c r="F270" t="str">
        <x:f>'STOCK_SISTEMA'!G270</x:f>
        <x:v>Kilogramo</x:v>
      </x:c>
      <x:c r="G270" s="28" t="n">
        <x:f>'STOCK_SISTEMA'!F270</x:f>
        <x:v>394.9437</x:v>
      </x:c>
      <x:c r="H270" s="28" t="n">
        <x:f>SUMIFS('CONTEOS'!$N$2:$N$4000,'CONTEOS'!$F$2:$F$4000,A270,'CONTEOS'!$H$2:$H$4000,C270)</x:f>
        <x:v>0</x:v>
      </x:c>
      <x:c r="I270" s="28" t="n">
        <x:f>H270-G270</x:f>
        <x:v>-394.9437</x:v>
      </x:c>
      <x:c r="J270" t="str">
        <x:f>IF(COUNTIFS('CONTEOS'!$F$2:$F$4000,A270,'CONTEOS'!$H$2:$H$4000,C270)=0,"PENDIENTE",IF(I270=0,"CUADRA",IF(I270&gt;0,"SOBRANTE","FALTANTE")))</x:f>
        <x:v>PENDIENTE</x:v>
      </x:c>
    </x:row>
    <x:row r="271">
      <x:c r="A271" t="str">
        <x:f>'STOCK_SISTEMA'!A271</x:f>
        <x:v>MP10062</x:v>
      </x:c>
      <x:c r="B271" s="29" t="str">
        <x:f>'STOCK_SISTEMA'!B271</x:f>
        <x:v>[MP10062] SABOR JALAPEÑO II SP J9441328 CRAMER  X KG</x:v>
      </x:c>
      <x:c r="C271" t="str">
        <x:f>IF('STOCK_SISTEMA'!C271="","",'STOCK_SISTEMA'!C271)</x:f>
        <x:v>SB-04/26</x:v>
      </x:c>
      <x:c r="D271" s="27" t="n">
        <x:f>IF('STOCK_SISTEMA'!D271="","",'STOCK_SISTEMA'!D271)</x:f>
        <x:v>46561.67640046297</x:v>
      </x:c>
      <x:c r="E271" t="str">
        <x:f>'STOCK_SISTEMA'!E271</x:f>
        <x:v>SF-03/Materiales</x:v>
      </x:c>
      <x:c r="F271" t="str">
        <x:f>'STOCK_SISTEMA'!G271</x:f>
        <x:v>Kilogramo</x:v>
      </x:c>
      <x:c r="G271" s="28" t="n">
        <x:f>'STOCK_SISTEMA'!F271</x:f>
        <x:v>1500</x:v>
      </x:c>
      <x:c r="H271" s="28" t="n">
        <x:f>SUMIFS('CONTEOS'!$N$2:$N$4000,'CONTEOS'!$F$2:$F$4000,A271,'CONTEOS'!$H$2:$H$4000,C271)</x:f>
        <x:v>0</x:v>
      </x:c>
      <x:c r="I271" s="28" t="n">
        <x:f>H271-G271</x:f>
        <x:v>-1500</x:v>
      </x:c>
      <x:c r="J271" t="str">
        <x:f>IF(COUNTIFS('CONTEOS'!$F$2:$F$4000,A271,'CONTEOS'!$H$2:$H$4000,C271)=0,"PENDIENTE",IF(I271=0,"CUADRA",IF(I271&gt;0,"SOBRANTE","FALTANTE")))</x:f>
        <x:v>PENDIENTE</x:v>
      </x:c>
    </x:row>
    <x:row r="272">
      <x:c r="A272" t="str">
        <x:f>'STOCK_SISTEMA'!A272</x:f>
        <x:v>MP10036</x:v>
      </x:c>
      <x:c r="B272" s="29" t="str">
        <x:f>'STOCK_SISTEMA'!B272</x:f>
        <x:v>[MP10036] SABOR TIYAPUY JALAPEÑO MX SP J06708-28 X KG</x:v>
      </x:c>
      <x:c r="C272" t="str">
        <x:f>IF('STOCK_SISTEMA'!C272="","",'STOCK_SISTEMA'!C272)</x:f>
        <x:v>SB-03/26</x:v>
      </x:c>
      <x:c r="D272" s="27" t="n">
        <x:f>IF('STOCK_SISTEMA'!D272="","",'STOCK_SISTEMA'!D272)</x:f>
        <x:v>46469.67873842592</x:v>
      </x:c>
      <x:c r="E272" t="str">
        <x:f>'STOCK_SISTEMA'!E272</x:f>
        <x:v>SF-03/Materiales</x:v>
      </x:c>
      <x:c r="F272" t="str">
        <x:f>'STOCK_SISTEMA'!G272</x:f>
        <x:v>Kilogramo</x:v>
      </x:c>
      <x:c r="G272" s="28" t="n">
        <x:f>'STOCK_SISTEMA'!F272</x:f>
        <x:v>1000</x:v>
      </x:c>
      <x:c r="H272" s="28" t="n">
        <x:f>SUMIFS('CONTEOS'!$N$2:$N$4000,'CONTEOS'!$F$2:$F$4000,A272,'CONTEOS'!$H$2:$H$4000,C272)</x:f>
        <x:v>0</x:v>
      </x:c>
      <x:c r="I272" s="28" t="n">
        <x:f>H272-G272</x:f>
        <x:v>-1000</x:v>
      </x:c>
      <x:c r="J272" t="str">
        <x:f>IF(COUNTIFS('CONTEOS'!$F$2:$F$4000,A272,'CONTEOS'!$H$2:$H$4000,C272)=0,"PENDIENTE",IF(I272=0,"CUADRA",IF(I272&gt;0,"SOBRANTE","FALTANTE")))</x:f>
        <x:v>PENDIENTE</x:v>
      </x:c>
    </x:row>
    <x:row r="273">
      <x:c r="A273" t="str">
        <x:f>'STOCK_SISTEMA'!A273</x:f>
        <x:v>MP10044</x:v>
      </x:c>
      <x:c r="B273" s="29" t="str">
        <x:f>'STOCK_SISTEMA'!B273</x:f>
        <x:v>[MP10044] SABOR TIYAPUY PIMIENTA LIMÓN NAT SP P49514-28 CRAMER X KG</x:v>
      </x:c>
      <x:c r="C273" t="str">
        <x:f>IF('STOCK_SISTEMA'!C273="","",'STOCK_SISTEMA'!C273)</x:f>
        <x:v>SB-02/26</x:v>
      </x:c>
      <x:c r="D273" s="27" t="n">
        <x:f>IF('STOCK_SISTEMA'!D273="","",'STOCK_SISTEMA'!D273)</x:f>
        <x:v>46555.67980324074</x:v>
      </x:c>
      <x:c r="E273" t="str">
        <x:f>'STOCK_SISTEMA'!E273</x:f>
        <x:v>SF-03/Materiales</x:v>
      </x:c>
      <x:c r="F273" t="str">
        <x:f>'STOCK_SISTEMA'!G273</x:f>
        <x:v>Kilogramo</x:v>
      </x:c>
      <x:c r="G273" s="28" t="n">
        <x:f>'STOCK_SISTEMA'!F273</x:f>
        <x:v>300</x:v>
      </x:c>
      <x:c r="H273" s="28" t="n">
        <x:f>SUMIFS('CONTEOS'!$N$2:$N$4000,'CONTEOS'!$F$2:$F$4000,A273,'CONTEOS'!$H$2:$H$4000,C273)</x:f>
        <x:v>0</x:v>
      </x:c>
      <x:c r="I273" s="28" t="n">
        <x:f>H273-G273</x:f>
        <x:v>-300</x:v>
      </x:c>
      <x:c r="J273" t="str">
        <x:f>IF(COUNTIFS('CONTEOS'!$F$2:$F$4000,A273,'CONTEOS'!$H$2:$H$4000,C273)=0,"PENDIENTE",IF(I273=0,"CUADRA",IF(I273&gt;0,"SOBRANTE","FALTANTE")))</x:f>
        <x:v>PENDIENTE</x:v>
      </x:c>
    </x:row>
    <x:row r="274">
      <x:c r="A274" t="str">
        <x:f>'STOCK_SISTEMA'!A274</x:f>
        <x:v>MP10021</x:v>
      </x:c>
      <x:c r="B274" s="29" t="str">
        <x:f>'STOCK_SISTEMA'!B274</x:f>
        <x:v>[MP10021] SABOR RIKY TOK PICANTE SP-P73900-26 CRAMER X KG</x:v>
      </x:c>
      <x:c r="C274" t="str">
        <x:f>IF('STOCK_SISTEMA'!C274="","",'STOCK_SISTEMA'!C274)</x:f>
        <x:v>SB-01/26</x:v>
      </x:c>
      <x:c r="D274" s="27" t="n">
        <x:f>IF('STOCK_SISTEMA'!D274="","",'STOCK_SISTEMA'!D274)</x:f>
        <x:v>46541.68084490741</x:v>
      </x:c>
      <x:c r="E274" t="str">
        <x:f>'STOCK_SISTEMA'!E274</x:f>
        <x:v>SF-03/Materiales</x:v>
      </x:c>
      <x:c r="F274" t="str">
        <x:f>'STOCK_SISTEMA'!G274</x:f>
        <x:v>Kilogramo</x:v>
      </x:c>
      <x:c r="G274" s="28" t="n">
        <x:f>'STOCK_SISTEMA'!F274</x:f>
        <x:v>2189</x:v>
      </x:c>
      <x:c r="H274" s="28" t="n">
        <x:f>SUMIFS('CONTEOS'!$N$2:$N$4000,'CONTEOS'!$F$2:$F$4000,A274,'CONTEOS'!$H$2:$H$4000,C274)</x:f>
        <x:v>0</x:v>
      </x:c>
      <x:c r="I274" s="28" t="n">
        <x:f>H274-G274</x:f>
        <x:v>-2189</x:v>
      </x:c>
      <x:c r="J274" t="str">
        <x:f>IF(COUNTIFS('CONTEOS'!$F$2:$F$4000,A274,'CONTEOS'!$H$2:$H$4000,C274)=0,"PENDIENTE",IF(I274=0,"CUADRA",IF(I274&gt;0,"SOBRANTE","FALTANTE")))</x:f>
        <x:v>PENDIENTE</x:v>
      </x:c>
    </x:row>
    <x:row r="275">
      <x:c r="A275" t="str">
        <x:f>'STOCK_SISTEMA'!A275</x:f>
        <x:v>MP10013</x:v>
      </x:c>
      <x:c r="B275" s="29" t="str">
        <x:f>'STOCK_SISTEMA'!B275</x:f>
        <x:v>[MP10013] ACEITE DE GIRASOL ALTO OLEICO X LT</x:v>
      </x:c>
      <x:c r="C275" t="str">
        <x:f>IF('STOCK_SISTEMA'!C275="","",'STOCK_SISTEMA'!C275)</x:f>
        <x:v>AO-13/26</x:v>
      </x:c>
      <x:c r="D275" s="27" t="n">
        <x:f>IF('STOCK_SISTEMA'!D275="","",'STOCK_SISTEMA'!D275)</x:f>
        <x:v>46537.68300925926</x:v>
      </x:c>
      <x:c r="E275" t="str">
        <x:f>'STOCK_SISTEMA'!E275</x:f>
        <x:v>SF-03/Materiales</x:v>
      </x:c>
      <x:c r="F275" t="str">
        <x:f>'STOCK_SISTEMA'!G275</x:f>
        <x:v>L</x:v>
      </x:c>
      <x:c r="G275" s="28" t="n">
        <x:f>'STOCK_SISTEMA'!F275</x:f>
        <x:v>9</x:v>
      </x:c>
      <x:c r="H275" s="28" t="n">
        <x:f>SUMIFS('CONTEOS'!$N$2:$N$4000,'CONTEOS'!$F$2:$F$4000,A275,'CONTEOS'!$H$2:$H$4000,C275)</x:f>
        <x:v>0</x:v>
      </x:c>
      <x:c r="I275" s="28" t="n">
        <x:f>H275-G275</x:f>
        <x:v>-9</x:v>
      </x:c>
      <x:c r="J275" t="str">
        <x:f>IF(COUNTIFS('CONTEOS'!$F$2:$F$4000,A275,'CONTEOS'!$H$2:$H$4000,C275)=0,"PENDIENTE",IF(I275=0,"CUADRA",IF(I275&gt;0,"SOBRANTE","FALTANTE")))</x:f>
        <x:v>PENDIENTE</x:v>
      </x:c>
    </x:row>
    <x:row r="276">
      <x:c r="A276" t="str">
        <x:f>'STOCK_SISTEMA'!A276</x:f>
        <x:v>EE10144</x:v>
      </x:c>
      <x:c r="B276" s="29" t="str">
        <x:f>'STOCK_SISTEMA'!B276</x:f>
        <x:v>[EE10144] LAMINA TIYAPUY JALAPEÑO 142GR ORG. MEXICO X KG</x:v>
      </x:c>
      <x:c r="C276" t="str">
        <x:f>IF('STOCK_SISTEMA'!C276="","",'STOCK_SISTEMA'!C276)</x:f>
        <x:v>LA-01/26</x:v>
      </x:c>
      <x:c r="D276" s="27" t="n">
        <x:f>IF('STOCK_SISTEMA'!D276="","",'STOCK_SISTEMA'!D276)</x:f>
        <x:v>46579.35017361111</x:v>
      </x:c>
      <x:c r="E276" t="str">
        <x:f>'STOCK_SISTEMA'!E276</x:f>
        <x:v>SF-03/Materiales</x:v>
      </x:c>
      <x:c r="F276" t="str">
        <x:f>'STOCK_SISTEMA'!G276</x:f>
        <x:v>Kilogramo</x:v>
      </x:c>
      <x:c r="G276" s="28" t="n">
        <x:f>'STOCK_SISTEMA'!F276</x:f>
        <x:v>812.1120000000001</x:v>
      </x:c>
      <x:c r="H276" s="28" t="n">
        <x:f>SUMIFS('CONTEOS'!$N$2:$N$4000,'CONTEOS'!$F$2:$F$4000,A276,'CONTEOS'!$H$2:$H$4000,C276)</x:f>
        <x:v>0</x:v>
      </x:c>
      <x:c r="I276" s="28" t="n">
        <x:f>H276-G276</x:f>
        <x:v>-812.1120000000001</x:v>
      </x:c>
      <x:c r="J276" t="str">
        <x:f>IF(COUNTIFS('CONTEOS'!$F$2:$F$4000,A276,'CONTEOS'!$H$2:$H$4000,C276)=0,"PENDIENTE",IF(I276=0,"CUADRA",IF(I276&gt;0,"SOBRANTE","FALTANTE")))</x:f>
        <x:v>PENDIENTE</x:v>
      </x:c>
    </x:row>
    <x:row r="277">
      <x:c r="A277" t="str">
        <x:f>'STOCK_SISTEMA'!A277</x:f>
        <x:v>EE10138</x:v>
      </x:c>
      <x:c r="B277" s="29" t="str">
        <x:f>'STOCK_SISTEMA'!B277</x:f>
        <x:v>[EE10138] LAMINA TIYAPUY LIMON PIMIENTA 142GR CONVENCIONAL X KG</x:v>
      </x:c>
      <x:c r="C277" t="str">
        <x:f>IF('STOCK_SISTEMA'!C277="","",'STOCK_SISTEMA'!C277)</x:f>
        <x:v>LA-02/26</x:v>
      </x:c>
      <x:c r="D277" s="27" t="n">
        <x:f>IF('STOCK_SISTEMA'!D277="","",'STOCK_SISTEMA'!D277)</x:f>
        <x:v>46582.35280092592</x:v>
      </x:c>
      <x:c r="E277" t="str">
        <x:f>'STOCK_SISTEMA'!E277</x:f>
        <x:v>SF-03/Materiales</x:v>
      </x:c>
      <x:c r="F277" t="str">
        <x:f>'STOCK_SISTEMA'!G277</x:f>
        <x:v>Kilogramo</x:v>
      </x:c>
      <x:c r="G277" s="28" t="n">
        <x:f>'STOCK_SISTEMA'!F277</x:f>
        <x:v>550.98</x:v>
      </x:c>
      <x:c r="H277" s="28" t="n">
        <x:f>SUMIFS('CONTEOS'!$N$2:$N$4000,'CONTEOS'!$F$2:$F$4000,A277,'CONTEOS'!$H$2:$H$4000,C277)</x:f>
        <x:v>0</x:v>
      </x:c>
      <x:c r="I277" s="28" t="n">
        <x:f>H277-G277</x:f>
        <x:v>-550.98</x:v>
      </x:c>
      <x:c r="J277" t="str">
        <x:f>IF(COUNTIFS('CONTEOS'!$F$2:$F$4000,A277,'CONTEOS'!$H$2:$H$4000,C277)=0,"PENDIENTE",IF(I277=0,"CUADRA",IF(I277&gt;0,"SOBRANTE","FALTANTE")))</x:f>
        <x:v>PENDIENTE</x:v>
      </x:c>
    </x:row>
    <x:row r="278">
      <x:c r="A278" t="str">
        <x:f>'STOCK_SISTEMA'!A278</x:f>
        <x:v>EE10138</x:v>
      </x:c>
      <x:c r="B278" s="29" t="str">
        <x:f>'STOCK_SISTEMA'!B278</x:f>
        <x:v>[EE10138] LAMINA TIYAPUY LIMON PIMIENTA 142GR CONVENCIONAL X KG</x:v>
      </x:c>
      <x:c r="C278" t="str">
        <x:f>IF('STOCK_SISTEMA'!C278="","",'STOCK_SISTEMA'!C278)</x:f>
        <x:v>LA-02/26.</x:v>
      </x:c>
      <x:c r="D278" s="27" t="n">
        <x:f>IF('STOCK_SISTEMA'!D278="","",'STOCK_SISTEMA'!D278)</x:f>
        <x:v>46582.35311342592</x:v>
      </x:c>
      <x:c r="E278" t="str">
        <x:f>'STOCK_SISTEMA'!E278</x:f>
        <x:v>SF-03/Materiales</x:v>
      </x:c>
      <x:c r="F278" t="str">
        <x:f>'STOCK_SISTEMA'!G278</x:f>
        <x:v>Kilogramo</x:v>
      </x:c>
      <x:c r="G278" s="28" t="n">
        <x:f>'STOCK_SISTEMA'!F278</x:f>
        <x:v>35.83</x:v>
      </x:c>
      <x:c r="H278" s="28" t="n">
        <x:f>SUMIFS('CONTEOS'!$N$2:$N$4000,'CONTEOS'!$F$2:$F$4000,A278,'CONTEOS'!$H$2:$H$4000,C278)</x:f>
        <x:v>0</x:v>
      </x:c>
      <x:c r="I278" s="28" t="n">
        <x:f>H278-G278</x:f>
        <x:v>-35.83</x:v>
      </x:c>
      <x:c r="J278" t="str">
        <x:f>IF(COUNTIFS('CONTEOS'!$F$2:$F$4000,A278,'CONTEOS'!$H$2:$H$4000,C278)=0,"PENDIENTE",IF(I278=0,"CUADRA",IF(I278&gt;0,"SOBRANTE","FALTANTE")))</x:f>
        <x:v>PENDIENTE</x:v>
      </x:c>
    </x:row>
    <x:row r="279">
      <x:c r="A279" t="str">
        <x:f>'STOCK_SISTEMA'!A279</x:f>
        <x:v>MP10015</x:v>
      </x:c>
      <x:c r="B279" s="29" t="str">
        <x:f>'STOCK_SISTEMA'!B279</x:f>
        <x:v>[MP10015] ACEITE OLEINA DE PALMA X LT (BIN)</x:v>
      </x:c>
      <x:c r="C279" t="str">
        <x:f>IF('STOCK_SISTEMA'!C279="","",'STOCK_SISTEMA'!C279)</x:f>
        <x:v>OP-43/26.</x:v>
      </x:c>
      <x:c r="D279" s="27" t="n">
        <x:f>IF('STOCK_SISTEMA'!D279="","",'STOCK_SISTEMA'!D279)</x:f>
        <x:v>46575.4203125</x:v>
      </x:c>
      <x:c r="E279" t="str">
        <x:f>'STOCK_SISTEMA'!E279</x:f>
        <x:v>SF-03/Materiales</x:v>
      </x:c>
      <x:c r="F279" t="str">
        <x:f>'STOCK_SISTEMA'!G279</x:f>
        <x:v>L</x:v>
      </x:c>
      <x:c r="G279" s="28" t="n">
        <x:f>'STOCK_SISTEMA'!F279</x:f>
        <x:v>27.08</x:v>
      </x:c>
      <x:c r="H279" s="28" t="n">
        <x:f>SUMIFS('CONTEOS'!$N$2:$N$4000,'CONTEOS'!$F$2:$F$4000,A279,'CONTEOS'!$H$2:$H$4000,C279)</x:f>
        <x:v>0</x:v>
      </x:c>
      <x:c r="I279" s="28" t="n">
        <x:f>H279-G279</x:f>
        <x:v>-27.08</x:v>
      </x:c>
      <x:c r="J279" t="str">
        <x:f>IF(COUNTIFS('CONTEOS'!$F$2:$F$4000,A279,'CONTEOS'!$H$2:$H$4000,C279)=0,"PENDIENTE",IF(I279=0,"CUADRA",IF(I279&gt;0,"SOBRANTE","FALTANTE")))</x:f>
        <x:v>PENDIENTE</x:v>
      </x:c>
    </x:row>
    <x:row r="280">
      <x:c r="A280" t="str">
        <x:f>'STOCK_SISTEMA'!A280</x:f>
        <x:v>EE10298</x:v>
      </x:c>
      <x:c r="B280" s="29" t="str">
        <x:f>'STOCK_SISTEMA'!B280</x:f>
        <x:v>[EE10298] LAMINA RIKY TOK 25 G PICANTE X KG</x:v>
      </x:c>
      <x:c r="C280" t="str">
        <x:f>IF('STOCK_SISTEMA'!C280="","",'STOCK_SISTEMA'!C280)</x:f>
        <x:v>LA-01/26</x:v>
      </x:c>
      <x:c r="D280" s="27" t="n">
        <x:f>IF('STOCK_SISTEMA'!D280="","",'STOCK_SISTEMA'!D280)</x:f>
        <x:v>46406.44135416667</x:v>
      </x:c>
      <x:c r="E280" t="str">
        <x:f>'STOCK_SISTEMA'!E280</x:f>
        <x:v>SF-03/Materiales</x:v>
      </x:c>
      <x:c r="F280" t="str">
        <x:f>'STOCK_SISTEMA'!G280</x:f>
        <x:v>Kilogramo</x:v>
      </x:c>
      <x:c r="G280" s="28" t="n">
        <x:f>'STOCK_SISTEMA'!F280</x:f>
        <x:v>450.889</x:v>
      </x:c>
      <x:c r="H280" s="28" t="n">
        <x:f>SUMIFS('CONTEOS'!$N$2:$N$4000,'CONTEOS'!$F$2:$F$4000,A280,'CONTEOS'!$H$2:$H$4000,C280)</x:f>
        <x:v>0</x:v>
      </x:c>
      <x:c r="I280" s="28" t="n">
        <x:f>H280-G280</x:f>
        <x:v>-450.889</x:v>
      </x:c>
      <x:c r="J280" t="str">
        <x:f>IF(COUNTIFS('CONTEOS'!$F$2:$F$4000,A280,'CONTEOS'!$H$2:$H$4000,C280)=0,"PENDIENTE",IF(I280=0,"CUADRA",IF(I280&gt;0,"SOBRANTE","FALTANTE")))</x:f>
        <x:v>PENDIENTE</x:v>
      </x:c>
    </x:row>
    <x:row r="281">
      <x:c r="A281" t="str">
        <x:f>'STOCK_SISTEMA'!A281</x:f>
        <x:v>MP10002</x:v>
      </x:c>
      <x:c r="B281" s="29" t="str">
        <x:f>'STOCK_SISTEMA'!B281</x:f>
        <x:v>[MP10002] PAPA NATIVA MIX CONVENCIONAL X KG</x:v>
      </x:c>
      <x:c r="C281" t="str">
        <x:f>IF('STOCK_SISTEMA'!C281="","",'STOCK_SISTEMA'!C281)</x:f>
        <x:v>INFORME 187/26</x:v>
      </x:c>
      <x:c r="D281" s="27" t="n">
        <x:f>IF('STOCK_SISTEMA'!D281="","",'STOCK_SISTEMA'!D281)</x:f>
        <x:v>46283.72773148148</x:v>
      </x:c>
      <x:c r="E281" t="str">
        <x:f>'STOCK_SISTEMA'!E281</x:f>
        <x:v>SF-03/Materiales</x:v>
      </x:c>
      <x:c r="F281" t="str">
        <x:f>'STOCK_SISTEMA'!G281</x:f>
        <x:v>Kilogramo</x:v>
      </x:c>
      <x:c r="G281" s="28" t="n">
        <x:f>'STOCK_SISTEMA'!F281</x:f>
        <x:v>11425</x:v>
      </x:c>
      <x:c r="H281" s="28" t="n">
        <x:f>SUMIFS('CONTEOS'!$N$2:$N$4000,'CONTEOS'!$F$2:$F$4000,A281,'CONTEOS'!$H$2:$H$4000,C281)</x:f>
        <x:v>0</x:v>
      </x:c>
      <x:c r="I281" s="28" t="n">
        <x:f>H281-G281</x:f>
        <x:v>-11425</x:v>
      </x:c>
      <x:c r="J281" t="str">
        <x:f>IF(COUNTIFS('CONTEOS'!$F$2:$F$4000,A281,'CONTEOS'!$H$2:$H$4000,C281)=0,"PENDIENTE",IF(I281=0,"CUADRA",IF(I281&gt;0,"SOBRANTE","FALTANTE")))</x:f>
        <x:v>PENDIENTE</x:v>
      </x:c>
    </x:row>
    <x:row r="282">
      <x:c r="A282" t="str">
        <x:f>'STOCK_SISTEMA'!A282</x:f>
        <x:v>MP10002</x:v>
      </x:c>
      <x:c r="B282" s="29" t="str">
        <x:f>'STOCK_SISTEMA'!B282</x:f>
        <x:v>[MP10002] PAPA NATIVA MIX CONVENCIONAL X KG</x:v>
      </x:c>
      <x:c r="C282" t="str">
        <x:f>IF('STOCK_SISTEMA'!C282="","",'STOCK_SISTEMA'!C282)</x:f>
        <x:v>INFORME 177/26</x:v>
      </x:c>
      <x:c r="D282" s="27" t="n">
        <x:f>IF('STOCK_SISTEMA'!D282="","",'STOCK_SISTEMA'!D282)</x:f>
        <x:v>46317.67428240741</x:v>
      </x:c>
      <x:c r="E282" t="str">
        <x:f>'STOCK_SISTEMA'!E282</x:f>
        <x:v>SF-03/Materiales</x:v>
      </x:c>
      <x:c r="F282" t="str">
        <x:f>'STOCK_SISTEMA'!G282</x:f>
        <x:v>Kilogramo</x:v>
      </x:c>
      <x:c r="G282" s="28" t="n">
        <x:f>'STOCK_SISTEMA'!F282</x:f>
        <x:v>22296</x:v>
      </x:c>
      <x:c r="H282" s="28" t="n">
        <x:f>SUMIFS('CONTEOS'!$N$2:$N$4000,'CONTEOS'!$F$2:$F$4000,A282,'CONTEOS'!$H$2:$H$4000,C282)</x:f>
        <x:v>0</x:v>
      </x:c>
      <x:c r="I282" s="28" t="n">
        <x:f>H282-G282</x:f>
        <x:v>-22296</x:v>
      </x:c>
      <x:c r="J282" t="str">
        <x:f>IF(COUNTIFS('CONTEOS'!$F$2:$F$4000,A282,'CONTEOS'!$H$2:$H$4000,C282)=0,"PENDIENTE",IF(I282=0,"CUADRA",IF(I282&gt;0,"SOBRANTE","FALTANTE")))</x:f>
        <x:v>PENDIENTE</x:v>
      </x:c>
    </x:row>
    <x:row r="283">
      <x:c r="A283" t="str">
        <x:f>'STOCK_SISTEMA'!A283</x:f>
        <x:v>MP10002</x:v>
      </x:c>
      <x:c r="B283" s="29" t="str">
        <x:f>'STOCK_SISTEMA'!B283</x:f>
        <x:v>[MP10002] PAPA NATIVA MIX CONVENCIONAL X KG</x:v>
      </x:c>
      <x:c r="C283" t="str">
        <x:f>IF('STOCK_SISTEMA'!C283="","",'STOCK_SISTEMA'!C283)</x:f>
        <x:v>INFORME 179/26</x:v>
      </x:c>
      <x:c r="D283" s="27" t="n">
        <x:f>IF('STOCK_SISTEMA'!D283="","",'STOCK_SISTEMA'!D283)</x:f>
        <x:v>46283.68684027778</x:v>
      </x:c>
      <x:c r="E283" t="str">
        <x:f>'STOCK_SISTEMA'!E283</x:f>
        <x:v>SF-03/Materiales</x:v>
      </x:c>
      <x:c r="F283" t="str">
        <x:f>'STOCK_SISTEMA'!G283</x:f>
        <x:v>Kilogramo</x:v>
      </x:c>
      <x:c r="G283" s="28" t="n">
        <x:f>'STOCK_SISTEMA'!F283</x:f>
        <x:v>20856</x:v>
      </x:c>
      <x:c r="H283" s="28" t="n">
        <x:f>SUMIFS('CONTEOS'!$N$2:$N$4000,'CONTEOS'!$F$2:$F$4000,A283,'CONTEOS'!$H$2:$H$4000,C283)</x:f>
        <x:v>0</x:v>
      </x:c>
      <x:c r="I283" s="28" t="n">
        <x:f>H283-G283</x:f>
        <x:v>-20856</x:v>
      </x:c>
      <x:c r="J283" t="str">
        <x:f>IF(COUNTIFS('CONTEOS'!$F$2:$F$4000,A283,'CONTEOS'!$H$2:$H$4000,C283)=0,"PENDIENTE",IF(I283=0,"CUADRA",IF(I283&gt;0,"SOBRANTE","FALTANTE")))</x:f>
        <x:v>PENDIENTE</x:v>
      </x:c>
    </x:row>
    <x:row r="284">
      <x:c r="A284" t="str">
        <x:f>'STOCK_SISTEMA'!A284</x:f>
        <x:v>MP10002</x:v>
      </x:c>
      <x:c r="B284" s="29" t="str">
        <x:f>'STOCK_SISTEMA'!B284</x:f>
        <x:v>[MP10002] PAPA NATIVA MIX CONVENCIONAL X KG</x:v>
      </x:c>
      <x:c r="C284" t="str">
        <x:f>IF('STOCK_SISTEMA'!C284="","",'STOCK_SISTEMA'!C284)</x:f>
        <x:v>INFORME 184/26</x:v>
      </x:c>
      <x:c r="D284" s="27" t="n">
        <x:f>IF('STOCK_SISTEMA'!D284="","",'STOCK_SISTEMA'!D284)</x:f>
        <x:v>46283.68914351852</x:v>
      </x:c>
      <x:c r="E284" t="str">
        <x:f>'STOCK_SISTEMA'!E284</x:f>
        <x:v>SF-03/Materiales</x:v>
      </x:c>
      <x:c r="F284" t="str">
        <x:f>'STOCK_SISTEMA'!G284</x:f>
        <x:v>Kilogramo</x:v>
      </x:c>
      <x:c r="G284" s="28" t="n">
        <x:f>'STOCK_SISTEMA'!F284</x:f>
        <x:v>23085</x:v>
      </x:c>
      <x:c r="H284" s="28" t="n">
        <x:f>SUMIFS('CONTEOS'!$N$2:$N$4000,'CONTEOS'!$F$2:$F$4000,A284,'CONTEOS'!$H$2:$H$4000,C284)</x:f>
        <x:v>0</x:v>
      </x:c>
      <x:c r="I284" s="28" t="n">
        <x:f>H284-G284</x:f>
        <x:v>-23085</x:v>
      </x:c>
      <x:c r="J284" t="str">
        <x:f>IF(COUNTIFS('CONTEOS'!$F$2:$F$4000,A284,'CONTEOS'!$H$2:$H$4000,C284)=0,"PENDIENTE",IF(I284=0,"CUADRA",IF(I284&gt;0,"SOBRANTE","FALTANTE")))</x:f>
        <x:v>PENDIENTE</x:v>
      </x:c>
    </x:row>
    <x:row r="285">
      <x:c r="A285" t="str">
        <x:f>'STOCK_SISTEMA'!A285</x:f>
        <x:v>MP10002</x:v>
      </x:c>
      <x:c r="B285" s="29" t="str">
        <x:f>'STOCK_SISTEMA'!B285</x:f>
        <x:v>[MP10002] PAPA NATIVA MIX CONVENCIONAL X KG</x:v>
      </x:c>
      <x:c r="C285" t="str">
        <x:f>IF('STOCK_SISTEMA'!C285="","",'STOCK_SISTEMA'!C285)</x:f>
        <x:v>INFORME 183/26</x:v>
      </x:c>
      <x:c r="D285" s="27" t="n">
        <x:f>IF('STOCK_SISTEMA'!D285="","",'STOCK_SISTEMA'!D285)</x:f>
        <x:v>46281.69150462963</x:v>
      </x:c>
      <x:c r="E285" t="str">
        <x:f>'STOCK_SISTEMA'!E285</x:f>
        <x:v>SF-03/Materiales</x:v>
      </x:c>
      <x:c r="F285" t="str">
        <x:f>'STOCK_SISTEMA'!G285</x:f>
        <x:v>Kilogramo</x:v>
      </x:c>
      <x:c r="G285" s="28" t="n">
        <x:f>'STOCK_SISTEMA'!F285</x:f>
        <x:v>23158</x:v>
      </x:c>
      <x:c r="H285" s="28" t="n">
        <x:f>SUMIFS('CONTEOS'!$N$2:$N$4000,'CONTEOS'!$F$2:$F$4000,A285,'CONTEOS'!$H$2:$H$4000,C285)</x:f>
        <x:v>0</x:v>
      </x:c>
      <x:c r="I285" s="28" t="n">
        <x:f>H285-G285</x:f>
        <x:v>-23158</x:v>
      </x:c>
      <x:c r="J285" t="str">
        <x:f>IF(COUNTIFS('CONTEOS'!$F$2:$F$4000,A285,'CONTEOS'!$H$2:$H$4000,C285)=0,"PENDIENTE",IF(I285=0,"CUADRA",IF(I285&gt;0,"SOBRANTE","FALTANTE")))</x:f>
        <x:v>PENDIENTE</x:v>
      </x:c>
    </x:row>
    <x:row r="286">
      <x:c r="A286" t="str">
        <x:f>'STOCK_SISTEMA'!A286</x:f>
        <x:v>MP10002</x:v>
      </x:c>
      <x:c r="B286" s="29" t="str">
        <x:f>'STOCK_SISTEMA'!B286</x:f>
        <x:v>[MP10002] PAPA NATIVA MIX CONVENCIONAL X KG</x:v>
      </x:c>
      <x:c r="C286" t="str">
        <x:f>IF('STOCK_SISTEMA'!C286="","",'STOCK_SISTEMA'!C286)</x:f>
        <x:v>INFORME 185/26</x:v>
      </x:c>
      <x:c r="D286" s="27" t="n">
        <x:f>IF('STOCK_SISTEMA'!D286="","",'STOCK_SISTEMA'!D286)</x:f>
        <x:v>46281.71353009259</x:v>
      </x:c>
      <x:c r="E286" t="str">
        <x:f>'STOCK_SISTEMA'!E286</x:f>
        <x:v>SF-03/Materiales</x:v>
      </x:c>
      <x:c r="F286" t="str">
        <x:f>'STOCK_SISTEMA'!G286</x:f>
        <x:v>Kilogramo</x:v>
      </x:c>
      <x:c r="G286" s="28" t="n">
        <x:f>'STOCK_SISTEMA'!F286</x:f>
        <x:v>14854</x:v>
      </x:c>
      <x:c r="H286" s="28" t="n">
        <x:f>SUMIFS('CONTEOS'!$N$2:$N$4000,'CONTEOS'!$F$2:$F$4000,A286,'CONTEOS'!$H$2:$H$4000,C286)</x:f>
        <x:v>0</x:v>
      </x:c>
      <x:c r="I286" s="28" t="n">
        <x:f>H286-G286</x:f>
        <x:v>-14854</x:v>
      </x:c>
      <x:c r="J286" t="str">
        <x:f>IF(COUNTIFS('CONTEOS'!$F$2:$F$4000,A286,'CONTEOS'!$H$2:$H$4000,C286)=0,"PENDIENTE",IF(I286=0,"CUADRA",IF(I286&gt;0,"SOBRANTE","FALTANTE")))</x:f>
        <x:v>PENDIENTE</x:v>
      </x:c>
    </x:row>
    <x:row r="287">
      <x:c r="A287" t="str">
        <x:f>'STOCK_SISTEMA'!A287</x:f>
        <x:v>EE10249</x:v>
      </x:c>
      <x:c r="B287" s="29" t="str">
        <x:f>'STOCK_SISTEMA'!B287</x:f>
        <x:v>[EE10249] CINTA DE EMBALAJE TRANSPARENTE 48MMX548M X ROLLO</x:v>
      </x:c>
      <x:c r="C287" t="str">
        <x:f>IF('STOCK_SISTEMA'!C287="","",'STOCK_SISTEMA'!C287)</x:f>
        <x:v>INFORME 05/26</x:v>
      </x:c>
      <x:c r="D287" s="27" t="n">
        <x:f>IF('STOCK_SISTEMA'!D287="","",'STOCK_SISTEMA'!D287)</x:f>
        <x:v>46581.7227199074</x:v>
      </x:c>
      <x:c r="E287" t="str">
        <x:f>'STOCK_SISTEMA'!E287</x:f>
        <x:v>SF-03/Materiales</x:v>
      </x:c>
      <x:c r="F287" t="str">
        <x:f>'STOCK_SISTEMA'!G287</x:f>
        <x:v>Unidades</x:v>
      </x:c>
      <x:c r="G287" s="28" t="n">
        <x:f>'STOCK_SISTEMA'!F287</x:f>
        <x:v>100</x:v>
      </x:c>
      <x:c r="H287" s="28" t="n">
        <x:f>SUMIFS('CONTEOS'!$N$2:$N$4000,'CONTEOS'!$F$2:$F$4000,A287,'CONTEOS'!$H$2:$H$4000,C287)</x:f>
        <x:v>0</x:v>
      </x:c>
      <x:c r="I287" s="28" t="n">
        <x:f>H287-G287</x:f>
        <x:v>-100</x:v>
      </x:c>
      <x:c r="J287" t="str">
        <x:f>IF(COUNTIFS('CONTEOS'!$F$2:$F$4000,A287,'CONTEOS'!$H$2:$H$4000,C287)=0,"PENDIENTE",IF(I287=0,"CUADRA",IF(I287&gt;0,"SOBRANTE","FALTANTE")))</x:f>
        <x:v>PENDIENTE</x:v>
      </x:c>
    </x:row>
    <x:row r="288">
      <x:c r="A288" t="str">
        <x:f>'STOCK_SISTEMA'!A288</x:f>
        <x:v>EE10250</x:v>
      </x:c>
      <x:c r="B288" s="29" t="str">
        <x:f>'STOCK_SISTEMA'!B288</x:f>
        <x:v>[EE10250] CINTA DE EMBALAJE TRANSPARENTE 48MMX1000M X ROLLO</x:v>
      </x:c>
      <x:c r="C288" t="str">
        <x:f>IF('STOCK_SISTEMA'!C288="","",'STOCK_SISTEMA'!C288)</x:f>
        <x:v>INFORME 05/26</x:v>
      </x:c>
      <x:c r="D288" s="27" t="n">
        <x:f>IF('STOCK_SISTEMA'!D288="","",'STOCK_SISTEMA'!D288)</x:f>
        <x:v>46483.72376157407</x:v>
      </x:c>
      <x:c r="E288" t="str">
        <x:f>'STOCK_SISTEMA'!E288</x:f>
        <x:v>SF-03/Materiales</x:v>
      </x:c>
      <x:c r="F288" t="str">
        <x:f>'STOCK_SISTEMA'!G288</x:f>
        <x:v>Unidades</x:v>
      </x:c>
      <x:c r="G288" s="28" t="n">
        <x:f>'STOCK_SISTEMA'!F288</x:f>
        <x:v>100</x:v>
      </x:c>
      <x:c r="H288" s="28" t="n">
        <x:f>SUMIFS('CONTEOS'!$N$2:$N$4000,'CONTEOS'!$F$2:$F$4000,A288,'CONTEOS'!$H$2:$H$4000,C288)</x:f>
        <x:v>0</x:v>
      </x:c>
      <x:c r="I288" s="28" t="n">
        <x:f>H288-G288</x:f>
        <x:v>-100</x:v>
      </x:c>
      <x:c r="J288" t="str">
        <x:f>IF(COUNTIFS('CONTEOS'!$F$2:$F$4000,A288,'CONTEOS'!$H$2:$H$4000,C288)=0,"PENDIENTE",IF(I288=0,"CUADRA",IF(I288&gt;0,"SOBRANTE","FALTANTE")))</x:f>
        <x:v>PENDIENTE</x:v>
      </x:c>
    </x:row>
    <x:row r="289">
      <x:c r="A289" t="str">
        <x:f>'STOCK_SISTEMA'!A289</x:f>
        <x:v>EE10083</x:v>
      </x:c>
      <x:c r="B289" s="29" t="str">
        <x:f>'STOCK_SISTEMA'!B289</x:f>
        <x:v>[EE10083] BOLSA PEBD 16"x24"x3</x:v>
      </x:c>
      <x:c r="C289" t="str">
        <x:f>IF('STOCK_SISTEMA'!C289="","",'STOCK_SISTEMA'!C289)</x:f>
        <x:v>BP-01/26</x:v>
      </x:c>
      <x:c r="D289" s="27" t="n">
        <x:f>IF('STOCK_SISTEMA'!D289="","",'STOCK_SISTEMA'!D289)</x:f>
        <x:v>46588.3434837963</x:v>
      </x:c>
      <x:c r="E289" t="str">
        <x:f>'STOCK_SISTEMA'!E289</x:f>
        <x:v>SF-03/Materiales</x:v>
      </x:c>
      <x:c r="F289" t="str">
        <x:f>'STOCK_SISTEMA'!G289</x:f>
        <x:v>Unidades</x:v>
      </x:c>
      <x:c r="G289" s="28" t="n">
        <x:f>'STOCK_SISTEMA'!F289</x:f>
        <x:v>5567.705300000001</x:v>
      </x:c>
      <x:c r="H289" s="28" t="n">
        <x:f>SUMIFS('CONTEOS'!$N$2:$N$4000,'CONTEOS'!$F$2:$F$4000,A289,'CONTEOS'!$H$2:$H$4000,C289)</x:f>
        <x:v>0</x:v>
      </x:c>
      <x:c r="I289" s="28" t="n">
        <x:f>H289-G289</x:f>
        <x:v>-5567.705300000001</x:v>
      </x:c>
      <x:c r="J289" t="str">
        <x:f>IF(COUNTIFS('CONTEOS'!$F$2:$F$4000,A289,'CONTEOS'!$H$2:$H$4000,C289)=0,"PENDIENTE",IF(I289=0,"CUADRA",IF(I289&gt;0,"SOBRANTE","FALTANTE")))</x:f>
        <x:v>PENDIENTE</x:v>
      </x:c>
    </x:row>
    <x:row r="290">
      <x:c r="A290" t="str">
        <x:f>'STOCK_SISTEMA'!A290</x:f>
        <x:v>EE10001</x:v>
      </x:c>
      <x:c r="B290" s="29" t="str">
        <x:f>'STOCK_SISTEMA'!B290</x:f>
        <x:v>[EE10001] CAJA MASTER TIYAPUY C/LOGO #1 X UND</x:v>
      </x:c>
      <x:c r="C290" t="str">
        <x:f>IF('STOCK_SISTEMA'!C290="","",'STOCK_SISTEMA'!C290)</x:f>
        <x:v>CT-16/26</x:v>
      </x:c>
      <x:c r="D290" s="27" t="n">
        <x:f>IF('STOCK_SISTEMA'!D290="","",'STOCK_SISTEMA'!D290)</x:f>
        <x:v>46582.3593287037</x:v>
      </x:c>
      <x:c r="E290" t="str">
        <x:f>'STOCK_SISTEMA'!E290</x:f>
        <x:v>SF-03/Materiales</x:v>
      </x:c>
      <x:c r="F290" t="str">
        <x:f>'STOCK_SISTEMA'!G290</x:f>
        <x:v>Unidades</x:v>
      </x:c>
      <x:c r="G290" s="28" t="n">
        <x:f>'STOCK_SISTEMA'!F290</x:f>
        <x:v>3135</x:v>
      </x:c>
      <x:c r="H290" s="28" t="n">
        <x:f>SUMIFS('CONTEOS'!$N$2:$N$4000,'CONTEOS'!$F$2:$F$4000,A290,'CONTEOS'!$H$2:$H$4000,C290)</x:f>
        <x:v>0</x:v>
      </x:c>
      <x:c r="I290" s="28" t="n">
        <x:f>H290-G290</x:f>
        <x:v>-3135</x:v>
      </x:c>
      <x:c r="J290" t="str">
        <x:f>IF(COUNTIFS('CONTEOS'!$F$2:$F$4000,A290,'CONTEOS'!$H$2:$H$4000,C290)=0,"PENDIENTE",IF(I290=0,"CUADRA",IF(I290&gt;0,"SOBRANTE","FALTANTE")))</x:f>
        <x:v>PENDIENTE</x:v>
      </x:c>
    </x:row>
    <x:row r="291">
      <x:c r="A291" t="str">
        <x:f>'STOCK_SISTEMA'!A291</x:f>
        <x:v>EE10001</x:v>
      </x:c>
      <x:c r="B291" s="29" t="str">
        <x:f>'STOCK_SISTEMA'!B291</x:f>
        <x:v>[EE10001] CAJA MASTER TIYAPUY C/LOGO #1 X UND</x:v>
      </x:c>
      <x:c r="C291" t="str">
        <x:f>IF('STOCK_SISTEMA'!C291="","",'STOCK_SISTEMA'!C291)</x:f>
        <x:v>CT-16/26-</x:v>
      </x:c>
      <x:c r="D291" s="27" t="n">
        <x:f>IF('STOCK_SISTEMA'!D291="","",'STOCK_SISTEMA'!D291)</x:f>
        <x:v>46582.3596412037</x:v>
      </x:c>
      <x:c r="E291" t="str">
        <x:f>'STOCK_SISTEMA'!E291</x:f>
        <x:v>SF-03/Materiales</x:v>
      </x:c>
      <x:c r="F291" t="str">
        <x:f>'STOCK_SISTEMA'!G291</x:f>
        <x:v>Unidades</x:v>
      </x:c>
      <x:c r="G291" s="28" t="n">
        <x:f>'STOCK_SISTEMA'!F291</x:f>
        <x:v>111</x:v>
      </x:c>
      <x:c r="H291" s="28" t="n">
        <x:f>SUMIFS('CONTEOS'!$N$2:$N$4000,'CONTEOS'!$F$2:$F$4000,A291,'CONTEOS'!$H$2:$H$4000,C291)</x:f>
        <x:v>0</x:v>
      </x:c>
      <x:c r="I291" s="28" t="n">
        <x:f>H291-G291</x:f>
        <x:v>-111</x:v>
      </x:c>
      <x:c r="J291" t="str">
        <x:f>IF(COUNTIFS('CONTEOS'!$F$2:$F$4000,A291,'CONTEOS'!$H$2:$H$4000,C291)=0,"PENDIENTE",IF(I291=0,"CUADRA",IF(I291&gt;0,"SOBRANTE","FALTANTE")))</x:f>
        <x:v>PENDIENTE</x:v>
      </x:c>
    </x:row>
    <x:row r="292">
      <x:c r="A292" t="str">
        <x:f>'STOCK_SISTEMA'!A292</x:f>
        <x:v>EE10312</x:v>
      </x:c>
      <x:c r="B292" s="29" t="str">
        <x:f>'STOCK_SISTEMA'!B292</x:f>
        <x:v>[EE10312] LAMINA TIYAPUY NATIVA AJI AMARILLO 142g MEXICO X KG</x:v>
      </x:c>
      <x:c r="C292" t="str">
        <x:f>IF('STOCK_SISTEMA'!C292="","",'STOCK_SISTEMA'!C292)</x:f>
        <x:v>LA-10/26</x:v>
      </x:c>
      <x:c r="D292" s="27" t="n">
        <x:f>IF('STOCK_SISTEMA'!D292="","",'STOCK_SISTEMA'!D292)</x:f>
        <x:v>46410.55498842592</x:v>
      </x:c>
      <x:c r="E292" t="str">
        <x:f>'STOCK_SISTEMA'!E292</x:f>
        <x:v>SF-03/Materiales</x:v>
      </x:c>
      <x:c r="F292" t="str">
        <x:f>'STOCK_SISTEMA'!G292</x:f>
        <x:v>Kilogramo</x:v>
      </x:c>
      <x:c r="G292" s="28" t="n">
        <x:f>'STOCK_SISTEMA'!F292</x:f>
        <x:v>459.68</x:v>
      </x:c>
      <x:c r="H292" s="28" t="n">
        <x:f>SUMIFS('CONTEOS'!$N$2:$N$4000,'CONTEOS'!$F$2:$F$4000,A292,'CONTEOS'!$H$2:$H$4000,C292)</x:f>
        <x:v>0</x:v>
      </x:c>
      <x:c r="I292" s="28" t="n">
        <x:f>H292-G292</x:f>
        <x:v>-459.68</x:v>
      </x:c>
      <x:c r="J292" t="str">
        <x:f>IF(COUNTIFS('CONTEOS'!$F$2:$F$4000,A292,'CONTEOS'!$H$2:$H$4000,C292)=0,"PENDIENTE",IF(I292=0,"CUADRA",IF(I292&gt;0,"SOBRANTE","FALTANTE")))</x:f>
        <x:v>PENDIENTE</x:v>
      </x:c>
    </x:row>
    <x:row r="293">
      <x:c r="A293" t="str">
        <x:f>'STOCK_SISTEMA'!A293</x:f>
        <x:v>EE10009</x:v>
      </x:c>
      <x:c r="B293" s="29" t="str">
        <x:f>'STOCK_SISTEMA'!B293</x:f>
        <x:v>[EE10009] CAJA MASTER RIKY TOK C/LOGO # 9 X UND</x:v>
      </x:c>
      <x:c r="C293" t="str">
        <x:f>IF('STOCK_SISTEMA'!C293="","",'STOCK_SISTEMA'!C293)</x:f>
        <x:v>CR-17/26</x:v>
      </x:c>
      <x:c r="D293" s="27" t="n">
        <x:f>IF('STOCK_SISTEMA'!D293="","",'STOCK_SISTEMA'!D293)</x:f>
        <x:v>46591.67912037037</x:v>
      </x:c>
      <x:c r="E293" t="str">
        <x:f>'STOCK_SISTEMA'!E293</x:f>
        <x:v>SF-03/Materiales</x:v>
      </x:c>
      <x:c r="F293" t="str">
        <x:f>'STOCK_SISTEMA'!G293</x:f>
        <x:v>Unidades</x:v>
      </x:c>
      <x:c r="G293" s="28" t="n">
        <x:f>'STOCK_SISTEMA'!F293</x:f>
        <x:v>240</x:v>
      </x:c>
      <x:c r="H293" s="28" t="n">
        <x:f>SUMIFS('CONTEOS'!$N$2:$N$4000,'CONTEOS'!$F$2:$F$4000,A293,'CONTEOS'!$H$2:$H$4000,C293)</x:f>
        <x:v>0</x:v>
      </x:c>
      <x:c r="I293" s="28" t="n">
        <x:f>H293-G293</x:f>
        <x:v>-240</x:v>
      </x:c>
      <x:c r="J293" t="str">
        <x:f>IF(COUNTIFS('CONTEOS'!$F$2:$F$4000,A293,'CONTEOS'!$H$2:$H$4000,C293)=0,"PENDIENTE",IF(I293=0,"CUADRA",IF(I293&gt;0,"SOBRANTE","FALTANTE")))</x:f>
        <x:v>PENDIENTE</x:v>
      </x:c>
    </x:row>
    <x:row r="294">
      <x:c r="A294" t="str">
        <x:f>'STOCK_SISTEMA'!A294</x:f>
        <x:v>MP10002</x:v>
      </x:c>
      <x:c r="B294" s="29" t="str">
        <x:f>'STOCK_SISTEMA'!B294</x:f>
        <x:v>[MP10002] PAPA NATIVA MIX CONVENCIONAL X KG</x:v>
      </x:c>
      <x:c r="C294" t="str">
        <x:f>IF('STOCK_SISTEMA'!C294="","",'STOCK_SISTEMA'!C294)</x:f>
        <x:v>INFORME 188/26</x:v>
      </x:c>
      <x:c r="D294" s="27" t="n">
        <x:f>IF('STOCK_SISTEMA'!D294="","",'STOCK_SISTEMA'!D294)</x:f>
        <x:v>46318.70695601852</x:v>
      </x:c>
      <x:c r="E294" t="str">
        <x:f>'STOCK_SISTEMA'!E294</x:f>
        <x:v>SF-03/Materiales</x:v>
      </x:c>
      <x:c r="F294" t="str">
        <x:f>'STOCK_SISTEMA'!G294</x:f>
        <x:v>Kilogramo</x:v>
      </x:c>
      <x:c r="G294" s="28" t="n">
        <x:f>'STOCK_SISTEMA'!F294</x:f>
        <x:v>2590.6</x:v>
      </x:c>
      <x:c r="H294" s="28" t="n">
        <x:f>SUMIFS('CONTEOS'!$N$2:$N$4000,'CONTEOS'!$F$2:$F$4000,A294,'CONTEOS'!$H$2:$H$4000,C294)</x:f>
        <x:v>0</x:v>
      </x:c>
      <x:c r="I294" s="28" t="n">
        <x:f>H294-G294</x:f>
        <x:v>-2590.6</x:v>
      </x:c>
      <x:c r="J294" t="str">
        <x:f>IF(COUNTIFS('CONTEOS'!$F$2:$F$4000,A294,'CONTEOS'!$H$2:$H$4000,C294)=0,"PENDIENTE",IF(I294=0,"CUADRA",IF(I294&gt;0,"SOBRANTE","FALTANTE")))</x:f>
        <x:v>PENDIENTE</x:v>
      </x:c>
    </x:row>
    <x:row r="295">
      <x:c r="A295" t="str">
        <x:f>'STOCK_SISTEMA'!A295</x:f>
        <x:v>MP10002</x:v>
      </x:c>
      <x:c r="B295" s="29" t="str">
        <x:f>'STOCK_SISTEMA'!B295</x:f>
        <x:v>[MP10002] PAPA NATIVA MIX CONVENCIONAL X KG</x:v>
      </x:c>
      <x:c r="C295" t="str">
        <x:f>IF('STOCK_SISTEMA'!C295="","",'STOCK_SISTEMA'!C295)</x:f>
        <x:v>INFORME 189/26</x:v>
      </x:c>
      <x:c r="D295" s="27" t="n">
        <x:f>IF('STOCK_SISTEMA'!D295="","",'STOCK_SISTEMA'!D295)</x:f>
        <x:v>46290.73278935185</x:v>
      </x:c>
      <x:c r="E295" t="str">
        <x:f>'STOCK_SISTEMA'!E295</x:f>
        <x:v>SF-03/Materiales</x:v>
      </x:c>
      <x:c r="F295" t="str">
        <x:f>'STOCK_SISTEMA'!G295</x:f>
        <x:v>Kilogramo</x:v>
      </x:c>
      <x:c r="G295" s="28" t="n">
        <x:f>'STOCK_SISTEMA'!F295</x:f>
        <x:v>14049</x:v>
      </x:c>
      <x:c r="H295" s="28" t="n">
        <x:f>SUMIFS('CONTEOS'!$N$2:$N$4000,'CONTEOS'!$F$2:$F$4000,A295,'CONTEOS'!$H$2:$H$4000,C295)</x:f>
        <x:v>0</x:v>
      </x:c>
      <x:c r="I295" s="28" t="n">
        <x:f>H295-G295</x:f>
        <x:v>-14049</x:v>
      </x:c>
      <x:c r="J295" t="str">
        <x:f>IF(COUNTIFS('CONTEOS'!$F$2:$F$4000,A295,'CONTEOS'!$H$2:$H$4000,C295)=0,"PENDIENTE",IF(I295=0,"CUADRA",IF(I295&gt;0,"SOBRANTE","FALTANTE")))</x:f>
        <x:v>PENDIENTE</x:v>
      </x:c>
    </x:row>
    <x:row r="296">
      <x:c r="A296" t="str">
        <x:f>'STOCK_SISTEMA'!A296</x:f>
        <x:v>EE10305</x:v>
      </x:c>
      <x:c r="B296" s="29" t="str">
        <x:f>'STOCK_SISTEMA'!B296</x:f>
        <x:v>[EE10305] ETIQUETA TEXTOS LEGALES CHIFLES 142g ESPAÑA</x:v>
      </x:c>
      <x:c r="C296" t="str">
        <x:f>IF('STOCK_SISTEMA'!C296="","",'STOCK_SISTEMA'!C296)</x:f>
        <x:v>informe 01/26</x:v>
      </x:c>
      <x:c r="D296" s="27" t="n">
        <x:f>IF('STOCK_SISTEMA'!D296="","",'STOCK_SISTEMA'!D296)</x:f>
        <x:v>46562.78957175926</x:v>
      </x:c>
      <x:c r="E296" t="str">
        <x:f>'STOCK_SISTEMA'!E296</x:f>
        <x:v>SF-03/Materiales</x:v>
      </x:c>
      <x:c r="F296" t="str">
        <x:f>'STOCK_SISTEMA'!G296</x:f>
        <x:v>Unidades</x:v>
      </x:c>
      <x:c r="G296" s="28" t="n">
        <x:f>'STOCK_SISTEMA'!F296</x:f>
        <x:v>300</x:v>
      </x:c>
      <x:c r="H296" s="28" t="n">
        <x:f>SUMIFS('CONTEOS'!$N$2:$N$4000,'CONTEOS'!$F$2:$F$4000,A296,'CONTEOS'!$H$2:$H$4000,C296)</x:f>
        <x:v>0</x:v>
      </x:c>
      <x:c r="I296" s="28" t="n">
        <x:f>H296-G296</x:f>
        <x:v>-300</x:v>
      </x:c>
      <x:c r="J296" t="str">
        <x:f>IF(COUNTIFS('CONTEOS'!$F$2:$F$4000,A296,'CONTEOS'!$H$2:$H$4000,C296)=0,"PENDIENTE",IF(I296=0,"CUADRA",IF(I296&gt;0,"SOBRANTE","FALTANTE")))</x:f>
        <x:v>PENDIENTE</x:v>
      </x:c>
    </x:row>
    <x:row r="297">
      <x:c r="A297" t="str">
        <x:f>'STOCK_SISTEMA'!A297</x:f>
        <x:v>EE10360</x:v>
      </x:c>
      <x:c r="B297" s="29" t="str">
        <x:f>'STOCK_SISTEMA'!B297</x:f>
        <x:v>[EE10360] ETIQUETA LAMAR 120 GRAMOS (PAPA Y CAMOTE) ESPAÑA</x:v>
      </x:c>
      <x:c r="C297" t="str">
        <x:f>IF('STOCK_SISTEMA'!C297="","",'STOCK_SISTEMA'!C297)</x:f>
        <x:v>informe 01/26</x:v>
      </x:c>
      <x:c r="D297" s="27" t="n">
        <x:f>IF('STOCK_SISTEMA'!D297="","",'STOCK_SISTEMA'!D297)</x:f>
        <x:v>46565.78935185185</x:v>
      </x:c>
      <x:c r="E297" t="str">
        <x:f>'STOCK_SISTEMA'!E297</x:f>
        <x:v>SF-03/Materiales</x:v>
      </x:c>
      <x:c r="F297" t="str">
        <x:f>'STOCK_SISTEMA'!G297</x:f>
        <x:v>Unidades</x:v>
      </x:c>
      <x:c r="G297" s="28" t="n">
        <x:f>'STOCK_SISTEMA'!F297</x:f>
        <x:v>300</x:v>
      </x:c>
      <x:c r="H297" s="28" t="n">
        <x:f>SUMIFS('CONTEOS'!$N$2:$N$4000,'CONTEOS'!$F$2:$F$4000,A297,'CONTEOS'!$H$2:$H$4000,C297)</x:f>
        <x:v>0</x:v>
      </x:c>
      <x:c r="I297" s="28" t="n">
        <x:f>H297-G297</x:f>
        <x:v>-300</x:v>
      </x:c>
      <x:c r="J297" t="str">
        <x:f>IF(COUNTIFS('CONTEOS'!$F$2:$F$4000,A297,'CONTEOS'!$H$2:$H$4000,C297)=0,"PENDIENTE",IF(I297=0,"CUADRA",IF(I297&gt;0,"SOBRANTE","FALTANTE")))</x:f>
        <x:v>PENDIENTE</x:v>
      </x:c>
    </x:row>
    <x:row r="298">
      <x:c r="A298" t="str">
        <x:f>'STOCK_SISTEMA'!A298</x:f>
        <x:v>EE10310</x:v>
      </x:c>
      <x:c r="B298" s="29" t="str">
        <x:f>'STOCK_SISTEMA'!B298</x:f>
        <x:v>[EE10310] ETIQUETA NUTRICIONAL ALEMANIA JALAPEÑO FLAVORED POTATO CHIPS 142g X 20 un</x:v>
      </x:c>
      <x:c r="C298" t="str">
        <x:f>IF('STOCK_SISTEMA'!C298="","",'STOCK_SISTEMA'!C298)</x:f>
        <x:v>ET-01/26</x:v>
      </x:c>
      <x:c r="D298" s="27" t="n">
        <x:f>IF('STOCK_SISTEMA'!D298="","",'STOCK_SISTEMA'!D298)</x:f>
        <x:v>46630.59149305556</x:v>
      </x:c>
      <x:c r="E298" t="str">
        <x:f>'STOCK_SISTEMA'!E298</x:f>
        <x:v>SF-03/Materiales</x:v>
      </x:c>
      <x:c r="F298" t="str">
        <x:f>'STOCK_SISTEMA'!G298</x:f>
        <x:v>Unidades</x:v>
      </x:c>
      <x:c r="G298" s="28" t="n">
        <x:f>'STOCK_SISTEMA'!F298</x:f>
        <x:v>300</x:v>
      </x:c>
      <x:c r="H298" s="28" t="n">
        <x:f>SUMIFS('CONTEOS'!$N$2:$N$4000,'CONTEOS'!$F$2:$F$4000,A298,'CONTEOS'!$H$2:$H$4000,C298)</x:f>
        <x:v>0</x:v>
      </x:c>
      <x:c r="I298" s="28" t="n">
        <x:f>H298-G298</x:f>
        <x:v>-300</x:v>
      </x:c>
      <x:c r="J298" t="str">
        <x:f>IF(COUNTIFS('CONTEOS'!$F$2:$F$4000,A298,'CONTEOS'!$H$2:$H$4000,C298)=0,"PENDIENTE",IF(I298=0,"CUADRA",IF(I298&gt;0,"SOBRANTE","FALTANTE")))</x:f>
        <x:v>PENDIENTE</x:v>
      </x:c>
    </x:row>
    <x:row r="299">
      <x:c r="A299" t="str">
        <x:f>'STOCK_SISTEMA'!A299</x:f>
        <x:v>EE10309</x:v>
      </x:c>
      <x:c r="B299" s="29" t="str">
        <x:f>'STOCK_SISTEMA'!B299</x:f>
        <x:v>[EE10309] ETIQUETA NUTRICIONAL ALEMANIA FRIED NATIVE POTATO CHIPS WITH SALT 40g X 48 un</x:v>
      </x:c>
      <x:c r="C299" t="str">
        <x:f>IF('STOCK_SISTEMA'!C299="","",'STOCK_SISTEMA'!C299)</x:f>
        <x:v>ET-01/26</x:v>
      </x:c>
      <x:c r="D299" s="27" t="n">
        <x:f>IF('STOCK_SISTEMA'!D299="","",'STOCK_SISTEMA'!D299)</x:f>
        <x:v>46576.45365740741</x:v>
      </x:c>
      <x:c r="E299" t="str">
        <x:f>'STOCK_SISTEMA'!E299</x:f>
        <x:v>SF-03/Materiales</x:v>
      </x:c>
      <x:c r="F299" t="str">
        <x:f>'STOCK_SISTEMA'!G299</x:f>
        <x:v>Unidades</x:v>
      </x:c>
      <x:c r="G299" s="28" t="n">
        <x:f>'STOCK_SISTEMA'!F299</x:f>
        <x:v>2640</x:v>
      </x:c>
      <x:c r="H299" s="28" t="n">
        <x:f>SUMIFS('CONTEOS'!$N$2:$N$4000,'CONTEOS'!$F$2:$F$4000,A299,'CONTEOS'!$H$2:$H$4000,C299)</x:f>
        <x:v>0</x:v>
      </x:c>
      <x:c r="I299" s="28" t="n">
        <x:f>H299-G299</x:f>
        <x:v>-2640</x:v>
      </x:c>
      <x:c r="J299" t="str">
        <x:f>IF(COUNTIFS('CONTEOS'!$F$2:$F$4000,A299,'CONTEOS'!$H$2:$H$4000,C299)=0,"PENDIENTE",IF(I299=0,"CUADRA",IF(I299&gt;0,"SOBRANTE","FALTANTE")))</x:f>
        <x:v>PENDIENTE</x:v>
      </x:c>
    </x:row>
    <x:row r="300">
      <x:c r="A300" t="str">
        <x:f>'STOCK_SISTEMA'!A300</x:f>
        <x:v>EE10309</x:v>
      </x:c>
      <x:c r="B300" s="29" t="str">
        <x:f>'STOCK_SISTEMA'!B300</x:f>
        <x:v>[EE10309] ETIQUETA NUTRICIONAL ALEMANIA FRIED NATIVE POTATO CHIPS WITH SALT 40g X 48 un</x:v>
      </x:c>
      <x:c r="C300" t="str">
        <x:f>IF('STOCK_SISTEMA'!C300="","",'STOCK_SISTEMA'!C300)</x:f>
        <x:v>ET-02/26</x:v>
      </x:c>
      <x:c r="D300" s="27" t="n">
        <x:f>IF('STOCK_SISTEMA'!D300="","",'STOCK_SISTEMA'!D300)</x:f>
        <x:v>46583.41641203704</x:v>
      </x:c>
      <x:c r="E300" t="str">
        <x:f>'STOCK_SISTEMA'!E300</x:f>
        <x:v>SF-03/Materiales</x:v>
      </x:c>
      <x:c r="F300" t="str">
        <x:f>'STOCK_SISTEMA'!G300</x:f>
        <x:v>Unidades</x:v>
      </x:c>
      <x:c r="G300" s="28" t="n">
        <x:f>'STOCK_SISTEMA'!F300</x:f>
        <x:v>1500</x:v>
      </x:c>
      <x:c r="H300" s="28" t="n">
        <x:f>SUMIFS('CONTEOS'!$N$2:$N$4000,'CONTEOS'!$F$2:$F$4000,A300,'CONTEOS'!$H$2:$H$4000,C300)</x:f>
        <x:v>0</x:v>
      </x:c>
      <x:c r="I300" s="28" t="n">
        <x:f>H300-G300</x:f>
        <x:v>-1500</x:v>
      </x:c>
      <x:c r="J300" t="str">
        <x:f>IF(COUNTIFS('CONTEOS'!$F$2:$F$4000,A300,'CONTEOS'!$H$2:$H$4000,C300)=0,"PENDIENTE",IF(I300=0,"CUADRA",IF(I300&gt;0,"SOBRANTE","FALTANTE")))</x:f>
        <x:v>PENDIENTE</x:v>
      </x:c>
    </x:row>
    <x:row r="301">
      <x:c r="A301" t="str">
        <x:f>'STOCK_SISTEMA'!A301</x:f>
        <x:v>EE10311</x:v>
      </x:c>
      <x:c r="B301" s="29" t="str">
        <x:f>'STOCK_SISTEMA'!B301</x:f>
        <x:v>[EE10311] ETIQUETA NUTRICIONAL ALEMANIA NATIVE POTATO FLAKES WITH YELLOW CHILE PEPPER 142g X 20 un</x:v>
      </x:c>
      <x:c r="C301" t="str">
        <x:f>IF('STOCK_SISTEMA'!C301="","",'STOCK_SISTEMA'!C301)</x:f>
        <x:v>ET-01/26</x:v>
      </x:c>
      <x:c r="D301" s="27" t="n">
        <x:f>IF('STOCK_SISTEMA'!D301="","",'STOCK_SISTEMA'!D301)</x:f>
        <x:v>46576.45332175926</x:v>
      </x:c>
      <x:c r="E301" t="str">
        <x:f>'STOCK_SISTEMA'!E301</x:f>
        <x:v>SF-03/Materiales</x:v>
      </x:c>
      <x:c r="F301" t="str">
        <x:f>'STOCK_SISTEMA'!G301</x:f>
        <x:v>Unidades</x:v>
      </x:c>
      <x:c r="G301" s="28" t="n">
        <x:f>'STOCK_SISTEMA'!F301</x:f>
        <x:v>300</x:v>
      </x:c>
      <x:c r="H301" s="28" t="n">
        <x:f>SUMIFS('CONTEOS'!$N$2:$N$4000,'CONTEOS'!$F$2:$F$4000,A301,'CONTEOS'!$H$2:$H$4000,C301)</x:f>
        <x:v>0</x:v>
      </x:c>
      <x:c r="I301" s="28" t="n">
        <x:f>H301-G301</x:f>
        <x:v>-300</x:v>
      </x:c>
      <x:c r="J301" t="str">
        <x:f>IF(COUNTIFS('CONTEOS'!$F$2:$F$4000,A301,'CONTEOS'!$H$2:$H$4000,C301)=0,"PENDIENTE",IF(I301=0,"CUADRA",IF(I301&gt;0,"SOBRANTE","FALTANTE")))</x:f>
        <x:v>PENDIENTE</x:v>
      </x:c>
    </x:row>
    <x:row r="302">
      <x:c r="A302" t="str">
        <x:f>'STOCK_SISTEMA'!A302</x:f>
        <x:v>EE10308</x:v>
      </x:c>
      <x:c r="B302" s="29" t="str">
        <x:f>'STOCK_SISTEMA'!B302</x:f>
        <x:v>[EE10308] ETIQUETA NUTRICIONAL ALEMANIA FRIED NATIVE POTATO CHIPS WITH SALT 142g X 20 un</x:v>
      </x:c>
      <x:c r="C302" t="str">
        <x:f>IF('STOCK_SISTEMA'!C302="","",'STOCK_SISTEMA'!C302)</x:f>
        <x:v>ET-01/26</x:v>
      </x:c>
      <x:c r="D302" s="27" t="n">
        <x:f>IF('STOCK_SISTEMA'!D302="","",'STOCK_SISTEMA'!D302)</x:f>
        <x:v>46576.45390046296</x:v>
      </x:c>
      <x:c r="E302" t="str">
        <x:f>'STOCK_SISTEMA'!E302</x:f>
        <x:v>SF-03/Materiales</x:v>
      </x:c>
      <x:c r="F302" t="str">
        <x:f>'STOCK_SISTEMA'!G302</x:f>
        <x:v>Unidades</x:v>
      </x:c>
      <x:c r="G302" s="28" t="n">
        <x:f>'STOCK_SISTEMA'!F302</x:f>
        <x:v>300</x:v>
      </x:c>
      <x:c r="H302" s="28" t="n">
        <x:f>SUMIFS('CONTEOS'!$N$2:$N$4000,'CONTEOS'!$F$2:$F$4000,A302,'CONTEOS'!$H$2:$H$4000,C302)</x:f>
        <x:v>0</x:v>
      </x:c>
      <x:c r="I302" s="28" t="n">
        <x:f>H302-G302</x:f>
        <x:v>-300</x:v>
      </x:c>
      <x:c r="J302" t="str">
        <x:f>IF(COUNTIFS('CONTEOS'!$F$2:$F$4000,A302,'CONTEOS'!$H$2:$H$4000,C302)=0,"PENDIENTE",IF(I302=0,"CUADRA",IF(I302&gt;0,"SOBRANTE","FALTANTE")))</x:f>
        <x:v>PENDIENTE</x:v>
      </x:c>
    </x:row>
    <x:row r="303">
      <x:c r="A303" t="str">
        <x:f>'STOCK_SISTEMA'!A303</x:f>
        <x:v>EE10315</x:v>
      </x:c>
      <x:c r="B303" s="29" t="str">
        <x:f>'STOCK_SISTEMA'!B303</x:f>
        <x:v>[EE10315] STICKERS PANAMA JALAPEÑO 142g</x:v>
      </x:c>
      <x:c r="C303" t="str">
        <x:f>IF('STOCK_SISTEMA'!C303="","",'STOCK_SISTEMA'!C303)</x:f>
        <x:v>ET-01/26</x:v>
      </x:c>
      <x:c r="D303" s="27" t="n">
        <x:f>IF('STOCK_SISTEMA'!D303="","",'STOCK_SISTEMA'!D303)</x:f>
        <x:v>46598.6300462963</x:v>
      </x:c>
      <x:c r="E303" t="str">
        <x:f>'STOCK_SISTEMA'!E303</x:f>
        <x:v>SF-03/Materiales</x:v>
      </x:c>
      <x:c r="F303" t="str">
        <x:f>'STOCK_SISTEMA'!G303</x:f>
        <x:v>Unidades</x:v>
      </x:c>
      <x:c r="G303" s="28" t="n">
        <x:f>'STOCK_SISTEMA'!F303</x:f>
        <x:v>300</x:v>
      </x:c>
      <x:c r="H303" s="28" t="n">
        <x:f>SUMIFS('CONTEOS'!$N$2:$N$4000,'CONTEOS'!$F$2:$F$4000,A303,'CONTEOS'!$H$2:$H$4000,C303)</x:f>
        <x:v>0</x:v>
      </x:c>
      <x:c r="I303" s="28" t="n">
        <x:f>H303-G303</x:f>
        <x:v>-300</x:v>
      </x:c>
      <x:c r="J303" t="str">
        <x:f>IF(COUNTIFS('CONTEOS'!$F$2:$F$4000,A303,'CONTEOS'!$H$2:$H$4000,C303)=0,"PENDIENTE",IF(I303=0,"CUADRA",IF(I303&gt;0,"SOBRANTE","FALTANTE")))</x:f>
        <x:v>PENDIENTE</x:v>
      </x:c>
    </x:row>
    <x:row r="304">
      <x:c r="A304" t="str">
        <x:f>'STOCK_SISTEMA'!A304</x:f>
        <x:v>EE10316</x:v>
      </x:c>
      <x:c r="B304" s="29" t="str">
        <x:f>'STOCK_SISTEMA'!B304</x:f>
        <x:v>[EE10316] STICKERS PANAMA LIMON PIMIENTA 142g</x:v>
      </x:c>
      <x:c r="C304" t="str">
        <x:f>IF('STOCK_SISTEMA'!C304="","",'STOCK_SISTEMA'!C304)</x:f>
        <x:v>ET-01/26</x:v>
      </x:c>
      <x:c r="D304" s="27" t="n">
        <x:f>IF('STOCK_SISTEMA'!D304="","",'STOCK_SISTEMA'!D304)</x:f>
        <x:v>46591.62952546297</x:v>
      </x:c>
      <x:c r="E304" t="str">
        <x:f>'STOCK_SISTEMA'!E304</x:f>
        <x:v>SF-03/Materiales</x:v>
      </x:c>
      <x:c r="F304" t="str">
        <x:f>'STOCK_SISTEMA'!G304</x:f>
        <x:v>Unidades</x:v>
      </x:c>
      <x:c r="G304" s="28" t="n">
        <x:f>'STOCK_SISTEMA'!F304</x:f>
        <x:v>300</x:v>
      </x:c>
      <x:c r="H304" s="28" t="n">
        <x:f>SUMIFS('CONTEOS'!$N$2:$N$4000,'CONTEOS'!$F$2:$F$4000,A304,'CONTEOS'!$H$2:$H$4000,C304)</x:f>
        <x:v>0</x:v>
      </x:c>
      <x:c r="I304" s="28" t="n">
        <x:f>H304-G304</x:f>
        <x:v>-300</x:v>
      </x:c>
      <x:c r="J304" t="str">
        <x:f>IF(COUNTIFS('CONTEOS'!$F$2:$F$4000,A304,'CONTEOS'!$H$2:$H$4000,C304)=0,"PENDIENTE",IF(I304=0,"CUADRA",IF(I304&gt;0,"SOBRANTE","FALTANTE")))</x:f>
        <x:v>PENDIENTE</x:v>
      </x:c>
    </x:row>
    <x:row r="305">
      <x:c r="A305" t="str">
        <x:f>'STOCK_SISTEMA'!A305</x:f>
        <x:v>EE10317</x:v>
      </x:c>
      <x:c r="B305" s="29" t="str">
        <x:f>'STOCK_SISTEMA'!B305</x:f>
        <x:v>[EE10317] STICKERS PANAMA QUINUA BBQ 100g</x:v>
      </x:c>
      <x:c r="C305" t="str">
        <x:f>IF('STOCK_SISTEMA'!C305="","",'STOCK_SISTEMA'!C305)</x:f>
        <x:v>ET-01/26</x:v>
      </x:c>
      <x:c r="D305" s="27" t="n">
        <x:f>IF('STOCK_SISTEMA'!D305="","",'STOCK_SISTEMA'!D305)</x:f>
        <x:v>46596.63440972222</x:v>
      </x:c>
      <x:c r="E305" t="str">
        <x:f>'STOCK_SISTEMA'!E305</x:f>
        <x:v>SF-03/Materiales</x:v>
      </x:c>
      <x:c r="F305" t="str">
        <x:f>'STOCK_SISTEMA'!G305</x:f>
        <x:v>Unidades</x:v>
      </x:c>
      <x:c r="G305" s="28" t="n">
        <x:f>'STOCK_SISTEMA'!F305</x:f>
        <x:v>300</x:v>
      </x:c>
      <x:c r="H305" s="28" t="n">
        <x:f>SUMIFS('CONTEOS'!$N$2:$N$4000,'CONTEOS'!$F$2:$F$4000,A305,'CONTEOS'!$H$2:$H$4000,C305)</x:f>
        <x:v>0</x:v>
      </x:c>
      <x:c r="I305" s="28" t="n">
        <x:f>H305-G305</x:f>
        <x:v>-300</x:v>
      </x:c>
      <x:c r="J305" t="str">
        <x:f>IF(COUNTIFS('CONTEOS'!$F$2:$F$4000,A305,'CONTEOS'!$H$2:$H$4000,C305)=0,"PENDIENTE",IF(I305=0,"CUADRA",IF(I305&gt;0,"SOBRANTE","FALTANTE")))</x:f>
        <x:v>PENDIENTE</x:v>
      </x:c>
    </x:row>
    <x:row r="306">
      <x:c r="A306" t="str">
        <x:f>'STOCK_SISTEMA'!A306</x:f>
        <x:v>EE10318</x:v>
      </x:c>
      <x:c r="B306" s="29" t="str">
        <x:f>'STOCK_SISTEMA'!B306</x:f>
        <x:v>[EE10318] STICKERS PANAMA QUINUA PICANTE 100g</x:v>
      </x:c>
      <x:c r="C306" t="str">
        <x:f>IF('STOCK_SISTEMA'!C306="","",'STOCK_SISTEMA'!C306)</x:f>
        <x:v>ET-01/26</x:v>
      </x:c>
      <x:c r="D306" s="27" t="n">
        <x:f>IF('STOCK_SISTEMA'!D306="","",'STOCK_SISTEMA'!D306)</x:f>
        <x:v>46599.63467592592</x:v>
      </x:c>
      <x:c r="E306" t="str">
        <x:f>'STOCK_SISTEMA'!E306</x:f>
        <x:v>SF-03/Materiales</x:v>
      </x:c>
      <x:c r="F306" t="str">
        <x:f>'STOCK_SISTEMA'!G306</x:f>
        <x:v>Unidades</x:v>
      </x:c>
      <x:c r="G306" s="28" t="n">
        <x:f>'STOCK_SISTEMA'!F306</x:f>
        <x:v>300</x:v>
      </x:c>
      <x:c r="H306" s="28" t="n">
        <x:f>SUMIFS('CONTEOS'!$N$2:$N$4000,'CONTEOS'!$F$2:$F$4000,A306,'CONTEOS'!$H$2:$H$4000,C306)</x:f>
        <x:v>0</x:v>
      </x:c>
      <x:c r="I306" s="28" t="n">
        <x:f>H306-G306</x:f>
        <x:v>-300</x:v>
      </x:c>
      <x:c r="J306" t="str">
        <x:f>IF(COUNTIFS('CONTEOS'!$F$2:$F$4000,A306,'CONTEOS'!$H$2:$H$4000,C306)=0,"PENDIENTE",IF(I306=0,"CUADRA",IF(I306&gt;0,"SOBRANTE","FALTANTE")))</x:f>
        <x:v>PENDIENTE</x:v>
      </x:c>
    </x:row>
    <x:row r="307">
      <x:c r="A307" t="str">
        <x:f>'STOCK_SISTEMA'!A307</x:f>
        <x:v>EE10291</x:v>
      </x:c>
      <x:c r="B307" s="29" t="str">
        <x:f>'STOCK_SISTEMA'!B307</x:f>
        <x:v>[EE10291] STICKERS NUTRICIONAL BRASIL 40g CAMOTE</x:v>
      </x:c>
      <x:c r="C307" t="str">
        <x:f>IF('STOCK_SISTEMA'!C307="","",'STOCK_SISTEMA'!C307)</x:f>
        <x:v>INFORME 01/26</x:v>
      </x:c>
      <x:c r="D307" s="27" t="n">
        <x:f>IF('STOCK_SISTEMA'!D307="","",'STOCK_SISTEMA'!D307)</x:f>
        <x:v>46539.55368055555</x:v>
      </x:c>
      <x:c r="E307" t="str">
        <x:f>'STOCK_SISTEMA'!E307</x:f>
        <x:v>SF-03/Materiales</x:v>
      </x:c>
      <x:c r="F307" t="str">
        <x:f>'STOCK_SISTEMA'!G307</x:f>
        <x:v>Unidades</x:v>
      </x:c>
      <x:c r="G307" s="28" t="n">
        <x:f>'STOCK_SISTEMA'!F307</x:f>
        <x:v>564</x:v>
      </x:c>
      <x:c r="H307" s="28" t="n">
        <x:f>SUMIFS('CONTEOS'!$N$2:$N$4000,'CONTEOS'!$F$2:$F$4000,A307,'CONTEOS'!$H$2:$H$4000,C307)</x:f>
        <x:v>0</x:v>
      </x:c>
      <x:c r="I307" s="28" t="n">
        <x:f>H307-G307</x:f>
        <x:v>-564</x:v>
      </x:c>
      <x:c r="J307" t="str">
        <x:f>IF(COUNTIFS('CONTEOS'!$F$2:$F$4000,A307,'CONTEOS'!$H$2:$H$4000,C307)=0,"PENDIENTE",IF(I307=0,"CUADRA",IF(I307&gt;0,"SOBRANTE","FALTANTE")))</x:f>
        <x:v>PENDIENTE</x:v>
      </x:c>
    </x:row>
    <x:row r="308">
      <x:c r="A308" t="str">
        <x:f>'STOCK_SISTEMA'!A308</x:f>
        <x:v>EE10189</x:v>
      </x:c>
      <x:c r="B308" s="29" t="str">
        <x:f>'STOCK_SISTEMA'!B308</x:f>
        <x:v>[EE10189] STICKERS TEXTOS LEGALES MIX NATIVA 160g ESPAÑA</x:v>
      </x:c>
      <x:c r="C308" t="str">
        <x:f>IF('STOCK_SISTEMA'!C308="","",'STOCK_SISTEMA'!C308)</x:f>
      </x:c>
      <x:c r="D308" s="27" t="str">
        <x:f>IF('STOCK_SISTEMA'!D308="","",'STOCK_SISTEMA'!D308)</x:f>
      </x:c>
      <x:c r="E308" t="str">
        <x:f>'STOCK_SISTEMA'!E308</x:f>
        <x:v>SF-03/Materiales</x:v>
      </x:c>
      <x:c r="F308" t="str">
        <x:f>'STOCK_SISTEMA'!G308</x:f>
        <x:v>Unidades</x:v>
      </x:c>
      <x:c r="G308" s="28" t="n">
        <x:f>'STOCK_SISTEMA'!F308</x:f>
        <x:v>300</x:v>
      </x:c>
      <x:c r="H308" s="28" t="n">
        <x:f>SUMIFS('CONTEOS'!$N$2:$N$4000,'CONTEOS'!$F$2:$F$4000,A308,'CONTEOS'!$H$2:$H$4000,C308)</x:f>
        <x:v>0</x:v>
      </x:c>
      <x:c r="I308" s="28" t="n">
        <x:f>H308-G308</x:f>
        <x:v>-300</x:v>
      </x:c>
      <x:c r="J308" t="str">
        <x:f>IF(COUNTIFS('CONTEOS'!$F$2:$F$4000,A308,'CONTEOS'!$H$2:$H$4000,C308)=0,"PENDIENTE",IF(I308=0,"CUADRA",IF(I308&gt;0,"SOBRANTE","FALTANTE")))</x:f>
        <x:v>PENDIENTE</x:v>
      </x:c>
    </x:row>
    <x:row r="309">
      <x:c r="A309" t="str">
        <x:f>'STOCK_SISTEMA'!A309</x:f>
        <x:v>EE10182</x:v>
      </x:c>
      <x:c r="B309" s="29" t="str">
        <x:f>'STOCK_SISTEMA'!B309</x:f>
        <x:v>[EE10182] LAMINA BITZ ONDA NATURAL 200G X KG</x:v>
      </x:c>
      <x:c r="C309" t="str">
        <x:f>IF('STOCK_SISTEMA'!C309="","",'STOCK_SISTEMA'!C309)</x:f>
        <x:v>LA-11/26</x:v>
      </x:c>
      <x:c r="D309" s="27" t="n">
        <x:f>IF('STOCK_SISTEMA'!D309="","",'STOCK_SISTEMA'!D309)</x:f>
        <x:v>46604.34964120371</x:v>
      </x:c>
      <x:c r="E309" t="str">
        <x:f>'STOCK_SISTEMA'!E309</x:f>
        <x:v>SF-03/Materiales</x:v>
      </x:c>
      <x:c r="F309" t="str">
        <x:f>'STOCK_SISTEMA'!G309</x:f>
        <x:v>Kilogramo</x:v>
      </x:c>
      <x:c r="G309" s="28" t="n">
        <x:f>'STOCK_SISTEMA'!F309</x:f>
        <x:v>710.61</x:v>
      </x:c>
      <x:c r="H309" s="28" t="n">
        <x:f>SUMIFS('CONTEOS'!$N$2:$N$4000,'CONTEOS'!$F$2:$F$4000,A309,'CONTEOS'!$H$2:$H$4000,C309)</x:f>
        <x:v>0</x:v>
      </x:c>
      <x:c r="I309" s="28" t="n">
        <x:f>H309-G309</x:f>
        <x:v>-710.61</x:v>
      </x:c>
      <x:c r="J309" t="str">
        <x:f>IF(COUNTIFS('CONTEOS'!$F$2:$F$4000,A309,'CONTEOS'!$H$2:$H$4000,C309)=0,"PENDIENTE",IF(I309=0,"CUADRA",IF(I309&gt;0,"SOBRANTE","FALTANTE")))</x:f>
        <x:v>PENDIENTE</x:v>
      </x:c>
    </x:row>
    <x:row r="310">
      <x:c r="A310" t="str">
        <x:f>'STOCK_SISTEMA'!A310</x:f>
        <x:v>EE10009</x:v>
      </x:c>
      <x:c r="B310" s="29" t="str">
        <x:f>'STOCK_SISTEMA'!B310</x:f>
        <x:v>[EE10009] CAJA MASTER RIKY TOK C/LOGO # 9 X UND</x:v>
      </x:c>
      <x:c r="C310" t="str">
        <x:f>IF('STOCK_SISTEMA'!C310="","",'STOCK_SISTEMA'!C310)</x:f>
        <x:v>CR-18/26</x:v>
      </x:c>
      <x:c r="D310" s="27" t="n">
        <x:f>IF('STOCK_SISTEMA'!D310="","",'STOCK_SISTEMA'!D310)</x:f>
        <x:v>46603.35221064815</x:v>
      </x:c>
      <x:c r="E310" t="str">
        <x:f>'STOCK_SISTEMA'!E310</x:f>
        <x:v>SF-03/Materiales</x:v>
      </x:c>
      <x:c r="F310" t="str">
        <x:f>'STOCK_SISTEMA'!G310</x:f>
        <x:v>Unidades</x:v>
      </x:c>
      <x:c r="G310" s="28" t="n">
        <x:f>'STOCK_SISTEMA'!F310</x:f>
        <x:v>5150</x:v>
      </x:c>
      <x:c r="H310" s="28" t="n">
        <x:f>SUMIFS('CONTEOS'!$N$2:$N$4000,'CONTEOS'!$F$2:$F$4000,A310,'CONTEOS'!$H$2:$H$4000,C310)</x:f>
        <x:v>0</x:v>
      </x:c>
      <x:c r="I310" s="28" t="n">
        <x:f>H310-G310</x:f>
        <x:v>-5150</x:v>
      </x:c>
      <x:c r="J310" t="str">
        <x:f>IF(COUNTIFS('CONTEOS'!$F$2:$F$4000,A310,'CONTEOS'!$H$2:$H$4000,C310)=0,"PENDIENTE",IF(I310=0,"CUADRA",IF(I310&gt;0,"SOBRANTE","FALTANTE")))</x:f>
        <x:v>PENDIENTE</x:v>
      </x:c>
    </x:row>
    <x:row r="311">
      <x:c r="A311" t="str">
        <x:f>'STOCK_SISTEMA'!A311</x:f>
        <x:v>MP10027</x:v>
      </x:c>
      <x:c r="B311" s="29" t="str">
        <x:f>'STOCK_SISTEMA'!B311</x:f>
        <x:v>[MP10027] HARINA DE QUINUA CONVECIONAL X KG</x:v>
      </x:c>
      <x:c r="C311" t="str">
        <x:f>IF('STOCK_SISTEMA'!C311="","",'STOCK_SISTEMA'!C311)</x:f>
        <x:v>HA-02/26</x:v>
      </x:c>
      <x:c r="D311" s="27" t="n">
        <x:f>IF('STOCK_SISTEMA'!D311="","",'STOCK_SISTEMA'!D311)</x:f>
        <x:v>46966.396875</x:v>
      </x:c>
      <x:c r="E311" t="str">
        <x:f>'STOCK_SISTEMA'!E311</x:f>
        <x:v>SF-03/Materiales</x:v>
      </x:c>
      <x:c r="F311" t="str">
        <x:f>'STOCK_SISTEMA'!G311</x:f>
        <x:v>Kilogramo</x:v>
      </x:c>
      <x:c r="G311" s="28" t="n">
        <x:f>'STOCK_SISTEMA'!F311</x:f>
        <x:v>1000</x:v>
      </x:c>
      <x:c r="H311" s="28" t="n">
        <x:f>SUMIFS('CONTEOS'!$N$2:$N$4000,'CONTEOS'!$F$2:$F$4000,A311,'CONTEOS'!$H$2:$H$4000,C311)</x:f>
        <x:v>0</x:v>
      </x:c>
      <x:c r="I311" s="28" t="n">
        <x:f>H311-G311</x:f>
        <x:v>-1000</x:v>
      </x:c>
      <x:c r="J311" t="str">
        <x:f>IF(COUNTIFS('CONTEOS'!$F$2:$F$4000,A311,'CONTEOS'!$H$2:$H$4000,C311)=0,"PENDIENTE",IF(I311=0,"CUADRA",IF(I311&gt;0,"SOBRANTE","FALTANTE")))</x:f>
        <x:v>PENDIENTE</x:v>
      </x:c>
    </x:row>
    <x:row r="312">
      <x:c r="A312" t="str">
        <x:f>'STOCK_SISTEMA'!A312</x:f>
        <x:v>EE10058-1</x:v>
      </x:c>
      <x:c r="B312" s="29" t="str">
        <x:f>'STOCK_SISTEMA'!B312</x:f>
        <x:v>[EE10058-1] ENVASE FIBRA MIX NATIVA 73x220mm TUBO 100g + TAPAS (metal + plástico)</x:v>
      </x:c>
      <x:c r="C312" t="str">
        <x:f>IF('STOCK_SISTEMA'!C312="","",'STOCK_SISTEMA'!C312)</x:f>
        <x:v>TB-08/26</x:v>
      </x:c>
      <x:c r="D312" s="27" t="n">
        <x:f>IF('STOCK_SISTEMA'!D312="","",'STOCK_SISTEMA'!D312)</x:f>
        <x:v>46603.39929398148</x:v>
      </x:c>
      <x:c r="E312" t="str">
        <x:f>'STOCK_SISTEMA'!E312</x:f>
        <x:v>SF-03/Materiales</x:v>
      </x:c>
      <x:c r="F312" t="str">
        <x:f>'STOCK_SISTEMA'!G312</x:f>
        <x:v>Unidades</x:v>
      </x:c>
      <x:c r="G312" s="28" t="n">
        <x:f>'STOCK_SISTEMA'!F312</x:f>
        <x:v>8640</x:v>
      </x:c>
      <x:c r="H312" s="28" t="n">
        <x:f>SUMIFS('CONTEOS'!$N$2:$N$4000,'CONTEOS'!$F$2:$F$4000,A312,'CONTEOS'!$H$2:$H$4000,C312)</x:f>
        <x:v>0</x:v>
      </x:c>
      <x:c r="I312" s="28" t="n">
        <x:f>H312-G312</x:f>
        <x:v>-8640</x:v>
      </x:c>
      <x:c r="J312" t="str">
        <x:f>IF(COUNTIFS('CONTEOS'!$F$2:$F$4000,A312,'CONTEOS'!$H$2:$H$4000,C312)=0,"PENDIENTE",IF(I312=0,"CUADRA",IF(I312&gt;0,"SOBRANTE","FALTANTE")))</x:f>
        <x:v>PENDIENTE</x:v>
      </x:c>
    </x:row>
    <x:row r="313">
      <x:c r="A313" t="str">
        <x:f>'STOCK_SISTEMA'!A313</x:f>
        <x:v>EE10200</x:v>
      </x:c>
      <x:c r="B313" s="29" t="str">
        <x:f>'STOCK_SISTEMA'!B313</x:f>
        <x:v>[EE10200] ETIQUETA AMARILLA CAJA (ALTURA) TT-50MMx100MM 1C-T1x1000</x:v>
      </x:c>
      <x:c r="C313" t="str">
        <x:f>IF('STOCK_SISTEMA'!C313="","",'STOCK_SISTEMA'!C313)</x:f>
        <x:v>INFORME 03/26</x:v>
      </x:c>
      <x:c r="D313" s="27" t="n">
        <x:f>IF('STOCK_SISTEMA'!D313="","",'STOCK_SISTEMA'!D313)</x:f>
        <x:v>47024.68806712963</x:v>
      </x:c>
      <x:c r="E313" t="str">
        <x:f>'STOCK_SISTEMA'!E313</x:f>
        <x:v>SF-03/Materiales</x:v>
      </x:c>
      <x:c r="F313" t="str">
        <x:f>'STOCK_SISTEMA'!G313</x:f>
        <x:v>Unidades</x:v>
      </x:c>
      <x:c r="G313" s="28" t="n">
        <x:f>'STOCK_SISTEMA'!F313</x:f>
        <x:v>24</x:v>
      </x:c>
      <x:c r="H313" s="28" t="n">
        <x:f>SUMIFS('CONTEOS'!$N$2:$N$4000,'CONTEOS'!$F$2:$F$4000,A313,'CONTEOS'!$H$2:$H$4000,C313)</x:f>
        <x:v>0</x:v>
      </x:c>
      <x:c r="I313" s="28" t="n">
        <x:f>H313-G313</x:f>
        <x:v>-24</x:v>
      </x:c>
      <x:c r="J313" t="str">
        <x:f>IF(COUNTIFS('CONTEOS'!$F$2:$F$4000,A313,'CONTEOS'!$H$2:$H$4000,C313)=0,"PENDIENTE",IF(I313=0,"CUADRA",IF(I313&gt;0,"SOBRANTE","FALTANTE")))</x:f>
        <x:v>PENDIENTE</x:v>
      </x:c>
    </x:row>
    <x:row r="314">
      <x:c r="A314" t="str">
        <x:f>'STOCK_SISTEMA'!A314</x:f>
        <x:v>MP10010</x:v>
      </x:c>
      <x:c r="B314" s="29" t="str">
        <x:f>'STOCK_SISTEMA'!B314</x:f>
        <x:v>[MP10010] PAPA UNICA X KG</x:v>
      </x:c>
      <x:c r="C314" t="str">
        <x:f>IF('STOCK_SISTEMA'!C314="","",'STOCK_SISTEMA'!C314)</x:f>
        <x:v>INFORME 205/26</x:v>
      </x:c>
      <x:c r="D314" s="27" t="n">
        <x:f>IF('STOCK_SISTEMA'!D314="","",'STOCK_SISTEMA'!D314)</x:f>
        <x:v>46256.67976851852</x:v>
      </x:c>
      <x:c r="E314" t="str">
        <x:f>'STOCK_SISTEMA'!E314</x:f>
        <x:v>SF-03/Materiales</x:v>
      </x:c>
      <x:c r="F314" t="str">
        <x:f>'STOCK_SISTEMA'!G314</x:f>
        <x:v>Kilogramo</x:v>
      </x:c>
      <x:c r="G314" s="28" t="n">
        <x:f>'STOCK_SISTEMA'!F314</x:f>
        <x:v>936</x:v>
      </x:c>
      <x:c r="H314" s="28" t="n">
        <x:f>SUMIFS('CONTEOS'!$N$2:$N$4000,'CONTEOS'!$F$2:$F$4000,A314,'CONTEOS'!$H$2:$H$4000,C314)</x:f>
        <x:v>0</x:v>
      </x:c>
      <x:c r="I314" s="28" t="n">
        <x:f>H314-G314</x:f>
        <x:v>-936</x:v>
      </x:c>
      <x:c r="J314" t="str">
        <x:f>IF(COUNTIFS('CONTEOS'!$F$2:$F$4000,A314,'CONTEOS'!$H$2:$H$4000,C314)=0,"PENDIENTE",IF(I314=0,"CUADRA",IF(I314&gt;0,"SOBRANTE","FALTANTE")))</x:f>
        <x:v>PENDIENTE</x:v>
      </x:c>
    </x:row>
    <x:row r="315">
      <x:c r="A315" t="str">
        <x:f>'STOCK_SISTEMA'!A315</x:f>
        <x:v>MP10054</x:v>
      </x:c>
      <x:c r="B315" s="29" t="str">
        <x:f>'STOCK_SISTEMA'!B315</x:f>
        <x:v>[MP10054] SABOR BITZ PICANTE SP-P40698-28 CRAMER X KG</x:v>
      </x:c>
      <x:c r="C315" t="str">
        <x:f>IF('STOCK_SISTEMA'!C315="","",'STOCK_SISTEMA'!C315)</x:f>
        <x:v>INFORME 06/26</x:v>
      </x:c>
      <x:c r="D315" s="27" t="n">
        <x:f>IF('STOCK_SISTEMA'!D315="","",'STOCK_SISTEMA'!D315)</x:f>
        <x:v>46358.45246527778</x:v>
      </x:c>
      <x:c r="E315" t="str">
        <x:f>'STOCK_SISTEMA'!E315</x:f>
        <x:v>SF-03/Materiales</x:v>
      </x:c>
      <x:c r="F315" t="str">
        <x:f>'STOCK_SISTEMA'!G315</x:f>
        <x:v>Kilogramo</x:v>
      </x:c>
      <x:c r="G315" s="28" t="n">
        <x:f>'STOCK_SISTEMA'!F315</x:f>
        <x:v>0.88</x:v>
      </x:c>
      <x:c r="H315" s="28" t="n">
        <x:f>SUMIFS('CONTEOS'!$N$2:$N$4000,'CONTEOS'!$F$2:$F$4000,A315,'CONTEOS'!$H$2:$H$4000,C315)</x:f>
        <x:v>0</x:v>
      </x:c>
      <x:c r="I315" s="28" t="n">
        <x:f>H315-G315</x:f>
        <x:v>-0.88</x:v>
      </x:c>
      <x:c r="J315" t="str">
        <x:f>IF(COUNTIFS('CONTEOS'!$F$2:$F$4000,A315,'CONTEOS'!$H$2:$H$4000,C315)=0,"PENDIENTE",IF(I315=0,"CUADRA",IF(I315&gt;0,"SOBRANTE","FALTANTE")))</x:f>
        <x:v>PENDIENTE</x:v>
      </x:c>
    </x:row>
    <x:row r="316">
      <x:c r="A316" t="str">
        <x:f>'STOCK_SISTEMA'!A316</x:f>
        <x:v>MP10010</x:v>
      </x:c>
      <x:c r="B316" s="29" t="str">
        <x:f>'STOCK_SISTEMA'!B316</x:f>
        <x:v>[MP10010] PAPA UNICA X KG</x:v>
      </x:c>
      <x:c r="C316" t="str">
        <x:f>IF('STOCK_SISTEMA'!C316="","",'STOCK_SISTEMA'!C316)</x:f>
        <x:v>INFORME 206/26</x:v>
      </x:c>
      <x:c r="D316" s="27" t="n">
        <x:f>IF('STOCK_SISTEMA'!D316="","",'STOCK_SISTEMA'!D316)</x:f>
        <x:v>46259.72646990741</x:v>
      </x:c>
      <x:c r="E316" t="str">
        <x:f>'STOCK_SISTEMA'!E316</x:f>
        <x:v>SF-03/Materiales</x:v>
      </x:c>
      <x:c r="F316" t="str">
        <x:f>'STOCK_SISTEMA'!G316</x:f>
        <x:v>Kilogramo</x:v>
      </x:c>
      <x:c r="G316" s="28" t="n">
        <x:f>'STOCK_SISTEMA'!F316</x:f>
        <x:v>1519.6</x:v>
      </x:c>
      <x:c r="H316" s="28" t="n">
        <x:f>SUMIFS('CONTEOS'!$N$2:$N$4000,'CONTEOS'!$F$2:$F$4000,A316,'CONTEOS'!$H$2:$H$4000,C316)</x:f>
        <x:v>0</x:v>
      </x:c>
      <x:c r="I316" s="28" t="n">
        <x:f>H316-G316</x:f>
        <x:v>-1519.6</x:v>
      </x:c>
      <x:c r="J316" t="str">
        <x:f>IF(COUNTIFS('CONTEOS'!$F$2:$F$4000,A316,'CONTEOS'!$H$2:$H$4000,C316)=0,"PENDIENTE",IF(I316=0,"CUADRA",IF(I316&gt;0,"SOBRANTE","FALTANTE")))</x:f>
        <x:v>PENDIENTE</x:v>
      </x:c>
    </x:row>
    <x:row r="317">
      <x:c r="A317" t="str">
        <x:f>'STOCK_SISTEMA'!A317</x:f>
        <x:v>EE10046</x:v>
      </x:c>
      <x:c r="B317" s="29" t="str">
        <x:f>'STOCK_SISTEMA'!B317</x:f>
        <x:v>[EE10046] LAMINA RIKY TOK 30 GR ONDA NATURAL X KG</x:v>
      </x:c>
      <x:c r="C317" t="str">
        <x:f>IF('STOCK_SISTEMA'!C317="","",'STOCK_SISTEMA'!C317)</x:f>
        <x:v>INFORME 07/25</x:v>
      </x:c>
      <x:c r="D317" s="27" t="n">
        <x:f>IF('STOCK_SISTEMA'!D317="","",'STOCK_SISTEMA'!D317)</x:f>
        <x:v>46283.49362268519</x:v>
      </x:c>
      <x:c r="E317" t="str">
        <x:f>'STOCK_SISTEMA'!E317</x:f>
        <x:v>SF-03/Materiales</x:v>
      </x:c>
      <x:c r="F317" t="str">
        <x:f>'STOCK_SISTEMA'!G317</x:f>
        <x:v>Kilogramo</x:v>
      </x:c>
      <x:c r="G317" s="28" t="n">
        <x:f>'STOCK_SISTEMA'!F317</x:f>
        <x:v>168.14</x:v>
      </x:c>
      <x:c r="H317" s="28" t="n">
        <x:f>SUMIFS('CONTEOS'!$N$2:$N$4000,'CONTEOS'!$F$2:$F$4000,A317,'CONTEOS'!$H$2:$H$4000,C317)</x:f>
        <x:v>0</x:v>
      </x:c>
      <x:c r="I317" s="28" t="n">
        <x:f>H317-G317</x:f>
        <x:v>-168.14</x:v>
      </x:c>
      <x:c r="J317" t="str">
        <x:f>IF(COUNTIFS('CONTEOS'!$F$2:$F$4000,A317,'CONTEOS'!$H$2:$H$4000,C317)=0,"PENDIENTE",IF(I317=0,"CUADRA",IF(I317&gt;0,"SOBRANTE","FALTANTE")))</x:f>
        <x:v>PENDIENTE</x:v>
      </x:c>
    </x:row>
    <x:row r="318">
      <x:c r="A318" t="str">
        <x:f>'STOCK_SISTEMA'!A318</x:f>
        <x:v>MP10010</x:v>
      </x:c>
      <x:c r="B318" s="29" t="str">
        <x:f>'STOCK_SISTEMA'!B318</x:f>
        <x:v>[MP10010] PAPA UNICA X KG</x:v>
      </x:c>
      <x:c r="C318" t="str">
        <x:f>IF('STOCK_SISTEMA'!C318="","",'STOCK_SISTEMA'!C318)</x:f>
        <x:v>INFORME 209/26</x:v>
      </x:c>
      <x:c r="D318" s="27" t="n">
        <x:f>IF('STOCK_SISTEMA'!D318="","",'STOCK_SISTEMA'!D318)</x:f>
        <x:v>46261.39576388889</x:v>
      </x:c>
      <x:c r="E318" t="str">
        <x:f>'STOCK_SISTEMA'!E318</x:f>
        <x:v>SF-03/Materiales</x:v>
      </x:c>
      <x:c r="F318" t="str">
        <x:f>'STOCK_SISTEMA'!G318</x:f>
        <x:v>Kilogramo</x:v>
      </x:c>
      <x:c r="G318" s="28" t="n">
        <x:f>'STOCK_SISTEMA'!F318</x:f>
        <x:v>1794</x:v>
      </x:c>
      <x:c r="H318" s="28" t="n">
        <x:f>SUMIFS('CONTEOS'!$N$2:$N$4000,'CONTEOS'!$F$2:$F$4000,A318,'CONTEOS'!$H$2:$H$4000,C318)</x:f>
        <x:v>0</x:v>
      </x:c>
      <x:c r="I318" s="28" t="n">
        <x:f>H318-G318</x:f>
        <x:v>-1794</x:v>
      </x:c>
      <x:c r="J318" t="str">
        <x:f>IF(COUNTIFS('CONTEOS'!$F$2:$F$4000,A318,'CONTEOS'!$H$2:$H$4000,C318)=0,"PENDIENTE",IF(I318=0,"CUADRA",IF(I318&gt;0,"SOBRANTE","FALTANTE")))</x:f>
        <x:v>PENDIENTE</x:v>
      </x:c>
    </x:row>
    <x:row r="319">
      <x:c r="A319" t="str">
        <x:f>'STOCK_SISTEMA'!A319</x:f>
        <x:v>MP10013</x:v>
      </x:c>
      <x:c r="B319" s="29" t="str">
        <x:f>'STOCK_SISTEMA'!B319</x:f>
        <x:v>[MP10013] ACEITE DE GIRASOL ALTO OLEICO X LT</x:v>
      </x:c>
      <x:c r="C319" t="str">
        <x:f>IF('STOCK_SISTEMA'!C319="","",'STOCK_SISTEMA'!C319)</x:f>
        <x:v>AO-14/26</x:v>
      </x:c>
      <x:c r="D319" s="27" t="n">
        <x:f>IF('STOCK_SISTEMA'!D319="","",'STOCK_SISTEMA'!D319)</x:f>
        <x:v>46494.40952546296</x:v>
      </x:c>
      <x:c r="E319" t="str">
        <x:f>'STOCK_SISTEMA'!E319</x:f>
        <x:v>SF-03/Materiales</x:v>
      </x:c>
      <x:c r="F319" t="str">
        <x:f>'STOCK_SISTEMA'!G319</x:f>
        <x:v>L</x:v>
      </x:c>
      <x:c r="G319" s="28" t="n">
        <x:f>'STOCK_SISTEMA'!F319</x:f>
        <x:v>20180</x:v>
      </x:c>
      <x:c r="H319" s="28" t="n">
        <x:f>SUMIFS('CONTEOS'!$N$2:$N$4000,'CONTEOS'!$F$2:$F$4000,A319,'CONTEOS'!$H$2:$H$4000,C319)</x:f>
        <x:v>0</x:v>
      </x:c>
      <x:c r="I319" s="28" t="n">
        <x:f>H319-G319</x:f>
        <x:v>-20180</x:v>
      </x:c>
      <x:c r="J319" t="str">
        <x:f>IF(COUNTIFS('CONTEOS'!$F$2:$F$4000,A319,'CONTEOS'!$H$2:$H$4000,C319)=0,"PENDIENTE",IF(I319=0,"CUADRA",IF(I319&gt;0,"SOBRANTE","FALTANTE")))</x:f>
        <x:v>PENDIENTE</x:v>
      </x:c>
    </x:row>
    <x:row r="320">
      <x:c r="A320" t="str">
        <x:f>'STOCK_SISTEMA'!A320</x:f>
        <x:v>EE10249</x:v>
      </x:c>
      <x:c r="B320" s="29" t="str">
        <x:f>'STOCK_SISTEMA'!B320</x:f>
        <x:v>[EE10249] CINTA DE EMBALAJE TRANSPARENTE 48MMX548M X ROLLO</x:v>
      </x:c>
      <x:c r="C320" t="str">
        <x:f>IF('STOCK_SISTEMA'!C320="","",'STOCK_SISTEMA'!C320)</x:f>
        <x:v>INFORME 06/26</x:v>
      </x:c>
      <x:c r="D320" s="27" t="n">
        <x:f>IF('STOCK_SISTEMA'!D320="","",'STOCK_SISTEMA'!D320)</x:f>
        <x:v>46619.58961805556</x:v>
      </x:c>
      <x:c r="E320" t="str">
        <x:f>'STOCK_SISTEMA'!E320</x:f>
        <x:v>SF-03/Materiales</x:v>
      </x:c>
      <x:c r="F320" t="str">
        <x:f>'STOCK_SISTEMA'!G320</x:f>
        <x:v>Unidades</x:v>
      </x:c>
      <x:c r="G320" s="28" t="n">
        <x:f>'STOCK_SISTEMA'!F320</x:f>
        <x:v>100</x:v>
      </x:c>
      <x:c r="H320" s="28" t="n">
        <x:f>SUMIFS('CONTEOS'!$N$2:$N$4000,'CONTEOS'!$F$2:$F$4000,A320,'CONTEOS'!$H$2:$H$4000,C320)</x:f>
        <x:v>0</x:v>
      </x:c>
      <x:c r="I320" s="28" t="n">
        <x:f>H320-G320</x:f>
        <x:v>-100</x:v>
      </x:c>
      <x:c r="J320" t="str">
        <x:f>IF(COUNTIFS('CONTEOS'!$F$2:$F$4000,A320,'CONTEOS'!$H$2:$H$4000,C320)=0,"PENDIENTE",IF(I320=0,"CUADRA",IF(I320&gt;0,"SOBRANTE","FALTANTE")))</x:f>
        <x:v>PENDIENTE</x:v>
      </x:c>
    </x:row>
    <x:row r="321">
      <x:c r="A321" t="str">
        <x:f>'STOCK_SISTEMA'!A321</x:f>
        <x:v>EE10250</x:v>
      </x:c>
      <x:c r="B321" s="29" t="str">
        <x:f>'STOCK_SISTEMA'!B321</x:f>
        <x:v>[EE10250] CINTA DE EMBALAJE TRANSPARENTE 48MMX1000M X ROLLO</x:v>
      </x:c>
      <x:c r="C321" t="str">
        <x:f>IF('STOCK_SISTEMA'!C321="","",'STOCK_SISTEMA'!C321)</x:f>
        <x:v>INFORME 06/26</x:v>
      </x:c>
      <x:c r="D321" s="27" t="n">
        <x:f>IF('STOCK_SISTEMA'!D321="","",'STOCK_SISTEMA'!D321)</x:f>
        <x:v>46619.58986111111</x:v>
      </x:c>
      <x:c r="E321" t="str">
        <x:f>'STOCK_SISTEMA'!E321</x:f>
        <x:v>SF-03/Materiales</x:v>
      </x:c>
      <x:c r="F321" t="str">
        <x:f>'STOCK_SISTEMA'!G321</x:f>
        <x:v>Unidades</x:v>
      </x:c>
      <x:c r="G321" s="28" t="n">
        <x:f>'STOCK_SISTEMA'!F321</x:f>
        <x:v>100</x:v>
      </x:c>
      <x:c r="H321" s="28" t="n">
        <x:f>SUMIFS('CONTEOS'!$N$2:$N$4000,'CONTEOS'!$F$2:$F$4000,A321,'CONTEOS'!$H$2:$H$4000,C321)</x:f>
        <x:v>0</x:v>
      </x:c>
      <x:c r="I321" s="28" t="n">
        <x:f>H321-G321</x:f>
        <x:v>-100</x:v>
      </x:c>
      <x:c r="J321" t="str">
        <x:f>IF(COUNTIFS('CONTEOS'!$F$2:$F$4000,A321,'CONTEOS'!$H$2:$H$4000,C321)=0,"PENDIENTE",IF(I321=0,"CUADRA",IF(I321&gt;0,"SOBRANTE","FALTANTE")))</x:f>
        <x:v>PENDIENTE</x:v>
      </x:c>
    </x:row>
    <x:row r="322">
      <x:c r="A322" t="str">
        <x:f>'STOCK_SISTEMA'!A322</x:f>
        <x:v>MP10010</x:v>
      </x:c>
      <x:c r="B322" s="29" t="str">
        <x:f>'STOCK_SISTEMA'!B322</x:f>
        <x:v>[MP10010] PAPA UNICA X KG</x:v>
      </x:c>
      <x:c r="C322" t="str">
        <x:f>IF('STOCK_SISTEMA'!C322="","",'STOCK_SISTEMA'!C322)</x:f>
        <x:v>INFORME 210/26</x:v>
      </x:c>
      <x:c r="D322" s="27" t="n">
        <x:f>IF('STOCK_SISTEMA'!D322="","",'STOCK_SISTEMA'!D322)</x:f>
        <x:v>46262.55587962963</x:v>
      </x:c>
      <x:c r="E322" t="str">
        <x:f>'STOCK_SISTEMA'!E322</x:f>
        <x:v>SF-03/Materiales</x:v>
      </x:c>
      <x:c r="F322" t="str">
        <x:f>'STOCK_SISTEMA'!G322</x:f>
        <x:v>Kilogramo</x:v>
      </x:c>
      <x:c r="G322" s="28" t="n">
        <x:f>'STOCK_SISTEMA'!F322</x:f>
        <x:v>1866</x:v>
      </x:c>
      <x:c r="H322" s="28" t="n">
        <x:f>SUMIFS('CONTEOS'!$N$2:$N$4000,'CONTEOS'!$F$2:$F$4000,A322,'CONTEOS'!$H$2:$H$4000,C322)</x:f>
        <x:v>0</x:v>
      </x:c>
      <x:c r="I322" s="28" t="n">
        <x:f>H322-G322</x:f>
        <x:v>-1866</x:v>
      </x:c>
      <x:c r="J322" t="str">
        <x:f>IF(COUNTIFS('CONTEOS'!$F$2:$F$4000,A322,'CONTEOS'!$H$2:$H$4000,C322)=0,"PENDIENTE",IF(I322=0,"CUADRA",IF(I322&gt;0,"SOBRANTE","FALTANTE")))</x:f>
        <x:v>PENDIENTE</x:v>
      </x:c>
    </x:row>
    <x:row r="323">
      <x:c r="A323" t="str">
        <x:f>'STOCK_SISTEMA'!A323</x:f>
        <x:v>MP10010</x:v>
      </x:c>
      <x:c r="B323" s="29" t="str">
        <x:f>'STOCK_SISTEMA'!B323</x:f>
        <x:v>[MP10010] PAPA UNICA X KG</x:v>
      </x:c>
      <x:c r="C323" t="str">
        <x:f>IF('STOCK_SISTEMA'!C323="","",'STOCK_SISTEMA'!C323)</x:f>
        <x:v>INFORME 212/26</x:v>
      </x:c>
      <x:c r="D323" s="27" t="n">
        <x:f>IF('STOCK_SISTEMA'!D323="","",'STOCK_SISTEMA'!D323)</x:f>
        <x:v>46263.70908564814</x:v>
      </x:c>
      <x:c r="E323" t="str">
        <x:f>'STOCK_SISTEMA'!E323</x:f>
        <x:v>SF-03/Materiales</x:v>
      </x:c>
      <x:c r="F323" t="str">
        <x:f>'STOCK_SISTEMA'!G323</x:f>
        <x:v>Kilogramo</x:v>
      </x:c>
      <x:c r="G323" s="28" t="n">
        <x:f>'STOCK_SISTEMA'!F323</x:f>
        <x:v>1413</x:v>
      </x:c>
      <x:c r="H323" s="28" t="n">
        <x:f>SUMIFS('CONTEOS'!$N$2:$N$4000,'CONTEOS'!$F$2:$F$4000,A323,'CONTEOS'!$H$2:$H$4000,C323)</x:f>
        <x:v>0</x:v>
      </x:c>
      <x:c r="I323" s="28" t="n">
        <x:f>H323-G323</x:f>
        <x:v>-1413</x:v>
      </x:c>
      <x:c r="J323" t="str">
        <x:f>IF(COUNTIFS('CONTEOS'!$F$2:$F$4000,A323,'CONTEOS'!$H$2:$H$4000,C323)=0,"PENDIENTE",IF(I323=0,"CUADRA",IF(I323&gt;0,"SOBRANTE","FALTANTE")))</x:f>
        <x:v>PENDIENTE</x:v>
      </x:c>
    </x:row>
    <x:row r="324">
      <x:c r="A324" t="str">
        <x:f>'STOCK_SISTEMA'!A324</x:f>
        <x:v>MP10009</x:v>
      </x:c>
      <x:c r="B324" s="29" t="str">
        <x:f>'STOCK_SISTEMA'!B324</x:f>
        <x:v>[MP10009] PAPA CANCHAN X KG</x:v>
      </x:c>
      <x:c r="C324" t="str">
        <x:f>IF('STOCK_SISTEMA'!C324="","",'STOCK_SISTEMA'!C324)</x:f>
        <x:v>INFORME 213/26</x:v>
      </x:c>
      <x:c r="D324" s="27" t="n">
        <x:f>IF('STOCK_SISTEMA'!D324="","",'STOCK_SISTEMA'!D324)</x:f>
        <x:v>46263.71157407408</x:v>
      </x:c>
      <x:c r="E324" t="str">
        <x:f>'STOCK_SISTEMA'!E324</x:f>
        <x:v>SF-03/Materiales</x:v>
      </x:c>
      <x:c r="F324" t="str">
        <x:f>'STOCK_SISTEMA'!G324</x:f>
        <x:v>Kilogramo</x:v>
      </x:c>
      <x:c r="G324" s="28" t="n">
        <x:f>'STOCK_SISTEMA'!F324</x:f>
        <x:v>1508</x:v>
      </x:c>
      <x:c r="H324" s="28" t="n">
        <x:f>SUMIFS('CONTEOS'!$N$2:$N$4000,'CONTEOS'!$F$2:$F$4000,A324,'CONTEOS'!$H$2:$H$4000,C324)</x:f>
        <x:v>0</x:v>
      </x:c>
      <x:c r="I324" s="28" t="n">
        <x:f>H324-G324</x:f>
        <x:v>-1508</x:v>
      </x:c>
      <x:c r="J324" t="str">
        <x:f>IF(COUNTIFS('CONTEOS'!$F$2:$F$4000,A324,'CONTEOS'!$H$2:$H$4000,C324)=0,"PENDIENTE",IF(I324=0,"CUADRA",IF(I324&gt;0,"SOBRANTE","FALTANTE")))</x:f>
        <x:v>PENDIENTE</x:v>
      </x:c>
    </x:row>
    <x:row r="325">
      <x:c r="A325" t="str">
        <x:f>'STOCK_SISTEMA'!A325</x:f>
        <x:v>MP10017</x:v>
      </x:c>
      <x:c r="B325" s="29" t="str">
        <x:f>'STOCK_SISTEMA'!B325</x:f>
        <x:v>[MP10017] SAL DE MARAS X KG</x:v>
      </x:c>
      <x:c r="C325" t="str">
        <x:f>IF('STOCK_SISTEMA'!C325="","",'STOCK_SISTEMA'!C325)</x:f>
        <x:v>INFORME 05/26</x:v>
      </x:c>
      <x:c r="D325" s="27" t="n">
        <x:f>IF('STOCK_SISTEMA'!D325="","",'STOCK_SISTEMA'!D325)</x:f>
        <x:v>46844.70074074074</x:v>
      </x:c>
      <x:c r="E325" t="str">
        <x:f>'STOCK_SISTEMA'!E325</x:f>
        <x:v>SF-03/Materiales</x:v>
      </x:c>
      <x:c r="F325" t="str">
        <x:f>'STOCK_SISTEMA'!G325</x:f>
        <x:v>Kilogramo</x:v>
      </x:c>
      <x:c r="G325" s="28" t="n">
        <x:f>'STOCK_SISTEMA'!F325</x:f>
        <x:v>22.4883</x:v>
      </x:c>
      <x:c r="H325" s="28" t="n">
        <x:f>SUMIFS('CONTEOS'!$N$2:$N$4000,'CONTEOS'!$F$2:$F$4000,A325,'CONTEOS'!$H$2:$H$4000,C325)</x:f>
        <x:v>0</x:v>
      </x:c>
      <x:c r="I325" s="28" t="n">
        <x:f>H325-G325</x:f>
        <x:v>-22.4883</x:v>
      </x:c>
      <x:c r="J325" t="str">
        <x:f>IF(COUNTIFS('CONTEOS'!$F$2:$F$4000,A325,'CONTEOS'!$H$2:$H$4000,C325)=0,"PENDIENTE",IF(I325=0,"CUADRA",IF(I325&gt;0,"SOBRANTE","FALTANTE")))</x:f>
        <x:v>PENDIENTE</x:v>
      </x:c>
    </x:row>
    <x:row r="326">
      <x:c r="A326" t="str">
        <x:f>'STOCK_SISTEMA'!A326</x:f>
        <x:v>EE10001</x:v>
      </x:c>
      <x:c r="B326" s="29" t="str">
        <x:f>'STOCK_SISTEMA'!B326</x:f>
        <x:v>[EE10001] CAJA MASTER TIYAPUY C/LOGO #1 X UND</x:v>
      </x:c>
      <x:c r="C326" t="str">
        <x:f>IF('STOCK_SISTEMA'!C326="","",'STOCK_SISTEMA'!C326)</x:f>
        <x:v>CT-13/26</x:v>
      </x:c>
      <x:c r="D326" s="27" t="n">
        <x:f>IF('STOCK_SISTEMA'!D326="","",'STOCK_SISTEMA'!D326)</x:f>
        <x:v>46581.9718287037</x:v>
      </x:c>
      <x:c r="E326" t="str">
        <x:f>'STOCK_SISTEMA'!E326</x:f>
        <x:v>SF-03/Materiales</x:v>
      </x:c>
      <x:c r="F326" t="str">
        <x:f>'STOCK_SISTEMA'!G326</x:f>
        <x:v>Unidades</x:v>
      </x:c>
      <x:c r="G326" s="28" t="n">
        <x:f>'STOCK_SISTEMA'!F326</x:f>
        <x:v>380</x:v>
      </x:c>
      <x:c r="H326" s="28" t="n">
        <x:f>SUMIFS('CONTEOS'!$N$2:$N$4000,'CONTEOS'!$F$2:$F$4000,A326,'CONTEOS'!$H$2:$H$4000,C326)</x:f>
        <x:v>0</x:v>
      </x:c>
      <x:c r="I326" s="28" t="n">
        <x:f>H326-G326</x:f>
        <x:v>-380</x:v>
      </x:c>
      <x:c r="J326" t="str">
        <x:f>IF(COUNTIFS('CONTEOS'!$F$2:$F$4000,A326,'CONTEOS'!$H$2:$H$4000,C326)=0,"PENDIENTE",IF(I326=0,"CUADRA",IF(I326&gt;0,"SOBRANTE","FALTANTE")))</x:f>
        <x:v>PENDIENTE</x:v>
      </x:c>
    </x:row>
    <x:row r="327">
      <x:c r="A327" t="str">
        <x:f>'STOCK_SISTEMA'!A327</x:f>
        <x:v>EE10001</x:v>
      </x:c>
      <x:c r="B327" s="29" t="str">
        <x:f>'STOCK_SISTEMA'!B327</x:f>
        <x:v>[EE10001] CAJA MASTER TIYAPUY C/LOGO #1 X UND</x:v>
      </x:c>
      <x:c r="C327" t="str">
        <x:f>IF('STOCK_SISTEMA'!C327="","",'STOCK_SISTEMA'!C327)</x:f>
        <x:v>CT-14/26</x:v>
      </x:c>
      <x:c r="D327" s="27" t="n">
        <x:f>IF('STOCK_SISTEMA'!D327="","",'STOCK_SISTEMA'!D327)</x:f>
        <x:v>46584.64515046297</x:v>
      </x:c>
      <x:c r="E327" t="str">
        <x:f>'STOCK_SISTEMA'!E327</x:f>
        <x:v>SF-03/Materiales</x:v>
      </x:c>
      <x:c r="F327" t="str">
        <x:f>'STOCK_SISTEMA'!G327</x:f>
        <x:v>Unidades</x:v>
      </x:c>
      <x:c r="G327" s="28" t="n">
        <x:f>'STOCK_SISTEMA'!F327</x:f>
        <x:v>549</x:v>
      </x:c>
      <x:c r="H327" s="28" t="n">
        <x:f>SUMIFS('CONTEOS'!$N$2:$N$4000,'CONTEOS'!$F$2:$F$4000,A327,'CONTEOS'!$H$2:$H$4000,C327)</x:f>
        <x:v>0</x:v>
      </x:c>
      <x:c r="I327" s="28" t="n">
        <x:f>H327-G327</x:f>
        <x:v>-549</x:v>
      </x:c>
      <x:c r="J327" t="str">
        <x:f>IF(COUNTIFS('CONTEOS'!$F$2:$F$4000,A327,'CONTEOS'!$H$2:$H$4000,C327)=0,"PENDIENTE",IF(I327=0,"CUADRA",IF(I327&gt;0,"SOBRANTE","FALTANTE")))</x:f>
        <x:v>PENDIENTE</x:v>
      </x:c>
    </x:row>
    <x:row r="328">
      <x:c r="A328" t="str">
        <x:f>'STOCK_SISTEMA'!A328</x:f>
        <x:v>MP10010</x:v>
      </x:c>
      <x:c r="B328" s="29" t="str">
        <x:f>'STOCK_SISTEMA'!B328</x:f>
        <x:v>[MP10010] PAPA UNICA X KG</x:v>
      </x:c>
      <x:c r="C328" t="str">
        <x:f>IF('STOCK_SISTEMA'!C328="","",'STOCK_SISTEMA'!C328)</x:f>
        <x:v>INFORME 214/26</x:v>
      </x:c>
      <x:c r="D328" s="27" t="n">
        <x:f>IF('STOCK_SISTEMA'!D328="","",'STOCK_SISTEMA'!D328)</x:f>
        <x:v>46265.49550925926</x:v>
      </x:c>
      <x:c r="E328" t="str">
        <x:f>'STOCK_SISTEMA'!E328</x:f>
        <x:v>SF-03/Materiales</x:v>
      </x:c>
      <x:c r="F328" t="str">
        <x:f>'STOCK_SISTEMA'!G328</x:f>
        <x:v>Kilogramo</x:v>
      </x:c>
      <x:c r="G328" s="28" t="n">
        <x:f>'STOCK_SISTEMA'!F328</x:f>
        <x:v>3133</x:v>
      </x:c>
      <x:c r="H328" s="28" t="n">
        <x:f>SUMIFS('CONTEOS'!$N$2:$N$4000,'CONTEOS'!$F$2:$F$4000,A328,'CONTEOS'!$H$2:$H$4000,C328)</x:f>
        <x:v>0</x:v>
      </x:c>
      <x:c r="I328" s="28" t="n">
        <x:f>H328-G328</x:f>
        <x:v>-3133</x:v>
      </x:c>
      <x:c r="J328" t="str">
        <x:f>IF(COUNTIFS('CONTEOS'!$F$2:$F$4000,A328,'CONTEOS'!$H$2:$H$4000,C328)=0,"PENDIENTE",IF(I328=0,"CUADRA",IF(I328&gt;0,"SOBRANTE","FALTANTE")))</x:f>
        <x:v>PENDIENTE</x:v>
      </x:c>
    </x:row>
    <x:row r="329">
      <x:c r="A329" t="str">
        <x:f>'STOCK_SISTEMA'!A329</x:f>
        <x:v>EE10293</x:v>
      </x:c>
      <x:c r="B329" s="29" t="str">
        <x:f>'STOCK_SISTEMA'!B329</x:f>
        <x:v>[EE10293] LAMINA TIYAPUY PAPAS NATIVAS CONGELADAS PEBD 400g</x:v>
      </x:c>
      <x:c r="C329" t="str">
        <x:f>IF('STOCK_SISTEMA'!C329="","",'STOCK_SISTEMA'!C329)</x:f>
        <x:v>LA-01/26</x:v>
      </x:c>
      <x:c r="D329" s="27" t="n">
        <x:f>IF('STOCK_SISTEMA'!D329="","",'STOCK_SISTEMA'!D329)</x:f>
        <x:v>46619.61331018519</x:v>
      </x:c>
      <x:c r="E329" t="str">
        <x:f>'STOCK_SISTEMA'!E329</x:f>
        <x:v>SF-03/Materiales</x:v>
      </x:c>
      <x:c r="F329" t="str">
        <x:f>'STOCK_SISTEMA'!G329</x:f>
        <x:v>Kilogramo</x:v>
      </x:c>
      <x:c r="G329" s="28" t="n">
        <x:f>'STOCK_SISTEMA'!F329</x:f>
        <x:v>369.515</x:v>
      </x:c>
      <x:c r="H329" s="28" t="n">
        <x:f>SUMIFS('CONTEOS'!$N$2:$N$4000,'CONTEOS'!$F$2:$F$4000,A329,'CONTEOS'!$H$2:$H$4000,C329)</x:f>
        <x:v>0</x:v>
      </x:c>
      <x:c r="I329" s="28" t="n">
        <x:f>H329-G329</x:f>
        <x:v>-369.515</x:v>
      </x:c>
      <x:c r="J329" t="str">
        <x:f>IF(COUNTIFS('CONTEOS'!$F$2:$F$4000,A329,'CONTEOS'!$H$2:$H$4000,C329)=0,"PENDIENTE",IF(I329=0,"CUADRA",IF(I329&gt;0,"SOBRANTE","FALTANTE")))</x:f>
        <x:v>PENDIENTE</x:v>
      </x:c>
    </x:row>
    <x:row r="330">
      <x:c r="A330" t="str">
        <x:f>'STOCK_SISTEMA'!A330</x:f>
        <x:v>MP10015</x:v>
      </x:c>
      <x:c r="B330" s="29" t="str">
        <x:f>'STOCK_SISTEMA'!B330</x:f>
        <x:v>[MP10015] ACEITE OLEINA DE PALMA X LT (BIN)</x:v>
      </x:c>
      <x:c r="C330" t="str">
        <x:f>IF('STOCK_SISTEMA'!C330="","",'STOCK_SISTEMA'!C330)</x:f>
        <x:v>INFORME 46/26</x:v>
      </x:c>
      <x:c r="D330" s="27" t="n">
        <x:f>IF('STOCK_SISTEMA'!D330="","",'STOCK_SISTEMA'!D330)</x:f>
        <x:v>46600.5008912037</x:v>
      </x:c>
      <x:c r="E330" t="str">
        <x:f>'STOCK_SISTEMA'!E330</x:f>
        <x:v>SF-03/Materiales</x:v>
      </x:c>
      <x:c r="F330" t="str">
        <x:f>'STOCK_SISTEMA'!G330</x:f>
        <x:v>L</x:v>
      </x:c>
      <x:c r="G330" s="28" t="n">
        <x:f>'STOCK_SISTEMA'!F330</x:f>
        <x:v>10000</x:v>
      </x:c>
      <x:c r="H330" s="28" t="n">
        <x:f>SUMIFS('CONTEOS'!$N$2:$N$4000,'CONTEOS'!$F$2:$F$4000,A330,'CONTEOS'!$H$2:$H$4000,C330)</x:f>
        <x:v>0</x:v>
      </x:c>
      <x:c r="I330" s="28" t="n">
        <x:f>H330-G330</x:f>
        <x:v>-10000</x:v>
      </x:c>
      <x:c r="J330" t="str">
        <x:f>IF(COUNTIFS('CONTEOS'!$F$2:$F$4000,A330,'CONTEOS'!$H$2:$H$4000,C330)=0,"PENDIENTE",IF(I330=0,"CUADRA",IF(I330&gt;0,"SOBRANTE","FALTANTE")))</x:f>
        <x:v>PENDIENTE</x:v>
      </x:c>
    </x:row>
    <x:row r="331">
      <x:c r="A331" t="str">
        <x:f>'STOCK_SISTEMA'!A331</x:f>
        <x:v>MP10054</x:v>
      </x:c>
      <x:c r="B331" s="29" t="str">
        <x:f>'STOCK_SISTEMA'!B331</x:f>
        <x:v>[MP10054] SABOR BITZ PICANTE SP-P40698-28 CRAMER X KG</x:v>
      </x:c>
      <x:c r="C331" t="str">
        <x:f>IF('STOCK_SISTEMA'!C331="","",'STOCK_SISTEMA'!C331)</x:f>
        <x:v>SA-07/26</x:v>
      </x:c>
      <x:c r="D331" s="27" t="n">
        <x:f>IF('STOCK_SISTEMA'!D331="","",'STOCK_SISTEMA'!D331)</x:f>
        <x:v>46557.57480324074</x:v>
      </x:c>
      <x:c r="E331" t="str">
        <x:f>'STOCK_SISTEMA'!E331</x:f>
        <x:v>SF-03/Materiales</x:v>
      </x:c>
      <x:c r="F331" t="str">
        <x:f>'STOCK_SISTEMA'!G331</x:f>
        <x:v>Kilogramo</x:v>
      </x:c>
      <x:c r="G331" s="28" t="n">
        <x:f>'STOCK_SISTEMA'!F331</x:f>
        <x:v>200</x:v>
      </x:c>
      <x:c r="H331" s="28" t="n">
        <x:f>SUMIFS('CONTEOS'!$N$2:$N$4000,'CONTEOS'!$F$2:$F$4000,A331,'CONTEOS'!$H$2:$H$4000,C331)</x:f>
        <x:v>0</x:v>
      </x:c>
      <x:c r="I331" s="28" t="n">
        <x:f>H331-G331</x:f>
        <x:v>-200</x:v>
      </x:c>
      <x:c r="J331" t="str">
        <x:f>IF(COUNTIFS('CONTEOS'!$F$2:$F$4000,A331,'CONTEOS'!$H$2:$H$4000,C331)=0,"PENDIENTE",IF(I331=0,"CUADRA",IF(I331&gt;0,"SOBRANTE","FALTANTE")))</x:f>
        <x:v>PENDIENTE</x:v>
      </x:c>
    </x:row>
    <x:row r="332">
      <x:c r="A332" t="str">
        <x:f>'STOCK_SISTEMA'!A332</x:f>
        <x:v>MP10010</x:v>
      </x:c>
      <x:c r="B332" s="29" t="str">
        <x:f>'STOCK_SISTEMA'!B332</x:f>
        <x:v>[MP10010] PAPA UNICA X KG</x:v>
      </x:c>
      <x:c r="C332" t="str">
        <x:f>IF('STOCK_SISTEMA'!C332="","",'STOCK_SISTEMA'!C332)</x:f>
        <x:v>INFORME 216/26</x:v>
      </x:c>
      <x:c r="D332" s="27" t="n">
        <x:f>IF('STOCK_SISTEMA'!D332="","",'STOCK_SISTEMA'!D332)</x:f>
        <x:v>46267.44988425926</x:v>
      </x:c>
      <x:c r="E332" t="str">
        <x:f>'STOCK_SISTEMA'!E332</x:f>
        <x:v>SF-03/Materiales</x:v>
      </x:c>
      <x:c r="F332" t="str">
        <x:f>'STOCK_SISTEMA'!G332</x:f>
        <x:v>Kilogramo</x:v>
      </x:c>
      <x:c r="G332" s="28" t="n">
        <x:f>'STOCK_SISTEMA'!F332</x:f>
        <x:v>3308</x:v>
      </x:c>
      <x:c r="H332" s="28" t="n">
        <x:f>SUMIFS('CONTEOS'!$N$2:$N$4000,'CONTEOS'!$F$2:$F$4000,A332,'CONTEOS'!$H$2:$H$4000,C332)</x:f>
        <x:v>0</x:v>
      </x:c>
      <x:c r="I332" s="28" t="n">
        <x:f>H332-G332</x:f>
        <x:v>-3308</x:v>
      </x:c>
      <x:c r="J332" t="str">
        <x:f>IF(COUNTIFS('CONTEOS'!$F$2:$F$4000,A332,'CONTEOS'!$H$2:$H$4000,C332)=0,"PENDIENTE",IF(I332=0,"CUADRA",IF(I332&gt;0,"SOBRANTE","FALTANTE")))</x:f>
        <x:v>PENDIENTE</x:v>
      </x:c>
    </x:row>
    <x:row r="333">
      <x:c r="A333" t="str">
        <x:f>'STOCK_SISTEMA'!A333</x:f>
        <x:v>MP10010</x:v>
      </x:c>
      <x:c r="B333" s="29" t="str">
        <x:f>'STOCK_SISTEMA'!B333</x:f>
        <x:v>[MP10010] PAPA UNICA X KG</x:v>
      </x:c>
      <x:c r="C333" t="str">
        <x:f>IF('STOCK_SISTEMA'!C333="","",'STOCK_SISTEMA'!C333)</x:f>
        <x:v>INFORME 218/26</x:v>
      </x:c>
      <x:c r="D333" s="27" t="n">
        <x:f>IF('STOCK_SISTEMA'!D333="","",'STOCK_SISTEMA'!D333)</x:f>
        <x:v>46265.56340277778</x:v>
      </x:c>
      <x:c r="E333" t="str">
        <x:f>'STOCK_SISTEMA'!E333</x:f>
        <x:v>SF-03/Materiales</x:v>
      </x:c>
      <x:c r="F333" t="str">
        <x:f>'STOCK_SISTEMA'!G333</x:f>
        <x:v>Kilogramo</x:v>
      </x:c>
      <x:c r="G333" s="28" t="n">
        <x:f>'STOCK_SISTEMA'!F333</x:f>
        <x:v>602</x:v>
      </x:c>
      <x:c r="H333" s="28" t="n">
        <x:f>SUMIFS('CONTEOS'!$N$2:$N$4000,'CONTEOS'!$F$2:$F$4000,A333,'CONTEOS'!$H$2:$H$4000,C333)</x:f>
        <x:v>0</x:v>
      </x:c>
      <x:c r="I333" s="28" t="n">
        <x:f>H333-G333</x:f>
        <x:v>-602</x:v>
      </x:c>
      <x:c r="J333" t="str">
        <x:f>IF(COUNTIFS('CONTEOS'!$F$2:$F$4000,A333,'CONTEOS'!$H$2:$H$4000,C333)=0,"PENDIENTE",IF(I333=0,"CUADRA",IF(I333&gt;0,"SOBRANTE","FALTANTE")))</x:f>
        <x:v>PENDIENTE</x:v>
      </x:c>
    </x:row>
    <x:row r="334">
      <x:c r="A334" t="str">
        <x:f>'STOCK_SISTEMA'!A334</x:f>
        <x:v>MP10009</x:v>
      </x:c>
      <x:c r="B334" s="29" t="str">
        <x:f>'STOCK_SISTEMA'!B334</x:f>
        <x:v>[MP10009] PAPA CANCHAN X KG</x:v>
      </x:c>
      <x:c r="C334" t="str">
        <x:f>IF('STOCK_SISTEMA'!C334="","",'STOCK_SISTEMA'!C334)</x:f>
        <x:v>INFORME 221/26</x:v>
      </x:c>
      <x:c r="D334" s="27" t="n">
        <x:f>IF('STOCK_SISTEMA'!D334="","",'STOCK_SISTEMA'!D334)</x:f>
        <x:v>46265.56846064814</x:v>
      </x:c>
      <x:c r="E334" t="str">
        <x:f>'STOCK_SISTEMA'!E334</x:f>
        <x:v>SF-03/Materiales</x:v>
      </x:c>
      <x:c r="F334" t="str">
        <x:f>'STOCK_SISTEMA'!G334</x:f>
        <x:v>Kilogramo</x:v>
      </x:c>
      <x:c r="G334" s="28" t="n">
        <x:f>'STOCK_SISTEMA'!F334</x:f>
        <x:v>2227</x:v>
      </x:c>
      <x:c r="H334" s="28" t="n">
        <x:f>SUMIFS('CONTEOS'!$N$2:$N$4000,'CONTEOS'!$F$2:$F$4000,A334,'CONTEOS'!$H$2:$H$4000,C334)</x:f>
        <x:v>0</x:v>
      </x:c>
      <x:c r="I334" s="28" t="n">
        <x:f>H334-G334</x:f>
        <x:v>-2227</x:v>
      </x:c>
      <x:c r="J334" t="str">
        <x:f>IF(COUNTIFS('CONTEOS'!$F$2:$F$4000,A334,'CONTEOS'!$H$2:$H$4000,C334)=0,"PENDIENTE",IF(I334=0,"CUADRA",IF(I334&gt;0,"SOBRANTE","FALTANTE")))</x:f>
        <x:v>PENDIENTE</x:v>
      </x:c>
    </x:row>
    <x:row r="335">
      <x:c r="A335" t="str">
        <x:f>'STOCK_SISTEMA'!A335</x:f>
        <x:v>MP10005</x:v>
      </x:c>
      <x:c r="B335" s="29" t="str">
        <x:f>'STOCK_SISTEMA'!B335</x:f>
        <x:v>[MP10005] CAMOTE X KG</x:v>
      </x:c>
      <x:c r="C335" t="str">
        <x:f>IF('STOCK_SISTEMA'!C335="","",'STOCK_SISTEMA'!C335)</x:f>
        <x:v>INFORME 222/26</x:v>
      </x:c>
      <x:c r="D335" s="27" t="n">
        <x:f>IF('STOCK_SISTEMA'!D335="","",'STOCK_SISTEMA'!D335)</x:f>
        <x:v>46270.19587962963</x:v>
      </x:c>
      <x:c r="E335" t="str">
        <x:f>'STOCK_SISTEMA'!E335</x:f>
        <x:v>SF-03/Materiales</x:v>
      </x:c>
      <x:c r="F335" t="str">
        <x:f>'STOCK_SISTEMA'!G335</x:f>
        <x:v>Kilogramo</x:v>
      </x:c>
      <x:c r="G335" s="28" t="n">
        <x:f>'STOCK_SISTEMA'!F335</x:f>
        <x:v>1362.496</x:v>
      </x:c>
      <x:c r="H335" s="28" t="n">
        <x:f>SUMIFS('CONTEOS'!$N$2:$N$4000,'CONTEOS'!$F$2:$F$4000,A335,'CONTEOS'!$H$2:$H$4000,C335)</x:f>
        <x:v>0</x:v>
      </x:c>
      <x:c r="I335" s="28" t="n">
        <x:f>H335-G335</x:f>
        <x:v>-1362.496</x:v>
      </x:c>
      <x:c r="J335" t="str">
        <x:f>IF(COUNTIFS('CONTEOS'!$F$2:$F$4000,A335,'CONTEOS'!$H$2:$H$4000,C335)=0,"PENDIENTE",IF(I335=0,"CUADRA",IF(I335&gt;0,"SOBRANTE","FALTANTE")))</x:f>
        <x:v>PENDIENTE</x:v>
      </x:c>
    </x:row>
    <x:row r="336">
      <x:c r="A336" t="str">
        <x:f>'STOCK_SISTEMA'!A336</x:f>
        <x:v>MP10009</x:v>
      </x:c>
      <x:c r="B336" s="29" t="str">
        <x:f>'STOCK_SISTEMA'!B336</x:f>
        <x:v>[MP10009] PAPA CANCHAN X KG</x:v>
      </x:c>
      <x:c r="C336" t="str">
        <x:f>IF('STOCK_SISTEMA'!C336="","",'STOCK_SISTEMA'!C336)</x:f>
        <x:v>INFORME 226/26</x:v>
      </x:c>
      <x:c r="D336" s="27" t="n">
        <x:f>IF('STOCK_SISTEMA'!D336="","",'STOCK_SISTEMA'!D336)</x:f>
        <x:v>46265.76833333333</x:v>
      </x:c>
      <x:c r="E336" t="str">
        <x:f>'STOCK_SISTEMA'!E336</x:f>
        <x:v>SF-03/Materiales</x:v>
      </x:c>
      <x:c r="F336" t="str">
        <x:f>'STOCK_SISTEMA'!G336</x:f>
        <x:v>Kilogramo</x:v>
      </x:c>
      <x:c r="G336" s="28" t="n">
        <x:f>'STOCK_SISTEMA'!F336</x:f>
        <x:v>6412</x:v>
      </x:c>
      <x:c r="H336" s="28" t="n">
        <x:f>SUMIFS('CONTEOS'!$N$2:$N$4000,'CONTEOS'!$F$2:$F$4000,A336,'CONTEOS'!$H$2:$H$4000,C336)</x:f>
        <x:v>0</x:v>
      </x:c>
      <x:c r="I336" s="28" t="n">
        <x:f>H336-G336</x:f>
        <x:v>-6412</x:v>
      </x:c>
      <x:c r="J336" t="str">
        <x:f>IF(COUNTIFS('CONTEOS'!$F$2:$F$4000,A336,'CONTEOS'!$H$2:$H$4000,C336)=0,"PENDIENTE",IF(I336=0,"CUADRA",IF(I336&gt;0,"SOBRANTE","FALTANTE")))</x:f>
        <x:v>PENDIENTE</x:v>
      </x:c>
    </x:row>
    <x:row r="337">
      <x:c r="A337" t="str">
        <x:f>'STOCK_SISTEMA'!A337</x:f>
        <x:v>MP10015</x:v>
      </x:c>
      <x:c r="B337" s="29" t="str">
        <x:f>'STOCK_SISTEMA'!B337</x:f>
        <x:v>[MP10015] ACEITE OLEINA DE PALMA X LT (BIN)</x:v>
      </x:c>
      <x:c r="C337" t="str">
        <x:f>IF('STOCK_SISTEMA'!C337="","",'STOCK_SISTEMA'!C337)</x:f>
        <x:v>OP-47/26</x:v>
      </x:c>
      <x:c r="D337" s="27" t="n">
        <x:f>IF('STOCK_SISTEMA'!D337="","",'STOCK_SISTEMA'!D337)</x:f>
        <x:v>46627.78351851852</x:v>
      </x:c>
      <x:c r="E337" t="str">
        <x:f>'STOCK_SISTEMA'!E337</x:f>
        <x:v>SF-03/Materiales</x:v>
      </x:c>
      <x:c r="F337" t="str">
        <x:f>'STOCK_SISTEMA'!G337</x:f>
        <x:v>L</x:v>
      </x:c>
      <x:c r="G337" s="28" t="n">
        <x:f>'STOCK_SISTEMA'!F337</x:f>
        <x:v>5000</x:v>
      </x:c>
      <x:c r="H337" s="28" t="n">
        <x:f>SUMIFS('CONTEOS'!$N$2:$N$4000,'CONTEOS'!$F$2:$F$4000,A337,'CONTEOS'!$H$2:$H$4000,C337)</x:f>
        <x:v>0</x:v>
      </x:c>
      <x:c r="I337" s="28" t="n">
        <x:f>H337-G337</x:f>
        <x:v>-5000</x:v>
      </x:c>
      <x:c r="J337" t="str">
        <x:f>IF(COUNTIFS('CONTEOS'!$F$2:$F$4000,A337,'CONTEOS'!$H$2:$H$4000,C337)=0,"PENDIENTE",IF(I337=0,"CUADRA",IF(I337&gt;0,"SOBRANTE","FALTANTE")))</x:f>
        <x:v>PENDIENTE</x:v>
      </x:c>
    </x:row>
  </x:sheetData>
  <x:conditionalFormatting sqref="J2:J337">
    <x:cfRule type="containsText" dxfId="0" priority="1" operator="containsText" text="CUADRA"/>
    <x:cfRule type="containsText" dxfId="1" priority="2" operator="containsText" text="SOBRANTE"/>
    <x:cfRule type="containsText" dxfId="2" priority="3" operator="containsText" text="FALTANTE"/>
    <x:cfRule type="containsText" dxfId="3" priority="4" operator="containsText" text="PENDIENTE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21.110000610351562" hidden="0" customWidth="1"/>
    <x:col min="3" max="3" width="13.890000343322754" hidden="0" customWidth="1"/>
    <x:col min="4" max="4" width="33.33000183105469" hidden="0" customWidth="1"/>
    <x:col min="5" max="5" width="13.890000343322754" hidden="0" customWidth="1"/>
    <x:col min="6" max="6" width="23.329999923706055" hidden="0" customWidth="1"/>
    <x:col min="7" max="7" width="38.88999938964844" hidden="0" customWidth="1"/>
    <x:col min="8" max="8" width="14.4399995803833" hidden="0" customWidth="1"/>
  </x:cols>
  <x:sheetData>
    <x:row r="1">
      <x:c r="A1" s="32" t="str">
        <x:v>Fecha</x:v>
      </x:c>
      <x:c r="B1" s="32" t="str">
        <x:v>Tipo incidencia</x:v>
      </x:c>
      <x:c r="C1" s="32" t="str">
        <x:v>Referencia interna</x:v>
      </x:c>
      <x:c r="D1" s="32" t="str">
        <x:v>Producto</x:v>
      </x:c>
      <x:c r="E1" s="32" t="str">
        <x:v>Lote</x:v>
      </x:c>
      <x:c r="F1" s="32" t="str">
        <x:v>Ubicación</x:v>
      </x:c>
      <x:c r="G1" s="32" t="str">
        <x:v>Detalle</x:v>
      </x:c>
      <x:c r="H1" s="32" t="str">
        <x:v>Estado revisión</x:v>
      </x:c>
    </x:row>
    <x:row r="2">
      <x:c r="A2" s="26"/>
    </x:row>
    <x:row r="3">
      <x:c r="A3" s="26"/>
    </x:row>
    <x:row r="4">
      <x:c r="A4" s="26"/>
    </x:row>
    <x:row r="5">
      <x:c r="A5" s="26"/>
    </x:row>
    <x:row r="6">
      <x:c r="A6" s="26"/>
    </x:row>
    <x:row r="7">
      <x:c r="A7" s="26"/>
    </x:row>
    <x:row r="8">
      <x:c r="A8" s="26"/>
    </x:row>
    <x:row r="9">
      <x:c r="A9" s="26"/>
    </x:row>
    <x:row r="10">
      <x:c r="A10" s="26"/>
    </x:row>
    <x:row r="11">
      <x:c r="A11" s="26"/>
    </x:row>
    <x:row r="12">
      <x:c r="A12" s="26"/>
    </x:row>
    <x:row r="13">
      <x:c r="A13" s="26"/>
    </x:row>
    <x:row r="14">
      <x:c r="A14" s="26"/>
    </x:row>
    <x:row r="15">
      <x:c r="A15" s="26"/>
    </x:row>
    <x:row r="16">
      <x:c r="A16" s="26"/>
    </x:row>
    <x:row r="17">
      <x:c r="A17" s="26"/>
    </x:row>
    <x:row r="18">
      <x:c r="A18" s="26"/>
    </x:row>
    <x:row r="19">
      <x:c r="A19" s="26"/>
    </x:row>
    <x:row r="20">
      <x:c r="A20" s="26"/>
    </x:row>
    <x:row r="21">
      <x:c r="A21" s="26"/>
    </x:row>
    <x:row r="22">
      <x:c r="A22" s="26"/>
    </x:row>
    <x:row r="23">
      <x:c r="A23" s="26"/>
    </x:row>
    <x:row r="24">
      <x:c r="A24" s="26"/>
    </x:row>
    <x:row r="25">
      <x:c r="A25" s="26"/>
    </x:row>
    <x:row r="26">
      <x:c r="A26" s="26"/>
    </x:row>
    <x:row r="27">
      <x:c r="A27" s="26"/>
    </x:row>
    <x:row r="28">
      <x:c r="A28" s="26"/>
    </x:row>
    <x:row r="29">
      <x:c r="A29" s="26"/>
    </x:row>
    <x:row r="30">
      <x:c r="A30" s="26"/>
    </x:row>
    <x:row r="31">
      <x:c r="A31" s="26"/>
    </x:row>
    <x:row r="32">
      <x:c r="A32" s="26"/>
    </x:row>
    <x:row r="33">
      <x:c r="A33" s="26"/>
    </x:row>
    <x:row r="34">
      <x:c r="A34" s="26"/>
    </x:row>
    <x:row r="35">
      <x:c r="A35" s="26"/>
    </x:row>
    <x:row r="36">
      <x:c r="A36" s="26"/>
    </x:row>
    <x:row r="37">
      <x:c r="A37" s="26"/>
    </x:row>
    <x:row r="38">
      <x:c r="A38" s="26"/>
    </x:row>
    <x:row r="39">
      <x:c r="A39" s="26"/>
    </x:row>
    <x:row r="40">
      <x:c r="A40" s="26"/>
    </x:row>
    <x:row r="41">
      <x:c r="A41" s="26"/>
    </x:row>
    <x:row r="42">
      <x:c r="A42" s="26"/>
    </x:row>
    <x:row r="43">
      <x:c r="A43" s="26"/>
    </x:row>
    <x:row r="44">
      <x:c r="A44" s="26"/>
    </x:row>
    <x:row r="45">
      <x:c r="A45" s="26"/>
    </x:row>
    <x:row r="46">
      <x:c r="A46" s="26"/>
    </x:row>
    <x:row r="47">
      <x:c r="A47" s="26"/>
    </x:row>
    <x:row r="48">
      <x:c r="A48" s="26"/>
    </x:row>
    <x:row r="49">
      <x:c r="A49" s="26"/>
    </x:row>
    <x:row r="50">
      <x:c r="A50" s="26"/>
    </x:row>
    <x:row r="51">
      <x:c r="A51" s="26"/>
    </x:row>
    <x:row r="52">
      <x:c r="A52" s="26"/>
    </x:row>
    <x:row r="53">
      <x:c r="A53" s="26"/>
    </x:row>
    <x:row r="54">
      <x:c r="A54" s="26"/>
    </x:row>
    <x:row r="55">
      <x:c r="A55" s="26"/>
    </x:row>
    <x:row r="56">
      <x:c r="A56" s="26"/>
    </x:row>
    <x:row r="57">
      <x:c r="A57" s="26"/>
    </x:row>
    <x:row r="58">
      <x:c r="A58" s="26"/>
    </x:row>
    <x:row r="59">
      <x:c r="A59" s="26"/>
    </x:row>
    <x:row r="60">
      <x:c r="A60" s="26"/>
    </x:row>
    <x:row r="61">
      <x:c r="A61" s="26"/>
    </x:row>
    <x:row r="62">
      <x:c r="A62" s="26"/>
    </x:row>
    <x:row r="63">
      <x:c r="A63" s="26"/>
    </x:row>
    <x:row r="64">
      <x:c r="A64" s="26"/>
    </x:row>
    <x:row r="65">
      <x:c r="A65" s="26"/>
    </x:row>
    <x:row r="66">
      <x:c r="A66" s="26"/>
    </x:row>
    <x:row r="67">
      <x:c r="A67" s="26"/>
    </x:row>
    <x:row r="68">
      <x:c r="A68" s="26"/>
    </x:row>
    <x:row r="69">
      <x:c r="A69" s="26"/>
    </x:row>
    <x:row r="70">
      <x:c r="A70" s="26"/>
    </x:row>
    <x:row r="71">
      <x:c r="A71" s="26"/>
    </x:row>
    <x:row r="72">
      <x:c r="A72" s="26"/>
    </x:row>
    <x:row r="73">
      <x:c r="A73" s="26"/>
    </x:row>
    <x:row r="74">
      <x:c r="A74" s="26"/>
    </x:row>
    <x:row r="75">
      <x:c r="A75" s="26"/>
    </x:row>
    <x:row r="76">
      <x:c r="A76" s="26"/>
    </x:row>
    <x:row r="77">
      <x:c r="A77" s="26"/>
    </x:row>
    <x:row r="78">
      <x:c r="A78" s="26"/>
    </x:row>
    <x:row r="79">
      <x:c r="A79" s="26"/>
    </x:row>
    <x:row r="80">
      <x:c r="A80" s="26"/>
    </x:row>
    <x:row r="81">
      <x:c r="A81" s="26"/>
    </x:row>
    <x:row r="82">
      <x:c r="A82" s="26"/>
    </x:row>
    <x:row r="83">
      <x:c r="A83" s="26"/>
    </x:row>
    <x:row r="84">
      <x:c r="A84" s="26"/>
    </x:row>
    <x:row r="85">
      <x:c r="A85" s="26"/>
    </x:row>
    <x:row r="86">
      <x:c r="A86" s="26"/>
    </x:row>
    <x:row r="87">
      <x:c r="A87" s="26"/>
    </x:row>
    <x:row r="88">
      <x:c r="A88" s="26"/>
    </x:row>
    <x:row r="89">
      <x:c r="A89" s="26"/>
    </x:row>
    <x:row r="90">
      <x:c r="A90" s="26"/>
    </x:row>
    <x:row r="91">
      <x:c r="A91" s="26"/>
    </x:row>
    <x:row r="92">
      <x:c r="A92" s="26"/>
    </x:row>
    <x:row r="93">
      <x:c r="A93" s="26"/>
    </x:row>
    <x:row r="94">
      <x:c r="A94" s="26"/>
    </x:row>
    <x:row r="95">
      <x:c r="A95" s="26"/>
    </x:row>
    <x:row r="96">
      <x:c r="A96" s="26"/>
    </x:row>
    <x:row r="97">
      <x:c r="A97" s="26"/>
    </x:row>
    <x:row r="98">
      <x:c r="A98" s="26"/>
    </x:row>
    <x:row r="99">
      <x:c r="A99" s="26"/>
    </x:row>
    <x:row r="100">
      <x:c r="A100" s="26"/>
    </x:row>
    <x:row r="101">
      <x:c r="A101" s="26"/>
    </x:row>
    <x:row r="102">
      <x:c r="A102" s="26"/>
    </x:row>
    <x:row r="103">
      <x:c r="A103" s="26"/>
    </x:row>
    <x:row r="104">
      <x:c r="A104" s="26"/>
    </x:row>
    <x:row r="105">
      <x:c r="A105" s="26"/>
    </x:row>
    <x:row r="106">
      <x:c r="A106" s="26"/>
    </x:row>
    <x:row r="107">
      <x:c r="A107" s="26"/>
    </x:row>
    <x:row r="108">
      <x:c r="A108" s="26"/>
    </x:row>
    <x:row r="109">
      <x:c r="A109" s="26"/>
    </x:row>
    <x:row r="110">
      <x:c r="A110" s="26"/>
    </x:row>
    <x:row r="111">
      <x:c r="A111" s="26"/>
    </x:row>
    <x:row r="112">
      <x:c r="A112" s="26"/>
    </x:row>
    <x:row r="113">
      <x:c r="A113" s="26"/>
    </x:row>
    <x:row r="114">
      <x:c r="A114" s="26"/>
    </x:row>
    <x:row r="115">
      <x:c r="A115" s="26"/>
    </x:row>
    <x:row r="116">
      <x:c r="A116" s="26"/>
    </x:row>
    <x:row r="117">
      <x:c r="A117" s="26"/>
    </x:row>
    <x:row r="118">
      <x:c r="A118" s="26"/>
    </x:row>
    <x:row r="119">
      <x:c r="A119" s="26"/>
    </x:row>
    <x:row r="120">
      <x:c r="A120" s="26"/>
    </x:row>
    <x:row r="121">
      <x:c r="A121" s="26"/>
    </x:row>
    <x:row r="122">
      <x:c r="A122" s="26"/>
    </x:row>
    <x:row r="123">
      <x:c r="A123" s="26"/>
    </x:row>
    <x:row r="124">
      <x:c r="A124" s="26"/>
    </x:row>
    <x:row r="125">
      <x:c r="A125" s="26"/>
    </x:row>
    <x:row r="126">
      <x:c r="A126" s="26"/>
    </x:row>
    <x:row r="127">
      <x:c r="A127" s="26"/>
    </x:row>
    <x:row r="128">
      <x:c r="A128" s="26"/>
    </x:row>
    <x:row r="129">
      <x:c r="A129" s="26"/>
    </x:row>
    <x:row r="130">
      <x:c r="A130" s="26"/>
    </x:row>
    <x:row r="131">
      <x:c r="A131" s="26"/>
    </x:row>
    <x:row r="132">
      <x:c r="A132" s="26"/>
    </x:row>
    <x:row r="133">
      <x:c r="A133" s="26"/>
    </x:row>
    <x:row r="134">
      <x:c r="A134" s="26"/>
    </x:row>
    <x:row r="135">
      <x:c r="A135" s="26"/>
    </x:row>
    <x:row r="136">
      <x:c r="A136" s="26"/>
    </x:row>
    <x:row r="137">
      <x:c r="A137" s="26"/>
    </x:row>
    <x:row r="138">
      <x:c r="A138" s="26"/>
    </x:row>
    <x:row r="139">
      <x:c r="A139" s="26"/>
    </x:row>
    <x:row r="140">
      <x:c r="A140" s="26"/>
    </x:row>
    <x:row r="141">
      <x:c r="A141" s="26"/>
    </x:row>
    <x:row r="142">
      <x:c r="A142" s="26"/>
    </x:row>
    <x:row r="143">
      <x:c r="A143" s="26"/>
    </x:row>
    <x:row r="144">
      <x:c r="A144" s="26"/>
    </x:row>
    <x:row r="145">
      <x:c r="A145" s="26"/>
    </x:row>
    <x:row r="146">
      <x:c r="A146" s="26"/>
    </x:row>
    <x:row r="147">
      <x:c r="A147" s="26"/>
    </x:row>
    <x:row r="148">
      <x:c r="A148" s="26"/>
    </x:row>
    <x:row r="149">
      <x:c r="A149" s="26"/>
    </x:row>
    <x:row r="150">
      <x:c r="A150" s="26"/>
    </x:row>
    <x:row r="151">
      <x:c r="A151" s="26"/>
    </x:row>
    <x:row r="152">
      <x:c r="A152" s="26"/>
    </x:row>
    <x:row r="153">
      <x:c r="A153" s="26"/>
    </x:row>
    <x:row r="154">
      <x:c r="A154" s="26"/>
    </x:row>
    <x:row r="155">
      <x:c r="A155" s="26"/>
    </x:row>
    <x:row r="156">
      <x:c r="A156" s="26"/>
    </x:row>
    <x:row r="157">
      <x:c r="A157" s="26"/>
    </x:row>
    <x:row r="158">
      <x:c r="A158" s="26"/>
    </x:row>
    <x:row r="159">
      <x:c r="A159" s="26"/>
    </x:row>
    <x:row r="160">
      <x:c r="A160" s="26"/>
    </x:row>
    <x:row r="161">
      <x:c r="A161" s="26"/>
    </x:row>
    <x:row r="162">
      <x:c r="A162" s="26"/>
    </x:row>
    <x:row r="163">
      <x:c r="A163" s="26"/>
    </x:row>
    <x:row r="164">
      <x:c r="A164" s="26"/>
    </x:row>
    <x:row r="165">
      <x:c r="A165" s="26"/>
    </x:row>
    <x:row r="166">
      <x:c r="A166" s="26"/>
    </x:row>
    <x:row r="167">
      <x:c r="A167" s="26"/>
    </x:row>
    <x:row r="168">
      <x:c r="A168" s="26"/>
    </x:row>
    <x:row r="169">
      <x:c r="A169" s="26"/>
    </x:row>
    <x:row r="170">
      <x:c r="A170" s="26"/>
    </x:row>
    <x:row r="171">
      <x:c r="A171" s="26"/>
    </x:row>
    <x:row r="172">
      <x:c r="A172" s="26"/>
    </x:row>
    <x:row r="173">
      <x:c r="A173" s="26"/>
    </x:row>
    <x:row r="174">
      <x:c r="A174" s="26"/>
    </x:row>
    <x:row r="175">
      <x:c r="A175" s="26"/>
    </x:row>
    <x:row r="176">
      <x:c r="A176" s="26"/>
    </x:row>
    <x:row r="177">
      <x:c r="A177" s="26"/>
    </x:row>
    <x:row r="178">
      <x:c r="A178" s="26"/>
    </x:row>
    <x:row r="179">
      <x:c r="A179" s="26"/>
    </x:row>
    <x:row r="180">
      <x:c r="A180" s="26"/>
    </x:row>
    <x:row r="181">
      <x:c r="A181" s="26"/>
    </x:row>
    <x:row r="182">
      <x:c r="A182" s="26"/>
    </x:row>
    <x:row r="183">
      <x:c r="A183" s="26"/>
    </x:row>
    <x:row r="184">
      <x:c r="A184" s="26"/>
    </x:row>
    <x:row r="185">
      <x:c r="A185" s="26"/>
    </x:row>
    <x:row r="186">
      <x:c r="A186" s="26"/>
    </x:row>
    <x:row r="187">
      <x:c r="A187" s="26"/>
    </x:row>
    <x:row r="188">
      <x:c r="A188" s="26"/>
    </x:row>
    <x:row r="189">
      <x:c r="A189" s="26"/>
    </x:row>
    <x:row r="190">
      <x:c r="A190" s="26"/>
    </x:row>
    <x:row r="191">
      <x:c r="A191" s="26"/>
    </x:row>
    <x:row r="192">
      <x:c r="A192" s="26"/>
    </x:row>
    <x:row r="193">
      <x:c r="A193" s="26"/>
    </x:row>
    <x:row r="194">
      <x:c r="A194" s="26"/>
    </x:row>
    <x:row r="195">
      <x:c r="A195" s="26"/>
    </x:row>
    <x:row r="196">
      <x:c r="A196" s="26"/>
    </x:row>
    <x:row r="197">
      <x:c r="A197" s="26"/>
    </x:row>
    <x:row r="198">
      <x:c r="A198" s="26"/>
    </x:row>
    <x:row r="199">
      <x:c r="A199" s="26"/>
    </x:row>
    <x:row r="200">
      <x:c r="A200" s="26"/>
    </x:row>
    <x:row r="201">
      <x:c r="A201" s="26"/>
    </x:row>
    <x:row r="202">
      <x:c r="A202" s="26"/>
    </x:row>
    <x:row r="203">
      <x:c r="A203" s="26"/>
    </x:row>
    <x:row r="204">
      <x:c r="A204" s="26"/>
    </x:row>
    <x:row r="205">
      <x:c r="A205" s="26"/>
    </x:row>
    <x:row r="206">
      <x:c r="A206" s="26"/>
    </x:row>
    <x:row r="207">
      <x:c r="A207" s="26"/>
    </x:row>
    <x:row r="208">
      <x:c r="A208" s="26"/>
    </x:row>
    <x:row r="209">
      <x:c r="A209" s="26"/>
    </x:row>
    <x:row r="210">
      <x:c r="A210" s="26"/>
    </x:row>
    <x:row r="211">
      <x:c r="A211" s="26"/>
    </x:row>
    <x:row r="212">
      <x:c r="A212" s="26"/>
    </x:row>
    <x:row r="213">
      <x:c r="A213" s="26"/>
    </x:row>
    <x:row r="214">
      <x:c r="A214" s="26"/>
    </x:row>
    <x:row r="215">
      <x:c r="A215" s="26"/>
    </x:row>
    <x:row r="216">
      <x:c r="A216" s="26"/>
    </x:row>
    <x:row r="217">
      <x:c r="A217" s="26"/>
    </x:row>
    <x:row r="218">
      <x:c r="A218" s="26"/>
    </x:row>
    <x:row r="219">
      <x:c r="A219" s="26"/>
    </x:row>
    <x:row r="220">
      <x:c r="A220" s="26"/>
    </x:row>
    <x:row r="221">
      <x:c r="A221" s="26"/>
    </x:row>
    <x:row r="222">
      <x:c r="A222" s="26"/>
    </x:row>
    <x:row r="223">
      <x:c r="A223" s="26"/>
    </x:row>
    <x:row r="224">
      <x:c r="A224" s="26"/>
    </x:row>
    <x:row r="225">
      <x:c r="A225" s="26"/>
    </x:row>
    <x:row r="226">
      <x:c r="A226" s="26"/>
    </x:row>
    <x:row r="227">
      <x:c r="A227" s="26"/>
    </x:row>
    <x:row r="228">
      <x:c r="A228" s="26"/>
    </x:row>
    <x:row r="229">
      <x:c r="A229" s="26"/>
    </x:row>
    <x:row r="230">
      <x:c r="A230" s="26"/>
    </x:row>
    <x:row r="231">
      <x:c r="A231" s="26"/>
    </x:row>
    <x:row r="232">
      <x:c r="A232" s="26"/>
    </x:row>
    <x:row r="233">
      <x:c r="A233" s="26"/>
    </x:row>
    <x:row r="234">
      <x:c r="A234" s="26"/>
    </x:row>
    <x:row r="235">
      <x:c r="A235" s="26"/>
    </x:row>
    <x:row r="236">
      <x:c r="A236" s="26"/>
    </x:row>
    <x:row r="237">
      <x:c r="A237" s="26"/>
    </x:row>
    <x:row r="238">
      <x:c r="A238" s="26"/>
    </x:row>
    <x:row r="239">
      <x:c r="A239" s="26"/>
    </x:row>
    <x:row r="240">
      <x:c r="A240" s="26"/>
    </x:row>
    <x:row r="241">
      <x:c r="A241" s="26"/>
    </x:row>
    <x:row r="242">
      <x:c r="A242" s="26"/>
    </x:row>
    <x:row r="243">
      <x:c r="A243" s="26"/>
    </x:row>
    <x:row r="244">
      <x:c r="A244" s="26"/>
    </x:row>
    <x:row r="245">
      <x:c r="A245" s="26"/>
    </x:row>
    <x:row r="246">
      <x:c r="A246" s="26"/>
    </x:row>
    <x:row r="247">
      <x:c r="A247" s="26"/>
    </x:row>
    <x:row r="248">
      <x:c r="A248" s="26"/>
    </x:row>
    <x:row r="249">
      <x:c r="A249" s="26"/>
    </x:row>
    <x:row r="250">
      <x:c r="A250" s="26"/>
    </x:row>
    <x:row r="251">
      <x:c r="A251" s="26"/>
    </x:row>
    <x:row r="252">
      <x:c r="A252" s="26"/>
    </x:row>
    <x:row r="253">
      <x:c r="A253" s="26"/>
    </x:row>
    <x:row r="254">
      <x:c r="A254" s="26"/>
    </x:row>
    <x:row r="255">
      <x:c r="A255" s="26"/>
    </x:row>
    <x:row r="256">
      <x:c r="A256" s="26"/>
    </x:row>
    <x:row r="257">
      <x:c r="A257" s="26"/>
    </x:row>
    <x:row r="258">
      <x:c r="A258" s="26"/>
    </x:row>
    <x:row r="259">
      <x:c r="A259" s="26"/>
    </x:row>
    <x:row r="260">
      <x:c r="A260" s="26"/>
    </x:row>
    <x:row r="261">
      <x:c r="A261" s="26"/>
    </x:row>
    <x:row r="262">
      <x:c r="A262" s="26"/>
    </x:row>
    <x:row r="263">
      <x:c r="A263" s="26"/>
    </x:row>
    <x:row r="264">
      <x:c r="A264" s="26"/>
    </x:row>
    <x:row r="265">
      <x:c r="A265" s="26"/>
    </x:row>
    <x:row r="266">
      <x:c r="A266" s="26"/>
    </x:row>
    <x:row r="267">
      <x:c r="A267" s="26"/>
    </x:row>
    <x:row r="268">
      <x:c r="A268" s="26"/>
    </x:row>
    <x:row r="269">
      <x:c r="A269" s="26"/>
    </x:row>
    <x:row r="270">
      <x:c r="A270" s="26"/>
    </x:row>
    <x:row r="271">
      <x:c r="A271" s="26"/>
    </x:row>
    <x:row r="272">
      <x:c r="A272" s="26"/>
    </x:row>
    <x:row r="273">
      <x:c r="A273" s="26"/>
    </x:row>
    <x:row r="274">
      <x:c r="A274" s="26"/>
    </x:row>
    <x:row r="275">
      <x:c r="A275" s="26"/>
    </x:row>
    <x:row r="276">
      <x:c r="A276" s="26"/>
    </x:row>
    <x:row r="277">
      <x:c r="A277" s="26"/>
    </x:row>
    <x:row r="278">
      <x:c r="A278" s="26"/>
    </x:row>
    <x:row r="279">
      <x:c r="A279" s="26"/>
    </x:row>
    <x:row r="280">
      <x:c r="A280" s="26"/>
    </x:row>
    <x:row r="281">
      <x:c r="A281" s="26"/>
    </x:row>
    <x:row r="282">
      <x:c r="A282" s="26"/>
    </x:row>
    <x:row r="283">
      <x:c r="A283" s="26"/>
    </x:row>
    <x:row r="284">
      <x:c r="A284" s="26"/>
    </x:row>
    <x:row r="285">
      <x:c r="A285" s="26"/>
    </x:row>
    <x:row r="286">
      <x:c r="A286" s="26"/>
    </x:row>
    <x:row r="287">
      <x:c r="A287" s="26"/>
    </x:row>
    <x:row r="288">
      <x:c r="A288" s="26"/>
    </x:row>
    <x:row r="289">
      <x:c r="A289" s="26"/>
    </x:row>
    <x:row r="290">
      <x:c r="A290" s="26"/>
    </x:row>
    <x:row r="291">
      <x:c r="A291" s="26"/>
    </x:row>
    <x:row r="292">
      <x:c r="A292" s="26"/>
    </x:row>
    <x:row r="293">
      <x:c r="A293" s="26"/>
    </x:row>
    <x:row r="294">
      <x:c r="A294" s="26"/>
    </x:row>
    <x:row r="295">
      <x:c r="A295" s="26"/>
    </x:row>
    <x:row r="296">
      <x:c r="A296" s="26"/>
    </x:row>
    <x:row r="297">
      <x:c r="A297" s="26"/>
    </x:row>
    <x:row r="298">
      <x:c r="A298" s="26"/>
    </x:row>
    <x:row r="299">
      <x:c r="A299" s="26"/>
    </x:row>
    <x:row r="300">
      <x:c r="A300" s="26"/>
    </x:row>
    <x:row r="301">
      <x:c r="A301" s="26"/>
    </x:row>
    <x:row r="302">
      <x:c r="A302" s="26"/>
    </x:row>
    <x:row r="303">
      <x:c r="A303" s="26"/>
    </x:row>
    <x:row r="304">
      <x:c r="A304" s="26"/>
    </x:row>
    <x:row r="305">
      <x:c r="A305" s="26"/>
    </x:row>
    <x:row r="306">
      <x:c r="A306" s="26"/>
    </x:row>
    <x:row r="307">
      <x:c r="A307" s="26"/>
    </x:row>
    <x:row r="308">
      <x:c r="A308" s="26"/>
    </x:row>
    <x:row r="309">
      <x:c r="A309" s="26"/>
    </x:row>
    <x:row r="310">
      <x:c r="A310" s="26"/>
    </x:row>
    <x:row r="311">
      <x:c r="A311" s="26"/>
    </x:row>
    <x:row r="312">
      <x:c r="A312" s="26"/>
    </x:row>
    <x:row r="313">
      <x:c r="A313" s="26"/>
    </x:row>
    <x:row r="314">
      <x:c r="A314" s="26"/>
    </x:row>
    <x:row r="315">
      <x:c r="A315" s="26"/>
    </x:row>
    <x:row r="316">
      <x:c r="A316" s="26"/>
    </x:row>
    <x:row r="317">
      <x:c r="A317" s="26"/>
    </x:row>
    <x:row r="318">
      <x:c r="A318" s="26"/>
    </x:row>
    <x:row r="319">
      <x:c r="A319" s="26"/>
    </x:row>
    <x:row r="320">
      <x:c r="A320" s="26"/>
    </x:row>
    <x:row r="321">
      <x:c r="A321" s="26"/>
    </x:row>
    <x:row r="322">
      <x:c r="A322" s="26"/>
    </x:row>
    <x:row r="323">
      <x:c r="A323" s="26"/>
    </x:row>
    <x:row r="324">
      <x:c r="A324" s="26"/>
    </x:row>
    <x:row r="325">
      <x:c r="A325" s="26"/>
    </x:row>
    <x:row r="326">
      <x:c r="A326" s="26"/>
    </x:row>
    <x:row r="327">
      <x:c r="A327" s="26"/>
    </x:row>
    <x:row r="328">
      <x:c r="A328" s="26"/>
    </x:row>
    <x:row r="329">
      <x:c r="A329" s="26"/>
    </x:row>
    <x:row r="330">
      <x:c r="A330" s="26"/>
    </x:row>
    <x:row r="331">
      <x:c r="A331" s="26"/>
    </x:row>
    <x:row r="332">
      <x:c r="A332" s="26"/>
    </x:row>
    <x:row r="333">
      <x:c r="A333" s="26"/>
    </x:row>
    <x:row r="334">
      <x:c r="A334" s="26"/>
    </x:row>
    <x:row r="335">
      <x:c r="A335" s="26"/>
    </x:row>
    <x:row r="336">
      <x:c r="A336" s="26"/>
    </x:row>
    <x:row r="337">
      <x:c r="A337" s="26"/>
    </x:row>
    <x:row r="338">
      <x:c r="A338" s="26"/>
    </x:row>
    <x:row r="339">
      <x:c r="A339" s="26"/>
    </x:row>
    <x:row r="340">
      <x:c r="A340" s="26"/>
    </x:row>
    <x:row r="341">
      <x:c r="A341" s="26"/>
    </x:row>
    <x:row r="342">
      <x:c r="A342" s="26"/>
    </x:row>
    <x:row r="343">
      <x:c r="A343" s="26"/>
    </x:row>
    <x:row r="344">
      <x:c r="A344" s="26"/>
    </x:row>
    <x:row r="345">
      <x:c r="A345" s="26"/>
    </x:row>
    <x:row r="346">
      <x:c r="A346" s="26"/>
    </x:row>
    <x:row r="347">
      <x:c r="A347" s="26"/>
    </x:row>
    <x:row r="348">
      <x:c r="A348" s="26"/>
    </x:row>
    <x:row r="349">
      <x:c r="A349" s="26"/>
    </x:row>
    <x:row r="350">
      <x:c r="A350" s="26"/>
    </x:row>
    <x:row r="351">
      <x:c r="A351" s="26"/>
    </x:row>
    <x:row r="352">
      <x:c r="A352" s="26"/>
    </x:row>
    <x:row r="353">
      <x:c r="A353" s="26"/>
    </x:row>
    <x:row r="354">
      <x:c r="A354" s="26"/>
    </x:row>
    <x:row r="355">
      <x:c r="A355" s="26"/>
    </x:row>
    <x:row r="356">
      <x:c r="A356" s="26"/>
    </x:row>
    <x:row r="357">
      <x:c r="A357" s="26"/>
    </x:row>
    <x:row r="358">
      <x:c r="A358" s="26"/>
    </x:row>
    <x:row r="359">
      <x:c r="A359" s="26"/>
    </x:row>
    <x:row r="360">
      <x:c r="A360" s="26"/>
    </x:row>
    <x:row r="361">
      <x:c r="A361" s="26"/>
    </x:row>
    <x:row r="362">
      <x:c r="A362" s="26"/>
    </x:row>
    <x:row r="363">
      <x:c r="A363" s="26"/>
    </x:row>
    <x:row r="364">
      <x:c r="A364" s="26"/>
    </x:row>
    <x:row r="365">
      <x:c r="A365" s="26"/>
    </x:row>
    <x:row r="366">
      <x:c r="A366" s="26"/>
    </x:row>
    <x:row r="367">
      <x:c r="A367" s="26"/>
    </x:row>
    <x:row r="368">
      <x:c r="A368" s="26"/>
    </x:row>
    <x:row r="369">
      <x:c r="A369" s="26"/>
    </x:row>
    <x:row r="370">
      <x:c r="A370" s="26"/>
    </x:row>
    <x:row r="371">
      <x:c r="A371" s="26"/>
    </x:row>
    <x:row r="372">
      <x:c r="A372" s="26"/>
    </x:row>
    <x:row r="373">
      <x:c r="A373" s="26"/>
    </x:row>
    <x:row r="374">
      <x:c r="A374" s="26"/>
    </x:row>
    <x:row r="375">
      <x:c r="A375" s="26"/>
    </x:row>
    <x:row r="376">
      <x:c r="A376" s="26"/>
    </x:row>
    <x:row r="377">
      <x:c r="A377" s="26"/>
    </x:row>
    <x:row r="378">
      <x:c r="A378" s="26"/>
    </x:row>
    <x:row r="379">
      <x:c r="A379" s="26"/>
    </x:row>
    <x:row r="380">
      <x:c r="A380" s="26"/>
    </x:row>
    <x:row r="381">
      <x:c r="A381" s="26"/>
    </x:row>
    <x:row r="382">
      <x:c r="A382" s="26"/>
    </x:row>
    <x:row r="383">
      <x:c r="A383" s="26"/>
    </x:row>
    <x:row r="384">
      <x:c r="A384" s="26"/>
    </x:row>
    <x:row r="385">
      <x:c r="A385" s="26"/>
    </x:row>
    <x:row r="386">
      <x:c r="A386" s="26"/>
    </x:row>
    <x:row r="387">
      <x:c r="A387" s="26"/>
    </x:row>
    <x:row r="388">
      <x:c r="A388" s="26"/>
    </x:row>
    <x:row r="389">
      <x:c r="A389" s="26"/>
    </x:row>
    <x:row r="390">
      <x:c r="A390" s="26"/>
    </x:row>
    <x:row r="391">
      <x:c r="A391" s="26"/>
    </x:row>
    <x:row r="392">
      <x:c r="A392" s="26"/>
    </x:row>
    <x:row r="393">
      <x:c r="A393" s="26"/>
    </x:row>
    <x:row r="394">
      <x:c r="A394" s="26"/>
    </x:row>
    <x:row r="395">
      <x:c r="A395" s="26"/>
    </x:row>
    <x:row r="396">
      <x:c r="A396" s="26"/>
    </x:row>
    <x:row r="397">
      <x:c r="A397" s="26"/>
    </x:row>
    <x:row r="398">
      <x:c r="A398" s="26"/>
    </x:row>
    <x:row r="399">
      <x:c r="A399" s="26"/>
    </x:row>
    <x:row r="400">
      <x:c r="A400" s="26"/>
    </x:row>
    <x:row r="401">
      <x:c r="A401" s="26"/>
    </x:row>
    <x:row r="402">
      <x:c r="A402" s="26"/>
    </x:row>
    <x:row r="403">
      <x:c r="A403" s="26"/>
    </x:row>
    <x:row r="404">
      <x:c r="A404" s="26"/>
    </x:row>
    <x:row r="405">
      <x:c r="A405" s="26"/>
    </x:row>
    <x:row r="406">
      <x:c r="A406" s="26"/>
    </x:row>
    <x:row r="407">
      <x:c r="A407" s="26"/>
    </x:row>
    <x:row r="408">
      <x:c r="A408" s="26"/>
    </x:row>
    <x:row r="409">
      <x:c r="A409" s="26"/>
    </x:row>
    <x:row r="410">
      <x:c r="A410" s="26"/>
    </x:row>
    <x:row r="411">
      <x:c r="A411" s="26"/>
    </x:row>
    <x:row r="412">
      <x:c r="A412" s="26"/>
    </x:row>
    <x:row r="413">
      <x:c r="A413" s="26"/>
    </x:row>
    <x:row r="414">
      <x:c r="A414" s="26"/>
    </x:row>
    <x:row r="415">
      <x:c r="A415" s="26"/>
    </x:row>
    <x:row r="416">
      <x:c r="A416" s="26"/>
    </x:row>
    <x:row r="417">
      <x:c r="A417" s="26"/>
    </x:row>
    <x:row r="418">
      <x:c r="A418" s="26"/>
    </x:row>
    <x:row r="419">
      <x:c r="A419" s="26"/>
    </x:row>
    <x:row r="420">
      <x:c r="A420" s="26"/>
    </x:row>
    <x:row r="421">
      <x:c r="A421" s="26"/>
    </x:row>
    <x:row r="422">
      <x:c r="A422" s="26"/>
    </x:row>
    <x:row r="423">
      <x:c r="A423" s="26"/>
    </x:row>
    <x:row r="424">
      <x:c r="A424" s="26"/>
    </x:row>
    <x:row r="425">
      <x:c r="A425" s="26"/>
    </x:row>
    <x:row r="426">
      <x:c r="A426" s="26"/>
    </x:row>
    <x:row r="427">
      <x:c r="A427" s="26"/>
    </x:row>
    <x:row r="428">
      <x:c r="A428" s="26"/>
    </x:row>
    <x:row r="429">
      <x:c r="A429" s="26"/>
    </x:row>
    <x:row r="430">
      <x:c r="A430" s="26"/>
    </x:row>
    <x:row r="431">
      <x:c r="A431" s="26"/>
    </x:row>
    <x:row r="432">
      <x:c r="A432" s="26"/>
    </x:row>
    <x:row r="433">
      <x:c r="A433" s="26"/>
    </x:row>
    <x:row r="434">
      <x:c r="A434" s="26"/>
    </x:row>
    <x:row r="435">
      <x:c r="A435" s="26"/>
    </x:row>
    <x:row r="436">
      <x:c r="A436" s="26"/>
    </x:row>
    <x:row r="437">
      <x:c r="A437" s="26"/>
    </x:row>
    <x:row r="438">
      <x:c r="A438" s="26"/>
    </x:row>
    <x:row r="439">
      <x:c r="A439" s="26"/>
    </x:row>
    <x:row r="440">
      <x:c r="A440" s="26"/>
    </x:row>
    <x:row r="441">
      <x:c r="A441" s="26"/>
    </x:row>
    <x:row r="442">
      <x:c r="A442" s="26"/>
    </x:row>
    <x:row r="443">
      <x:c r="A443" s="26"/>
    </x:row>
    <x:row r="444">
      <x:c r="A444" s="26"/>
    </x:row>
    <x:row r="445">
      <x:c r="A445" s="26"/>
    </x:row>
    <x:row r="446">
      <x:c r="A446" s="26"/>
    </x:row>
    <x:row r="447">
      <x:c r="A447" s="26"/>
    </x:row>
    <x:row r="448">
      <x:c r="A448" s="26"/>
    </x:row>
    <x:row r="449">
      <x:c r="A449" s="26"/>
    </x:row>
    <x:row r="450">
      <x:c r="A450" s="26"/>
    </x:row>
    <x:row r="451">
      <x:c r="A451" s="26"/>
    </x:row>
    <x:row r="452">
      <x:c r="A452" s="26"/>
    </x:row>
    <x:row r="453">
      <x:c r="A453" s="26"/>
    </x:row>
    <x:row r="454">
      <x:c r="A454" s="26"/>
    </x:row>
    <x:row r="455">
      <x:c r="A455" s="26"/>
    </x:row>
    <x:row r="456">
      <x:c r="A456" s="26"/>
    </x:row>
    <x:row r="457">
      <x:c r="A457" s="26"/>
    </x:row>
    <x:row r="458">
      <x:c r="A458" s="26"/>
    </x:row>
    <x:row r="459">
      <x:c r="A459" s="26"/>
    </x:row>
    <x:row r="460">
      <x:c r="A460" s="26"/>
    </x:row>
    <x:row r="461">
      <x:c r="A461" s="26"/>
    </x:row>
    <x:row r="462">
      <x:c r="A462" s="26"/>
    </x:row>
    <x:row r="463">
      <x:c r="A463" s="26"/>
    </x:row>
    <x:row r="464">
      <x:c r="A464" s="26"/>
    </x:row>
    <x:row r="465">
      <x:c r="A465" s="26"/>
    </x:row>
    <x:row r="466">
      <x:c r="A466" s="26"/>
    </x:row>
    <x:row r="467">
      <x:c r="A467" s="26"/>
    </x:row>
    <x:row r="468">
      <x:c r="A468" s="26"/>
    </x:row>
    <x:row r="469">
      <x:c r="A469" s="26"/>
    </x:row>
    <x:row r="470">
      <x:c r="A470" s="26"/>
    </x:row>
    <x:row r="471">
      <x:c r="A471" s="26"/>
    </x:row>
    <x:row r="472">
      <x:c r="A472" s="26"/>
    </x:row>
    <x:row r="473">
      <x:c r="A473" s="26"/>
    </x:row>
    <x:row r="474">
      <x:c r="A474" s="26"/>
    </x:row>
    <x:row r="475">
      <x:c r="A475" s="26"/>
    </x:row>
    <x:row r="476">
      <x:c r="A476" s="26"/>
    </x:row>
    <x:row r="477">
      <x:c r="A477" s="26"/>
    </x:row>
    <x:row r="478">
      <x:c r="A478" s="26"/>
    </x:row>
    <x:row r="479">
      <x:c r="A479" s="26"/>
    </x:row>
    <x:row r="480">
      <x:c r="A480" s="26"/>
    </x:row>
    <x:row r="481">
      <x:c r="A481" s="26"/>
    </x:row>
    <x:row r="482">
      <x:c r="A482" s="26"/>
    </x:row>
    <x:row r="483">
      <x:c r="A483" s="26"/>
    </x:row>
    <x:row r="484">
      <x:c r="A484" s="26"/>
    </x:row>
    <x:row r="485">
      <x:c r="A485" s="26"/>
    </x:row>
    <x:row r="486">
      <x:c r="A486" s="26"/>
    </x:row>
    <x:row r="487">
      <x:c r="A487" s="26"/>
    </x:row>
    <x:row r="488">
      <x:c r="A488" s="26"/>
    </x:row>
    <x:row r="489">
      <x:c r="A489" s="26"/>
    </x:row>
    <x:row r="490">
      <x:c r="A490" s="26"/>
    </x:row>
    <x:row r="491">
      <x:c r="A491" s="26"/>
    </x:row>
    <x:row r="492">
      <x:c r="A492" s="26"/>
    </x:row>
    <x:row r="493">
      <x:c r="A493" s="26"/>
    </x:row>
    <x:row r="494">
      <x:c r="A494" s="26"/>
    </x:row>
    <x:row r="495">
      <x:c r="A495" s="26"/>
    </x:row>
    <x:row r="496">
      <x:c r="A496" s="26"/>
    </x:row>
    <x:row r="497">
      <x:c r="A497" s="26"/>
    </x:row>
    <x:row r="498">
      <x:c r="A498" s="26"/>
    </x:row>
    <x:row r="499">
      <x:c r="A499" s="26"/>
    </x:row>
    <x:row r="500">
      <x:c r="A500" s="26"/>
    </x:row>
    <x:row r="501">
      <x:c r="A501" s="26"/>
    </x:row>
    <x:row r="502">
      <x:c r="A502" s="26"/>
    </x:row>
    <x:row r="503">
      <x:c r="A503" s="26"/>
    </x:row>
    <x:row r="504">
      <x:c r="A504" s="26"/>
    </x:row>
    <x:row r="505">
      <x:c r="A505" s="26"/>
    </x:row>
    <x:row r="506">
      <x:c r="A506" s="26"/>
    </x:row>
    <x:row r="507">
      <x:c r="A507" s="26"/>
    </x:row>
    <x:row r="508">
      <x:c r="A508" s="26"/>
    </x:row>
    <x:row r="509">
      <x:c r="A509" s="26"/>
    </x:row>
    <x:row r="510">
      <x:c r="A510" s="26"/>
    </x:row>
    <x:row r="511">
      <x:c r="A511" s="26"/>
    </x:row>
    <x:row r="512">
      <x:c r="A512" s="26"/>
    </x:row>
    <x:row r="513">
      <x:c r="A513" s="26"/>
    </x:row>
    <x:row r="514">
      <x:c r="A514" s="26"/>
    </x:row>
    <x:row r="515">
      <x:c r="A515" s="26"/>
    </x:row>
    <x:row r="516">
      <x:c r="A516" s="26"/>
    </x:row>
    <x:row r="517">
      <x:c r="A517" s="26"/>
    </x:row>
    <x:row r="518">
      <x:c r="A518" s="26"/>
    </x:row>
    <x:row r="519">
      <x:c r="A519" s="26"/>
    </x:row>
    <x:row r="520">
      <x:c r="A520" s="26"/>
    </x:row>
    <x:row r="521">
      <x:c r="A521" s="26"/>
    </x:row>
    <x:row r="522">
      <x:c r="A522" s="26"/>
    </x:row>
    <x:row r="523">
      <x:c r="A523" s="26"/>
    </x:row>
    <x:row r="524">
      <x:c r="A524" s="26"/>
    </x:row>
    <x:row r="525">
      <x:c r="A525" s="26"/>
    </x:row>
    <x:row r="526">
      <x:c r="A526" s="26"/>
    </x:row>
    <x:row r="527">
      <x:c r="A527" s="26"/>
    </x:row>
    <x:row r="528">
      <x:c r="A528" s="26"/>
    </x:row>
    <x:row r="529">
      <x:c r="A529" s="26"/>
    </x:row>
    <x:row r="530">
      <x:c r="A530" s="26"/>
    </x:row>
    <x:row r="531">
      <x:c r="A531" s="26"/>
    </x:row>
    <x:row r="532">
      <x:c r="A532" s="26"/>
    </x:row>
    <x:row r="533">
      <x:c r="A533" s="26"/>
    </x:row>
    <x:row r="534">
      <x:c r="A534" s="26"/>
    </x:row>
    <x:row r="535">
      <x:c r="A535" s="26"/>
    </x:row>
    <x:row r="536">
      <x:c r="A536" s="26"/>
    </x:row>
    <x:row r="537">
      <x:c r="A537" s="26"/>
    </x:row>
    <x:row r="538">
      <x:c r="A538" s="26"/>
    </x:row>
    <x:row r="539">
      <x:c r="A539" s="26"/>
    </x:row>
    <x:row r="540">
      <x:c r="A540" s="26"/>
    </x:row>
    <x:row r="541">
      <x:c r="A541" s="26"/>
    </x:row>
    <x:row r="542">
      <x:c r="A542" s="26"/>
    </x:row>
    <x:row r="543">
      <x:c r="A543" s="26"/>
    </x:row>
    <x:row r="544">
      <x:c r="A544" s="26"/>
    </x:row>
    <x:row r="545">
      <x:c r="A545" s="26"/>
    </x:row>
    <x:row r="546">
      <x:c r="A546" s="26"/>
    </x:row>
    <x:row r="547">
      <x:c r="A547" s="26"/>
    </x:row>
    <x:row r="548">
      <x:c r="A548" s="26"/>
    </x:row>
    <x:row r="549">
      <x:c r="A549" s="26"/>
    </x:row>
    <x:row r="550">
      <x:c r="A550" s="26"/>
    </x:row>
    <x:row r="551">
      <x:c r="A551" s="26"/>
    </x:row>
    <x:row r="552">
      <x:c r="A552" s="26"/>
    </x:row>
    <x:row r="553">
      <x:c r="A553" s="26"/>
    </x:row>
    <x:row r="554">
      <x:c r="A554" s="26"/>
    </x:row>
    <x:row r="555">
      <x:c r="A555" s="26"/>
    </x:row>
    <x:row r="556">
      <x:c r="A556" s="26"/>
    </x:row>
    <x:row r="557">
      <x:c r="A557" s="26"/>
    </x:row>
    <x:row r="558">
      <x:c r="A558" s="26"/>
    </x:row>
    <x:row r="559">
      <x:c r="A559" s="26"/>
    </x:row>
    <x:row r="560">
      <x:c r="A560" s="26"/>
    </x:row>
    <x:row r="561">
      <x:c r="A561" s="26"/>
    </x:row>
    <x:row r="562">
      <x:c r="A562" s="26"/>
    </x:row>
    <x:row r="563">
      <x:c r="A563" s="26"/>
    </x:row>
    <x:row r="564">
      <x:c r="A564" s="26"/>
    </x:row>
    <x:row r="565">
      <x:c r="A565" s="26"/>
    </x:row>
    <x:row r="566">
      <x:c r="A566" s="26"/>
    </x:row>
    <x:row r="567">
      <x:c r="A567" s="26"/>
    </x:row>
    <x:row r="568">
      <x:c r="A568" s="26"/>
    </x:row>
    <x:row r="569">
      <x:c r="A569" s="26"/>
    </x:row>
    <x:row r="570">
      <x:c r="A570" s="26"/>
    </x:row>
    <x:row r="571">
      <x:c r="A571" s="26"/>
    </x:row>
    <x:row r="572">
      <x:c r="A572" s="26"/>
    </x:row>
    <x:row r="573">
      <x:c r="A573" s="26"/>
    </x:row>
    <x:row r="574">
      <x:c r="A574" s="26"/>
    </x:row>
    <x:row r="575">
      <x:c r="A575" s="26"/>
    </x:row>
    <x:row r="576">
      <x:c r="A576" s="26"/>
    </x:row>
    <x:row r="577">
      <x:c r="A577" s="26"/>
    </x:row>
    <x:row r="578">
      <x:c r="A578" s="26"/>
    </x:row>
    <x:row r="579">
      <x:c r="A579" s="26"/>
    </x:row>
    <x:row r="580">
      <x:c r="A580" s="26"/>
    </x:row>
    <x:row r="581">
      <x:c r="A581" s="26"/>
    </x:row>
    <x:row r="582">
      <x:c r="A582" s="26"/>
    </x:row>
    <x:row r="583">
      <x:c r="A583" s="26"/>
    </x:row>
    <x:row r="584">
      <x:c r="A584" s="26"/>
    </x:row>
    <x:row r="585">
      <x:c r="A585" s="26"/>
    </x:row>
    <x:row r="586">
      <x:c r="A586" s="26"/>
    </x:row>
    <x:row r="587">
      <x:c r="A587" s="26"/>
    </x:row>
    <x:row r="588">
      <x:c r="A588" s="26"/>
    </x:row>
    <x:row r="589">
      <x:c r="A589" s="26"/>
    </x:row>
    <x:row r="590">
      <x:c r="A590" s="26"/>
    </x:row>
    <x:row r="591">
      <x:c r="A591" s="26"/>
    </x:row>
    <x:row r="592">
      <x:c r="A592" s="26"/>
    </x:row>
    <x:row r="593">
      <x:c r="A593" s="26"/>
    </x:row>
    <x:row r="594">
      <x:c r="A594" s="26"/>
    </x:row>
    <x:row r="595">
      <x:c r="A595" s="26"/>
    </x:row>
    <x:row r="596">
      <x:c r="A596" s="26"/>
    </x:row>
    <x:row r="597">
      <x:c r="A597" s="26"/>
    </x:row>
    <x:row r="598">
      <x:c r="A598" s="26"/>
    </x:row>
    <x:row r="599">
      <x:c r="A599" s="26"/>
    </x:row>
    <x:row r="600">
      <x:c r="A600" s="26"/>
    </x:row>
    <x:row r="601">
      <x:c r="A601" s="26"/>
    </x:row>
    <x:row r="602">
      <x:c r="A602" s="26"/>
    </x:row>
    <x:row r="603">
      <x:c r="A603" s="26"/>
    </x:row>
    <x:row r="604">
      <x:c r="A604" s="26"/>
    </x:row>
    <x:row r="605">
      <x:c r="A605" s="26"/>
    </x:row>
    <x:row r="606">
      <x:c r="A606" s="26"/>
    </x:row>
    <x:row r="607">
      <x:c r="A607" s="26"/>
    </x:row>
    <x:row r="608">
      <x:c r="A608" s="26"/>
    </x:row>
    <x:row r="609">
      <x:c r="A609" s="26"/>
    </x:row>
    <x:row r="610">
      <x:c r="A610" s="26"/>
    </x:row>
    <x:row r="611">
      <x:c r="A611" s="26"/>
    </x:row>
    <x:row r="612">
      <x:c r="A612" s="26"/>
    </x:row>
    <x:row r="613">
      <x:c r="A613" s="26"/>
    </x:row>
    <x:row r="614">
      <x:c r="A614" s="26"/>
    </x:row>
    <x:row r="615">
      <x:c r="A615" s="26"/>
    </x:row>
    <x:row r="616">
      <x:c r="A616" s="26"/>
    </x:row>
    <x:row r="617">
      <x:c r="A617" s="26"/>
    </x:row>
    <x:row r="618">
      <x:c r="A618" s="26"/>
    </x:row>
    <x:row r="619">
      <x:c r="A619" s="26"/>
    </x:row>
    <x:row r="620">
      <x:c r="A620" s="26"/>
    </x:row>
    <x:row r="621">
      <x:c r="A621" s="26"/>
    </x:row>
    <x:row r="622">
      <x:c r="A622" s="26"/>
    </x:row>
    <x:row r="623">
      <x:c r="A623" s="26"/>
    </x:row>
    <x:row r="624">
      <x:c r="A624" s="26"/>
    </x:row>
    <x:row r="625">
      <x:c r="A625" s="26"/>
    </x:row>
    <x:row r="626">
      <x:c r="A626" s="26"/>
    </x:row>
    <x:row r="627">
      <x:c r="A627" s="26"/>
    </x:row>
    <x:row r="628">
      <x:c r="A628" s="26"/>
    </x:row>
    <x:row r="629">
      <x:c r="A629" s="26"/>
    </x:row>
    <x:row r="630">
      <x:c r="A630" s="26"/>
    </x:row>
    <x:row r="631">
      <x:c r="A631" s="26"/>
    </x:row>
    <x:row r="632">
      <x:c r="A632" s="26"/>
    </x:row>
    <x:row r="633">
      <x:c r="A633" s="26"/>
    </x:row>
    <x:row r="634">
      <x:c r="A634" s="26"/>
    </x:row>
    <x:row r="635">
      <x:c r="A635" s="26"/>
    </x:row>
    <x:row r="636">
      <x:c r="A636" s="26"/>
    </x:row>
    <x:row r="637">
      <x:c r="A637" s="26"/>
    </x:row>
    <x:row r="638">
      <x:c r="A638" s="26"/>
    </x:row>
    <x:row r="639">
      <x:c r="A639" s="26"/>
    </x:row>
    <x:row r="640">
      <x:c r="A640" s="26"/>
    </x:row>
    <x:row r="641">
      <x:c r="A641" s="26"/>
    </x:row>
    <x:row r="642">
      <x:c r="A642" s="26"/>
    </x:row>
    <x:row r="643">
      <x:c r="A643" s="26"/>
    </x:row>
    <x:row r="644">
      <x:c r="A644" s="26"/>
    </x:row>
    <x:row r="645">
      <x:c r="A645" s="26"/>
    </x:row>
    <x:row r="646">
      <x:c r="A646" s="26"/>
    </x:row>
    <x:row r="647">
      <x:c r="A647" s="26"/>
    </x:row>
    <x:row r="648">
      <x:c r="A648" s="26"/>
    </x:row>
    <x:row r="649">
      <x:c r="A649" s="26"/>
    </x:row>
    <x:row r="650">
      <x:c r="A650" s="26"/>
    </x:row>
    <x:row r="651">
      <x:c r="A651" s="26"/>
    </x:row>
    <x:row r="652">
      <x:c r="A652" s="26"/>
    </x:row>
    <x:row r="653">
      <x:c r="A653" s="26"/>
    </x:row>
    <x:row r="654">
      <x:c r="A654" s="26"/>
    </x:row>
    <x:row r="655">
      <x:c r="A655" s="26"/>
    </x:row>
    <x:row r="656">
      <x:c r="A656" s="26"/>
    </x:row>
    <x:row r="657">
      <x:c r="A657" s="26"/>
    </x:row>
    <x:row r="658">
      <x:c r="A658" s="26"/>
    </x:row>
    <x:row r="659">
      <x:c r="A659" s="26"/>
    </x:row>
    <x:row r="660">
      <x:c r="A660" s="26"/>
    </x:row>
    <x:row r="661">
      <x:c r="A661" s="26"/>
    </x:row>
    <x:row r="662">
      <x:c r="A662" s="26"/>
    </x:row>
    <x:row r="663">
      <x:c r="A663" s="26"/>
    </x:row>
    <x:row r="664">
      <x:c r="A664" s="26"/>
    </x:row>
    <x:row r="665">
      <x:c r="A665" s="26"/>
    </x:row>
    <x:row r="666">
      <x:c r="A666" s="26"/>
    </x:row>
    <x:row r="667">
      <x:c r="A667" s="26"/>
    </x:row>
    <x:row r="668">
      <x:c r="A668" s="26"/>
    </x:row>
    <x:row r="669">
      <x:c r="A669" s="26"/>
    </x:row>
    <x:row r="670">
      <x:c r="A670" s="26"/>
    </x:row>
    <x:row r="671">
      <x:c r="A671" s="26"/>
    </x:row>
    <x:row r="672">
      <x:c r="A672" s="26"/>
    </x:row>
    <x:row r="673">
      <x:c r="A673" s="26"/>
    </x:row>
    <x:row r="674">
      <x:c r="A674" s="26"/>
    </x:row>
    <x:row r="675">
      <x:c r="A675" s="26"/>
    </x:row>
    <x:row r="676">
      <x:c r="A676" s="26"/>
    </x:row>
    <x:row r="677">
      <x:c r="A677" s="26"/>
    </x:row>
    <x:row r="678">
      <x:c r="A678" s="26"/>
    </x:row>
    <x:row r="679">
      <x:c r="A679" s="26"/>
    </x:row>
    <x:row r="680">
      <x:c r="A680" s="26"/>
    </x:row>
    <x:row r="681">
      <x:c r="A681" s="26"/>
    </x:row>
    <x:row r="682">
      <x:c r="A682" s="26"/>
    </x:row>
    <x:row r="683">
      <x:c r="A683" s="26"/>
    </x:row>
    <x:row r="684">
      <x:c r="A684" s="26"/>
    </x:row>
    <x:row r="685">
      <x:c r="A685" s="26"/>
    </x:row>
    <x:row r="686">
      <x:c r="A686" s="26"/>
    </x:row>
    <x:row r="687">
      <x:c r="A687" s="26"/>
    </x:row>
    <x:row r="688">
      <x:c r="A688" s="26"/>
    </x:row>
    <x:row r="689">
      <x:c r="A689" s="26"/>
    </x:row>
    <x:row r="690">
      <x:c r="A690" s="26"/>
    </x:row>
    <x:row r="691">
      <x:c r="A691" s="26"/>
    </x:row>
    <x:row r="692">
      <x:c r="A692" s="26"/>
    </x:row>
    <x:row r="693">
      <x:c r="A693" s="26"/>
    </x:row>
    <x:row r="694">
      <x:c r="A694" s="26"/>
    </x:row>
    <x:row r="695">
      <x:c r="A695" s="26"/>
    </x:row>
    <x:row r="696">
      <x:c r="A696" s="26"/>
    </x:row>
    <x:row r="697">
      <x:c r="A697" s="26"/>
    </x:row>
    <x:row r="698">
      <x:c r="A698" s="26"/>
    </x:row>
    <x:row r="699">
      <x:c r="A699" s="26"/>
    </x:row>
    <x:row r="700">
      <x:c r="A700" s="26"/>
    </x:row>
    <x:row r="701">
      <x:c r="A701" s="26"/>
    </x:row>
    <x:row r="702">
      <x:c r="A702" s="26"/>
    </x:row>
    <x:row r="703">
      <x:c r="A703" s="26"/>
    </x:row>
    <x:row r="704">
      <x:c r="A704" s="26"/>
    </x:row>
    <x:row r="705">
      <x:c r="A705" s="26"/>
    </x:row>
    <x:row r="706">
      <x:c r="A706" s="26"/>
    </x:row>
    <x:row r="707">
      <x:c r="A707" s="26"/>
    </x:row>
    <x:row r="708">
      <x:c r="A708" s="26"/>
    </x:row>
    <x:row r="709">
      <x:c r="A709" s="26"/>
    </x:row>
    <x:row r="710">
      <x:c r="A710" s="26"/>
    </x:row>
    <x:row r="711">
      <x:c r="A711" s="26"/>
    </x:row>
    <x:row r="712">
      <x:c r="A712" s="26"/>
    </x:row>
    <x:row r="713">
      <x:c r="A713" s="26"/>
    </x:row>
    <x:row r="714">
      <x:c r="A714" s="26"/>
    </x:row>
    <x:row r="715">
      <x:c r="A715" s="26"/>
    </x:row>
    <x:row r="716">
      <x:c r="A716" s="26"/>
    </x:row>
    <x:row r="717">
      <x:c r="A717" s="26"/>
    </x:row>
    <x:row r="718">
      <x:c r="A718" s="26"/>
    </x:row>
    <x:row r="719">
      <x:c r="A719" s="26"/>
    </x:row>
    <x:row r="720">
      <x:c r="A720" s="26"/>
    </x:row>
    <x:row r="721">
      <x:c r="A721" s="26"/>
    </x:row>
    <x:row r="722">
      <x:c r="A722" s="26"/>
    </x:row>
    <x:row r="723">
      <x:c r="A723" s="26"/>
    </x:row>
    <x:row r="724">
      <x:c r="A724" s="26"/>
    </x:row>
    <x:row r="725">
      <x:c r="A725" s="26"/>
    </x:row>
    <x:row r="726">
      <x:c r="A726" s="26"/>
    </x:row>
    <x:row r="727">
      <x:c r="A727" s="26"/>
    </x:row>
    <x:row r="728">
      <x:c r="A728" s="26"/>
    </x:row>
    <x:row r="729">
      <x:c r="A729" s="26"/>
    </x:row>
    <x:row r="730">
      <x:c r="A730" s="26"/>
    </x:row>
    <x:row r="731">
      <x:c r="A731" s="26"/>
    </x:row>
    <x:row r="732">
      <x:c r="A732" s="26"/>
    </x:row>
    <x:row r="733">
      <x:c r="A733" s="26"/>
    </x:row>
    <x:row r="734">
      <x:c r="A734" s="26"/>
    </x:row>
    <x:row r="735">
      <x:c r="A735" s="26"/>
    </x:row>
    <x:row r="736">
      <x:c r="A736" s="26"/>
    </x:row>
    <x:row r="737">
      <x:c r="A737" s="26"/>
    </x:row>
    <x:row r="738">
      <x:c r="A738" s="26"/>
    </x:row>
    <x:row r="739">
      <x:c r="A739" s="26"/>
    </x:row>
    <x:row r="740">
      <x:c r="A740" s="26"/>
    </x:row>
    <x:row r="741">
      <x:c r="A741" s="26"/>
    </x:row>
    <x:row r="742">
      <x:c r="A742" s="26"/>
    </x:row>
    <x:row r="743">
      <x:c r="A743" s="26"/>
    </x:row>
    <x:row r="744">
      <x:c r="A744" s="26"/>
    </x:row>
    <x:row r="745">
      <x:c r="A745" s="26"/>
    </x:row>
    <x:row r="746">
      <x:c r="A746" s="26"/>
    </x:row>
    <x:row r="747">
      <x:c r="A747" s="26"/>
    </x:row>
    <x:row r="748">
      <x:c r="A748" s="26"/>
    </x:row>
    <x:row r="749">
      <x:c r="A749" s="26"/>
    </x:row>
    <x:row r="750">
      <x:c r="A750" s="26"/>
    </x:row>
    <x:row r="751">
      <x:c r="A751" s="26"/>
    </x:row>
    <x:row r="752">
      <x:c r="A752" s="26"/>
    </x:row>
    <x:row r="753">
      <x:c r="A753" s="26"/>
    </x:row>
    <x:row r="754">
      <x:c r="A754" s="26"/>
    </x:row>
    <x:row r="755">
      <x:c r="A755" s="26"/>
    </x:row>
    <x:row r="756">
      <x:c r="A756" s="26"/>
    </x:row>
    <x:row r="757">
      <x:c r="A757" s="26"/>
    </x:row>
    <x:row r="758">
      <x:c r="A758" s="26"/>
    </x:row>
    <x:row r="759">
      <x:c r="A759" s="26"/>
    </x:row>
    <x:row r="760">
      <x:c r="A760" s="26"/>
    </x:row>
    <x:row r="761">
      <x:c r="A761" s="26"/>
    </x:row>
    <x:row r="762">
      <x:c r="A762" s="26"/>
    </x:row>
    <x:row r="763">
      <x:c r="A763" s="26"/>
    </x:row>
    <x:row r="764">
      <x:c r="A764" s="26"/>
    </x:row>
    <x:row r="765">
      <x:c r="A765" s="26"/>
    </x:row>
    <x:row r="766">
      <x:c r="A766" s="26"/>
    </x:row>
    <x:row r="767">
      <x:c r="A767" s="26"/>
    </x:row>
    <x:row r="768">
      <x:c r="A768" s="26"/>
    </x:row>
    <x:row r="769">
      <x:c r="A769" s="26"/>
    </x:row>
    <x:row r="770">
      <x:c r="A770" s="26"/>
    </x:row>
    <x:row r="771">
      <x:c r="A771" s="26"/>
    </x:row>
    <x:row r="772">
      <x:c r="A772" s="26"/>
    </x:row>
    <x:row r="773">
      <x:c r="A773" s="26"/>
    </x:row>
    <x:row r="774">
      <x:c r="A774" s="26"/>
    </x:row>
    <x:row r="775">
      <x:c r="A775" s="26"/>
    </x:row>
    <x:row r="776">
      <x:c r="A776" s="26"/>
    </x:row>
    <x:row r="777">
      <x:c r="A777" s="26"/>
    </x:row>
    <x:row r="778">
      <x:c r="A778" s="26"/>
    </x:row>
    <x:row r="779">
      <x:c r="A779" s="26"/>
    </x:row>
    <x:row r="780">
      <x:c r="A780" s="26"/>
    </x:row>
    <x:row r="781">
      <x:c r="A781" s="26"/>
    </x:row>
    <x:row r="782">
      <x:c r="A782" s="26"/>
    </x:row>
    <x:row r="783">
      <x:c r="A783" s="26"/>
    </x:row>
    <x:row r="784">
      <x:c r="A784" s="26"/>
    </x:row>
    <x:row r="785">
      <x:c r="A785" s="26"/>
    </x:row>
    <x:row r="786">
      <x:c r="A786" s="26"/>
    </x:row>
    <x:row r="787">
      <x:c r="A787" s="26"/>
    </x:row>
    <x:row r="788">
      <x:c r="A788" s="26"/>
    </x:row>
    <x:row r="789">
      <x:c r="A789" s="26"/>
    </x:row>
    <x:row r="790">
      <x:c r="A790" s="26"/>
    </x:row>
    <x:row r="791">
      <x:c r="A791" s="26"/>
    </x:row>
    <x:row r="792">
      <x:c r="A792" s="26"/>
    </x:row>
    <x:row r="793">
      <x:c r="A793" s="26"/>
    </x:row>
    <x:row r="794">
      <x:c r="A794" s="26"/>
    </x:row>
    <x:row r="795">
      <x:c r="A795" s="26"/>
    </x:row>
    <x:row r="796">
      <x:c r="A796" s="26"/>
    </x:row>
    <x:row r="797">
      <x:c r="A797" s="26"/>
    </x:row>
    <x:row r="798">
      <x:c r="A798" s="26"/>
    </x:row>
    <x:row r="799">
      <x:c r="A799" s="26"/>
    </x:row>
    <x:row r="800">
      <x:c r="A800" s="26"/>
    </x:row>
    <x:row r="801">
      <x:c r="A801" s="26"/>
    </x:row>
    <x:row r="802">
      <x:c r="A802" s="26"/>
    </x:row>
    <x:row r="803">
      <x:c r="A803" s="26"/>
    </x:row>
    <x:row r="804">
      <x:c r="A804" s="26"/>
    </x:row>
    <x:row r="805">
      <x:c r="A805" s="26"/>
    </x:row>
    <x:row r="806">
      <x:c r="A806" s="26"/>
    </x:row>
    <x:row r="807">
      <x:c r="A807" s="26"/>
    </x:row>
    <x:row r="808">
      <x:c r="A808" s="26"/>
    </x:row>
    <x:row r="809">
      <x:c r="A809" s="26"/>
    </x:row>
    <x:row r="810">
      <x:c r="A810" s="26"/>
    </x:row>
    <x:row r="811">
      <x:c r="A811" s="26"/>
    </x:row>
    <x:row r="812">
      <x:c r="A812" s="26"/>
    </x:row>
    <x:row r="813">
      <x:c r="A813" s="26"/>
    </x:row>
    <x:row r="814">
      <x:c r="A814" s="26"/>
    </x:row>
    <x:row r="815">
      <x:c r="A815" s="26"/>
    </x:row>
    <x:row r="816">
      <x:c r="A816" s="26"/>
    </x:row>
    <x:row r="817">
      <x:c r="A817" s="26"/>
    </x:row>
    <x:row r="818">
      <x:c r="A818" s="26"/>
    </x:row>
    <x:row r="819">
      <x:c r="A819" s="26"/>
    </x:row>
    <x:row r="820">
      <x:c r="A820" s="26"/>
    </x:row>
    <x:row r="821">
      <x:c r="A821" s="26"/>
    </x:row>
    <x:row r="822">
      <x:c r="A822" s="26"/>
    </x:row>
    <x:row r="823">
      <x:c r="A823" s="26"/>
    </x:row>
    <x:row r="824">
      <x:c r="A824" s="26"/>
    </x:row>
    <x:row r="825">
      <x:c r="A825" s="26"/>
    </x:row>
    <x:row r="826">
      <x:c r="A826" s="26"/>
    </x:row>
    <x:row r="827">
      <x:c r="A827" s="26"/>
    </x:row>
    <x:row r="828">
      <x:c r="A828" s="26"/>
    </x:row>
    <x:row r="829">
      <x:c r="A829" s="26"/>
    </x:row>
    <x:row r="830">
      <x:c r="A830" s="26"/>
    </x:row>
    <x:row r="831">
      <x:c r="A831" s="26"/>
    </x:row>
    <x:row r="832">
      <x:c r="A832" s="26"/>
    </x:row>
    <x:row r="833">
      <x:c r="A833" s="26"/>
    </x:row>
    <x:row r="834">
      <x:c r="A834" s="26"/>
    </x:row>
    <x:row r="835">
      <x:c r="A835" s="26"/>
    </x:row>
    <x:row r="836">
      <x:c r="A836" s="26"/>
    </x:row>
    <x:row r="837">
      <x:c r="A837" s="26"/>
    </x:row>
    <x:row r="838">
      <x:c r="A838" s="26"/>
    </x:row>
    <x:row r="839">
      <x:c r="A839" s="26"/>
    </x:row>
    <x:row r="840">
      <x:c r="A840" s="26"/>
    </x:row>
    <x:row r="841">
      <x:c r="A841" s="26"/>
    </x:row>
    <x:row r="842">
      <x:c r="A842" s="26"/>
    </x:row>
    <x:row r="843">
      <x:c r="A843" s="26"/>
    </x:row>
    <x:row r="844">
      <x:c r="A844" s="26"/>
    </x:row>
    <x:row r="845">
      <x:c r="A845" s="26"/>
    </x:row>
    <x:row r="846">
      <x:c r="A846" s="26"/>
    </x:row>
    <x:row r="847">
      <x:c r="A847" s="26"/>
    </x:row>
    <x:row r="848">
      <x:c r="A848" s="26"/>
    </x:row>
    <x:row r="849">
      <x:c r="A849" s="26"/>
    </x:row>
    <x:row r="850">
      <x:c r="A850" s="26"/>
    </x:row>
    <x:row r="851">
      <x:c r="A851" s="26"/>
    </x:row>
    <x:row r="852">
      <x:c r="A852" s="26"/>
    </x:row>
    <x:row r="853">
      <x:c r="A853" s="26"/>
    </x:row>
    <x:row r="854">
      <x:c r="A854" s="26"/>
    </x:row>
    <x:row r="855">
      <x:c r="A855" s="26"/>
    </x:row>
    <x:row r="856">
      <x:c r="A856" s="26"/>
    </x:row>
    <x:row r="857">
      <x:c r="A857" s="26"/>
    </x:row>
    <x:row r="858">
      <x:c r="A858" s="26"/>
    </x:row>
    <x:row r="859">
      <x:c r="A859" s="26"/>
    </x:row>
    <x:row r="860">
      <x:c r="A860" s="26"/>
    </x:row>
    <x:row r="861">
      <x:c r="A861" s="26"/>
    </x:row>
    <x:row r="862">
      <x:c r="A862" s="26"/>
    </x:row>
    <x:row r="863">
      <x:c r="A863" s="26"/>
    </x:row>
    <x:row r="864">
      <x:c r="A864" s="26"/>
    </x:row>
    <x:row r="865">
      <x:c r="A865" s="26"/>
    </x:row>
    <x:row r="866">
      <x:c r="A866" s="26"/>
    </x:row>
    <x:row r="867">
      <x:c r="A867" s="26"/>
    </x:row>
    <x:row r="868">
      <x:c r="A868" s="26"/>
    </x:row>
    <x:row r="869">
      <x:c r="A869" s="26"/>
    </x:row>
    <x:row r="870">
      <x:c r="A870" s="26"/>
    </x:row>
    <x:row r="871">
      <x:c r="A871" s="26"/>
    </x:row>
    <x:row r="872">
      <x:c r="A872" s="26"/>
    </x:row>
    <x:row r="873">
      <x:c r="A873" s="26"/>
    </x:row>
    <x:row r="874">
      <x:c r="A874" s="26"/>
    </x:row>
    <x:row r="875">
      <x:c r="A875" s="26"/>
    </x:row>
    <x:row r="876">
      <x:c r="A876" s="26"/>
    </x:row>
    <x:row r="877">
      <x:c r="A877" s="26"/>
    </x:row>
    <x:row r="878">
      <x:c r="A878" s="26"/>
    </x:row>
    <x:row r="879">
      <x:c r="A879" s="26"/>
    </x:row>
    <x:row r="880">
      <x:c r="A880" s="26"/>
    </x:row>
    <x:row r="881">
      <x:c r="A881" s="26"/>
    </x:row>
    <x:row r="882">
      <x:c r="A882" s="26"/>
    </x:row>
    <x:row r="883">
      <x:c r="A883" s="26"/>
    </x:row>
    <x:row r="884">
      <x:c r="A884" s="26"/>
    </x:row>
    <x:row r="885">
      <x:c r="A885" s="26"/>
    </x:row>
    <x:row r="886">
      <x:c r="A886" s="26"/>
    </x:row>
    <x:row r="887">
      <x:c r="A887" s="26"/>
    </x:row>
    <x:row r="888">
      <x:c r="A888" s="26"/>
    </x:row>
    <x:row r="889">
      <x:c r="A889" s="26"/>
    </x:row>
    <x:row r="890">
      <x:c r="A890" s="26"/>
    </x:row>
    <x:row r="891">
      <x:c r="A891" s="26"/>
    </x:row>
    <x:row r="892">
      <x:c r="A892" s="26"/>
    </x:row>
    <x:row r="893">
      <x:c r="A893" s="26"/>
    </x:row>
    <x:row r="894">
      <x:c r="A894" s="26"/>
    </x:row>
    <x:row r="895">
      <x:c r="A895" s="26"/>
    </x:row>
    <x:row r="896">
      <x:c r="A896" s="26"/>
    </x:row>
    <x:row r="897">
      <x:c r="A897" s="26"/>
    </x:row>
    <x:row r="898">
      <x:c r="A898" s="26"/>
    </x:row>
    <x:row r="899">
      <x:c r="A899" s="26"/>
    </x:row>
    <x:row r="900">
      <x:c r="A900" s="26"/>
    </x:row>
    <x:row r="901">
      <x:c r="A901" s="26"/>
    </x:row>
    <x:row r="902">
      <x:c r="A902" s="26"/>
    </x:row>
    <x:row r="903">
      <x:c r="A903" s="26"/>
    </x:row>
    <x:row r="904">
      <x:c r="A904" s="26"/>
    </x:row>
    <x:row r="905">
      <x:c r="A905" s="26"/>
    </x:row>
    <x:row r="906">
      <x:c r="A906" s="26"/>
    </x:row>
    <x:row r="907">
      <x:c r="A907" s="26"/>
    </x:row>
    <x:row r="908">
      <x:c r="A908" s="26"/>
    </x:row>
    <x:row r="909">
      <x:c r="A909" s="26"/>
    </x:row>
    <x:row r="910">
      <x:c r="A910" s="26"/>
    </x:row>
    <x:row r="911">
      <x:c r="A911" s="26"/>
    </x:row>
    <x:row r="912">
      <x:c r="A912" s="26"/>
    </x:row>
    <x:row r="913">
      <x:c r="A913" s="26"/>
    </x:row>
    <x:row r="914">
      <x:c r="A914" s="26"/>
    </x:row>
    <x:row r="915">
      <x:c r="A915" s="26"/>
    </x:row>
    <x:row r="916">
      <x:c r="A916" s="26"/>
    </x:row>
    <x:row r="917">
      <x:c r="A917" s="26"/>
    </x:row>
    <x:row r="918">
      <x:c r="A918" s="26"/>
    </x:row>
    <x:row r="919">
      <x:c r="A919" s="26"/>
    </x:row>
    <x:row r="920">
      <x:c r="A920" s="26"/>
    </x:row>
    <x:row r="921">
      <x:c r="A921" s="26"/>
    </x:row>
    <x:row r="922">
      <x:c r="A922" s="26"/>
    </x:row>
    <x:row r="923">
      <x:c r="A923" s="26"/>
    </x:row>
    <x:row r="924">
      <x:c r="A924" s="26"/>
    </x:row>
    <x:row r="925">
      <x:c r="A925" s="26"/>
    </x:row>
    <x:row r="926">
      <x:c r="A926" s="26"/>
    </x:row>
    <x:row r="927">
      <x:c r="A927" s="26"/>
    </x:row>
    <x:row r="928">
      <x:c r="A928" s="26"/>
    </x:row>
    <x:row r="929">
      <x:c r="A929" s="26"/>
    </x:row>
    <x:row r="930">
      <x:c r="A930" s="26"/>
    </x:row>
    <x:row r="931">
      <x:c r="A931" s="26"/>
    </x:row>
    <x:row r="932">
      <x:c r="A932" s="26"/>
    </x:row>
    <x:row r="933">
      <x:c r="A933" s="26"/>
    </x:row>
    <x:row r="934">
      <x:c r="A934" s="26"/>
    </x:row>
    <x:row r="935">
      <x:c r="A935" s="26"/>
    </x:row>
    <x:row r="936">
      <x:c r="A936" s="26"/>
    </x:row>
    <x:row r="937">
      <x:c r="A937" s="26"/>
    </x:row>
    <x:row r="938">
      <x:c r="A938" s="26"/>
    </x:row>
    <x:row r="939">
      <x:c r="A939" s="26"/>
    </x:row>
    <x:row r="940">
      <x:c r="A940" s="26"/>
    </x:row>
    <x:row r="941">
      <x:c r="A941" s="26"/>
    </x:row>
    <x:row r="942">
      <x:c r="A942" s="26"/>
    </x:row>
    <x:row r="943">
      <x:c r="A943" s="26"/>
    </x:row>
    <x:row r="944">
      <x:c r="A944" s="26"/>
    </x:row>
    <x:row r="945">
      <x:c r="A945" s="26"/>
    </x:row>
    <x:row r="946">
      <x:c r="A946" s="26"/>
    </x:row>
    <x:row r="947">
      <x:c r="A947" s="26"/>
    </x:row>
    <x:row r="948">
      <x:c r="A948" s="26"/>
    </x:row>
    <x:row r="949">
      <x:c r="A949" s="26"/>
    </x:row>
    <x:row r="950">
      <x:c r="A950" s="26"/>
    </x:row>
    <x:row r="951">
      <x:c r="A951" s="26"/>
    </x:row>
    <x:row r="952">
      <x:c r="A952" s="26"/>
    </x:row>
    <x:row r="953">
      <x:c r="A953" s="26"/>
    </x:row>
    <x:row r="954">
      <x:c r="A954" s="26"/>
    </x:row>
    <x:row r="955">
      <x:c r="A955" s="26"/>
    </x:row>
    <x:row r="956">
      <x:c r="A956" s="26"/>
    </x:row>
    <x:row r="957">
      <x:c r="A957" s="26"/>
    </x:row>
    <x:row r="958">
      <x:c r="A958" s="26"/>
    </x:row>
    <x:row r="959">
      <x:c r="A959" s="26"/>
    </x:row>
    <x:row r="960">
      <x:c r="A960" s="26"/>
    </x:row>
    <x:row r="961">
      <x:c r="A961" s="26"/>
    </x:row>
    <x:row r="962">
      <x:c r="A962" s="26"/>
    </x:row>
    <x:row r="963">
      <x:c r="A963" s="26"/>
    </x:row>
    <x:row r="964">
      <x:c r="A964" s="26"/>
    </x:row>
    <x:row r="965">
      <x:c r="A965" s="26"/>
    </x:row>
    <x:row r="966">
      <x:c r="A966" s="26"/>
    </x:row>
    <x:row r="967">
      <x:c r="A967" s="26"/>
    </x:row>
    <x:row r="968">
      <x:c r="A968" s="26"/>
    </x:row>
    <x:row r="969">
      <x:c r="A969" s="26"/>
    </x:row>
    <x:row r="970">
      <x:c r="A970" s="26"/>
    </x:row>
    <x:row r="971">
      <x:c r="A971" s="26"/>
    </x:row>
    <x:row r="972">
      <x:c r="A972" s="26"/>
    </x:row>
    <x:row r="973">
      <x:c r="A973" s="26"/>
    </x:row>
    <x:row r="974">
      <x:c r="A974" s="26"/>
    </x:row>
    <x:row r="975">
      <x:c r="A975" s="26"/>
    </x:row>
    <x:row r="976">
      <x:c r="A976" s="26"/>
    </x:row>
    <x:row r="977">
      <x:c r="A977" s="26"/>
    </x:row>
    <x:row r="978">
      <x:c r="A978" s="26"/>
    </x:row>
    <x:row r="979">
      <x:c r="A979" s="26"/>
    </x:row>
    <x:row r="980">
      <x:c r="A980" s="26"/>
    </x:row>
    <x:row r="981">
      <x:c r="A981" s="26"/>
    </x:row>
    <x:row r="982">
      <x:c r="A982" s="26"/>
    </x:row>
    <x:row r="983">
      <x:c r="A983" s="26"/>
    </x:row>
    <x:row r="984">
      <x:c r="A984" s="26"/>
    </x:row>
    <x:row r="985">
      <x:c r="A985" s="26"/>
    </x:row>
    <x:row r="986">
      <x:c r="A986" s="26"/>
    </x:row>
    <x:row r="987">
      <x:c r="A987" s="26"/>
    </x:row>
    <x:row r="988">
      <x:c r="A988" s="26"/>
    </x:row>
    <x:row r="989">
      <x:c r="A989" s="26"/>
    </x:row>
    <x:row r="990">
      <x:c r="A990" s="26"/>
    </x:row>
    <x:row r="991">
      <x:c r="A991" s="26"/>
    </x:row>
    <x:row r="992">
      <x:c r="A992" s="26"/>
    </x:row>
    <x:row r="993">
      <x:c r="A993" s="26"/>
    </x:row>
    <x:row r="994">
      <x:c r="A994" s="26"/>
    </x:row>
    <x:row r="995">
      <x:c r="A995" s="26"/>
    </x:row>
    <x:row r="996">
      <x:c r="A996" s="26"/>
    </x:row>
    <x:row r="997">
      <x:c r="A997" s="26"/>
    </x:row>
    <x:row r="998">
      <x:c r="A998" s="26"/>
    </x:row>
    <x:row r="999">
      <x:c r="A999" s="26"/>
    </x:row>
    <x:row r="1000">
      <x:c r="A1000" s="26"/>
    </x:row>
  </x:sheetData>
  <x:dataValidations count="2">
    <x:dataValidation type="list" sqref="B2:B1000">
      <x:formula1>"PRODUCTO NO ENCONTRADO,LOTE NO ENCONTRADO,FECHA DIFERENTE,UBICACIÓN NO REGISTRADA,CÓDIGO FALTANTE,OTRA"</x:formula1>
    </x:dataValidation>
    <x:dataValidation type="list" sqref="H2:H1000">
      <x:formula1>"PENDIENTE,REVISADO,CORREGIDO"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77.77999877929688" hidden="0" customWidth="1"/>
  </x:cols>
  <x:sheetData>
    <x:row r="1" ht="36" customHeight="1">
      <x:c r="A1" s="35" t="str">
        <x:v>APP DE INVENTARIO – GUÍA DE PREPARACIÓN</x:v>
      </x:c>
      <x:c r="B1" s="35"/>
    </x:row>
    <x:row r="3">
      <x:c r="A3" s="36" t="str">
        <x:v>Paso</x:v>
      </x:c>
      <x:c r="B3" s="37" t="str">
        <x:v>Acción</x:v>
      </x:c>
    </x:row>
    <x:row r="4" ht="34" customHeight="1">
      <x:c r="A4" s="40" t="n">
        <x:v>1</x:v>
      </x:c>
      <x:c r="B4" s="42" t="str">
        <x:v>Suba este archivo a Google Drive y ábralo con Hojas de cálculo de Google.</x:v>
      </x:c>
    </x:row>
    <x:row r="5" ht="34" customHeight="1">
      <x:c r="A5" s="40" t="n">
        <x:v>2</x:v>
      </x:c>
      <x:c r="B5" s="42" t="str">
        <x:v>Complete Código de barras producto en STOCK_SISTEMA cuando sea diferente de la referencia interna.</x:v>
      </x:c>
    </x:row>
    <x:row r="6" ht="34" customHeight="1">
      <x:c r="A6" s="40" t="n">
        <x:v>3</x:v>
      </x:c>
      <x:c r="B6" s="42" t="str">
        <x:v>Registre todas las ubicaciones y sus códigos de barras en UBICACIONES.</x:v>
      </x:c>
    </x:row>
    <x:row r="7" ht="34" customHeight="1">
      <x:c r="A7" s="40" t="n">
        <x:v>4</x:v>
      </x:c>
      <x:c r="B7" s="42" t="str">
        <x:v>La aplicación web guardará una fila por producto, lote y ubicación en CONTEOS.</x:v>
      </x:c>
    </x:row>
    <x:row r="8" ht="34" customHeight="1">
      <x:c r="A8" s="40" t="n">
        <x:v>5</x:v>
      </x:c>
      <x:c r="B8" s="42" t="str">
        <x:v>RESUMEN_AJUSTE totaliza el conteo por referencia y lote y calcula la diferencia.</x:v>
      </x:c>
    </x:row>
    <x:row r="9" ht="34" customHeight="1">
      <x:c r="A9" s="40" t="n">
        <x:v>6</x:v>
      </x:c>
      <x:c r="B9" s="42" t="str">
        <x:v>Revise faltantes, sobrantes y datos no reconocidos antes de efectuar ajustes en Odoo.</x:v>
      </x:c>
    </x:row>
    <x:row r="10" ht="34" customHeight="1">
      <x:c r="A10" s="41" t="n">
        <x:v>7</x:v>
      </x:c>
      <x:c r="B10" s="43" t="str">
        <x:v>No modifique los encabezados: serán utilizados por la aplicación web.</x:v>
      </x:c>
    </x:row>
  </x:sheetData>
  <x:mergeCells>
    <x:mergeCell ref="A1:B1"/>
  </x:mergeCells>
  <x:pageMargins left="0.7" right="0.7" top="0.75" bottom="0.75" header="0.3" footer="0.3"/>
</x:worksheet>
</file>