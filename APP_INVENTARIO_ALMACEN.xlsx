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hristianMedina\Downloads\Reporte_Facturas_Proveedor_Odoo16\"/>
    </mc:Choice>
  </mc:AlternateContent>
  <xr:revisionPtr revIDLastSave="0" documentId="13_ncr:1_{C4FF01F9-3559-4D10-B2A2-5EF18E241D3D}" xr6:coauthVersionLast="47" xr6:coauthVersionMax="47" xr10:uidLastSave="{00000000-0000-0000-0000-000000000000}"/>
  <bookViews>
    <workbookView xWindow="-96" yWindow="0" windowWidth="11712" windowHeight="13776" xr2:uid="{00000000-000D-0000-FFFF-FFFF00000000}"/>
  </bookViews>
  <sheets>
    <sheet name="STOCK_SISTEMA" sheetId="1" r:id="rId1"/>
    <sheet name="UBICACIONES" sheetId="2" r:id="rId2"/>
    <sheet name="CONTEOS" sheetId="3" r:id="rId3"/>
    <sheet name="RESUMEN_AJUSTE" sheetId="4" r:id="rId4"/>
    <sheet name="INCIDENCIAS" sheetId="5" r:id="rId5"/>
    <sheet name="GUIA_USO" sheetId="6" r:id="rId6"/>
  </sheets>
  <definedNames>
    <definedName name="_xlnm._FilterDatabase" localSheetId="1" hidden="1">UBICACIONES!$A$1:$E$1660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38" i="1" l="1"/>
  <c r="J338" i="1"/>
  <c r="I339" i="1"/>
  <c r="J339" i="1"/>
  <c r="I340" i="1"/>
  <c r="J340" i="1"/>
  <c r="I341" i="1"/>
  <c r="J341" i="1"/>
  <c r="I342" i="1"/>
  <c r="J342" i="1"/>
  <c r="I343" i="1"/>
  <c r="J343" i="1"/>
  <c r="I344" i="1"/>
  <c r="J344" i="1"/>
  <c r="I345" i="1"/>
  <c r="J345" i="1"/>
  <c r="I346" i="1"/>
  <c r="J346" i="1"/>
  <c r="I347" i="1"/>
  <c r="J347" i="1"/>
  <c r="I348" i="1"/>
  <c r="J348" i="1"/>
  <c r="I349" i="1"/>
  <c r="J349" i="1"/>
  <c r="I350" i="1"/>
  <c r="J350" i="1"/>
  <c r="I351" i="1"/>
  <c r="J351" i="1"/>
  <c r="I352" i="1"/>
  <c r="J352" i="1"/>
  <c r="I353" i="1"/>
  <c r="J353" i="1"/>
  <c r="I354" i="1"/>
  <c r="J354" i="1"/>
  <c r="I355" i="1"/>
  <c r="J355" i="1"/>
  <c r="I356" i="1"/>
  <c r="J356" i="1"/>
  <c r="I357" i="1"/>
  <c r="J357" i="1"/>
  <c r="I358" i="1"/>
  <c r="J358" i="1"/>
  <c r="I359" i="1"/>
  <c r="J359" i="1"/>
  <c r="I360" i="1"/>
  <c r="J360" i="1"/>
  <c r="I361" i="1"/>
  <c r="J361" i="1"/>
  <c r="I362" i="1"/>
  <c r="J362" i="1"/>
  <c r="I363" i="1"/>
  <c r="J363" i="1"/>
  <c r="I364" i="1"/>
  <c r="J364" i="1"/>
  <c r="I365" i="1"/>
  <c r="J365" i="1"/>
  <c r="I366" i="1"/>
  <c r="J366" i="1"/>
  <c r="I367" i="1"/>
  <c r="J367" i="1"/>
  <c r="I368" i="1"/>
  <c r="J368" i="1"/>
  <c r="I369" i="1"/>
  <c r="J369" i="1"/>
  <c r="I370" i="1"/>
  <c r="J370" i="1"/>
  <c r="I371" i="1"/>
  <c r="J371" i="1"/>
  <c r="I372" i="1"/>
  <c r="J372" i="1"/>
  <c r="I373" i="1"/>
  <c r="J373" i="1"/>
  <c r="I374" i="1"/>
  <c r="J374" i="1"/>
  <c r="I375" i="1"/>
  <c r="J375" i="1"/>
  <c r="I376" i="1"/>
  <c r="J376" i="1"/>
  <c r="I377" i="1"/>
  <c r="J377" i="1"/>
  <c r="I378" i="1"/>
  <c r="J378" i="1"/>
  <c r="I379" i="1"/>
  <c r="J379" i="1"/>
  <c r="I380" i="1"/>
  <c r="J380" i="1"/>
  <c r="I381" i="1"/>
  <c r="J381" i="1"/>
  <c r="I382" i="1"/>
  <c r="J382" i="1"/>
  <c r="I383" i="1"/>
  <c r="J383" i="1"/>
  <c r="I384" i="1"/>
  <c r="J384" i="1"/>
  <c r="I385" i="1"/>
  <c r="J385" i="1"/>
  <c r="I386" i="1"/>
  <c r="J386" i="1"/>
  <c r="I387" i="1"/>
  <c r="J387" i="1"/>
  <c r="I388" i="1"/>
  <c r="J388" i="1"/>
  <c r="I389" i="1"/>
  <c r="J389" i="1"/>
  <c r="I390" i="1"/>
  <c r="J390" i="1"/>
  <c r="I391" i="1"/>
  <c r="J391" i="1"/>
  <c r="I392" i="1"/>
  <c r="J392" i="1"/>
  <c r="I393" i="1"/>
  <c r="J393" i="1"/>
  <c r="I394" i="1"/>
  <c r="J394" i="1"/>
  <c r="I395" i="1"/>
  <c r="J395" i="1"/>
  <c r="I396" i="1"/>
  <c r="J396" i="1"/>
  <c r="I397" i="1"/>
  <c r="J397" i="1"/>
  <c r="I398" i="1"/>
  <c r="J398" i="1"/>
  <c r="I399" i="1"/>
  <c r="J399" i="1"/>
  <c r="I400" i="1"/>
  <c r="J400" i="1"/>
  <c r="I401" i="1"/>
  <c r="J401" i="1"/>
  <c r="I402" i="1"/>
  <c r="J402" i="1"/>
  <c r="I403" i="1"/>
  <c r="J403" i="1"/>
  <c r="I404" i="1"/>
  <c r="J404" i="1"/>
  <c r="I405" i="1"/>
  <c r="J405" i="1"/>
  <c r="I406" i="1"/>
  <c r="J406" i="1"/>
  <c r="I407" i="1"/>
  <c r="J407" i="1"/>
  <c r="I408" i="1"/>
  <c r="J408" i="1"/>
  <c r="I409" i="1"/>
  <c r="J409" i="1"/>
  <c r="I410" i="1"/>
  <c r="J410" i="1"/>
  <c r="I411" i="1"/>
  <c r="J411" i="1"/>
  <c r="I412" i="1"/>
  <c r="J412" i="1"/>
  <c r="I413" i="1"/>
  <c r="J413" i="1"/>
  <c r="I414" i="1"/>
  <c r="J414" i="1"/>
  <c r="I415" i="1"/>
  <c r="J415" i="1"/>
  <c r="I416" i="1"/>
  <c r="J416" i="1"/>
  <c r="I417" i="1"/>
  <c r="J417" i="1"/>
  <c r="I418" i="1"/>
  <c r="J418" i="1"/>
  <c r="I419" i="1"/>
  <c r="J419" i="1"/>
  <c r="I420" i="1"/>
  <c r="J420" i="1"/>
  <c r="I421" i="1"/>
  <c r="J421" i="1"/>
  <c r="I422" i="1"/>
  <c r="J422" i="1"/>
  <c r="I423" i="1"/>
  <c r="J423" i="1"/>
  <c r="I424" i="1"/>
  <c r="J424" i="1"/>
  <c r="I425" i="1"/>
  <c r="J425" i="1"/>
  <c r="I426" i="1"/>
  <c r="J426" i="1"/>
  <c r="I427" i="1"/>
  <c r="J427" i="1"/>
  <c r="I428" i="1"/>
  <c r="J428" i="1"/>
  <c r="I429" i="1"/>
  <c r="J429" i="1"/>
  <c r="I430" i="1"/>
  <c r="J430" i="1"/>
  <c r="I431" i="1"/>
  <c r="J431" i="1"/>
  <c r="I432" i="1"/>
  <c r="J432" i="1"/>
  <c r="I433" i="1"/>
  <c r="J433" i="1"/>
  <c r="I434" i="1"/>
  <c r="J434" i="1"/>
  <c r="I435" i="1"/>
  <c r="J435" i="1"/>
  <c r="I436" i="1"/>
  <c r="J436" i="1"/>
  <c r="I437" i="1"/>
  <c r="J437" i="1"/>
  <c r="I438" i="1"/>
  <c r="J438" i="1"/>
  <c r="I439" i="1"/>
  <c r="J439" i="1"/>
  <c r="I440" i="1"/>
  <c r="J440" i="1"/>
  <c r="I441" i="1"/>
  <c r="J441" i="1"/>
  <c r="I442" i="1"/>
  <c r="J442" i="1"/>
  <c r="I443" i="1"/>
  <c r="J443" i="1"/>
  <c r="I444" i="1"/>
  <c r="J444" i="1"/>
  <c r="I445" i="1"/>
  <c r="J445" i="1"/>
  <c r="I446" i="1"/>
  <c r="J446" i="1"/>
  <c r="I447" i="1"/>
  <c r="J447" i="1"/>
  <c r="I448" i="1"/>
  <c r="J448" i="1"/>
  <c r="I449" i="1"/>
  <c r="J449" i="1"/>
  <c r="I450" i="1"/>
  <c r="J450" i="1"/>
  <c r="I451" i="1"/>
  <c r="J451" i="1"/>
  <c r="I452" i="1"/>
  <c r="J452" i="1"/>
  <c r="I453" i="1"/>
  <c r="J453" i="1"/>
  <c r="I454" i="1"/>
  <c r="J454" i="1"/>
  <c r="I455" i="1"/>
  <c r="J455" i="1"/>
  <c r="I456" i="1"/>
  <c r="J456" i="1"/>
  <c r="I457" i="1"/>
  <c r="J457" i="1"/>
  <c r="I458" i="1"/>
  <c r="J458" i="1"/>
  <c r="I459" i="1"/>
  <c r="J459" i="1"/>
  <c r="I460" i="1"/>
  <c r="J460" i="1"/>
  <c r="I461" i="1"/>
  <c r="J461" i="1"/>
  <c r="I462" i="1"/>
  <c r="J462" i="1"/>
  <c r="I463" i="1"/>
  <c r="J463" i="1"/>
  <c r="I464" i="1"/>
  <c r="J464" i="1"/>
  <c r="I465" i="1"/>
  <c r="J465" i="1"/>
  <c r="I466" i="1"/>
  <c r="J466" i="1"/>
  <c r="I467" i="1"/>
  <c r="J467" i="1"/>
  <c r="I468" i="1"/>
  <c r="J468" i="1"/>
  <c r="I469" i="1"/>
  <c r="J469" i="1"/>
  <c r="I470" i="1"/>
  <c r="J470" i="1"/>
  <c r="I471" i="1"/>
  <c r="J471" i="1"/>
  <c r="I472" i="1"/>
  <c r="J472" i="1"/>
  <c r="I473" i="1"/>
  <c r="J473" i="1"/>
  <c r="I474" i="1"/>
  <c r="J474" i="1"/>
  <c r="I475" i="1"/>
  <c r="J475" i="1"/>
  <c r="I476" i="1"/>
  <c r="J476" i="1"/>
  <c r="I477" i="1"/>
  <c r="J477" i="1"/>
  <c r="I478" i="1"/>
  <c r="J478" i="1"/>
  <c r="I479" i="1"/>
  <c r="J479" i="1"/>
  <c r="I480" i="1"/>
  <c r="J480" i="1"/>
  <c r="I481" i="1"/>
  <c r="J481" i="1"/>
  <c r="I482" i="1"/>
  <c r="J482" i="1"/>
  <c r="I483" i="1"/>
  <c r="J483" i="1"/>
  <c r="I484" i="1"/>
  <c r="J484" i="1"/>
  <c r="I485" i="1"/>
  <c r="J485" i="1"/>
  <c r="I486" i="1"/>
  <c r="J486" i="1"/>
  <c r="I487" i="1"/>
  <c r="J487" i="1"/>
  <c r="I488" i="1"/>
  <c r="J488" i="1"/>
  <c r="I489" i="1"/>
  <c r="J489" i="1"/>
  <c r="I490" i="1"/>
  <c r="J490" i="1"/>
  <c r="I491" i="1"/>
  <c r="J491" i="1"/>
  <c r="I492" i="1"/>
  <c r="J492" i="1"/>
  <c r="I493" i="1"/>
  <c r="J493" i="1"/>
  <c r="I494" i="1"/>
  <c r="J494" i="1"/>
  <c r="I495" i="1"/>
  <c r="J495" i="1"/>
  <c r="I496" i="1"/>
  <c r="J496" i="1"/>
  <c r="I497" i="1"/>
  <c r="J497" i="1"/>
  <c r="I498" i="1"/>
  <c r="J498" i="1"/>
  <c r="I499" i="1"/>
  <c r="J499" i="1"/>
  <c r="I500" i="1"/>
  <c r="J500" i="1"/>
  <c r="I501" i="1"/>
  <c r="J501" i="1"/>
  <c r="I502" i="1"/>
  <c r="J502" i="1"/>
  <c r="I503" i="1"/>
  <c r="J503" i="1"/>
  <c r="I504" i="1"/>
  <c r="J504" i="1"/>
  <c r="I505" i="1"/>
  <c r="J505" i="1"/>
  <c r="I506" i="1"/>
  <c r="J506" i="1"/>
  <c r="I507" i="1"/>
  <c r="J507" i="1"/>
  <c r="I508" i="1"/>
  <c r="J508" i="1"/>
  <c r="I509" i="1"/>
  <c r="J509" i="1"/>
  <c r="I510" i="1"/>
  <c r="J510" i="1"/>
  <c r="I511" i="1"/>
  <c r="J511" i="1"/>
  <c r="I512" i="1"/>
  <c r="J512" i="1"/>
  <c r="I513" i="1"/>
  <c r="J513" i="1"/>
  <c r="I514" i="1"/>
  <c r="J514" i="1"/>
  <c r="I515" i="1"/>
  <c r="J515" i="1"/>
  <c r="I516" i="1"/>
  <c r="J516" i="1"/>
  <c r="I517" i="1"/>
  <c r="J517" i="1"/>
  <c r="I518" i="1"/>
  <c r="J518" i="1"/>
  <c r="I519" i="1"/>
  <c r="J519" i="1"/>
  <c r="I520" i="1"/>
  <c r="J520" i="1"/>
  <c r="I521" i="1"/>
  <c r="J521" i="1"/>
  <c r="I522" i="1"/>
  <c r="J522" i="1"/>
  <c r="I523" i="1"/>
  <c r="J523" i="1"/>
  <c r="I524" i="1"/>
  <c r="J524" i="1"/>
  <c r="I525" i="1"/>
  <c r="J525" i="1"/>
  <c r="I526" i="1"/>
  <c r="J526" i="1"/>
  <c r="I527" i="1"/>
  <c r="J527" i="1"/>
  <c r="I528" i="1"/>
  <c r="J528" i="1"/>
  <c r="I529" i="1"/>
  <c r="J529" i="1"/>
  <c r="I530" i="1"/>
  <c r="J530" i="1"/>
  <c r="I531" i="1"/>
  <c r="J531" i="1"/>
  <c r="I532" i="1"/>
  <c r="J532" i="1"/>
  <c r="I533" i="1"/>
  <c r="J533" i="1"/>
  <c r="I534" i="1"/>
  <c r="J534" i="1"/>
  <c r="I535" i="1"/>
  <c r="J535" i="1"/>
  <c r="I536" i="1"/>
  <c r="J536" i="1"/>
  <c r="I537" i="1"/>
  <c r="J537" i="1"/>
  <c r="I538" i="1"/>
  <c r="J538" i="1"/>
  <c r="I539" i="1"/>
  <c r="J539" i="1"/>
  <c r="I540" i="1"/>
  <c r="J540" i="1"/>
  <c r="I541" i="1"/>
  <c r="J541" i="1"/>
  <c r="I542" i="1"/>
  <c r="J542" i="1"/>
  <c r="I543" i="1"/>
  <c r="J543" i="1"/>
  <c r="I544" i="1"/>
  <c r="J544" i="1"/>
  <c r="I545" i="1"/>
  <c r="J545" i="1"/>
  <c r="I546" i="1"/>
  <c r="J546" i="1"/>
  <c r="I547" i="1"/>
  <c r="J547" i="1"/>
  <c r="I548" i="1"/>
  <c r="J548" i="1"/>
  <c r="I549" i="1"/>
  <c r="J549" i="1"/>
  <c r="I550" i="1"/>
  <c r="J550" i="1"/>
  <c r="I551" i="1"/>
  <c r="J551" i="1"/>
  <c r="I552" i="1"/>
  <c r="J552" i="1"/>
  <c r="I553" i="1"/>
  <c r="J553" i="1"/>
  <c r="I554" i="1"/>
  <c r="J554" i="1"/>
  <c r="I555" i="1"/>
  <c r="J555" i="1"/>
  <c r="I556" i="1"/>
  <c r="J556" i="1"/>
  <c r="I557" i="1"/>
  <c r="J557" i="1"/>
  <c r="I558" i="1"/>
  <c r="J558" i="1"/>
  <c r="I559" i="1"/>
  <c r="J559" i="1"/>
  <c r="I560" i="1"/>
  <c r="J560" i="1"/>
  <c r="I561" i="1"/>
  <c r="J561" i="1"/>
  <c r="I562" i="1"/>
  <c r="J562" i="1"/>
  <c r="I563" i="1"/>
  <c r="J563" i="1"/>
  <c r="I564" i="1"/>
  <c r="J564" i="1"/>
  <c r="I565" i="1"/>
  <c r="J565" i="1"/>
  <c r="I566" i="1"/>
  <c r="J566" i="1"/>
  <c r="I567" i="1"/>
  <c r="J567" i="1"/>
  <c r="I568" i="1"/>
  <c r="J568" i="1"/>
  <c r="I569" i="1"/>
  <c r="J569" i="1"/>
  <c r="I570" i="1"/>
  <c r="J570" i="1"/>
  <c r="I571" i="1"/>
  <c r="J571" i="1"/>
  <c r="I572" i="1"/>
  <c r="J572" i="1"/>
  <c r="I573" i="1"/>
  <c r="J573" i="1"/>
  <c r="I574" i="1"/>
  <c r="J574" i="1"/>
  <c r="I575" i="1"/>
  <c r="J575" i="1"/>
  <c r="I576" i="1"/>
  <c r="J576" i="1"/>
  <c r="I577" i="1"/>
  <c r="J577" i="1"/>
  <c r="I578" i="1"/>
  <c r="J578" i="1"/>
  <c r="I579" i="1"/>
  <c r="J579" i="1"/>
  <c r="I580" i="1"/>
  <c r="J580" i="1"/>
  <c r="I581" i="1"/>
  <c r="J581" i="1"/>
  <c r="I582" i="1"/>
  <c r="J582" i="1"/>
  <c r="I583" i="1"/>
  <c r="J583" i="1"/>
  <c r="I584" i="1"/>
  <c r="J584" i="1"/>
  <c r="I585" i="1"/>
  <c r="J585" i="1"/>
  <c r="I586" i="1"/>
  <c r="J586" i="1"/>
  <c r="I587" i="1"/>
  <c r="J587" i="1"/>
  <c r="I588" i="1"/>
  <c r="J588" i="1"/>
  <c r="I589" i="1"/>
  <c r="J589" i="1"/>
  <c r="I590" i="1"/>
  <c r="J590" i="1"/>
  <c r="I591" i="1"/>
  <c r="J591" i="1"/>
  <c r="I592" i="1"/>
  <c r="J592" i="1"/>
  <c r="I593" i="1"/>
  <c r="J593" i="1"/>
  <c r="I594" i="1"/>
  <c r="J594" i="1"/>
  <c r="I595" i="1"/>
  <c r="J595" i="1"/>
  <c r="I596" i="1"/>
  <c r="J596" i="1"/>
  <c r="I597" i="1"/>
  <c r="J597" i="1"/>
  <c r="I598" i="1"/>
  <c r="J598" i="1"/>
  <c r="I599" i="1"/>
  <c r="J599" i="1"/>
  <c r="I600" i="1"/>
  <c r="J600" i="1"/>
  <c r="I601" i="1"/>
  <c r="J601" i="1"/>
  <c r="I602" i="1"/>
  <c r="J602" i="1"/>
  <c r="I603" i="1"/>
  <c r="J603" i="1"/>
  <c r="I604" i="1"/>
  <c r="J604" i="1"/>
  <c r="I605" i="1"/>
  <c r="J605" i="1"/>
  <c r="I606" i="1"/>
  <c r="J606" i="1"/>
  <c r="I607" i="1"/>
  <c r="J607" i="1"/>
  <c r="I608" i="1"/>
  <c r="J608" i="1"/>
  <c r="I609" i="1"/>
  <c r="J609" i="1"/>
  <c r="I610" i="1"/>
  <c r="J610" i="1"/>
  <c r="I611" i="1"/>
  <c r="J611" i="1"/>
  <c r="I612" i="1"/>
  <c r="J612" i="1"/>
  <c r="I613" i="1"/>
  <c r="J613" i="1"/>
  <c r="I614" i="1"/>
  <c r="J614" i="1"/>
  <c r="I615" i="1"/>
  <c r="J615" i="1"/>
  <c r="I616" i="1"/>
  <c r="J616" i="1"/>
  <c r="I617" i="1"/>
  <c r="J617" i="1"/>
  <c r="I618" i="1"/>
  <c r="J618" i="1"/>
  <c r="I619" i="1"/>
  <c r="J619" i="1"/>
  <c r="I620" i="1"/>
  <c r="J620" i="1"/>
  <c r="I621" i="1"/>
  <c r="J621" i="1"/>
  <c r="I622" i="1"/>
  <c r="J622" i="1"/>
  <c r="I623" i="1"/>
  <c r="J623" i="1"/>
  <c r="I624" i="1"/>
  <c r="J624" i="1"/>
  <c r="I625" i="1"/>
  <c r="J625" i="1"/>
  <c r="I626" i="1"/>
  <c r="J626" i="1"/>
  <c r="I627" i="1"/>
  <c r="J627" i="1"/>
  <c r="I628" i="1"/>
  <c r="J628" i="1"/>
  <c r="I629" i="1"/>
  <c r="J629" i="1"/>
  <c r="I630" i="1"/>
  <c r="J630" i="1"/>
  <c r="I631" i="1"/>
  <c r="J631" i="1"/>
  <c r="I632" i="1"/>
  <c r="J632" i="1"/>
  <c r="I633" i="1"/>
  <c r="J633" i="1"/>
  <c r="I634" i="1"/>
  <c r="J634" i="1"/>
  <c r="I635" i="1"/>
  <c r="J635" i="1"/>
  <c r="I636" i="1"/>
  <c r="J636" i="1"/>
  <c r="I637" i="1"/>
  <c r="J637" i="1"/>
  <c r="I638" i="1"/>
  <c r="J638" i="1"/>
  <c r="I639" i="1"/>
  <c r="J639" i="1"/>
  <c r="I640" i="1"/>
  <c r="J640" i="1"/>
  <c r="I641" i="1"/>
  <c r="J641" i="1"/>
  <c r="I642" i="1"/>
  <c r="J642" i="1"/>
  <c r="I643" i="1"/>
  <c r="J643" i="1"/>
  <c r="I644" i="1"/>
  <c r="J644" i="1"/>
  <c r="I645" i="1"/>
  <c r="J645" i="1"/>
  <c r="I646" i="1"/>
  <c r="J646" i="1"/>
  <c r="I647" i="1"/>
  <c r="J647" i="1"/>
  <c r="I648" i="1"/>
  <c r="J648" i="1"/>
  <c r="I649" i="1"/>
  <c r="J649" i="1"/>
  <c r="I650" i="1"/>
  <c r="J650" i="1"/>
  <c r="I651" i="1"/>
  <c r="J651" i="1"/>
  <c r="I652" i="1"/>
  <c r="J652" i="1"/>
  <c r="I653" i="1"/>
  <c r="J653" i="1"/>
  <c r="I654" i="1"/>
  <c r="J654" i="1"/>
  <c r="I655" i="1"/>
  <c r="J655" i="1"/>
  <c r="I656" i="1"/>
  <c r="J656" i="1"/>
  <c r="I657" i="1"/>
  <c r="J657" i="1"/>
  <c r="I658" i="1"/>
  <c r="J658" i="1"/>
  <c r="I659" i="1"/>
  <c r="J659" i="1"/>
  <c r="I660" i="1"/>
  <c r="J660" i="1"/>
  <c r="I661" i="1"/>
  <c r="J661" i="1"/>
  <c r="I662" i="1"/>
  <c r="J662" i="1"/>
  <c r="I663" i="1"/>
  <c r="J663" i="1"/>
  <c r="I664" i="1"/>
  <c r="J664" i="1"/>
  <c r="I665" i="1"/>
  <c r="J665" i="1"/>
  <c r="I666" i="1"/>
  <c r="J666" i="1"/>
  <c r="I667" i="1"/>
  <c r="J667" i="1"/>
  <c r="I668" i="1"/>
  <c r="J668" i="1"/>
  <c r="I669" i="1"/>
  <c r="J669" i="1"/>
  <c r="I670" i="1"/>
  <c r="J670" i="1"/>
  <c r="I671" i="1"/>
  <c r="J671" i="1"/>
  <c r="I672" i="1"/>
  <c r="J672" i="1"/>
  <c r="I673" i="1"/>
  <c r="J673" i="1"/>
  <c r="I674" i="1"/>
  <c r="J674" i="1"/>
  <c r="I675" i="1"/>
  <c r="J675" i="1"/>
  <c r="I676" i="1"/>
  <c r="J676" i="1"/>
  <c r="I677" i="1"/>
  <c r="J677" i="1"/>
  <c r="I678" i="1"/>
  <c r="J678" i="1"/>
  <c r="I679" i="1"/>
  <c r="J679" i="1"/>
  <c r="I680" i="1"/>
  <c r="J680" i="1"/>
  <c r="I681" i="1"/>
  <c r="J681" i="1"/>
  <c r="I682" i="1"/>
  <c r="J682" i="1"/>
  <c r="I683" i="1"/>
  <c r="J683" i="1"/>
  <c r="I684" i="1"/>
  <c r="J684" i="1"/>
  <c r="I685" i="1"/>
  <c r="J685" i="1"/>
  <c r="I686" i="1"/>
  <c r="J686" i="1"/>
  <c r="I687" i="1"/>
  <c r="J687" i="1"/>
  <c r="I688" i="1"/>
  <c r="J688" i="1"/>
  <c r="I689" i="1"/>
  <c r="J689" i="1"/>
  <c r="I690" i="1"/>
  <c r="J690" i="1"/>
  <c r="I691" i="1"/>
  <c r="J691" i="1"/>
  <c r="I692" i="1"/>
  <c r="J692" i="1"/>
  <c r="I693" i="1"/>
  <c r="J693" i="1"/>
  <c r="I694" i="1"/>
  <c r="J694" i="1"/>
  <c r="I695" i="1"/>
  <c r="J695" i="1"/>
  <c r="I696" i="1"/>
  <c r="J696" i="1"/>
  <c r="I697" i="1"/>
  <c r="J697" i="1"/>
  <c r="I698" i="1"/>
  <c r="J698" i="1"/>
  <c r="I699" i="1"/>
  <c r="J699" i="1"/>
  <c r="I700" i="1"/>
  <c r="J700" i="1"/>
  <c r="I701" i="1"/>
  <c r="J701" i="1"/>
  <c r="I702" i="1"/>
  <c r="J702" i="1"/>
  <c r="I703" i="1"/>
  <c r="J703" i="1"/>
  <c r="I704" i="1"/>
  <c r="J704" i="1"/>
  <c r="I705" i="1"/>
  <c r="J705" i="1"/>
  <c r="I706" i="1"/>
  <c r="J706" i="1"/>
  <c r="I707" i="1"/>
  <c r="J707" i="1"/>
  <c r="I708" i="1"/>
  <c r="J708" i="1"/>
  <c r="I709" i="1"/>
  <c r="J709" i="1"/>
  <c r="I710" i="1"/>
  <c r="J710" i="1"/>
  <c r="I711" i="1"/>
  <c r="J711" i="1"/>
  <c r="I712" i="1"/>
  <c r="J712" i="1"/>
  <c r="I713" i="1"/>
  <c r="J713" i="1"/>
  <c r="I714" i="1"/>
  <c r="J714" i="1"/>
  <c r="I715" i="1"/>
  <c r="J715" i="1"/>
  <c r="I716" i="1"/>
  <c r="J716" i="1"/>
  <c r="I717" i="1"/>
  <c r="J717" i="1"/>
  <c r="I718" i="1"/>
  <c r="J718" i="1"/>
  <c r="I719" i="1"/>
  <c r="J719" i="1"/>
  <c r="I720" i="1"/>
  <c r="J720" i="1"/>
  <c r="I721" i="1"/>
  <c r="J721" i="1"/>
  <c r="I722" i="1"/>
  <c r="J722" i="1"/>
  <c r="I723" i="1"/>
  <c r="J723" i="1"/>
  <c r="I724" i="1"/>
  <c r="J724" i="1"/>
  <c r="I725" i="1"/>
  <c r="J725" i="1"/>
  <c r="I726" i="1"/>
  <c r="J726" i="1"/>
  <c r="I727" i="1"/>
  <c r="J727" i="1"/>
  <c r="I728" i="1"/>
  <c r="J728" i="1"/>
  <c r="I729" i="1"/>
  <c r="J729" i="1"/>
  <c r="I730" i="1"/>
  <c r="J730" i="1"/>
  <c r="I731" i="1"/>
  <c r="J731" i="1"/>
  <c r="I732" i="1"/>
  <c r="J732" i="1"/>
  <c r="I733" i="1"/>
  <c r="J733" i="1"/>
  <c r="I734" i="1"/>
  <c r="J734" i="1"/>
  <c r="I735" i="1"/>
  <c r="J735" i="1"/>
  <c r="I736" i="1"/>
  <c r="J736" i="1"/>
  <c r="I737" i="1"/>
  <c r="J737" i="1"/>
  <c r="I738" i="1"/>
  <c r="J738" i="1"/>
  <c r="I739" i="1"/>
  <c r="J739" i="1"/>
  <c r="I740" i="1"/>
  <c r="J740" i="1"/>
  <c r="I741" i="1"/>
  <c r="J741" i="1"/>
  <c r="I742" i="1"/>
  <c r="J742" i="1"/>
  <c r="I743" i="1"/>
  <c r="J743" i="1"/>
  <c r="I744" i="1"/>
  <c r="J744" i="1"/>
  <c r="I745" i="1"/>
  <c r="J745" i="1"/>
  <c r="I746" i="1"/>
  <c r="J746" i="1"/>
  <c r="I747" i="1"/>
  <c r="J747" i="1"/>
  <c r="I748" i="1"/>
  <c r="J748" i="1"/>
  <c r="I749" i="1"/>
  <c r="J749" i="1"/>
  <c r="I750" i="1"/>
  <c r="J750" i="1"/>
  <c r="I751" i="1"/>
  <c r="J751" i="1"/>
  <c r="I752" i="1"/>
  <c r="J752" i="1"/>
  <c r="I753" i="1"/>
  <c r="J753" i="1"/>
  <c r="I754" i="1"/>
  <c r="J754" i="1"/>
  <c r="I755" i="1"/>
  <c r="J755" i="1"/>
  <c r="I756" i="1"/>
  <c r="J756" i="1"/>
  <c r="I757" i="1"/>
  <c r="J757" i="1"/>
  <c r="I758" i="1"/>
  <c r="J758" i="1"/>
  <c r="I759" i="1"/>
  <c r="J759" i="1"/>
  <c r="I760" i="1"/>
  <c r="J760" i="1"/>
  <c r="I761" i="1"/>
  <c r="J761" i="1"/>
  <c r="I762" i="1"/>
  <c r="J762" i="1"/>
  <c r="I763" i="1"/>
  <c r="J763" i="1"/>
  <c r="I764" i="1"/>
  <c r="J764" i="1"/>
  <c r="I765" i="1"/>
  <c r="J765" i="1"/>
  <c r="I766" i="1"/>
  <c r="J766" i="1"/>
  <c r="I767" i="1"/>
  <c r="J767" i="1"/>
  <c r="I768" i="1"/>
  <c r="J768" i="1"/>
  <c r="I769" i="1"/>
  <c r="J769" i="1"/>
  <c r="I770" i="1"/>
  <c r="J770" i="1"/>
  <c r="I771" i="1"/>
  <c r="J771" i="1"/>
  <c r="I772" i="1"/>
  <c r="J772" i="1"/>
  <c r="I773" i="1"/>
  <c r="J773" i="1"/>
  <c r="I774" i="1"/>
  <c r="J774" i="1"/>
  <c r="I775" i="1"/>
  <c r="J775" i="1"/>
  <c r="I776" i="1"/>
  <c r="J776" i="1"/>
  <c r="I777" i="1"/>
  <c r="J777" i="1"/>
  <c r="I778" i="1"/>
  <c r="J778" i="1"/>
  <c r="I779" i="1"/>
  <c r="J779" i="1"/>
  <c r="I780" i="1"/>
  <c r="J780" i="1"/>
  <c r="I781" i="1"/>
  <c r="J781" i="1"/>
  <c r="I782" i="1"/>
  <c r="J782" i="1"/>
  <c r="I783" i="1"/>
  <c r="J783" i="1"/>
  <c r="I784" i="1"/>
  <c r="J784" i="1"/>
  <c r="I785" i="1"/>
  <c r="J785" i="1"/>
  <c r="I786" i="1"/>
  <c r="J786" i="1"/>
  <c r="I787" i="1"/>
  <c r="J787" i="1"/>
  <c r="I788" i="1"/>
  <c r="J788" i="1"/>
  <c r="I789" i="1"/>
  <c r="J789" i="1"/>
  <c r="I790" i="1"/>
  <c r="J790" i="1"/>
  <c r="I791" i="1"/>
  <c r="J791" i="1"/>
  <c r="I792" i="1"/>
  <c r="J792" i="1"/>
  <c r="I793" i="1"/>
  <c r="J793" i="1"/>
  <c r="I794" i="1"/>
  <c r="J794" i="1"/>
  <c r="I795" i="1"/>
  <c r="J795" i="1"/>
  <c r="I796" i="1"/>
  <c r="J796" i="1"/>
  <c r="I797" i="1"/>
  <c r="J797" i="1"/>
  <c r="I798" i="1"/>
  <c r="J798" i="1"/>
  <c r="I799" i="1"/>
  <c r="J799" i="1"/>
  <c r="I800" i="1"/>
  <c r="J800" i="1"/>
  <c r="I801" i="1"/>
  <c r="J801" i="1"/>
  <c r="I802" i="1"/>
  <c r="J802" i="1"/>
  <c r="I803" i="1"/>
  <c r="J803" i="1"/>
  <c r="I804" i="1"/>
  <c r="J804" i="1"/>
  <c r="I805" i="1"/>
  <c r="J805" i="1"/>
  <c r="I806" i="1"/>
  <c r="J806" i="1"/>
  <c r="I807" i="1"/>
  <c r="J807" i="1"/>
  <c r="I808" i="1"/>
  <c r="J808" i="1"/>
  <c r="I809" i="1"/>
  <c r="J809" i="1"/>
  <c r="I810" i="1"/>
  <c r="J810" i="1"/>
  <c r="I811" i="1"/>
  <c r="J811" i="1"/>
  <c r="I812" i="1"/>
  <c r="J812" i="1"/>
  <c r="I813" i="1"/>
  <c r="J813" i="1"/>
  <c r="I814" i="1"/>
  <c r="J814" i="1"/>
  <c r="I815" i="1"/>
  <c r="J815" i="1"/>
  <c r="I816" i="1"/>
  <c r="J816" i="1"/>
  <c r="I817" i="1"/>
  <c r="J817" i="1"/>
  <c r="I818" i="1"/>
  <c r="J818" i="1"/>
  <c r="I819" i="1"/>
  <c r="J819" i="1"/>
  <c r="I820" i="1"/>
  <c r="J820" i="1"/>
  <c r="I821" i="1"/>
  <c r="J821" i="1"/>
  <c r="I822" i="1"/>
  <c r="J822" i="1"/>
  <c r="I823" i="1"/>
  <c r="J823" i="1"/>
  <c r="I824" i="1"/>
  <c r="J824" i="1"/>
  <c r="I825" i="1"/>
  <c r="J825" i="1"/>
  <c r="I826" i="1"/>
  <c r="J826" i="1"/>
  <c r="I827" i="1"/>
  <c r="J827" i="1"/>
  <c r="I828" i="1"/>
  <c r="J828" i="1"/>
  <c r="I829" i="1"/>
  <c r="J829" i="1"/>
  <c r="I830" i="1"/>
  <c r="J830" i="1"/>
  <c r="I831" i="1"/>
  <c r="J831" i="1"/>
  <c r="I832" i="1"/>
  <c r="J832" i="1"/>
  <c r="I833" i="1"/>
  <c r="J833" i="1"/>
  <c r="I834" i="1"/>
  <c r="J834" i="1"/>
  <c r="I835" i="1"/>
  <c r="J835" i="1"/>
  <c r="I836" i="1"/>
  <c r="J836" i="1"/>
  <c r="I837" i="1"/>
  <c r="J837" i="1"/>
  <c r="I838" i="1"/>
  <c r="J838" i="1"/>
  <c r="I839" i="1"/>
  <c r="J839" i="1"/>
  <c r="I840" i="1"/>
  <c r="J840" i="1"/>
  <c r="I841" i="1"/>
  <c r="J841" i="1"/>
  <c r="I842" i="1"/>
  <c r="J842" i="1"/>
  <c r="I843" i="1"/>
  <c r="J843" i="1"/>
  <c r="I844" i="1"/>
  <c r="J844" i="1"/>
  <c r="I845" i="1"/>
  <c r="J845" i="1"/>
  <c r="I846" i="1"/>
  <c r="J846" i="1"/>
  <c r="I847" i="1"/>
  <c r="J847" i="1"/>
  <c r="I848" i="1"/>
  <c r="J848" i="1"/>
  <c r="I849" i="1"/>
  <c r="J849" i="1"/>
  <c r="I850" i="1"/>
  <c r="J850" i="1"/>
  <c r="I851" i="1"/>
  <c r="J851" i="1"/>
  <c r="I852" i="1"/>
  <c r="J852" i="1"/>
  <c r="I853" i="1"/>
  <c r="J853" i="1"/>
  <c r="I854" i="1"/>
  <c r="J854" i="1"/>
  <c r="I855" i="1"/>
  <c r="J855" i="1"/>
  <c r="I856" i="1"/>
  <c r="J856" i="1"/>
  <c r="I857" i="1"/>
  <c r="J857" i="1"/>
  <c r="I858" i="1"/>
  <c r="J858" i="1"/>
  <c r="I859" i="1"/>
  <c r="J859" i="1"/>
  <c r="I860" i="1"/>
  <c r="J860" i="1"/>
  <c r="I861" i="1"/>
  <c r="J861" i="1"/>
  <c r="I862" i="1"/>
  <c r="J862" i="1"/>
  <c r="I863" i="1"/>
  <c r="J863" i="1"/>
  <c r="I864" i="1"/>
  <c r="J864" i="1"/>
  <c r="I865" i="1"/>
  <c r="J865" i="1"/>
  <c r="I866" i="1"/>
  <c r="J866" i="1"/>
  <c r="I867" i="1"/>
  <c r="J867" i="1"/>
  <c r="I868" i="1"/>
  <c r="J868" i="1"/>
  <c r="I869" i="1"/>
  <c r="J869" i="1"/>
  <c r="I870" i="1"/>
  <c r="J870" i="1"/>
  <c r="I871" i="1"/>
  <c r="J871" i="1"/>
  <c r="I872" i="1"/>
  <c r="J872" i="1"/>
  <c r="I873" i="1"/>
  <c r="J873" i="1"/>
  <c r="I874" i="1"/>
  <c r="J874" i="1"/>
  <c r="I875" i="1"/>
  <c r="J875" i="1"/>
  <c r="I876" i="1"/>
  <c r="J876" i="1"/>
  <c r="I877" i="1"/>
  <c r="J877" i="1"/>
  <c r="I878" i="1"/>
  <c r="J878" i="1"/>
  <c r="I879" i="1"/>
  <c r="J879" i="1"/>
  <c r="I880" i="1"/>
  <c r="J880" i="1"/>
  <c r="I881" i="1"/>
  <c r="J881" i="1"/>
  <c r="I882" i="1"/>
  <c r="J882" i="1"/>
  <c r="I883" i="1"/>
  <c r="J883" i="1"/>
  <c r="I884" i="1"/>
  <c r="J884" i="1"/>
  <c r="I885" i="1"/>
  <c r="J885" i="1"/>
  <c r="I886" i="1"/>
  <c r="J886" i="1"/>
  <c r="I887" i="1"/>
  <c r="J887" i="1"/>
  <c r="I888" i="1"/>
  <c r="J888" i="1"/>
  <c r="I889" i="1"/>
  <c r="J889" i="1"/>
  <c r="I890" i="1"/>
  <c r="J890" i="1"/>
  <c r="I891" i="1"/>
  <c r="J891" i="1"/>
  <c r="I892" i="1"/>
  <c r="J892" i="1"/>
  <c r="I893" i="1"/>
  <c r="J893" i="1"/>
  <c r="I894" i="1"/>
  <c r="J894" i="1"/>
  <c r="I895" i="1"/>
  <c r="J895" i="1"/>
  <c r="I896" i="1"/>
  <c r="J896" i="1"/>
  <c r="I897" i="1"/>
  <c r="J897" i="1"/>
  <c r="I898" i="1"/>
  <c r="J898" i="1"/>
  <c r="I899" i="1"/>
  <c r="J899" i="1"/>
  <c r="I900" i="1"/>
  <c r="J900" i="1"/>
  <c r="I901" i="1"/>
  <c r="J901" i="1"/>
  <c r="I902" i="1"/>
  <c r="J902" i="1"/>
  <c r="I903" i="1"/>
  <c r="J903" i="1"/>
  <c r="I904" i="1"/>
  <c r="J904" i="1"/>
  <c r="I905" i="1"/>
  <c r="J905" i="1"/>
  <c r="I906" i="1"/>
  <c r="J906" i="1"/>
  <c r="I907" i="1"/>
  <c r="J907" i="1"/>
  <c r="I908" i="1"/>
  <c r="J908" i="1"/>
  <c r="I909" i="1"/>
  <c r="J909" i="1"/>
  <c r="I910" i="1"/>
  <c r="J910" i="1"/>
  <c r="I911" i="1"/>
  <c r="J911" i="1"/>
  <c r="I912" i="1"/>
  <c r="J912" i="1"/>
  <c r="I913" i="1"/>
  <c r="J913" i="1"/>
  <c r="I914" i="1"/>
  <c r="J914" i="1"/>
  <c r="I915" i="1"/>
  <c r="J915" i="1"/>
  <c r="I916" i="1"/>
  <c r="J916" i="1"/>
  <c r="I917" i="1"/>
  <c r="J917" i="1"/>
  <c r="I918" i="1"/>
  <c r="J918" i="1"/>
  <c r="I919" i="1"/>
  <c r="J919" i="1"/>
  <c r="I920" i="1"/>
  <c r="J920" i="1"/>
  <c r="I921" i="1"/>
  <c r="J921" i="1"/>
  <c r="I922" i="1"/>
  <c r="J922" i="1"/>
  <c r="I923" i="1"/>
  <c r="J923" i="1"/>
  <c r="I924" i="1"/>
  <c r="J924" i="1"/>
  <c r="I925" i="1"/>
  <c r="J925" i="1"/>
  <c r="I926" i="1"/>
  <c r="J926" i="1"/>
  <c r="I927" i="1"/>
  <c r="J927" i="1"/>
  <c r="I928" i="1"/>
  <c r="J928" i="1"/>
  <c r="I929" i="1"/>
  <c r="J929" i="1"/>
  <c r="I930" i="1"/>
  <c r="J930" i="1"/>
  <c r="I931" i="1"/>
  <c r="J931" i="1"/>
  <c r="I932" i="1"/>
  <c r="J932" i="1"/>
  <c r="I933" i="1"/>
  <c r="J933" i="1"/>
  <c r="I934" i="1"/>
  <c r="J934" i="1"/>
  <c r="I935" i="1"/>
  <c r="J935" i="1"/>
  <c r="I936" i="1"/>
  <c r="J936" i="1"/>
  <c r="I937" i="1"/>
  <c r="J937" i="1"/>
  <c r="I938" i="1"/>
  <c r="J938" i="1"/>
  <c r="I939" i="1"/>
  <c r="J939" i="1"/>
  <c r="I940" i="1"/>
  <c r="J940" i="1"/>
  <c r="I941" i="1"/>
  <c r="J941" i="1"/>
  <c r="I942" i="1"/>
  <c r="J942" i="1"/>
  <c r="I943" i="1"/>
  <c r="J943" i="1"/>
  <c r="I944" i="1"/>
  <c r="J944" i="1"/>
  <c r="I945" i="1"/>
  <c r="J945" i="1"/>
  <c r="I946" i="1"/>
  <c r="J946" i="1"/>
  <c r="I947" i="1"/>
  <c r="J947" i="1"/>
  <c r="I948" i="1"/>
  <c r="J948" i="1"/>
  <c r="I949" i="1"/>
  <c r="J949" i="1"/>
  <c r="I950" i="1"/>
  <c r="J950" i="1"/>
  <c r="I951" i="1"/>
  <c r="J951" i="1"/>
  <c r="I952" i="1"/>
  <c r="J952" i="1"/>
  <c r="I953" i="1"/>
  <c r="J953" i="1"/>
  <c r="I954" i="1"/>
  <c r="J954" i="1"/>
  <c r="I955" i="1"/>
  <c r="J955" i="1"/>
  <c r="I956" i="1"/>
  <c r="J956" i="1"/>
  <c r="I957" i="1"/>
  <c r="J957" i="1"/>
  <c r="I958" i="1"/>
  <c r="J958" i="1"/>
  <c r="I959" i="1"/>
  <c r="J959" i="1"/>
  <c r="I960" i="1"/>
  <c r="J960" i="1"/>
  <c r="I961" i="1"/>
  <c r="J961" i="1"/>
  <c r="I962" i="1"/>
  <c r="J962" i="1"/>
  <c r="I963" i="1"/>
  <c r="J963" i="1"/>
  <c r="I964" i="1"/>
  <c r="J964" i="1"/>
  <c r="I965" i="1"/>
  <c r="J965" i="1"/>
  <c r="I966" i="1"/>
  <c r="J966" i="1"/>
  <c r="I967" i="1"/>
  <c r="J967" i="1"/>
  <c r="I968" i="1"/>
  <c r="J968" i="1"/>
  <c r="I969" i="1"/>
  <c r="J969" i="1"/>
  <c r="I970" i="1"/>
  <c r="J970" i="1"/>
  <c r="I971" i="1"/>
  <c r="J971" i="1"/>
  <c r="I972" i="1"/>
  <c r="J972" i="1"/>
  <c r="I973" i="1"/>
  <c r="J973" i="1"/>
  <c r="I974" i="1"/>
  <c r="J974" i="1"/>
  <c r="I975" i="1"/>
  <c r="J975" i="1"/>
  <c r="I976" i="1"/>
  <c r="J976" i="1"/>
  <c r="I977" i="1"/>
  <c r="J977" i="1"/>
  <c r="I978" i="1"/>
  <c r="J978" i="1"/>
  <c r="I979" i="1"/>
  <c r="J979" i="1"/>
  <c r="I980" i="1"/>
  <c r="J980" i="1"/>
  <c r="I981" i="1"/>
  <c r="J981" i="1"/>
  <c r="I982" i="1"/>
  <c r="J982" i="1"/>
  <c r="I983" i="1"/>
  <c r="J983" i="1"/>
  <c r="I984" i="1"/>
  <c r="J984" i="1"/>
  <c r="I985" i="1"/>
  <c r="J985" i="1"/>
  <c r="I986" i="1"/>
  <c r="J986" i="1"/>
  <c r="I987" i="1"/>
  <c r="J987" i="1"/>
  <c r="I988" i="1"/>
  <c r="J988" i="1"/>
  <c r="I989" i="1"/>
  <c r="J989" i="1"/>
  <c r="I990" i="1"/>
  <c r="J990" i="1"/>
  <c r="I991" i="1"/>
  <c r="J991" i="1"/>
  <c r="I992" i="1"/>
  <c r="J992" i="1"/>
  <c r="I993" i="1"/>
  <c r="J993" i="1"/>
  <c r="I994" i="1"/>
  <c r="J994" i="1"/>
  <c r="I995" i="1"/>
  <c r="J995" i="1"/>
  <c r="I996" i="1"/>
  <c r="J996" i="1"/>
  <c r="I997" i="1"/>
  <c r="J997" i="1"/>
  <c r="I998" i="1"/>
  <c r="J998" i="1"/>
  <c r="I999" i="1"/>
  <c r="J999" i="1"/>
  <c r="I1000" i="1"/>
  <c r="J1000" i="1"/>
  <c r="I1001" i="1"/>
  <c r="J1001" i="1"/>
  <c r="I1002" i="1"/>
  <c r="J1002" i="1"/>
  <c r="I1003" i="1"/>
  <c r="J1003" i="1"/>
  <c r="I1004" i="1"/>
  <c r="J1004" i="1"/>
  <c r="I1005" i="1"/>
  <c r="J1005" i="1"/>
  <c r="I1006" i="1"/>
  <c r="J1006" i="1"/>
  <c r="I1007" i="1"/>
  <c r="J1007" i="1"/>
  <c r="I1008" i="1"/>
  <c r="J1008" i="1"/>
  <c r="I1009" i="1"/>
  <c r="J1009" i="1"/>
  <c r="I1010" i="1"/>
  <c r="J1010" i="1"/>
  <c r="I1011" i="1"/>
  <c r="J1011" i="1"/>
  <c r="I1012" i="1"/>
  <c r="J1012" i="1"/>
  <c r="I1013" i="1"/>
  <c r="J1013" i="1"/>
  <c r="I1014" i="1"/>
  <c r="J1014" i="1"/>
  <c r="I1015" i="1"/>
  <c r="J1015" i="1"/>
  <c r="I1016" i="1"/>
  <c r="J1016" i="1"/>
  <c r="I1017" i="1"/>
  <c r="J1017" i="1"/>
  <c r="I1018" i="1"/>
  <c r="J1018" i="1"/>
  <c r="I1019" i="1"/>
  <c r="J1019" i="1"/>
  <c r="I1020" i="1"/>
  <c r="J1020" i="1"/>
  <c r="I1021" i="1"/>
  <c r="J1021" i="1"/>
  <c r="I1022" i="1"/>
  <c r="J1022" i="1"/>
  <c r="I1023" i="1"/>
  <c r="J1023" i="1"/>
  <c r="I1024" i="1"/>
  <c r="J1024" i="1"/>
  <c r="I1025" i="1"/>
  <c r="J1025" i="1"/>
  <c r="I1026" i="1"/>
  <c r="J1026" i="1"/>
  <c r="I1027" i="1"/>
  <c r="J1027" i="1"/>
  <c r="I1028" i="1"/>
  <c r="J1028" i="1"/>
  <c r="I1029" i="1"/>
  <c r="J1029" i="1"/>
  <c r="I1030" i="1"/>
  <c r="J1030" i="1"/>
  <c r="I1031" i="1"/>
  <c r="J1031" i="1"/>
  <c r="I1032" i="1"/>
  <c r="J1032" i="1"/>
  <c r="I1033" i="1"/>
  <c r="J1033" i="1"/>
  <c r="I1034" i="1"/>
  <c r="J1034" i="1"/>
  <c r="I1035" i="1"/>
  <c r="J1035" i="1"/>
  <c r="I1036" i="1"/>
  <c r="J1036" i="1"/>
  <c r="I1037" i="1"/>
  <c r="J1037" i="1"/>
  <c r="I1038" i="1"/>
  <c r="J1038" i="1"/>
  <c r="I1039" i="1"/>
  <c r="J1039" i="1"/>
  <c r="I1040" i="1"/>
  <c r="J1040" i="1"/>
  <c r="I1041" i="1"/>
  <c r="J1041" i="1"/>
  <c r="I1042" i="1"/>
  <c r="J1042" i="1"/>
  <c r="I1043" i="1"/>
  <c r="J1043" i="1"/>
  <c r="I1044" i="1"/>
  <c r="J1044" i="1"/>
  <c r="I1045" i="1"/>
  <c r="J1045" i="1"/>
  <c r="I1046" i="1"/>
  <c r="J1046" i="1"/>
  <c r="I1047" i="1"/>
  <c r="J1047" i="1"/>
  <c r="I1048" i="1"/>
  <c r="J1048" i="1"/>
  <c r="I1049" i="1"/>
  <c r="J1049" i="1"/>
  <c r="I1050" i="1"/>
  <c r="J1050" i="1"/>
  <c r="I1051" i="1"/>
  <c r="J1051" i="1"/>
  <c r="I1052" i="1"/>
  <c r="J1052" i="1"/>
  <c r="I1053" i="1"/>
  <c r="J1053" i="1"/>
  <c r="I1054" i="1"/>
  <c r="J1054" i="1"/>
  <c r="I1055" i="1"/>
  <c r="J1055" i="1"/>
  <c r="I1056" i="1"/>
  <c r="J1056" i="1"/>
  <c r="I1057" i="1"/>
  <c r="J1057" i="1"/>
  <c r="I1058" i="1"/>
  <c r="J1058" i="1"/>
  <c r="I1059" i="1"/>
  <c r="J1059" i="1"/>
  <c r="I1060" i="1"/>
  <c r="J1060" i="1"/>
  <c r="I1061" i="1"/>
  <c r="J1061" i="1"/>
  <c r="I1062" i="1"/>
  <c r="J1062" i="1"/>
  <c r="I1063" i="1"/>
  <c r="J1063" i="1"/>
  <c r="I1064" i="1"/>
  <c r="J1064" i="1"/>
  <c r="I1065" i="1"/>
  <c r="J1065" i="1"/>
  <c r="I1066" i="1"/>
  <c r="J1066" i="1"/>
  <c r="I1067" i="1"/>
  <c r="J1067" i="1"/>
  <c r="I1068" i="1"/>
  <c r="J1068" i="1"/>
  <c r="I1069" i="1"/>
  <c r="J1069" i="1"/>
  <c r="I1070" i="1"/>
  <c r="J1070" i="1"/>
  <c r="I1071" i="1"/>
  <c r="J1071" i="1"/>
  <c r="I1072" i="1"/>
  <c r="J1072" i="1"/>
  <c r="I1073" i="1"/>
  <c r="J1073" i="1"/>
  <c r="I1074" i="1"/>
  <c r="J1074" i="1"/>
  <c r="I1075" i="1"/>
  <c r="J1075" i="1"/>
  <c r="I1076" i="1"/>
  <c r="J1076" i="1"/>
  <c r="I1077" i="1"/>
  <c r="J1077" i="1"/>
  <c r="I1078" i="1"/>
  <c r="J1078" i="1"/>
  <c r="I1079" i="1"/>
  <c r="J1079" i="1"/>
  <c r="I1080" i="1"/>
  <c r="J1080" i="1"/>
  <c r="I1081" i="1"/>
  <c r="J1081" i="1"/>
  <c r="I1082" i="1"/>
  <c r="J1082" i="1"/>
  <c r="I1083" i="1"/>
  <c r="J1083" i="1"/>
  <c r="I1084" i="1"/>
  <c r="J1084" i="1"/>
  <c r="I1085" i="1"/>
  <c r="J1085" i="1"/>
  <c r="I1086" i="1"/>
  <c r="J1086" i="1"/>
  <c r="I1087" i="1"/>
  <c r="J1087" i="1"/>
  <c r="I1088" i="1"/>
  <c r="J1088" i="1"/>
  <c r="I1089" i="1"/>
  <c r="J1089" i="1"/>
  <c r="I1090" i="1"/>
  <c r="J1090" i="1"/>
  <c r="I1091" i="1"/>
  <c r="J1091" i="1"/>
  <c r="I1092" i="1"/>
  <c r="J1092" i="1"/>
  <c r="I1093" i="1"/>
  <c r="J1093" i="1"/>
  <c r="I1094" i="1"/>
  <c r="J1094" i="1"/>
  <c r="I1095" i="1"/>
  <c r="J1095" i="1"/>
  <c r="I1096" i="1"/>
  <c r="J1096" i="1"/>
  <c r="I1097" i="1"/>
  <c r="J1097" i="1"/>
  <c r="I1098" i="1"/>
  <c r="J1098" i="1"/>
  <c r="I1099" i="1"/>
  <c r="J1099" i="1"/>
  <c r="I1100" i="1"/>
  <c r="J1100" i="1"/>
  <c r="I1101" i="1"/>
  <c r="J1101" i="1"/>
  <c r="I1102" i="1"/>
  <c r="J1102" i="1"/>
  <c r="I1103" i="1"/>
  <c r="J1103" i="1"/>
  <c r="I1104" i="1"/>
  <c r="J1104" i="1"/>
  <c r="I1105" i="1"/>
  <c r="J1105" i="1"/>
  <c r="I1106" i="1"/>
  <c r="J1106" i="1"/>
  <c r="I1107" i="1"/>
  <c r="J1107" i="1"/>
  <c r="I1108" i="1"/>
  <c r="J1108" i="1"/>
  <c r="I1109" i="1"/>
  <c r="J1109" i="1"/>
  <c r="I1110" i="1"/>
  <c r="J1110" i="1"/>
  <c r="I1111" i="1"/>
  <c r="J1111" i="1"/>
  <c r="I1112" i="1"/>
  <c r="J1112" i="1"/>
  <c r="I1113" i="1"/>
  <c r="J1113" i="1"/>
  <c r="I1114" i="1"/>
  <c r="J1114" i="1"/>
  <c r="I1115" i="1"/>
  <c r="J1115" i="1"/>
  <c r="I1116" i="1"/>
  <c r="J1116" i="1"/>
  <c r="I1117" i="1"/>
  <c r="J1117" i="1"/>
  <c r="I1118" i="1"/>
  <c r="J1118" i="1"/>
  <c r="I1119" i="1"/>
  <c r="J1119" i="1"/>
  <c r="I1120" i="1"/>
  <c r="J1120" i="1"/>
  <c r="I1121" i="1"/>
  <c r="J1121" i="1"/>
  <c r="I1122" i="1"/>
  <c r="J1122" i="1"/>
  <c r="I1123" i="1"/>
  <c r="J1123" i="1"/>
  <c r="I1124" i="1"/>
  <c r="J1124" i="1"/>
  <c r="I1125" i="1"/>
  <c r="J1125" i="1"/>
  <c r="I1126" i="1"/>
  <c r="J1126" i="1"/>
  <c r="I1127" i="1"/>
  <c r="J1127" i="1"/>
  <c r="I1128" i="1"/>
  <c r="J1128" i="1"/>
  <c r="I1129" i="1"/>
  <c r="J1129" i="1"/>
  <c r="I1130" i="1"/>
  <c r="J1130" i="1"/>
  <c r="I1131" i="1"/>
  <c r="J1131" i="1"/>
  <c r="I1132" i="1"/>
  <c r="J1132" i="1"/>
  <c r="I1133" i="1"/>
  <c r="J1133" i="1"/>
  <c r="I1134" i="1"/>
  <c r="J1134" i="1"/>
  <c r="I1135" i="1"/>
  <c r="J1135" i="1"/>
  <c r="I1136" i="1"/>
  <c r="J1136" i="1"/>
  <c r="I1137" i="1"/>
  <c r="J1137" i="1"/>
  <c r="I1138" i="1"/>
  <c r="J1138" i="1"/>
  <c r="I1139" i="1"/>
  <c r="J1139" i="1"/>
  <c r="I1140" i="1"/>
  <c r="J1140" i="1"/>
  <c r="I1141" i="1"/>
  <c r="J1141" i="1"/>
  <c r="I1142" i="1"/>
  <c r="J1142" i="1"/>
  <c r="I1143" i="1"/>
  <c r="J1143" i="1"/>
  <c r="I1144" i="1"/>
  <c r="J1144" i="1"/>
  <c r="I1145" i="1"/>
  <c r="J1145" i="1"/>
  <c r="I1146" i="1"/>
  <c r="J1146" i="1"/>
  <c r="I1147" i="1"/>
  <c r="J1147" i="1"/>
  <c r="I1148" i="1"/>
  <c r="J1148" i="1"/>
  <c r="I1149" i="1"/>
  <c r="J1149" i="1"/>
  <c r="I1150" i="1"/>
  <c r="J1150" i="1"/>
  <c r="I1151" i="1"/>
  <c r="J1151" i="1"/>
  <c r="I1152" i="1"/>
  <c r="J1152" i="1"/>
  <c r="I1153" i="1"/>
  <c r="J1153" i="1"/>
  <c r="I1154" i="1"/>
  <c r="J1154" i="1"/>
  <c r="I1155" i="1"/>
  <c r="J1155" i="1"/>
  <c r="I1156" i="1"/>
  <c r="J1156" i="1"/>
  <c r="I1157" i="1"/>
  <c r="J1157" i="1"/>
  <c r="I1158" i="1"/>
  <c r="J1158" i="1"/>
  <c r="I1159" i="1"/>
  <c r="J1159" i="1"/>
  <c r="I1160" i="1"/>
  <c r="J1160" i="1"/>
  <c r="I1161" i="1"/>
  <c r="J1161" i="1"/>
  <c r="I1162" i="1"/>
  <c r="J1162" i="1"/>
  <c r="I1163" i="1"/>
  <c r="J1163" i="1"/>
  <c r="I1164" i="1"/>
  <c r="J1164" i="1"/>
  <c r="I1165" i="1"/>
  <c r="J1165" i="1"/>
  <c r="I1166" i="1"/>
  <c r="J1166" i="1"/>
  <c r="I1167" i="1"/>
  <c r="J1167" i="1"/>
  <c r="I1168" i="1"/>
  <c r="J1168" i="1"/>
  <c r="I1169" i="1"/>
  <c r="J1169" i="1"/>
  <c r="I1170" i="1"/>
  <c r="J1170" i="1"/>
  <c r="I1171" i="1"/>
  <c r="J1171" i="1"/>
  <c r="I1172" i="1"/>
  <c r="J1172" i="1"/>
  <c r="I1173" i="1"/>
  <c r="J1173" i="1"/>
  <c r="I1174" i="1"/>
  <c r="J1174" i="1"/>
  <c r="I1175" i="1"/>
  <c r="J1175" i="1"/>
  <c r="I1176" i="1"/>
  <c r="J1176" i="1"/>
  <c r="I1177" i="1"/>
  <c r="J1177" i="1"/>
  <c r="I1178" i="1"/>
  <c r="J1178" i="1"/>
  <c r="I1179" i="1"/>
  <c r="J1179" i="1"/>
  <c r="I1180" i="1"/>
  <c r="J1180" i="1"/>
  <c r="I1181" i="1"/>
  <c r="J1181" i="1"/>
  <c r="I1182" i="1"/>
  <c r="J1182" i="1"/>
  <c r="I1183" i="1"/>
  <c r="J1183" i="1"/>
  <c r="I1184" i="1"/>
  <c r="J1184" i="1"/>
  <c r="I1185" i="1"/>
  <c r="J1185" i="1"/>
  <c r="I1186" i="1"/>
  <c r="J1186" i="1"/>
  <c r="I1187" i="1"/>
  <c r="J1187" i="1"/>
  <c r="I1188" i="1"/>
  <c r="J1188" i="1"/>
  <c r="I1189" i="1"/>
  <c r="J1189" i="1"/>
  <c r="I1190" i="1"/>
  <c r="J1190" i="1"/>
  <c r="I1191" i="1"/>
  <c r="J1191" i="1"/>
  <c r="I1192" i="1"/>
  <c r="J1192" i="1"/>
  <c r="I1193" i="1"/>
  <c r="J1193" i="1"/>
  <c r="I1194" i="1"/>
  <c r="J1194" i="1"/>
  <c r="I1195" i="1"/>
  <c r="J1195" i="1"/>
  <c r="I1196" i="1"/>
  <c r="J1196" i="1"/>
  <c r="I1197" i="1"/>
  <c r="J1197" i="1"/>
  <c r="I1198" i="1"/>
  <c r="J1198" i="1"/>
  <c r="I1199" i="1"/>
  <c r="J1199" i="1"/>
  <c r="I1200" i="1"/>
  <c r="J1200" i="1"/>
  <c r="I1201" i="1"/>
  <c r="J1201" i="1"/>
  <c r="I1202" i="1"/>
  <c r="J1202" i="1"/>
  <c r="I1203" i="1"/>
  <c r="J1203" i="1"/>
  <c r="I1204" i="1"/>
  <c r="J1204" i="1"/>
  <c r="I1205" i="1"/>
  <c r="J1205" i="1"/>
  <c r="I1206" i="1"/>
  <c r="J1206" i="1"/>
  <c r="I1207" i="1"/>
  <c r="J1207" i="1"/>
  <c r="I1208" i="1"/>
  <c r="J1208" i="1"/>
  <c r="I1209" i="1"/>
  <c r="J1209" i="1"/>
  <c r="I1210" i="1"/>
  <c r="J1210" i="1"/>
  <c r="I1211" i="1"/>
  <c r="J1211" i="1"/>
  <c r="I1212" i="1"/>
  <c r="J1212" i="1"/>
  <c r="I1213" i="1"/>
  <c r="J1213" i="1"/>
  <c r="I1214" i="1"/>
  <c r="J1214" i="1"/>
  <c r="I1215" i="1"/>
  <c r="J1215" i="1"/>
  <c r="I1216" i="1"/>
  <c r="J1216" i="1"/>
  <c r="I1217" i="1"/>
  <c r="J1217" i="1"/>
  <c r="I1218" i="1"/>
  <c r="J1218" i="1"/>
  <c r="I1219" i="1"/>
  <c r="J1219" i="1"/>
  <c r="I1220" i="1"/>
  <c r="J1220" i="1"/>
  <c r="I1221" i="1"/>
  <c r="J1221" i="1"/>
  <c r="I1222" i="1"/>
  <c r="J1222" i="1"/>
  <c r="I1223" i="1"/>
  <c r="J1223" i="1"/>
  <c r="I1224" i="1"/>
  <c r="J1224" i="1"/>
  <c r="I1225" i="1"/>
  <c r="J1225" i="1"/>
  <c r="I1226" i="1"/>
  <c r="J1226" i="1"/>
  <c r="I1227" i="1"/>
  <c r="J1227" i="1"/>
  <c r="I1228" i="1"/>
  <c r="J1228" i="1"/>
  <c r="I1229" i="1"/>
  <c r="J1229" i="1"/>
  <c r="I1230" i="1"/>
  <c r="J1230" i="1"/>
  <c r="I1231" i="1"/>
  <c r="J1231" i="1"/>
  <c r="I1232" i="1"/>
  <c r="J1232" i="1"/>
  <c r="I1233" i="1"/>
  <c r="J1233" i="1"/>
  <c r="I1234" i="1"/>
  <c r="J1234" i="1"/>
  <c r="I1235" i="1"/>
  <c r="J1235" i="1"/>
  <c r="I1236" i="1"/>
  <c r="J1236" i="1"/>
  <c r="I1237" i="1"/>
  <c r="J1237" i="1"/>
  <c r="I1238" i="1"/>
  <c r="J1238" i="1"/>
  <c r="I1239" i="1"/>
  <c r="J1239" i="1"/>
  <c r="I1240" i="1"/>
  <c r="J1240" i="1"/>
  <c r="I1241" i="1"/>
  <c r="J1241" i="1"/>
  <c r="I1242" i="1"/>
  <c r="J1242" i="1"/>
  <c r="I1243" i="1"/>
  <c r="J1243" i="1"/>
  <c r="I1244" i="1"/>
  <c r="J1244" i="1"/>
  <c r="I1245" i="1"/>
  <c r="J1245" i="1"/>
  <c r="I1246" i="1"/>
  <c r="J1246" i="1"/>
  <c r="I1247" i="1"/>
  <c r="J1247" i="1"/>
  <c r="I1248" i="1"/>
  <c r="J1248" i="1"/>
  <c r="I1249" i="1"/>
  <c r="J1249" i="1"/>
  <c r="I1250" i="1"/>
  <c r="J1250" i="1"/>
  <c r="I1251" i="1"/>
  <c r="J1251" i="1"/>
  <c r="I1252" i="1"/>
  <c r="J1252" i="1"/>
  <c r="I1253" i="1"/>
  <c r="J1253" i="1"/>
  <c r="I1254" i="1"/>
  <c r="J1254" i="1"/>
  <c r="I1255" i="1"/>
  <c r="J1255" i="1"/>
  <c r="I1256" i="1"/>
  <c r="J1256" i="1"/>
  <c r="I1257" i="1"/>
  <c r="J1257" i="1"/>
  <c r="I1258" i="1"/>
  <c r="J1258" i="1"/>
  <c r="I1259" i="1"/>
  <c r="J1259" i="1"/>
  <c r="I1260" i="1"/>
  <c r="J1260" i="1"/>
  <c r="I1261" i="1"/>
  <c r="J1261" i="1"/>
  <c r="I1262" i="1"/>
  <c r="J1262" i="1"/>
  <c r="I1263" i="1"/>
  <c r="J1263" i="1"/>
  <c r="I1264" i="1"/>
  <c r="J1264" i="1"/>
  <c r="I1265" i="1"/>
  <c r="J1265" i="1"/>
  <c r="I1266" i="1"/>
  <c r="J1266" i="1"/>
  <c r="I1267" i="1"/>
  <c r="J1267" i="1"/>
  <c r="I1268" i="1"/>
  <c r="J1268" i="1"/>
  <c r="I1269" i="1"/>
  <c r="J1269" i="1"/>
  <c r="I1270" i="1"/>
  <c r="J1270" i="1"/>
  <c r="I1271" i="1"/>
  <c r="J1271" i="1"/>
  <c r="I1272" i="1"/>
  <c r="J1272" i="1"/>
  <c r="I1273" i="1"/>
  <c r="J1273" i="1"/>
  <c r="I1274" i="1"/>
  <c r="J1274" i="1"/>
  <c r="I1275" i="1"/>
  <c r="J1275" i="1"/>
  <c r="I1276" i="1"/>
  <c r="J1276" i="1"/>
  <c r="I1277" i="1"/>
  <c r="J1277" i="1"/>
  <c r="I1278" i="1"/>
  <c r="J1278" i="1"/>
  <c r="I1279" i="1"/>
  <c r="J1279" i="1"/>
  <c r="I1280" i="1"/>
  <c r="J1280" i="1"/>
  <c r="I1281" i="1"/>
  <c r="J1281" i="1"/>
  <c r="I1282" i="1"/>
  <c r="J1282" i="1"/>
  <c r="I1283" i="1"/>
  <c r="J1283" i="1"/>
  <c r="I1284" i="1"/>
  <c r="J1284" i="1"/>
  <c r="I1285" i="1"/>
  <c r="J1285" i="1"/>
  <c r="I1286" i="1"/>
  <c r="J1286" i="1"/>
  <c r="I1287" i="1"/>
  <c r="J1287" i="1"/>
  <c r="I1288" i="1"/>
  <c r="J1288" i="1"/>
  <c r="I1289" i="1"/>
  <c r="J1289" i="1"/>
  <c r="I1290" i="1"/>
  <c r="J1290" i="1"/>
  <c r="I1291" i="1"/>
  <c r="J1291" i="1"/>
  <c r="I1292" i="1"/>
  <c r="J1292" i="1"/>
  <c r="I1293" i="1"/>
  <c r="J1293" i="1"/>
  <c r="I1294" i="1"/>
  <c r="J1294" i="1"/>
  <c r="I1295" i="1"/>
  <c r="J1295" i="1"/>
  <c r="I1296" i="1"/>
  <c r="J1296" i="1"/>
  <c r="I1297" i="1"/>
  <c r="J1297" i="1"/>
  <c r="I1298" i="1"/>
  <c r="J1298" i="1"/>
  <c r="I1299" i="1"/>
  <c r="J1299" i="1"/>
  <c r="I1300" i="1"/>
  <c r="J1300" i="1"/>
  <c r="I1301" i="1"/>
  <c r="J1301" i="1"/>
  <c r="I1302" i="1"/>
  <c r="J1302" i="1"/>
  <c r="I1303" i="1"/>
  <c r="J1303" i="1"/>
  <c r="I1304" i="1"/>
  <c r="J1304" i="1"/>
  <c r="I1305" i="1"/>
  <c r="J1305" i="1"/>
  <c r="I1306" i="1"/>
  <c r="J1306" i="1"/>
  <c r="I1307" i="1"/>
  <c r="J1307" i="1"/>
  <c r="I1308" i="1"/>
  <c r="J1308" i="1"/>
  <c r="I1309" i="1"/>
  <c r="J1309" i="1"/>
  <c r="I1310" i="1"/>
  <c r="J1310" i="1"/>
  <c r="I1311" i="1"/>
  <c r="J1311" i="1"/>
  <c r="I1312" i="1"/>
  <c r="J1312" i="1"/>
  <c r="I1313" i="1"/>
  <c r="J1313" i="1"/>
  <c r="I1314" i="1"/>
  <c r="J1314" i="1"/>
  <c r="I1315" i="1"/>
  <c r="J1315" i="1"/>
  <c r="I1316" i="1"/>
  <c r="J1316" i="1"/>
  <c r="I1317" i="1"/>
  <c r="J1317" i="1"/>
  <c r="I1318" i="1"/>
  <c r="J1318" i="1"/>
  <c r="I1319" i="1"/>
  <c r="J1319" i="1"/>
  <c r="I1320" i="1"/>
  <c r="J1320" i="1"/>
  <c r="I1321" i="1"/>
  <c r="J1321" i="1"/>
  <c r="I1322" i="1"/>
  <c r="J1322" i="1"/>
  <c r="I1323" i="1"/>
  <c r="J1323" i="1"/>
  <c r="I1324" i="1"/>
  <c r="J1324" i="1"/>
  <c r="I1325" i="1"/>
  <c r="J1325" i="1"/>
  <c r="I1326" i="1"/>
  <c r="J1326" i="1"/>
  <c r="I1327" i="1"/>
  <c r="J1327" i="1"/>
  <c r="I1328" i="1"/>
  <c r="J1328" i="1"/>
  <c r="I1329" i="1"/>
  <c r="J1329" i="1"/>
  <c r="I1330" i="1"/>
  <c r="J1330" i="1"/>
  <c r="I1331" i="1"/>
  <c r="J1331" i="1"/>
  <c r="I1332" i="1"/>
  <c r="J1332" i="1"/>
  <c r="I1333" i="1"/>
  <c r="J1333" i="1"/>
  <c r="I1334" i="1"/>
  <c r="J1334" i="1"/>
  <c r="I1335" i="1"/>
  <c r="J1335" i="1"/>
  <c r="I1336" i="1"/>
  <c r="J1336" i="1"/>
  <c r="I1337" i="1"/>
  <c r="J1337" i="1"/>
  <c r="I1338" i="1"/>
  <c r="J1338" i="1"/>
  <c r="I1339" i="1"/>
  <c r="J1339" i="1"/>
  <c r="I1340" i="1"/>
  <c r="J1340" i="1"/>
  <c r="I1341" i="1"/>
  <c r="J1341" i="1"/>
  <c r="I1342" i="1"/>
  <c r="J1342" i="1"/>
  <c r="I1343" i="1"/>
  <c r="J1343" i="1"/>
  <c r="I1344" i="1"/>
  <c r="J1344" i="1"/>
  <c r="I1345" i="1"/>
  <c r="J1345" i="1"/>
  <c r="I1346" i="1"/>
  <c r="J1346" i="1"/>
  <c r="I1347" i="1"/>
  <c r="J1347" i="1"/>
  <c r="I1348" i="1"/>
  <c r="J1348" i="1"/>
  <c r="I1349" i="1"/>
  <c r="J1349" i="1"/>
  <c r="I1350" i="1"/>
  <c r="J1350" i="1"/>
  <c r="I1351" i="1"/>
  <c r="J1351" i="1"/>
  <c r="I1352" i="1"/>
  <c r="J1352" i="1"/>
  <c r="I1353" i="1"/>
  <c r="J1353" i="1"/>
  <c r="I1354" i="1"/>
  <c r="J1354" i="1"/>
  <c r="I1355" i="1"/>
  <c r="J1355" i="1"/>
  <c r="I1356" i="1"/>
  <c r="J1356" i="1"/>
  <c r="I1357" i="1"/>
  <c r="J1357" i="1"/>
  <c r="I1358" i="1"/>
  <c r="J1358" i="1"/>
  <c r="I1359" i="1"/>
  <c r="J1359" i="1"/>
  <c r="I1360" i="1"/>
  <c r="J1360" i="1"/>
  <c r="I1361" i="1"/>
  <c r="J1361" i="1"/>
  <c r="I1362" i="1"/>
  <c r="J1362" i="1"/>
  <c r="I1363" i="1"/>
  <c r="J1363" i="1"/>
  <c r="I1364" i="1"/>
  <c r="J1364" i="1"/>
  <c r="I1365" i="1"/>
  <c r="J1365" i="1"/>
  <c r="I1366" i="1"/>
  <c r="J1366" i="1"/>
  <c r="I1367" i="1"/>
  <c r="J1367" i="1"/>
  <c r="I1368" i="1"/>
  <c r="J1368" i="1"/>
  <c r="I1369" i="1"/>
  <c r="J1369" i="1"/>
  <c r="I1370" i="1"/>
  <c r="J1370" i="1"/>
  <c r="I1371" i="1"/>
  <c r="J1371" i="1"/>
  <c r="I1372" i="1"/>
  <c r="J1372" i="1"/>
  <c r="I1373" i="1"/>
  <c r="J1373" i="1"/>
  <c r="I1374" i="1"/>
  <c r="J1374" i="1"/>
  <c r="I1375" i="1"/>
  <c r="J1375" i="1"/>
  <c r="I1376" i="1"/>
  <c r="J1376" i="1"/>
  <c r="I1377" i="1"/>
  <c r="J1377" i="1"/>
  <c r="I1378" i="1"/>
  <c r="J1378" i="1"/>
  <c r="I1379" i="1"/>
  <c r="J1379" i="1"/>
  <c r="I1380" i="1"/>
  <c r="J1380" i="1"/>
  <c r="I1381" i="1"/>
  <c r="J1381" i="1"/>
  <c r="I1382" i="1"/>
  <c r="J1382" i="1"/>
  <c r="I1383" i="1"/>
  <c r="J1383" i="1"/>
  <c r="I1384" i="1"/>
  <c r="J1384" i="1"/>
  <c r="I1385" i="1"/>
  <c r="J1385" i="1"/>
  <c r="I1386" i="1"/>
  <c r="J1386" i="1"/>
  <c r="I1387" i="1"/>
  <c r="J1387" i="1"/>
  <c r="I1388" i="1"/>
  <c r="J1388" i="1"/>
  <c r="I1389" i="1"/>
  <c r="J1389" i="1"/>
  <c r="I1390" i="1"/>
  <c r="J1390" i="1"/>
  <c r="I1391" i="1"/>
  <c r="J1391" i="1"/>
  <c r="I1392" i="1"/>
  <c r="J1392" i="1"/>
  <c r="I1393" i="1"/>
  <c r="J1393" i="1"/>
  <c r="I1394" i="1"/>
  <c r="J1394" i="1"/>
  <c r="I1395" i="1"/>
  <c r="J1395" i="1"/>
  <c r="I1396" i="1"/>
  <c r="J1396" i="1"/>
  <c r="I1397" i="1"/>
  <c r="J1397" i="1"/>
  <c r="I1398" i="1"/>
  <c r="J1398" i="1"/>
  <c r="I1399" i="1"/>
  <c r="J1399" i="1"/>
  <c r="I1400" i="1"/>
  <c r="J1400" i="1"/>
  <c r="I1401" i="1"/>
  <c r="J1401" i="1"/>
  <c r="I1402" i="1"/>
  <c r="J1402" i="1"/>
  <c r="I1403" i="1"/>
  <c r="J1403" i="1"/>
  <c r="I1404" i="1"/>
  <c r="J1404" i="1"/>
  <c r="I1405" i="1"/>
  <c r="J1405" i="1"/>
  <c r="I1406" i="1"/>
  <c r="J1406" i="1"/>
  <c r="I1407" i="1"/>
  <c r="J1407" i="1"/>
  <c r="I1408" i="1"/>
  <c r="J1408" i="1"/>
  <c r="I1409" i="1"/>
  <c r="J1409" i="1"/>
  <c r="I1410" i="1"/>
  <c r="J1410" i="1"/>
  <c r="I1411" i="1"/>
  <c r="J1411" i="1"/>
  <c r="I1412" i="1"/>
  <c r="J1412" i="1"/>
  <c r="I1413" i="1"/>
  <c r="J1413" i="1"/>
  <c r="I1414" i="1"/>
  <c r="J1414" i="1"/>
  <c r="I1415" i="1"/>
  <c r="J1415" i="1"/>
  <c r="I1416" i="1"/>
  <c r="J1416" i="1"/>
  <c r="I1417" i="1"/>
  <c r="J1417" i="1"/>
  <c r="I1418" i="1"/>
  <c r="J1418" i="1"/>
  <c r="I1419" i="1"/>
  <c r="J1419" i="1"/>
  <c r="I1420" i="1"/>
  <c r="J1420" i="1"/>
  <c r="I1421" i="1"/>
  <c r="J1421" i="1"/>
  <c r="I1422" i="1"/>
  <c r="J1422" i="1"/>
  <c r="I1423" i="1"/>
  <c r="J1423" i="1"/>
  <c r="I1424" i="1"/>
  <c r="J1424" i="1"/>
  <c r="I1425" i="1"/>
  <c r="J1425" i="1"/>
  <c r="I1426" i="1"/>
  <c r="J1426" i="1"/>
  <c r="I1427" i="1"/>
  <c r="J1427" i="1"/>
  <c r="I1428" i="1"/>
  <c r="J1428" i="1"/>
  <c r="I1429" i="1"/>
  <c r="J1429" i="1"/>
  <c r="I1430" i="1"/>
  <c r="J1430" i="1"/>
  <c r="I1431" i="1"/>
  <c r="J1431" i="1"/>
  <c r="I1432" i="1"/>
  <c r="J1432" i="1"/>
  <c r="I1433" i="1"/>
  <c r="J1433" i="1"/>
  <c r="I1434" i="1"/>
  <c r="J1434" i="1"/>
  <c r="I1435" i="1"/>
  <c r="J1435" i="1"/>
  <c r="I1436" i="1"/>
  <c r="J1436" i="1"/>
  <c r="I1437" i="1"/>
  <c r="J1437" i="1"/>
  <c r="I1438" i="1"/>
  <c r="J1438" i="1"/>
  <c r="I1439" i="1"/>
  <c r="J1439" i="1"/>
  <c r="I1440" i="1"/>
  <c r="J1440" i="1"/>
  <c r="I1441" i="1"/>
  <c r="J1441" i="1"/>
  <c r="I1442" i="1"/>
  <c r="J1442" i="1"/>
  <c r="I1443" i="1"/>
  <c r="J1443" i="1"/>
  <c r="I1444" i="1"/>
  <c r="J1444" i="1"/>
  <c r="I1445" i="1"/>
  <c r="J1445" i="1"/>
  <c r="I1446" i="1"/>
  <c r="J1446" i="1"/>
  <c r="I1447" i="1"/>
  <c r="J1447" i="1"/>
  <c r="I1448" i="1"/>
  <c r="J1448" i="1"/>
  <c r="I1449" i="1"/>
  <c r="J1449" i="1"/>
  <c r="I1450" i="1"/>
  <c r="J1450" i="1"/>
  <c r="I1451" i="1"/>
  <c r="J1451" i="1"/>
  <c r="I1452" i="1"/>
  <c r="J1452" i="1"/>
  <c r="I1453" i="1"/>
  <c r="J1453" i="1"/>
  <c r="I1454" i="1"/>
  <c r="J1454" i="1"/>
  <c r="I1455" i="1"/>
  <c r="J1455" i="1"/>
  <c r="I1456" i="1"/>
  <c r="J1456" i="1"/>
  <c r="I1457" i="1"/>
  <c r="J1457" i="1"/>
  <c r="I1458" i="1"/>
  <c r="J1458" i="1"/>
  <c r="I1459" i="1"/>
  <c r="J1459" i="1"/>
  <c r="I1460" i="1"/>
  <c r="J1460" i="1"/>
  <c r="I1461" i="1"/>
  <c r="J1461" i="1"/>
  <c r="I1462" i="1"/>
  <c r="J1462" i="1"/>
  <c r="I1463" i="1"/>
  <c r="J1463" i="1"/>
  <c r="I1464" i="1"/>
  <c r="J1464" i="1"/>
  <c r="I1465" i="1"/>
  <c r="J1465" i="1"/>
  <c r="I1466" i="1"/>
  <c r="J1466" i="1"/>
  <c r="I1467" i="1"/>
  <c r="J1467" i="1"/>
  <c r="I1468" i="1"/>
  <c r="J1468" i="1"/>
  <c r="I1469" i="1"/>
  <c r="J1469" i="1"/>
  <c r="I1470" i="1"/>
  <c r="J1470" i="1"/>
  <c r="I1471" i="1"/>
  <c r="J1471" i="1"/>
  <c r="I1472" i="1"/>
  <c r="J1472" i="1"/>
  <c r="I1473" i="1"/>
  <c r="J1473" i="1"/>
  <c r="I1474" i="1"/>
  <c r="J1474" i="1"/>
  <c r="I1475" i="1"/>
  <c r="J1475" i="1"/>
  <c r="I1476" i="1"/>
  <c r="J1476" i="1"/>
  <c r="I1477" i="1"/>
  <c r="J1477" i="1"/>
  <c r="I1478" i="1"/>
  <c r="J1478" i="1"/>
  <c r="I1479" i="1"/>
  <c r="J1479" i="1"/>
  <c r="I1480" i="1"/>
  <c r="J1480" i="1"/>
  <c r="I1481" i="1"/>
  <c r="J1481" i="1"/>
  <c r="I1482" i="1"/>
  <c r="J1482" i="1"/>
  <c r="I1483" i="1"/>
  <c r="J1483" i="1"/>
  <c r="I1484" i="1"/>
  <c r="J1484" i="1"/>
  <c r="I1485" i="1"/>
  <c r="J1485" i="1"/>
  <c r="I1486" i="1"/>
  <c r="J1486" i="1"/>
  <c r="I1487" i="1"/>
  <c r="J1487" i="1"/>
  <c r="I1488" i="1"/>
  <c r="J1488" i="1"/>
  <c r="I1489" i="1"/>
  <c r="J1489" i="1"/>
  <c r="I1490" i="1"/>
  <c r="J1490" i="1"/>
  <c r="I1491" i="1"/>
  <c r="J1491" i="1"/>
  <c r="I1492" i="1"/>
  <c r="J1492" i="1"/>
  <c r="I1493" i="1"/>
  <c r="J1493" i="1"/>
  <c r="I1494" i="1"/>
  <c r="J1494" i="1"/>
  <c r="I1495" i="1"/>
  <c r="J1495" i="1"/>
  <c r="I1496" i="1"/>
  <c r="J1496" i="1"/>
  <c r="I1497" i="1"/>
  <c r="J1497" i="1"/>
  <c r="I1498" i="1"/>
  <c r="J1498" i="1"/>
  <c r="I1499" i="1"/>
  <c r="J1499" i="1"/>
  <c r="I1500" i="1"/>
  <c r="J1500" i="1"/>
  <c r="I1501" i="1"/>
  <c r="J1501" i="1"/>
  <c r="I1502" i="1"/>
  <c r="J1502" i="1"/>
  <c r="I1503" i="1"/>
  <c r="J1503" i="1"/>
  <c r="I1504" i="1"/>
  <c r="J1504" i="1"/>
  <c r="I1505" i="1"/>
  <c r="J1505" i="1"/>
  <c r="I1506" i="1"/>
  <c r="J1506" i="1"/>
  <c r="I1507" i="1"/>
  <c r="J1507" i="1"/>
  <c r="I1508" i="1"/>
  <c r="J1508" i="1"/>
  <c r="I1509" i="1"/>
  <c r="J1509" i="1"/>
  <c r="I1510" i="1"/>
  <c r="J1510" i="1"/>
  <c r="I1511" i="1"/>
  <c r="J1511" i="1"/>
  <c r="I1512" i="1"/>
  <c r="J1512" i="1"/>
  <c r="I1513" i="1"/>
  <c r="J1513" i="1"/>
  <c r="I1514" i="1"/>
  <c r="J1514" i="1"/>
  <c r="I1515" i="1"/>
  <c r="J1515" i="1"/>
  <c r="I1516" i="1"/>
  <c r="J1516" i="1"/>
  <c r="I1517" i="1"/>
  <c r="J1517" i="1"/>
  <c r="I1518" i="1"/>
  <c r="J1518" i="1"/>
  <c r="I1519" i="1"/>
  <c r="J1519" i="1"/>
  <c r="I1520" i="1"/>
  <c r="J1520" i="1"/>
  <c r="I1521" i="1"/>
  <c r="J1521" i="1"/>
  <c r="I1522" i="1"/>
  <c r="J1522" i="1"/>
  <c r="I1523" i="1"/>
  <c r="J1523" i="1"/>
  <c r="I1524" i="1"/>
  <c r="J1524" i="1"/>
  <c r="I1525" i="1"/>
  <c r="J1525" i="1"/>
  <c r="I1526" i="1"/>
  <c r="J1526" i="1"/>
  <c r="I1527" i="1"/>
  <c r="J1527" i="1"/>
  <c r="I1528" i="1"/>
  <c r="J1528" i="1"/>
  <c r="I1529" i="1"/>
  <c r="J1529" i="1"/>
  <c r="I1530" i="1"/>
  <c r="J1530" i="1"/>
  <c r="I1531" i="1"/>
  <c r="J1531" i="1"/>
  <c r="I1532" i="1"/>
  <c r="J1532" i="1"/>
  <c r="I1533" i="1"/>
  <c r="J1533" i="1"/>
  <c r="I1534" i="1"/>
  <c r="J1534" i="1"/>
  <c r="I1535" i="1"/>
  <c r="J1535" i="1"/>
  <c r="I1536" i="1"/>
  <c r="J1536" i="1"/>
  <c r="I1537" i="1"/>
  <c r="J1537" i="1"/>
  <c r="I1538" i="1"/>
  <c r="J1538" i="1"/>
  <c r="I1539" i="1"/>
  <c r="J1539" i="1"/>
  <c r="I1540" i="1"/>
  <c r="J1540" i="1"/>
  <c r="I1541" i="1"/>
  <c r="J1541" i="1"/>
  <c r="I1542" i="1"/>
  <c r="J1542" i="1"/>
  <c r="I1543" i="1"/>
  <c r="J1543" i="1"/>
  <c r="I1544" i="1"/>
  <c r="J1544" i="1"/>
  <c r="I1545" i="1"/>
  <c r="J1545" i="1"/>
  <c r="I1546" i="1"/>
  <c r="J1546" i="1"/>
  <c r="I1547" i="1"/>
  <c r="J1547" i="1"/>
  <c r="I1548" i="1"/>
  <c r="J1548" i="1"/>
  <c r="I1549" i="1"/>
  <c r="J1549" i="1"/>
  <c r="I1550" i="1"/>
  <c r="J1550" i="1"/>
  <c r="I1551" i="1"/>
  <c r="J1551" i="1"/>
  <c r="I1552" i="1"/>
  <c r="J1552" i="1"/>
  <c r="I1553" i="1"/>
  <c r="J1553" i="1"/>
  <c r="I1554" i="1"/>
  <c r="J1554" i="1"/>
  <c r="I1555" i="1"/>
  <c r="J1555" i="1"/>
  <c r="I1556" i="1"/>
  <c r="J1556" i="1"/>
  <c r="I1557" i="1"/>
  <c r="J1557" i="1"/>
  <c r="I1558" i="1"/>
  <c r="J1558" i="1"/>
  <c r="I1559" i="1"/>
  <c r="J1559" i="1"/>
  <c r="I1560" i="1"/>
  <c r="J1560" i="1"/>
  <c r="I1561" i="1"/>
  <c r="J1561" i="1"/>
  <c r="I1562" i="1"/>
  <c r="J1562" i="1"/>
  <c r="I1563" i="1"/>
  <c r="J1563" i="1"/>
  <c r="I1564" i="1"/>
  <c r="J1564" i="1"/>
  <c r="I1565" i="1"/>
  <c r="J1565" i="1"/>
  <c r="I1566" i="1"/>
  <c r="J1566" i="1"/>
  <c r="I1567" i="1"/>
  <c r="J1567" i="1"/>
  <c r="I1568" i="1"/>
  <c r="J1568" i="1"/>
  <c r="I1569" i="1"/>
  <c r="J1569" i="1"/>
  <c r="I1570" i="1"/>
  <c r="J1570" i="1"/>
  <c r="I1571" i="1"/>
  <c r="J1571" i="1"/>
  <c r="I1572" i="1"/>
  <c r="J1572" i="1"/>
  <c r="I1573" i="1"/>
  <c r="J1573" i="1"/>
  <c r="I1574" i="1"/>
  <c r="J1574" i="1"/>
  <c r="I1575" i="1"/>
  <c r="J1575" i="1"/>
  <c r="I1576" i="1"/>
  <c r="J1576" i="1"/>
  <c r="I1577" i="1"/>
  <c r="J1577" i="1"/>
  <c r="I1578" i="1"/>
  <c r="J1578" i="1"/>
  <c r="I1579" i="1"/>
  <c r="J1579" i="1"/>
  <c r="I1580" i="1"/>
  <c r="J1580" i="1"/>
  <c r="I1581" i="1"/>
  <c r="J1581" i="1"/>
  <c r="I1582" i="1"/>
  <c r="J1582" i="1"/>
  <c r="I1583" i="1"/>
  <c r="J1583" i="1"/>
  <c r="I1584" i="1"/>
  <c r="J1584" i="1"/>
  <c r="I1585" i="1"/>
  <c r="J1585" i="1"/>
  <c r="I1586" i="1"/>
  <c r="J1586" i="1"/>
  <c r="I1587" i="1"/>
  <c r="J1587" i="1"/>
  <c r="I1588" i="1"/>
  <c r="J1588" i="1"/>
  <c r="I1589" i="1"/>
  <c r="J1589" i="1"/>
  <c r="I1590" i="1"/>
  <c r="J1590" i="1"/>
  <c r="I1591" i="1"/>
  <c r="J1591" i="1"/>
  <c r="I1592" i="1"/>
  <c r="J1592" i="1"/>
  <c r="I1593" i="1"/>
  <c r="J1593" i="1"/>
  <c r="I1594" i="1"/>
  <c r="J1594" i="1"/>
  <c r="I1595" i="1"/>
  <c r="J1595" i="1"/>
  <c r="I1596" i="1"/>
  <c r="J1596" i="1"/>
  <c r="I1597" i="1"/>
  <c r="J1597" i="1"/>
  <c r="I1598" i="1"/>
  <c r="J1598" i="1"/>
  <c r="I1599" i="1"/>
  <c r="J1599" i="1"/>
  <c r="I1600" i="1"/>
  <c r="J1600" i="1"/>
  <c r="I1601" i="1"/>
  <c r="J1601" i="1"/>
  <c r="I1602" i="1"/>
  <c r="J1602" i="1"/>
  <c r="I1603" i="1"/>
  <c r="J1603" i="1"/>
  <c r="I1604" i="1"/>
  <c r="J1604" i="1"/>
  <c r="I1605" i="1"/>
  <c r="J1605" i="1"/>
  <c r="I1606" i="1"/>
  <c r="J1606" i="1"/>
  <c r="I1607" i="1"/>
  <c r="J1607" i="1"/>
  <c r="I1608" i="1"/>
  <c r="J1608" i="1"/>
  <c r="I1609" i="1"/>
  <c r="J1609" i="1"/>
  <c r="I1610" i="1"/>
  <c r="J1610" i="1"/>
  <c r="I1611" i="1"/>
  <c r="J1611" i="1"/>
  <c r="I1612" i="1"/>
  <c r="J1612" i="1"/>
  <c r="I1613" i="1"/>
  <c r="J1613" i="1"/>
  <c r="I1614" i="1"/>
  <c r="J1614" i="1"/>
  <c r="I1615" i="1"/>
  <c r="J1615" i="1"/>
  <c r="I1616" i="1"/>
  <c r="J1616" i="1"/>
  <c r="I1617" i="1"/>
  <c r="J1617" i="1"/>
  <c r="I1618" i="1"/>
  <c r="J1618" i="1"/>
  <c r="I1619" i="1"/>
  <c r="J1619" i="1"/>
  <c r="I1620" i="1"/>
  <c r="J1620" i="1"/>
  <c r="I1621" i="1"/>
  <c r="J1621" i="1"/>
  <c r="I1622" i="1"/>
  <c r="J1622" i="1"/>
  <c r="I1623" i="1"/>
  <c r="J1623" i="1"/>
  <c r="I1624" i="1"/>
  <c r="J1624" i="1"/>
  <c r="I1625" i="1"/>
  <c r="J1625" i="1"/>
  <c r="I1626" i="1"/>
  <c r="J1626" i="1"/>
  <c r="I1627" i="1"/>
  <c r="J1627" i="1"/>
  <c r="I1628" i="1"/>
  <c r="J1628" i="1"/>
  <c r="I1629" i="1"/>
  <c r="J1629" i="1"/>
  <c r="I1630" i="1"/>
  <c r="J1630" i="1"/>
  <c r="I1631" i="1"/>
  <c r="J1631" i="1"/>
  <c r="I1632" i="1"/>
  <c r="J1632" i="1"/>
  <c r="I1633" i="1"/>
  <c r="J1633" i="1"/>
  <c r="I1634" i="1"/>
  <c r="J1634" i="1"/>
  <c r="I1635" i="1"/>
  <c r="J1635" i="1"/>
  <c r="I1636" i="1"/>
  <c r="J1636" i="1"/>
  <c r="I1637" i="1"/>
  <c r="J1637" i="1"/>
  <c r="I1638" i="1"/>
  <c r="J1638" i="1"/>
  <c r="I1639" i="1"/>
  <c r="J1639" i="1"/>
  <c r="I1640" i="1"/>
  <c r="J1640" i="1"/>
  <c r="I1641" i="1"/>
  <c r="J1641" i="1"/>
  <c r="I1642" i="1"/>
  <c r="J1642" i="1"/>
  <c r="I1643" i="1"/>
  <c r="J1643" i="1"/>
  <c r="I1644" i="1"/>
  <c r="J1644" i="1"/>
  <c r="I1645" i="1"/>
  <c r="J1645" i="1"/>
  <c r="I1646" i="1"/>
  <c r="J1646" i="1"/>
  <c r="I1647" i="1"/>
  <c r="J1647" i="1"/>
  <c r="I1648" i="1"/>
  <c r="J1648" i="1"/>
  <c r="I1649" i="1"/>
  <c r="J1649" i="1"/>
  <c r="I1650" i="1"/>
  <c r="J1650" i="1"/>
  <c r="I1651" i="1"/>
  <c r="J1651" i="1"/>
  <c r="I1652" i="1"/>
  <c r="J1652" i="1"/>
  <c r="I1653" i="1"/>
  <c r="J1653" i="1"/>
  <c r="I1654" i="1"/>
  <c r="J1654" i="1"/>
  <c r="I1655" i="1"/>
  <c r="J1655" i="1"/>
  <c r="I1656" i="1"/>
  <c r="J1656" i="1"/>
  <c r="I1657" i="1"/>
  <c r="J1657" i="1"/>
  <c r="I1658" i="1"/>
  <c r="J1658" i="1"/>
  <c r="I1659" i="1"/>
  <c r="J1659" i="1"/>
  <c r="I1660" i="1"/>
  <c r="J1660" i="1"/>
  <c r="I1661" i="1"/>
  <c r="J1661" i="1"/>
  <c r="I1662" i="1"/>
  <c r="J1662" i="1"/>
  <c r="I1663" i="1"/>
  <c r="J1663" i="1"/>
  <c r="I1664" i="1"/>
  <c r="J1664" i="1"/>
  <c r="I1665" i="1"/>
  <c r="J1665" i="1"/>
  <c r="I1666" i="1"/>
  <c r="J1666" i="1"/>
  <c r="I1667" i="1"/>
  <c r="J1667" i="1"/>
  <c r="I1668" i="1"/>
  <c r="J1668" i="1"/>
  <c r="I1669" i="1"/>
  <c r="J1669" i="1"/>
  <c r="I1670" i="1"/>
  <c r="J1670" i="1"/>
  <c r="I1671" i="1"/>
  <c r="J1671" i="1"/>
  <c r="I1672" i="1"/>
  <c r="J1672" i="1"/>
  <c r="I1673" i="1"/>
  <c r="J1673" i="1"/>
  <c r="I1674" i="1"/>
  <c r="J1674" i="1"/>
  <c r="I1675" i="1"/>
  <c r="J1675" i="1"/>
  <c r="I1676" i="1"/>
  <c r="J1676" i="1"/>
  <c r="I1677" i="1"/>
  <c r="J1677" i="1"/>
  <c r="I1678" i="1"/>
  <c r="J1678" i="1"/>
  <c r="I1679" i="1"/>
  <c r="J1679" i="1"/>
  <c r="I1680" i="1"/>
  <c r="J1680" i="1"/>
  <c r="I1681" i="1"/>
  <c r="J1681" i="1"/>
  <c r="I1682" i="1"/>
  <c r="J1682" i="1"/>
  <c r="I1683" i="1"/>
  <c r="J1683" i="1"/>
  <c r="I1684" i="1"/>
  <c r="J1684" i="1"/>
  <c r="I1685" i="1"/>
  <c r="J1685" i="1"/>
  <c r="I1686" i="1"/>
  <c r="J1686" i="1"/>
  <c r="I1687" i="1"/>
  <c r="J1687" i="1"/>
  <c r="I1688" i="1"/>
  <c r="J1688" i="1"/>
  <c r="I1689" i="1"/>
  <c r="J1689" i="1"/>
  <c r="I1690" i="1"/>
  <c r="J1690" i="1"/>
  <c r="I1691" i="1"/>
  <c r="J1691" i="1"/>
  <c r="I1692" i="1"/>
  <c r="J1692" i="1"/>
  <c r="I1693" i="1"/>
  <c r="J1693" i="1"/>
  <c r="I1694" i="1"/>
  <c r="J1694" i="1"/>
  <c r="I1695" i="1"/>
  <c r="J1695" i="1"/>
  <c r="I1696" i="1"/>
  <c r="J1696" i="1"/>
  <c r="I1697" i="1"/>
  <c r="J1697" i="1"/>
  <c r="I1698" i="1"/>
  <c r="J1698" i="1"/>
  <c r="I1699" i="1"/>
  <c r="J1699" i="1"/>
  <c r="I1700" i="1"/>
  <c r="J1700" i="1"/>
  <c r="I1701" i="1"/>
  <c r="J1701" i="1"/>
  <c r="I1702" i="1"/>
  <c r="J1702" i="1"/>
  <c r="I1703" i="1"/>
  <c r="J1703" i="1"/>
  <c r="I1704" i="1"/>
  <c r="J1704" i="1"/>
  <c r="I1705" i="1"/>
  <c r="J1705" i="1"/>
  <c r="I1706" i="1"/>
  <c r="J1706" i="1"/>
  <c r="I1707" i="1"/>
  <c r="J1707" i="1"/>
  <c r="I1708" i="1"/>
  <c r="J1708" i="1"/>
  <c r="I1709" i="1"/>
  <c r="J1709" i="1"/>
  <c r="I1710" i="1"/>
  <c r="J1710" i="1"/>
  <c r="I1711" i="1"/>
  <c r="J1711" i="1"/>
  <c r="I1712" i="1"/>
  <c r="J1712" i="1"/>
  <c r="I1713" i="1"/>
  <c r="J1713" i="1"/>
  <c r="I1714" i="1"/>
  <c r="J1714" i="1"/>
  <c r="I1715" i="1"/>
  <c r="J1715" i="1"/>
  <c r="I1716" i="1"/>
  <c r="J1716" i="1"/>
  <c r="I1717" i="1"/>
  <c r="J1717" i="1"/>
  <c r="I1718" i="1"/>
  <c r="J1718" i="1"/>
  <c r="I1719" i="1"/>
  <c r="J1719" i="1"/>
  <c r="I1720" i="1"/>
  <c r="J1720" i="1"/>
  <c r="I1721" i="1"/>
  <c r="J1721" i="1"/>
  <c r="I1722" i="1"/>
  <c r="J1722" i="1"/>
  <c r="I1723" i="1"/>
  <c r="J1723" i="1"/>
  <c r="I1724" i="1"/>
  <c r="J1724" i="1"/>
  <c r="I1725" i="1"/>
  <c r="J1725" i="1"/>
  <c r="I1726" i="1"/>
  <c r="J1726" i="1"/>
  <c r="I1727" i="1"/>
  <c r="J1727" i="1"/>
  <c r="I1728" i="1"/>
  <c r="J1728" i="1"/>
  <c r="I1729" i="1"/>
  <c r="J1729" i="1"/>
  <c r="I1730" i="1"/>
  <c r="J1730" i="1"/>
  <c r="I1731" i="1"/>
  <c r="J1731" i="1"/>
  <c r="I1732" i="1"/>
  <c r="J1732" i="1"/>
  <c r="I1733" i="1"/>
  <c r="J1733" i="1"/>
  <c r="I1734" i="1"/>
  <c r="J1734" i="1"/>
  <c r="I1735" i="1"/>
  <c r="J1735" i="1"/>
  <c r="I1736" i="1"/>
  <c r="J1736" i="1"/>
  <c r="I1737" i="1"/>
  <c r="J1737" i="1"/>
  <c r="I1738" i="1"/>
  <c r="J1738" i="1"/>
  <c r="I1739" i="1"/>
  <c r="J1739" i="1"/>
  <c r="I1740" i="1"/>
  <c r="J1740" i="1"/>
  <c r="I1741" i="1"/>
  <c r="J1741" i="1"/>
  <c r="I1742" i="1"/>
  <c r="J1742" i="1"/>
  <c r="I1743" i="1"/>
  <c r="J1743" i="1"/>
  <c r="I1744" i="1"/>
  <c r="J1744" i="1"/>
  <c r="I1745" i="1"/>
  <c r="J1745" i="1"/>
  <c r="I1746" i="1"/>
  <c r="J1746" i="1"/>
  <c r="I1747" i="1"/>
  <c r="J1747" i="1"/>
  <c r="I1748" i="1"/>
  <c r="J1748" i="1"/>
  <c r="I1749" i="1"/>
  <c r="J1749" i="1"/>
  <c r="I1750" i="1"/>
  <c r="J1750" i="1"/>
  <c r="I1751" i="1"/>
  <c r="J1751" i="1"/>
  <c r="I1752" i="1"/>
  <c r="J1752" i="1"/>
  <c r="I1753" i="1"/>
  <c r="J1753" i="1"/>
  <c r="I1754" i="1"/>
  <c r="J1754" i="1"/>
  <c r="I1755" i="1"/>
  <c r="J1755" i="1"/>
  <c r="I1756" i="1"/>
  <c r="J1756" i="1"/>
  <c r="I1757" i="1"/>
  <c r="J1757" i="1"/>
  <c r="I1758" i="1"/>
  <c r="J1758" i="1"/>
  <c r="I1759" i="1"/>
  <c r="J1759" i="1"/>
  <c r="I1760" i="1"/>
  <c r="J1760" i="1"/>
  <c r="I1761" i="1"/>
  <c r="J1761" i="1"/>
  <c r="I1762" i="1"/>
  <c r="J1762" i="1"/>
  <c r="I1763" i="1"/>
  <c r="J1763" i="1"/>
  <c r="I1764" i="1"/>
  <c r="J1764" i="1"/>
  <c r="I1765" i="1"/>
  <c r="J1765" i="1"/>
  <c r="I1766" i="1"/>
  <c r="J1766" i="1"/>
  <c r="I1767" i="1"/>
  <c r="J1767" i="1"/>
  <c r="I1768" i="1"/>
  <c r="J1768" i="1"/>
  <c r="I1769" i="1"/>
  <c r="J1769" i="1"/>
  <c r="I1770" i="1"/>
  <c r="J1770" i="1"/>
  <c r="I1771" i="1"/>
  <c r="J1771" i="1"/>
  <c r="I1772" i="1"/>
  <c r="J1772" i="1"/>
  <c r="I1773" i="1"/>
  <c r="J1773" i="1"/>
  <c r="I1774" i="1"/>
  <c r="J1774" i="1"/>
  <c r="I1775" i="1"/>
  <c r="J1775" i="1"/>
  <c r="I1776" i="1"/>
  <c r="J1776" i="1"/>
  <c r="I1777" i="1"/>
  <c r="J1777" i="1"/>
  <c r="I1778" i="1"/>
  <c r="J1778" i="1"/>
  <c r="I1779" i="1"/>
  <c r="J1779" i="1"/>
  <c r="I1780" i="1"/>
  <c r="J1780" i="1"/>
  <c r="I1781" i="1"/>
  <c r="J1781" i="1"/>
  <c r="I1782" i="1"/>
  <c r="J1782" i="1"/>
  <c r="I1783" i="1"/>
  <c r="J1783" i="1"/>
  <c r="I1784" i="1"/>
  <c r="J1784" i="1"/>
  <c r="I1785" i="1"/>
  <c r="J1785" i="1"/>
  <c r="I1786" i="1"/>
  <c r="J1786" i="1"/>
  <c r="I1787" i="1"/>
  <c r="J1787" i="1"/>
  <c r="I1788" i="1"/>
  <c r="J1788" i="1"/>
  <c r="I1789" i="1"/>
  <c r="J1789" i="1"/>
  <c r="I1790" i="1"/>
  <c r="J1790" i="1"/>
  <c r="I1791" i="1"/>
  <c r="J1791" i="1"/>
  <c r="I1792" i="1"/>
  <c r="J1792" i="1"/>
  <c r="I1793" i="1"/>
  <c r="J1793" i="1"/>
  <c r="I1794" i="1"/>
  <c r="J1794" i="1"/>
  <c r="I1795" i="1"/>
  <c r="J1795" i="1"/>
  <c r="I1796" i="1"/>
  <c r="J1796" i="1"/>
  <c r="I1797" i="1"/>
  <c r="J1797" i="1"/>
  <c r="I1798" i="1"/>
  <c r="J1798" i="1"/>
  <c r="I1799" i="1"/>
  <c r="J1799" i="1"/>
  <c r="I1800" i="1"/>
  <c r="J1800" i="1"/>
  <c r="I1801" i="1"/>
  <c r="J1801" i="1"/>
  <c r="I1802" i="1"/>
  <c r="J1802" i="1"/>
  <c r="I1803" i="1"/>
  <c r="J1803" i="1"/>
  <c r="I1804" i="1"/>
  <c r="J1804" i="1"/>
  <c r="I1805" i="1"/>
  <c r="J1805" i="1"/>
  <c r="I1806" i="1"/>
  <c r="J1806" i="1"/>
  <c r="I1807" i="1"/>
  <c r="J1807" i="1"/>
  <c r="I1808" i="1"/>
  <c r="J1808" i="1"/>
  <c r="I1809" i="1"/>
  <c r="J1809" i="1"/>
  <c r="I1810" i="1"/>
  <c r="J1810" i="1"/>
  <c r="I1811" i="1"/>
  <c r="J1811" i="1"/>
  <c r="I1812" i="1"/>
  <c r="J1812" i="1"/>
  <c r="I1813" i="1"/>
  <c r="J1813" i="1"/>
  <c r="I1814" i="1"/>
  <c r="J1814" i="1"/>
  <c r="I1815" i="1"/>
  <c r="J1815" i="1"/>
  <c r="I1816" i="1"/>
  <c r="J1816" i="1"/>
  <c r="I1817" i="1"/>
  <c r="J1817" i="1"/>
  <c r="I1818" i="1"/>
  <c r="J1818" i="1"/>
  <c r="I1819" i="1"/>
  <c r="J1819" i="1"/>
  <c r="I1820" i="1"/>
  <c r="J1820" i="1"/>
  <c r="I1821" i="1"/>
  <c r="J1821" i="1"/>
  <c r="I1822" i="1"/>
  <c r="J1822" i="1"/>
  <c r="I1823" i="1"/>
  <c r="J1823" i="1"/>
  <c r="I1824" i="1"/>
  <c r="J1824" i="1"/>
  <c r="I1825" i="1"/>
  <c r="J1825" i="1"/>
  <c r="I1826" i="1"/>
  <c r="J1826" i="1"/>
  <c r="I1827" i="1"/>
  <c r="J1827" i="1"/>
  <c r="I1828" i="1"/>
  <c r="J1828" i="1"/>
  <c r="I1829" i="1"/>
  <c r="J1829" i="1"/>
  <c r="I1830" i="1"/>
  <c r="J1830" i="1"/>
  <c r="I1831" i="1"/>
  <c r="J1831" i="1"/>
  <c r="I1832" i="1"/>
  <c r="J1832" i="1"/>
  <c r="I1833" i="1"/>
  <c r="J1833" i="1"/>
  <c r="I1834" i="1"/>
  <c r="J1834" i="1"/>
  <c r="I1835" i="1"/>
  <c r="J1835" i="1"/>
  <c r="I1836" i="1"/>
  <c r="J1836" i="1"/>
  <c r="I1837" i="1"/>
  <c r="J1837" i="1"/>
  <c r="I1838" i="1"/>
  <c r="J1838" i="1"/>
  <c r="I1839" i="1"/>
  <c r="J1839" i="1"/>
  <c r="I1840" i="1"/>
  <c r="J1840" i="1"/>
  <c r="I1841" i="1"/>
  <c r="J1841" i="1"/>
  <c r="I1842" i="1"/>
  <c r="J1842" i="1"/>
  <c r="I1843" i="1"/>
  <c r="J1843" i="1"/>
  <c r="I1844" i="1"/>
  <c r="J1844" i="1"/>
  <c r="I1845" i="1"/>
  <c r="J1845" i="1"/>
  <c r="I1846" i="1"/>
  <c r="J1846" i="1"/>
  <c r="I1847" i="1"/>
  <c r="J1847" i="1"/>
  <c r="I1848" i="1"/>
  <c r="J1848" i="1"/>
  <c r="I1849" i="1"/>
  <c r="J1849" i="1"/>
  <c r="I1850" i="1"/>
  <c r="J1850" i="1"/>
  <c r="I1851" i="1"/>
  <c r="J1851" i="1"/>
  <c r="I1852" i="1"/>
  <c r="J1852" i="1"/>
  <c r="I1853" i="1"/>
  <c r="J1853" i="1"/>
  <c r="I1854" i="1"/>
  <c r="J1854" i="1"/>
  <c r="I1855" i="1"/>
  <c r="J1855" i="1"/>
  <c r="I1856" i="1"/>
  <c r="J1856" i="1"/>
  <c r="I1857" i="1"/>
  <c r="J1857" i="1"/>
  <c r="I1858" i="1"/>
  <c r="J1858" i="1"/>
  <c r="I1859" i="1"/>
  <c r="J1859" i="1"/>
  <c r="I1860" i="1"/>
  <c r="J1860" i="1"/>
  <c r="I1861" i="1"/>
  <c r="J1861" i="1"/>
  <c r="I1862" i="1"/>
  <c r="J1862" i="1"/>
  <c r="I1863" i="1"/>
  <c r="J1863" i="1"/>
  <c r="I1864" i="1"/>
  <c r="J1864" i="1"/>
  <c r="I1865" i="1"/>
  <c r="J1865" i="1"/>
  <c r="I1866" i="1"/>
  <c r="J1866" i="1"/>
  <c r="I1867" i="1"/>
  <c r="J1867" i="1"/>
  <c r="I1868" i="1"/>
  <c r="J1868" i="1"/>
  <c r="I1869" i="1"/>
  <c r="J1869" i="1"/>
  <c r="I1870" i="1"/>
  <c r="J1870" i="1"/>
  <c r="I1871" i="1"/>
  <c r="J1871" i="1"/>
  <c r="I1872" i="1"/>
  <c r="J1872" i="1"/>
  <c r="I1873" i="1"/>
  <c r="J1873" i="1"/>
  <c r="I1874" i="1"/>
  <c r="J1874" i="1"/>
  <c r="I1875" i="1"/>
  <c r="J1875" i="1"/>
  <c r="I1876" i="1"/>
  <c r="J1876" i="1"/>
  <c r="I1877" i="1"/>
  <c r="J1877" i="1"/>
  <c r="I1878" i="1"/>
  <c r="J1878" i="1"/>
  <c r="I1879" i="1"/>
  <c r="J1879" i="1"/>
  <c r="I1880" i="1"/>
  <c r="J1880" i="1"/>
  <c r="I1881" i="1"/>
  <c r="J1881" i="1"/>
  <c r="I1882" i="1"/>
  <c r="J1882" i="1"/>
  <c r="I1883" i="1"/>
  <c r="J1883" i="1"/>
  <c r="I1884" i="1"/>
  <c r="J1884" i="1"/>
  <c r="I1885" i="1"/>
  <c r="J1885" i="1"/>
  <c r="I1886" i="1"/>
  <c r="J1886" i="1"/>
  <c r="I1887" i="1"/>
  <c r="J1887" i="1"/>
  <c r="I1888" i="1"/>
  <c r="J1888" i="1"/>
  <c r="I1889" i="1"/>
  <c r="J1889" i="1"/>
  <c r="I1890" i="1"/>
  <c r="J1890" i="1"/>
  <c r="I1891" i="1"/>
  <c r="J1891" i="1"/>
  <c r="I1892" i="1"/>
  <c r="J1892" i="1"/>
  <c r="I1893" i="1"/>
  <c r="J1893" i="1"/>
  <c r="I1894" i="1"/>
  <c r="J1894" i="1"/>
  <c r="I1895" i="1"/>
  <c r="J1895" i="1"/>
  <c r="I1896" i="1"/>
  <c r="J1896" i="1"/>
  <c r="G337" i="4"/>
  <c r="F337" i="4"/>
  <c r="E337" i="4"/>
  <c r="D337" i="4"/>
  <c r="C337" i="4"/>
  <c r="B337" i="4"/>
  <c r="A337" i="4"/>
  <c r="H337" i="4" s="1"/>
  <c r="I337" i="4" s="1"/>
  <c r="G336" i="4"/>
  <c r="F336" i="4"/>
  <c r="E336" i="4"/>
  <c r="D336" i="4"/>
  <c r="C336" i="4"/>
  <c r="B336" i="4"/>
  <c r="A336" i="4"/>
  <c r="G335" i="4"/>
  <c r="F335" i="4"/>
  <c r="E335" i="4"/>
  <c r="D335" i="4"/>
  <c r="C335" i="4"/>
  <c r="H335" i="4" s="1"/>
  <c r="I335" i="4" s="1"/>
  <c r="B335" i="4"/>
  <c r="A335" i="4"/>
  <c r="G334" i="4"/>
  <c r="F334" i="4"/>
  <c r="E334" i="4"/>
  <c r="D334" i="4"/>
  <c r="C334" i="4"/>
  <c r="B334" i="4"/>
  <c r="A334" i="4"/>
  <c r="G333" i="4"/>
  <c r="F333" i="4"/>
  <c r="E333" i="4"/>
  <c r="D333" i="4"/>
  <c r="C333" i="4"/>
  <c r="B333" i="4"/>
  <c r="A333" i="4"/>
  <c r="G332" i="4"/>
  <c r="F332" i="4"/>
  <c r="E332" i="4"/>
  <c r="D332" i="4"/>
  <c r="C332" i="4"/>
  <c r="H332" i="4" s="1"/>
  <c r="I332" i="4" s="1"/>
  <c r="B332" i="4"/>
  <c r="A332" i="4"/>
  <c r="G331" i="4"/>
  <c r="F331" i="4"/>
  <c r="E331" i="4"/>
  <c r="D331" i="4"/>
  <c r="C331" i="4"/>
  <c r="B331" i="4"/>
  <c r="A331" i="4"/>
  <c r="G330" i="4"/>
  <c r="F330" i="4"/>
  <c r="E330" i="4"/>
  <c r="D330" i="4"/>
  <c r="C330" i="4"/>
  <c r="B330" i="4"/>
  <c r="A330" i="4"/>
  <c r="G329" i="4"/>
  <c r="F329" i="4"/>
  <c r="E329" i="4"/>
  <c r="D329" i="4"/>
  <c r="C329" i="4"/>
  <c r="B329" i="4"/>
  <c r="A329" i="4"/>
  <c r="H329" i="4" s="1"/>
  <c r="I329" i="4" s="1"/>
  <c r="G328" i="4"/>
  <c r="F328" i="4"/>
  <c r="E328" i="4"/>
  <c r="D328" i="4"/>
  <c r="C328" i="4"/>
  <c r="B328" i="4"/>
  <c r="A328" i="4"/>
  <c r="G327" i="4"/>
  <c r="F327" i="4"/>
  <c r="E327" i="4"/>
  <c r="D327" i="4"/>
  <c r="C327" i="4"/>
  <c r="B327" i="4"/>
  <c r="A327" i="4"/>
  <c r="H326" i="4"/>
  <c r="G326" i="4"/>
  <c r="F326" i="4"/>
  <c r="E326" i="4"/>
  <c r="D326" i="4"/>
  <c r="C326" i="4"/>
  <c r="B326" i="4"/>
  <c r="A326" i="4"/>
  <c r="G325" i="4"/>
  <c r="F325" i="4"/>
  <c r="E325" i="4"/>
  <c r="D325" i="4"/>
  <c r="C325" i="4"/>
  <c r="B325" i="4"/>
  <c r="A325" i="4"/>
  <c r="G324" i="4"/>
  <c r="F324" i="4"/>
  <c r="E324" i="4"/>
  <c r="D324" i="4"/>
  <c r="C324" i="4"/>
  <c r="B324" i="4"/>
  <c r="A324" i="4"/>
  <c r="G323" i="4"/>
  <c r="F323" i="4"/>
  <c r="E323" i="4"/>
  <c r="D323" i="4"/>
  <c r="C323" i="4"/>
  <c r="B323" i="4"/>
  <c r="A323" i="4"/>
  <c r="H323" i="4" s="1"/>
  <c r="I323" i="4" s="1"/>
  <c r="G322" i="4"/>
  <c r="F322" i="4"/>
  <c r="E322" i="4"/>
  <c r="D322" i="4"/>
  <c r="C322" i="4"/>
  <c r="B322" i="4"/>
  <c r="A322" i="4"/>
  <c r="G321" i="4"/>
  <c r="F321" i="4"/>
  <c r="E321" i="4"/>
  <c r="D321" i="4"/>
  <c r="C321" i="4"/>
  <c r="H321" i="4" s="1"/>
  <c r="B321" i="4"/>
  <c r="A321" i="4"/>
  <c r="J321" i="4" s="1"/>
  <c r="G320" i="4"/>
  <c r="F320" i="4"/>
  <c r="E320" i="4"/>
  <c r="D320" i="4"/>
  <c r="C320" i="4"/>
  <c r="B320" i="4"/>
  <c r="A320" i="4"/>
  <c r="G319" i="4"/>
  <c r="F319" i="4"/>
  <c r="E319" i="4"/>
  <c r="D319" i="4"/>
  <c r="C319" i="4"/>
  <c r="B319" i="4"/>
  <c r="A319" i="4"/>
  <c r="G318" i="4"/>
  <c r="F318" i="4"/>
  <c r="E318" i="4"/>
  <c r="D318" i="4"/>
  <c r="C318" i="4"/>
  <c r="B318" i="4"/>
  <c r="A318" i="4"/>
  <c r="G317" i="4"/>
  <c r="F317" i="4"/>
  <c r="E317" i="4"/>
  <c r="D317" i="4"/>
  <c r="C317" i="4"/>
  <c r="H317" i="4" s="1"/>
  <c r="I317" i="4" s="1"/>
  <c r="B317" i="4"/>
  <c r="A317" i="4"/>
  <c r="G316" i="4"/>
  <c r="F316" i="4"/>
  <c r="E316" i="4"/>
  <c r="D316" i="4"/>
  <c r="C316" i="4"/>
  <c r="B316" i="4"/>
  <c r="A316" i="4"/>
  <c r="G315" i="4"/>
  <c r="F315" i="4"/>
  <c r="E315" i="4"/>
  <c r="D315" i="4"/>
  <c r="C315" i="4"/>
  <c r="B315" i="4"/>
  <c r="A315" i="4"/>
  <c r="H315" i="4" s="1"/>
  <c r="I315" i="4" s="1"/>
  <c r="G314" i="4"/>
  <c r="F314" i="4"/>
  <c r="E314" i="4"/>
  <c r="D314" i="4"/>
  <c r="C314" i="4"/>
  <c r="B314" i="4"/>
  <c r="A314" i="4"/>
  <c r="H314" i="4" s="1"/>
  <c r="G313" i="4"/>
  <c r="F313" i="4"/>
  <c r="E313" i="4"/>
  <c r="D313" i="4"/>
  <c r="C313" i="4"/>
  <c r="B313" i="4"/>
  <c r="A313" i="4"/>
  <c r="J313" i="4" s="1"/>
  <c r="G312" i="4"/>
  <c r="F312" i="4"/>
  <c r="E312" i="4"/>
  <c r="D312" i="4"/>
  <c r="C312" i="4"/>
  <c r="B312" i="4"/>
  <c r="A312" i="4"/>
  <c r="G311" i="4"/>
  <c r="F311" i="4"/>
  <c r="E311" i="4"/>
  <c r="D311" i="4"/>
  <c r="C311" i="4"/>
  <c r="J311" i="4" s="1"/>
  <c r="B311" i="4"/>
  <c r="A311" i="4"/>
  <c r="H311" i="4" s="1"/>
  <c r="I311" i="4" s="1"/>
  <c r="H310" i="4"/>
  <c r="G310" i="4"/>
  <c r="F310" i="4"/>
  <c r="E310" i="4"/>
  <c r="D310" i="4"/>
  <c r="C310" i="4"/>
  <c r="J310" i="4" s="1"/>
  <c r="B310" i="4"/>
  <c r="A310" i="4"/>
  <c r="G309" i="4"/>
  <c r="F309" i="4"/>
  <c r="E309" i="4"/>
  <c r="D309" i="4"/>
  <c r="C309" i="4"/>
  <c r="B309" i="4"/>
  <c r="A309" i="4"/>
  <c r="G308" i="4"/>
  <c r="F308" i="4"/>
  <c r="E308" i="4"/>
  <c r="D308" i="4"/>
  <c r="C308" i="4"/>
  <c r="B308" i="4"/>
  <c r="A308" i="4"/>
  <c r="H308" i="4" s="1"/>
  <c r="G307" i="4"/>
  <c r="F307" i="4"/>
  <c r="E307" i="4"/>
  <c r="D307" i="4"/>
  <c r="C307" i="4"/>
  <c r="J307" i="4" s="1"/>
  <c r="B307" i="4"/>
  <c r="A307" i="4"/>
  <c r="G306" i="4"/>
  <c r="F306" i="4"/>
  <c r="E306" i="4"/>
  <c r="D306" i="4"/>
  <c r="C306" i="4"/>
  <c r="B306" i="4"/>
  <c r="A306" i="4"/>
  <c r="J306" i="4" s="1"/>
  <c r="G305" i="4"/>
  <c r="F305" i="4"/>
  <c r="E305" i="4"/>
  <c r="D305" i="4"/>
  <c r="C305" i="4"/>
  <c r="B305" i="4"/>
  <c r="A305" i="4"/>
  <c r="H305" i="4" s="1"/>
  <c r="I305" i="4" s="1"/>
  <c r="G304" i="4"/>
  <c r="F304" i="4"/>
  <c r="E304" i="4"/>
  <c r="D304" i="4"/>
  <c r="C304" i="4"/>
  <c r="J304" i="4" s="1"/>
  <c r="B304" i="4"/>
  <c r="A304" i="4"/>
  <c r="H304" i="4" s="1"/>
  <c r="G303" i="4"/>
  <c r="F303" i="4"/>
  <c r="E303" i="4"/>
  <c r="D303" i="4"/>
  <c r="C303" i="4"/>
  <c r="J303" i="4" s="1"/>
  <c r="B303" i="4"/>
  <c r="A303" i="4"/>
  <c r="G302" i="4"/>
  <c r="F302" i="4"/>
  <c r="E302" i="4"/>
  <c r="D302" i="4"/>
  <c r="C302" i="4"/>
  <c r="B302" i="4"/>
  <c r="A302" i="4"/>
  <c r="G301" i="4"/>
  <c r="F301" i="4"/>
  <c r="E301" i="4"/>
  <c r="D301" i="4"/>
  <c r="C301" i="4"/>
  <c r="B301" i="4"/>
  <c r="A301" i="4"/>
  <c r="G300" i="4"/>
  <c r="F300" i="4"/>
  <c r="E300" i="4"/>
  <c r="D300" i="4"/>
  <c r="C300" i="4"/>
  <c r="B300" i="4"/>
  <c r="A300" i="4"/>
  <c r="G299" i="4"/>
  <c r="F299" i="4"/>
  <c r="E299" i="4"/>
  <c r="D299" i="4"/>
  <c r="C299" i="4"/>
  <c r="B299" i="4"/>
  <c r="A299" i="4"/>
  <c r="G298" i="4"/>
  <c r="F298" i="4"/>
  <c r="E298" i="4"/>
  <c r="D298" i="4"/>
  <c r="C298" i="4"/>
  <c r="J298" i="4" s="1"/>
  <c r="B298" i="4"/>
  <c r="A298" i="4"/>
  <c r="J297" i="4"/>
  <c r="G297" i="4"/>
  <c r="F297" i="4"/>
  <c r="E297" i="4"/>
  <c r="D297" i="4"/>
  <c r="C297" i="4"/>
  <c r="B297" i="4"/>
  <c r="A297" i="4"/>
  <c r="H297" i="4" s="1"/>
  <c r="I297" i="4" s="1"/>
  <c r="G296" i="4"/>
  <c r="F296" i="4"/>
  <c r="E296" i="4"/>
  <c r="D296" i="4"/>
  <c r="C296" i="4"/>
  <c r="B296" i="4"/>
  <c r="A296" i="4"/>
  <c r="G295" i="4"/>
  <c r="F295" i="4"/>
  <c r="E295" i="4"/>
  <c r="D295" i="4"/>
  <c r="C295" i="4"/>
  <c r="B295" i="4"/>
  <c r="A295" i="4"/>
  <c r="G294" i="4"/>
  <c r="F294" i="4"/>
  <c r="E294" i="4"/>
  <c r="D294" i="4"/>
  <c r="C294" i="4"/>
  <c r="J294" i="4" s="1"/>
  <c r="B294" i="4"/>
  <c r="A294" i="4"/>
  <c r="G293" i="4"/>
  <c r="F293" i="4"/>
  <c r="E293" i="4"/>
  <c r="D293" i="4"/>
  <c r="C293" i="4"/>
  <c r="B293" i="4"/>
  <c r="A293" i="4"/>
  <c r="G292" i="4"/>
  <c r="F292" i="4"/>
  <c r="E292" i="4"/>
  <c r="D292" i="4"/>
  <c r="C292" i="4"/>
  <c r="B292" i="4"/>
  <c r="A292" i="4"/>
  <c r="G291" i="4"/>
  <c r="F291" i="4"/>
  <c r="E291" i="4"/>
  <c r="D291" i="4"/>
  <c r="C291" i="4"/>
  <c r="J291" i="4" s="1"/>
  <c r="B291" i="4"/>
  <c r="A291" i="4"/>
  <c r="G290" i="4"/>
  <c r="F290" i="4"/>
  <c r="E290" i="4"/>
  <c r="D290" i="4"/>
  <c r="C290" i="4"/>
  <c r="B290" i="4"/>
  <c r="A290" i="4"/>
  <c r="G289" i="4"/>
  <c r="F289" i="4"/>
  <c r="E289" i="4"/>
  <c r="D289" i="4"/>
  <c r="C289" i="4"/>
  <c r="H289" i="4" s="1"/>
  <c r="I289" i="4" s="1"/>
  <c r="B289" i="4"/>
  <c r="A289" i="4"/>
  <c r="G288" i="4"/>
  <c r="F288" i="4"/>
  <c r="E288" i="4"/>
  <c r="D288" i="4"/>
  <c r="C288" i="4"/>
  <c r="B288" i="4"/>
  <c r="A288" i="4"/>
  <c r="G287" i="4"/>
  <c r="F287" i="4"/>
  <c r="E287" i="4"/>
  <c r="D287" i="4"/>
  <c r="C287" i="4"/>
  <c r="J287" i="4" s="1"/>
  <c r="B287" i="4"/>
  <c r="A287" i="4"/>
  <c r="J286" i="4"/>
  <c r="G286" i="4"/>
  <c r="F286" i="4"/>
  <c r="E286" i="4"/>
  <c r="D286" i="4"/>
  <c r="C286" i="4"/>
  <c r="H286" i="4" s="1"/>
  <c r="B286" i="4"/>
  <c r="A286" i="4"/>
  <c r="G285" i="4"/>
  <c r="F285" i="4"/>
  <c r="E285" i="4"/>
  <c r="D285" i="4"/>
  <c r="C285" i="4"/>
  <c r="B285" i="4"/>
  <c r="A285" i="4"/>
  <c r="G284" i="4"/>
  <c r="F284" i="4"/>
  <c r="E284" i="4"/>
  <c r="D284" i="4"/>
  <c r="C284" i="4"/>
  <c r="B284" i="4"/>
  <c r="A284" i="4"/>
  <c r="G283" i="4"/>
  <c r="F283" i="4"/>
  <c r="E283" i="4"/>
  <c r="D283" i="4"/>
  <c r="C283" i="4"/>
  <c r="B283" i="4"/>
  <c r="A283" i="4"/>
  <c r="G282" i="4"/>
  <c r="F282" i="4"/>
  <c r="E282" i="4"/>
  <c r="D282" i="4"/>
  <c r="C282" i="4"/>
  <c r="J282" i="4" s="1"/>
  <c r="B282" i="4"/>
  <c r="A282" i="4"/>
  <c r="G281" i="4"/>
  <c r="F281" i="4"/>
  <c r="E281" i="4"/>
  <c r="D281" i="4"/>
  <c r="C281" i="4"/>
  <c r="B281" i="4"/>
  <c r="A281" i="4"/>
  <c r="G280" i="4"/>
  <c r="F280" i="4"/>
  <c r="E280" i="4"/>
  <c r="D280" i="4"/>
  <c r="C280" i="4"/>
  <c r="B280" i="4"/>
  <c r="A280" i="4"/>
  <c r="H280" i="4" s="1"/>
  <c r="G279" i="4"/>
  <c r="F279" i="4"/>
  <c r="E279" i="4"/>
  <c r="D279" i="4"/>
  <c r="C279" i="4"/>
  <c r="B279" i="4"/>
  <c r="A279" i="4"/>
  <c r="G278" i="4"/>
  <c r="F278" i="4"/>
  <c r="E278" i="4"/>
  <c r="D278" i="4"/>
  <c r="C278" i="4"/>
  <c r="B278" i="4"/>
  <c r="A278" i="4"/>
  <c r="H277" i="4"/>
  <c r="G277" i="4"/>
  <c r="F277" i="4"/>
  <c r="E277" i="4"/>
  <c r="D277" i="4"/>
  <c r="C277" i="4"/>
  <c r="J277" i="4" s="1"/>
  <c r="B277" i="4"/>
  <c r="A277" i="4"/>
  <c r="G276" i="4"/>
  <c r="F276" i="4"/>
  <c r="E276" i="4"/>
  <c r="D276" i="4"/>
  <c r="C276" i="4"/>
  <c r="J276" i="4" s="1"/>
  <c r="B276" i="4"/>
  <c r="A276" i="4"/>
  <c r="H276" i="4" s="1"/>
  <c r="H275" i="4"/>
  <c r="G275" i="4"/>
  <c r="F275" i="4"/>
  <c r="E275" i="4"/>
  <c r="D275" i="4"/>
  <c r="C275" i="4"/>
  <c r="B275" i="4"/>
  <c r="A275" i="4"/>
  <c r="G274" i="4"/>
  <c r="F274" i="4"/>
  <c r="E274" i="4"/>
  <c r="D274" i="4"/>
  <c r="C274" i="4"/>
  <c r="B274" i="4"/>
  <c r="A274" i="4"/>
  <c r="H274" i="4" s="1"/>
  <c r="G273" i="4"/>
  <c r="F273" i="4"/>
  <c r="E273" i="4"/>
  <c r="D273" i="4"/>
  <c r="C273" i="4"/>
  <c r="B273" i="4"/>
  <c r="A273" i="4"/>
  <c r="G272" i="4"/>
  <c r="F272" i="4"/>
  <c r="E272" i="4"/>
  <c r="D272" i="4"/>
  <c r="C272" i="4"/>
  <c r="J272" i="4" s="1"/>
  <c r="B272" i="4"/>
  <c r="A272" i="4"/>
  <c r="G271" i="4"/>
  <c r="F271" i="4"/>
  <c r="E271" i="4"/>
  <c r="D271" i="4"/>
  <c r="C271" i="4"/>
  <c r="B271" i="4"/>
  <c r="A271" i="4"/>
  <c r="G270" i="4"/>
  <c r="F270" i="4"/>
  <c r="E270" i="4"/>
  <c r="D270" i="4"/>
  <c r="C270" i="4"/>
  <c r="J270" i="4" s="1"/>
  <c r="B270" i="4"/>
  <c r="A270" i="4"/>
  <c r="G269" i="4"/>
  <c r="F269" i="4"/>
  <c r="E269" i="4"/>
  <c r="D269" i="4"/>
  <c r="C269" i="4"/>
  <c r="J269" i="4" s="1"/>
  <c r="B269" i="4"/>
  <c r="A269" i="4"/>
  <c r="G268" i="4"/>
  <c r="F268" i="4"/>
  <c r="E268" i="4"/>
  <c r="D268" i="4"/>
  <c r="C268" i="4"/>
  <c r="H268" i="4" s="1"/>
  <c r="B268" i="4"/>
  <c r="A268" i="4"/>
  <c r="G267" i="4"/>
  <c r="F267" i="4"/>
  <c r="E267" i="4"/>
  <c r="D267" i="4"/>
  <c r="C267" i="4"/>
  <c r="J267" i="4" s="1"/>
  <c r="B267" i="4"/>
  <c r="A267" i="4"/>
  <c r="H267" i="4" s="1"/>
  <c r="I267" i="4" s="1"/>
  <c r="G266" i="4"/>
  <c r="F266" i="4"/>
  <c r="E266" i="4"/>
  <c r="D266" i="4"/>
  <c r="C266" i="4"/>
  <c r="J266" i="4" s="1"/>
  <c r="B266" i="4"/>
  <c r="A266" i="4"/>
  <c r="G265" i="4"/>
  <c r="F265" i="4"/>
  <c r="E265" i="4"/>
  <c r="D265" i="4"/>
  <c r="C265" i="4"/>
  <c r="B265" i="4"/>
  <c r="A265" i="4"/>
  <c r="G264" i="4"/>
  <c r="F264" i="4"/>
  <c r="E264" i="4"/>
  <c r="D264" i="4"/>
  <c r="C264" i="4"/>
  <c r="B264" i="4"/>
  <c r="A264" i="4"/>
  <c r="G263" i="4"/>
  <c r="F263" i="4"/>
  <c r="E263" i="4"/>
  <c r="D263" i="4"/>
  <c r="C263" i="4"/>
  <c r="B263" i="4"/>
  <c r="A263" i="4"/>
  <c r="G262" i="4"/>
  <c r="F262" i="4"/>
  <c r="E262" i="4"/>
  <c r="D262" i="4"/>
  <c r="C262" i="4"/>
  <c r="B262" i="4"/>
  <c r="A262" i="4"/>
  <c r="G261" i="4"/>
  <c r="F261" i="4"/>
  <c r="E261" i="4"/>
  <c r="D261" i="4"/>
  <c r="C261" i="4"/>
  <c r="H261" i="4" s="1"/>
  <c r="I261" i="4" s="1"/>
  <c r="B261" i="4"/>
  <c r="A261" i="4"/>
  <c r="G260" i="4"/>
  <c r="F260" i="4"/>
  <c r="E260" i="4"/>
  <c r="D260" i="4"/>
  <c r="C260" i="4"/>
  <c r="B260" i="4"/>
  <c r="A260" i="4"/>
  <c r="G259" i="4"/>
  <c r="F259" i="4"/>
  <c r="E259" i="4"/>
  <c r="D259" i="4"/>
  <c r="C259" i="4"/>
  <c r="B259" i="4"/>
  <c r="A259" i="4"/>
  <c r="J258" i="4"/>
  <c r="H258" i="4"/>
  <c r="G258" i="4"/>
  <c r="F258" i="4"/>
  <c r="E258" i="4"/>
  <c r="D258" i="4"/>
  <c r="C258" i="4"/>
  <c r="B258" i="4"/>
  <c r="A258" i="4"/>
  <c r="G257" i="4"/>
  <c r="F257" i="4"/>
  <c r="E257" i="4"/>
  <c r="D257" i="4"/>
  <c r="C257" i="4"/>
  <c r="B257" i="4"/>
  <c r="A257" i="4"/>
  <c r="J257" i="4" s="1"/>
  <c r="G256" i="4"/>
  <c r="F256" i="4"/>
  <c r="E256" i="4"/>
  <c r="D256" i="4"/>
  <c r="C256" i="4"/>
  <c r="B256" i="4"/>
  <c r="A256" i="4"/>
  <c r="G255" i="4"/>
  <c r="F255" i="4"/>
  <c r="E255" i="4"/>
  <c r="D255" i="4"/>
  <c r="C255" i="4"/>
  <c r="B255" i="4"/>
  <c r="A255" i="4"/>
  <c r="H255" i="4" s="1"/>
  <c r="G254" i="4"/>
  <c r="F254" i="4"/>
  <c r="E254" i="4"/>
  <c r="D254" i="4"/>
  <c r="C254" i="4"/>
  <c r="H254" i="4" s="1"/>
  <c r="I254" i="4" s="1"/>
  <c r="B254" i="4"/>
  <c r="A254" i="4"/>
  <c r="G253" i="4"/>
  <c r="F253" i="4"/>
  <c r="E253" i="4"/>
  <c r="D253" i="4"/>
  <c r="C253" i="4"/>
  <c r="B253" i="4"/>
  <c r="A253" i="4"/>
  <c r="G252" i="4"/>
  <c r="F252" i="4"/>
  <c r="E252" i="4"/>
  <c r="D252" i="4"/>
  <c r="C252" i="4"/>
  <c r="B252" i="4"/>
  <c r="A252" i="4"/>
  <c r="J251" i="4"/>
  <c r="H251" i="4"/>
  <c r="G251" i="4"/>
  <c r="F251" i="4"/>
  <c r="E251" i="4"/>
  <c r="D251" i="4"/>
  <c r="C251" i="4"/>
  <c r="B251" i="4"/>
  <c r="A251" i="4"/>
  <c r="G250" i="4"/>
  <c r="F250" i="4"/>
  <c r="E250" i="4"/>
  <c r="D250" i="4"/>
  <c r="C250" i="4"/>
  <c r="B250" i="4"/>
  <c r="A250" i="4"/>
  <c r="J250" i="4" s="1"/>
  <c r="G249" i="4"/>
  <c r="F249" i="4"/>
  <c r="E249" i="4"/>
  <c r="D249" i="4"/>
  <c r="C249" i="4"/>
  <c r="H249" i="4" s="1"/>
  <c r="B249" i="4"/>
  <c r="A249" i="4"/>
  <c r="G248" i="4"/>
  <c r="F248" i="4"/>
  <c r="E248" i="4"/>
  <c r="D248" i="4"/>
  <c r="C248" i="4"/>
  <c r="B248" i="4"/>
  <c r="A248" i="4"/>
  <c r="H247" i="4"/>
  <c r="G247" i="4"/>
  <c r="F247" i="4"/>
  <c r="E247" i="4"/>
  <c r="D247" i="4"/>
  <c r="C247" i="4"/>
  <c r="B247" i="4"/>
  <c r="A247" i="4"/>
  <c r="G246" i="4"/>
  <c r="F246" i="4"/>
  <c r="E246" i="4"/>
  <c r="D246" i="4"/>
  <c r="C246" i="4"/>
  <c r="J246" i="4" s="1"/>
  <c r="B246" i="4"/>
  <c r="A246" i="4"/>
  <c r="G245" i="4"/>
  <c r="F245" i="4"/>
  <c r="E245" i="4"/>
  <c r="D245" i="4"/>
  <c r="C245" i="4"/>
  <c r="B245" i="4"/>
  <c r="A245" i="4"/>
  <c r="G244" i="4"/>
  <c r="F244" i="4"/>
  <c r="E244" i="4"/>
  <c r="D244" i="4"/>
  <c r="C244" i="4"/>
  <c r="H244" i="4" s="1"/>
  <c r="B244" i="4"/>
  <c r="A244" i="4"/>
  <c r="G243" i="4"/>
  <c r="F243" i="4"/>
  <c r="E243" i="4"/>
  <c r="D243" i="4"/>
  <c r="C243" i="4"/>
  <c r="B243" i="4"/>
  <c r="A243" i="4"/>
  <c r="G242" i="4"/>
  <c r="F242" i="4"/>
  <c r="E242" i="4"/>
  <c r="D242" i="4"/>
  <c r="C242" i="4"/>
  <c r="H242" i="4" s="1"/>
  <c r="I242" i="4" s="1"/>
  <c r="B242" i="4"/>
  <c r="A242" i="4"/>
  <c r="G241" i="4"/>
  <c r="F241" i="4"/>
  <c r="E241" i="4"/>
  <c r="D241" i="4"/>
  <c r="C241" i="4"/>
  <c r="B241" i="4"/>
  <c r="A241" i="4"/>
  <c r="H240" i="4"/>
  <c r="G240" i="4"/>
  <c r="F240" i="4"/>
  <c r="E240" i="4"/>
  <c r="D240" i="4"/>
  <c r="C240" i="4"/>
  <c r="B240" i="4"/>
  <c r="A240" i="4"/>
  <c r="G239" i="4"/>
  <c r="F239" i="4"/>
  <c r="E239" i="4"/>
  <c r="D239" i="4"/>
  <c r="C239" i="4"/>
  <c r="J239" i="4" s="1"/>
  <c r="B239" i="4"/>
  <c r="A239" i="4"/>
  <c r="G238" i="4"/>
  <c r="F238" i="4"/>
  <c r="E238" i="4"/>
  <c r="D238" i="4"/>
  <c r="C238" i="4"/>
  <c r="B238" i="4"/>
  <c r="A238" i="4"/>
  <c r="G237" i="4"/>
  <c r="F237" i="4"/>
  <c r="E237" i="4"/>
  <c r="D237" i="4"/>
  <c r="C237" i="4"/>
  <c r="B237" i="4"/>
  <c r="A237" i="4"/>
  <c r="G236" i="4"/>
  <c r="F236" i="4"/>
  <c r="E236" i="4"/>
  <c r="D236" i="4"/>
  <c r="C236" i="4"/>
  <c r="B236" i="4"/>
  <c r="A236" i="4"/>
  <c r="G235" i="4"/>
  <c r="F235" i="4"/>
  <c r="E235" i="4"/>
  <c r="D235" i="4"/>
  <c r="C235" i="4"/>
  <c r="J235" i="4" s="1"/>
  <c r="B235" i="4"/>
  <c r="A235" i="4"/>
  <c r="G234" i="4"/>
  <c r="F234" i="4"/>
  <c r="E234" i="4"/>
  <c r="D234" i="4"/>
  <c r="C234" i="4"/>
  <c r="B234" i="4"/>
  <c r="A234" i="4"/>
  <c r="H233" i="4"/>
  <c r="G233" i="4"/>
  <c r="F233" i="4"/>
  <c r="E233" i="4"/>
  <c r="D233" i="4"/>
  <c r="C233" i="4"/>
  <c r="B233" i="4"/>
  <c r="A233" i="4"/>
  <c r="G232" i="4"/>
  <c r="F232" i="4"/>
  <c r="E232" i="4"/>
  <c r="D232" i="4"/>
  <c r="C232" i="4"/>
  <c r="B232" i="4"/>
  <c r="A232" i="4"/>
  <c r="H232" i="4" s="1"/>
  <c r="I232" i="4" s="1"/>
  <c r="G231" i="4"/>
  <c r="F231" i="4"/>
  <c r="E231" i="4"/>
  <c r="D231" i="4"/>
  <c r="C231" i="4"/>
  <c r="J231" i="4" s="1"/>
  <c r="B231" i="4"/>
  <c r="A231" i="4"/>
  <c r="G230" i="4"/>
  <c r="F230" i="4"/>
  <c r="E230" i="4"/>
  <c r="D230" i="4"/>
  <c r="C230" i="4"/>
  <c r="B230" i="4"/>
  <c r="A230" i="4"/>
  <c r="G229" i="4"/>
  <c r="F229" i="4"/>
  <c r="E229" i="4"/>
  <c r="D229" i="4"/>
  <c r="C229" i="4"/>
  <c r="B229" i="4"/>
  <c r="A229" i="4"/>
  <c r="G228" i="4"/>
  <c r="F228" i="4"/>
  <c r="E228" i="4"/>
  <c r="D228" i="4"/>
  <c r="C228" i="4"/>
  <c r="B228" i="4"/>
  <c r="A228" i="4"/>
  <c r="G227" i="4"/>
  <c r="F227" i="4"/>
  <c r="E227" i="4"/>
  <c r="D227" i="4"/>
  <c r="C227" i="4"/>
  <c r="B227" i="4"/>
  <c r="A227" i="4"/>
  <c r="G226" i="4"/>
  <c r="F226" i="4"/>
  <c r="E226" i="4"/>
  <c r="D226" i="4"/>
  <c r="C226" i="4"/>
  <c r="B226" i="4"/>
  <c r="A226" i="4"/>
  <c r="G225" i="4"/>
  <c r="F225" i="4"/>
  <c r="E225" i="4"/>
  <c r="D225" i="4"/>
  <c r="C225" i="4"/>
  <c r="B225" i="4"/>
  <c r="A225" i="4"/>
  <c r="G224" i="4"/>
  <c r="F224" i="4"/>
  <c r="E224" i="4"/>
  <c r="D224" i="4"/>
  <c r="C224" i="4"/>
  <c r="J224" i="4" s="1"/>
  <c r="B224" i="4"/>
  <c r="A224" i="4"/>
  <c r="H224" i="4" s="1"/>
  <c r="I224" i="4" s="1"/>
  <c r="J223" i="4"/>
  <c r="G223" i="4"/>
  <c r="F223" i="4"/>
  <c r="E223" i="4"/>
  <c r="D223" i="4"/>
  <c r="C223" i="4"/>
  <c r="B223" i="4"/>
  <c r="A223" i="4"/>
  <c r="G222" i="4"/>
  <c r="F222" i="4"/>
  <c r="E222" i="4"/>
  <c r="D222" i="4"/>
  <c r="C222" i="4"/>
  <c r="B222" i="4"/>
  <c r="A222" i="4"/>
  <c r="J222" i="4" s="1"/>
  <c r="G221" i="4"/>
  <c r="F221" i="4"/>
  <c r="E221" i="4"/>
  <c r="D221" i="4"/>
  <c r="C221" i="4"/>
  <c r="B221" i="4"/>
  <c r="A221" i="4"/>
  <c r="G220" i="4"/>
  <c r="F220" i="4"/>
  <c r="E220" i="4"/>
  <c r="D220" i="4"/>
  <c r="C220" i="4"/>
  <c r="B220" i="4"/>
  <c r="A220" i="4"/>
  <c r="G219" i="4"/>
  <c r="F219" i="4"/>
  <c r="E219" i="4"/>
  <c r="D219" i="4"/>
  <c r="C219" i="4"/>
  <c r="B219" i="4"/>
  <c r="A219" i="4"/>
  <c r="G218" i="4"/>
  <c r="F218" i="4"/>
  <c r="E218" i="4"/>
  <c r="D218" i="4"/>
  <c r="C218" i="4"/>
  <c r="B218" i="4"/>
  <c r="A218" i="4"/>
  <c r="G217" i="4"/>
  <c r="F217" i="4"/>
  <c r="E217" i="4"/>
  <c r="D217" i="4"/>
  <c r="C217" i="4"/>
  <c r="B217" i="4"/>
  <c r="A217" i="4"/>
  <c r="G216" i="4"/>
  <c r="F216" i="4"/>
  <c r="E216" i="4"/>
  <c r="D216" i="4"/>
  <c r="C216" i="4"/>
  <c r="H216" i="4" s="1"/>
  <c r="I216" i="4" s="1"/>
  <c r="B216" i="4"/>
  <c r="A216" i="4"/>
  <c r="J216" i="4" s="1"/>
  <c r="G215" i="4"/>
  <c r="F215" i="4"/>
  <c r="E215" i="4"/>
  <c r="D215" i="4"/>
  <c r="C215" i="4"/>
  <c r="B215" i="4"/>
  <c r="A215" i="4"/>
  <c r="G214" i="4"/>
  <c r="F214" i="4"/>
  <c r="E214" i="4"/>
  <c r="D214" i="4"/>
  <c r="C214" i="4"/>
  <c r="H214" i="4" s="1"/>
  <c r="I214" i="4" s="1"/>
  <c r="B214" i="4"/>
  <c r="A214" i="4"/>
  <c r="G213" i="4"/>
  <c r="F213" i="4"/>
  <c r="E213" i="4"/>
  <c r="D213" i="4"/>
  <c r="C213" i="4"/>
  <c r="B213" i="4"/>
  <c r="A213" i="4"/>
  <c r="G212" i="4"/>
  <c r="F212" i="4"/>
  <c r="E212" i="4"/>
  <c r="D212" i="4"/>
  <c r="C212" i="4"/>
  <c r="H212" i="4" s="1"/>
  <c r="I212" i="4" s="1"/>
  <c r="B212" i="4"/>
  <c r="A212" i="4"/>
  <c r="J211" i="4"/>
  <c r="G211" i="4"/>
  <c r="F211" i="4"/>
  <c r="E211" i="4"/>
  <c r="D211" i="4"/>
  <c r="C211" i="4"/>
  <c r="B211" i="4"/>
  <c r="A211" i="4"/>
  <c r="H211" i="4" s="1"/>
  <c r="I211" i="4" s="1"/>
  <c r="G210" i="4"/>
  <c r="F210" i="4"/>
  <c r="E210" i="4"/>
  <c r="D210" i="4"/>
  <c r="C210" i="4"/>
  <c r="B210" i="4"/>
  <c r="A210" i="4"/>
  <c r="H210" i="4" s="1"/>
  <c r="G209" i="4"/>
  <c r="F209" i="4"/>
  <c r="E209" i="4"/>
  <c r="D209" i="4"/>
  <c r="C209" i="4"/>
  <c r="J209" i="4" s="1"/>
  <c r="B209" i="4"/>
  <c r="A209" i="4"/>
  <c r="G208" i="4"/>
  <c r="F208" i="4"/>
  <c r="E208" i="4"/>
  <c r="D208" i="4"/>
  <c r="C208" i="4"/>
  <c r="B208" i="4"/>
  <c r="A208" i="4"/>
  <c r="G207" i="4"/>
  <c r="F207" i="4"/>
  <c r="E207" i="4"/>
  <c r="D207" i="4"/>
  <c r="C207" i="4"/>
  <c r="H207" i="4" s="1"/>
  <c r="I207" i="4" s="1"/>
  <c r="B207" i="4"/>
  <c r="A207" i="4"/>
  <c r="G206" i="4"/>
  <c r="F206" i="4"/>
  <c r="E206" i="4"/>
  <c r="D206" i="4"/>
  <c r="C206" i="4"/>
  <c r="B206" i="4"/>
  <c r="A206" i="4"/>
  <c r="G205" i="4"/>
  <c r="F205" i="4"/>
  <c r="E205" i="4"/>
  <c r="D205" i="4"/>
  <c r="C205" i="4"/>
  <c r="H205" i="4" s="1"/>
  <c r="I205" i="4" s="1"/>
  <c r="B205" i="4"/>
  <c r="A205" i="4"/>
  <c r="G204" i="4"/>
  <c r="F204" i="4"/>
  <c r="E204" i="4"/>
  <c r="D204" i="4"/>
  <c r="C204" i="4"/>
  <c r="B204" i="4"/>
  <c r="A204" i="4"/>
  <c r="G203" i="4"/>
  <c r="F203" i="4"/>
  <c r="E203" i="4"/>
  <c r="D203" i="4"/>
  <c r="C203" i="4"/>
  <c r="B203" i="4"/>
  <c r="A203" i="4"/>
  <c r="J202" i="4"/>
  <c r="H202" i="4"/>
  <c r="G202" i="4"/>
  <c r="F202" i="4"/>
  <c r="E202" i="4"/>
  <c r="D202" i="4"/>
  <c r="C202" i="4"/>
  <c r="B202" i="4"/>
  <c r="A202" i="4"/>
  <c r="G201" i="4"/>
  <c r="F201" i="4"/>
  <c r="E201" i="4"/>
  <c r="D201" i="4"/>
  <c r="C201" i="4"/>
  <c r="B201" i="4"/>
  <c r="A201" i="4"/>
  <c r="G200" i="4"/>
  <c r="F200" i="4"/>
  <c r="E200" i="4"/>
  <c r="D200" i="4"/>
  <c r="C200" i="4"/>
  <c r="B200" i="4"/>
  <c r="A200" i="4"/>
  <c r="G199" i="4"/>
  <c r="F199" i="4"/>
  <c r="E199" i="4"/>
  <c r="D199" i="4"/>
  <c r="C199" i="4"/>
  <c r="B199" i="4"/>
  <c r="A199" i="4"/>
  <c r="J199" i="4" s="1"/>
  <c r="H198" i="4"/>
  <c r="G198" i="4"/>
  <c r="F198" i="4"/>
  <c r="E198" i="4"/>
  <c r="D198" i="4"/>
  <c r="C198" i="4"/>
  <c r="B198" i="4"/>
  <c r="A198" i="4"/>
  <c r="G197" i="4"/>
  <c r="F197" i="4"/>
  <c r="E197" i="4"/>
  <c r="D197" i="4"/>
  <c r="C197" i="4"/>
  <c r="B197" i="4"/>
  <c r="A197" i="4"/>
  <c r="H197" i="4" s="1"/>
  <c r="I197" i="4" s="1"/>
  <c r="G196" i="4"/>
  <c r="F196" i="4"/>
  <c r="E196" i="4"/>
  <c r="D196" i="4"/>
  <c r="C196" i="4"/>
  <c r="J196" i="4" s="1"/>
  <c r="B196" i="4"/>
  <c r="A196" i="4"/>
  <c r="J195" i="4"/>
  <c r="H195" i="4"/>
  <c r="G195" i="4"/>
  <c r="F195" i="4"/>
  <c r="E195" i="4"/>
  <c r="D195" i="4"/>
  <c r="C195" i="4"/>
  <c r="B195" i="4"/>
  <c r="A195" i="4"/>
  <c r="G194" i="4"/>
  <c r="F194" i="4"/>
  <c r="E194" i="4"/>
  <c r="D194" i="4"/>
  <c r="C194" i="4"/>
  <c r="B194" i="4"/>
  <c r="A194" i="4"/>
  <c r="J194" i="4" s="1"/>
  <c r="G193" i="4"/>
  <c r="F193" i="4"/>
  <c r="E193" i="4"/>
  <c r="D193" i="4"/>
  <c r="C193" i="4"/>
  <c r="H193" i="4" s="1"/>
  <c r="I193" i="4" s="1"/>
  <c r="B193" i="4"/>
  <c r="A193" i="4"/>
  <c r="G192" i="4"/>
  <c r="F192" i="4"/>
  <c r="E192" i="4"/>
  <c r="D192" i="4"/>
  <c r="C192" i="4"/>
  <c r="B192" i="4"/>
  <c r="A192" i="4"/>
  <c r="G191" i="4"/>
  <c r="F191" i="4"/>
  <c r="E191" i="4"/>
  <c r="D191" i="4"/>
  <c r="C191" i="4"/>
  <c r="B191" i="4"/>
  <c r="A191" i="4"/>
  <c r="G190" i="4"/>
  <c r="F190" i="4"/>
  <c r="E190" i="4"/>
  <c r="D190" i="4"/>
  <c r="C190" i="4"/>
  <c r="J190" i="4" s="1"/>
  <c r="B190" i="4"/>
  <c r="A190" i="4"/>
  <c r="G189" i="4"/>
  <c r="F189" i="4"/>
  <c r="E189" i="4"/>
  <c r="D189" i="4"/>
  <c r="C189" i="4"/>
  <c r="B189" i="4"/>
  <c r="A189" i="4"/>
  <c r="J189" i="4" s="1"/>
  <c r="G188" i="4"/>
  <c r="F188" i="4"/>
  <c r="E188" i="4"/>
  <c r="D188" i="4"/>
  <c r="C188" i="4"/>
  <c r="J188" i="4" s="1"/>
  <c r="B188" i="4"/>
  <c r="A188" i="4"/>
  <c r="G187" i="4"/>
  <c r="F187" i="4"/>
  <c r="E187" i="4"/>
  <c r="D187" i="4"/>
  <c r="C187" i="4"/>
  <c r="B187" i="4"/>
  <c r="A187" i="4"/>
  <c r="J187" i="4" s="1"/>
  <c r="G186" i="4"/>
  <c r="F186" i="4"/>
  <c r="E186" i="4"/>
  <c r="D186" i="4"/>
  <c r="C186" i="4"/>
  <c r="J186" i="4" s="1"/>
  <c r="B186" i="4"/>
  <c r="A186" i="4"/>
  <c r="J185" i="4"/>
  <c r="G185" i="4"/>
  <c r="F185" i="4"/>
  <c r="E185" i="4"/>
  <c r="D185" i="4"/>
  <c r="C185" i="4"/>
  <c r="H185" i="4" s="1"/>
  <c r="I185" i="4" s="1"/>
  <c r="B185" i="4"/>
  <c r="A185" i="4"/>
  <c r="G184" i="4"/>
  <c r="F184" i="4"/>
  <c r="E184" i="4"/>
  <c r="D184" i="4"/>
  <c r="C184" i="4"/>
  <c r="B184" i="4"/>
  <c r="A184" i="4"/>
  <c r="G183" i="4"/>
  <c r="F183" i="4"/>
  <c r="E183" i="4"/>
  <c r="D183" i="4"/>
  <c r="C183" i="4"/>
  <c r="J183" i="4" s="1"/>
  <c r="B183" i="4"/>
  <c r="A183" i="4"/>
  <c r="G182" i="4"/>
  <c r="F182" i="4"/>
  <c r="E182" i="4"/>
  <c r="D182" i="4"/>
  <c r="C182" i="4"/>
  <c r="B182" i="4"/>
  <c r="A182" i="4"/>
  <c r="G181" i="4"/>
  <c r="F181" i="4"/>
  <c r="E181" i="4"/>
  <c r="D181" i="4"/>
  <c r="C181" i="4"/>
  <c r="B181" i="4"/>
  <c r="A181" i="4"/>
  <c r="G180" i="4"/>
  <c r="F180" i="4"/>
  <c r="E180" i="4"/>
  <c r="D180" i="4"/>
  <c r="C180" i="4"/>
  <c r="B180" i="4"/>
  <c r="A180" i="4"/>
  <c r="G179" i="4"/>
  <c r="F179" i="4"/>
  <c r="E179" i="4"/>
  <c r="D179" i="4"/>
  <c r="C179" i="4"/>
  <c r="B179" i="4"/>
  <c r="A179" i="4"/>
  <c r="J178" i="4"/>
  <c r="G178" i="4"/>
  <c r="F178" i="4"/>
  <c r="E178" i="4"/>
  <c r="D178" i="4"/>
  <c r="C178" i="4"/>
  <c r="H178" i="4" s="1"/>
  <c r="I178" i="4" s="1"/>
  <c r="B178" i="4"/>
  <c r="A178" i="4"/>
  <c r="G177" i="4"/>
  <c r="F177" i="4"/>
  <c r="E177" i="4"/>
  <c r="D177" i="4"/>
  <c r="C177" i="4"/>
  <c r="B177" i="4"/>
  <c r="A177" i="4"/>
  <c r="G176" i="4"/>
  <c r="F176" i="4"/>
  <c r="E176" i="4"/>
  <c r="D176" i="4"/>
  <c r="C176" i="4"/>
  <c r="B176" i="4"/>
  <c r="A176" i="4"/>
  <c r="G175" i="4"/>
  <c r="F175" i="4"/>
  <c r="E175" i="4"/>
  <c r="D175" i="4"/>
  <c r="C175" i="4"/>
  <c r="B175" i="4"/>
  <c r="A175" i="4"/>
  <c r="G174" i="4"/>
  <c r="F174" i="4"/>
  <c r="E174" i="4"/>
  <c r="D174" i="4"/>
  <c r="C174" i="4"/>
  <c r="J174" i="4" s="1"/>
  <c r="B174" i="4"/>
  <c r="A174" i="4"/>
  <c r="H174" i="4" s="1"/>
  <c r="I174" i="4" s="1"/>
  <c r="G173" i="4"/>
  <c r="F173" i="4"/>
  <c r="E173" i="4"/>
  <c r="D173" i="4"/>
  <c r="C173" i="4"/>
  <c r="B173" i="4"/>
  <c r="A173" i="4"/>
  <c r="J173" i="4" s="1"/>
  <c r="G172" i="4"/>
  <c r="F172" i="4"/>
  <c r="E172" i="4"/>
  <c r="D172" i="4"/>
  <c r="C172" i="4"/>
  <c r="B172" i="4"/>
  <c r="A172" i="4"/>
  <c r="G171" i="4"/>
  <c r="F171" i="4"/>
  <c r="E171" i="4"/>
  <c r="D171" i="4"/>
  <c r="C171" i="4"/>
  <c r="B171" i="4"/>
  <c r="A171" i="4"/>
  <c r="H171" i="4" s="1"/>
  <c r="G170" i="4"/>
  <c r="F170" i="4"/>
  <c r="E170" i="4"/>
  <c r="D170" i="4"/>
  <c r="C170" i="4"/>
  <c r="B170" i="4"/>
  <c r="A170" i="4"/>
  <c r="H170" i="4" s="1"/>
  <c r="I170" i="4" s="1"/>
  <c r="J169" i="4"/>
  <c r="G169" i="4"/>
  <c r="F169" i="4"/>
  <c r="E169" i="4"/>
  <c r="D169" i="4"/>
  <c r="C169" i="4"/>
  <c r="B169" i="4"/>
  <c r="A169" i="4"/>
  <c r="G168" i="4"/>
  <c r="F168" i="4"/>
  <c r="E168" i="4"/>
  <c r="D168" i="4"/>
  <c r="C168" i="4"/>
  <c r="B168" i="4"/>
  <c r="A168" i="4"/>
  <c r="G167" i="4"/>
  <c r="F167" i="4"/>
  <c r="E167" i="4"/>
  <c r="D167" i="4"/>
  <c r="C167" i="4"/>
  <c r="B167" i="4"/>
  <c r="A167" i="4"/>
  <c r="G166" i="4"/>
  <c r="F166" i="4"/>
  <c r="E166" i="4"/>
  <c r="D166" i="4"/>
  <c r="C166" i="4"/>
  <c r="B166" i="4"/>
  <c r="A166" i="4"/>
  <c r="G165" i="4"/>
  <c r="F165" i="4"/>
  <c r="E165" i="4"/>
  <c r="D165" i="4"/>
  <c r="C165" i="4"/>
  <c r="J165" i="4" s="1"/>
  <c r="B165" i="4"/>
  <c r="A165" i="4"/>
  <c r="G164" i="4"/>
  <c r="F164" i="4"/>
  <c r="E164" i="4"/>
  <c r="D164" i="4"/>
  <c r="C164" i="4"/>
  <c r="B164" i="4"/>
  <c r="A164" i="4"/>
  <c r="J164" i="4" s="1"/>
  <c r="H163" i="4"/>
  <c r="G163" i="4"/>
  <c r="F163" i="4"/>
  <c r="E163" i="4"/>
  <c r="D163" i="4"/>
  <c r="C163" i="4"/>
  <c r="B163" i="4"/>
  <c r="A163" i="4"/>
  <c r="G162" i="4"/>
  <c r="F162" i="4"/>
  <c r="E162" i="4"/>
  <c r="D162" i="4"/>
  <c r="C162" i="4"/>
  <c r="B162" i="4"/>
  <c r="A162" i="4"/>
  <c r="H162" i="4" s="1"/>
  <c r="I162" i="4" s="1"/>
  <c r="J161" i="4"/>
  <c r="H161" i="4"/>
  <c r="G161" i="4"/>
  <c r="F161" i="4"/>
  <c r="E161" i="4"/>
  <c r="D161" i="4"/>
  <c r="C161" i="4"/>
  <c r="B161" i="4"/>
  <c r="A161" i="4"/>
  <c r="G160" i="4"/>
  <c r="F160" i="4"/>
  <c r="E160" i="4"/>
  <c r="D160" i="4"/>
  <c r="C160" i="4"/>
  <c r="B160" i="4"/>
  <c r="A160" i="4"/>
  <c r="G159" i="4"/>
  <c r="F159" i="4"/>
  <c r="E159" i="4"/>
  <c r="D159" i="4"/>
  <c r="C159" i="4"/>
  <c r="B159" i="4"/>
  <c r="A159" i="4"/>
  <c r="J159" i="4" s="1"/>
  <c r="G158" i="4"/>
  <c r="F158" i="4"/>
  <c r="E158" i="4"/>
  <c r="D158" i="4"/>
  <c r="C158" i="4"/>
  <c r="B158" i="4"/>
  <c r="A158" i="4"/>
  <c r="G157" i="4"/>
  <c r="F157" i="4"/>
  <c r="E157" i="4"/>
  <c r="D157" i="4"/>
  <c r="C157" i="4"/>
  <c r="B157" i="4"/>
  <c r="A157" i="4"/>
  <c r="H157" i="4" s="1"/>
  <c r="G156" i="4"/>
  <c r="F156" i="4"/>
  <c r="E156" i="4"/>
  <c r="D156" i="4"/>
  <c r="C156" i="4"/>
  <c r="J156" i="4" s="1"/>
  <c r="B156" i="4"/>
  <c r="A156" i="4"/>
  <c r="G155" i="4"/>
  <c r="F155" i="4"/>
  <c r="E155" i="4"/>
  <c r="D155" i="4"/>
  <c r="C155" i="4"/>
  <c r="B155" i="4"/>
  <c r="A155" i="4"/>
  <c r="G154" i="4"/>
  <c r="F154" i="4"/>
  <c r="E154" i="4"/>
  <c r="D154" i="4"/>
  <c r="C154" i="4"/>
  <c r="J154" i="4" s="1"/>
  <c r="B154" i="4"/>
  <c r="A154" i="4"/>
  <c r="G153" i="4"/>
  <c r="F153" i="4"/>
  <c r="E153" i="4"/>
  <c r="D153" i="4"/>
  <c r="C153" i="4"/>
  <c r="B153" i="4"/>
  <c r="A153" i="4"/>
  <c r="G152" i="4"/>
  <c r="F152" i="4"/>
  <c r="E152" i="4"/>
  <c r="D152" i="4"/>
  <c r="C152" i="4"/>
  <c r="B152" i="4"/>
  <c r="A152" i="4"/>
  <c r="G151" i="4"/>
  <c r="F151" i="4"/>
  <c r="E151" i="4"/>
  <c r="D151" i="4"/>
  <c r="C151" i="4"/>
  <c r="B151" i="4"/>
  <c r="A151" i="4"/>
  <c r="J150" i="4"/>
  <c r="G150" i="4"/>
  <c r="F150" i="4"/>
  <c r="E150" i="4"/>
  <c r="D150" i="4"/>
  <c r="C150" i="4"/>
  <c r="B150" i="4"/>
  <c r="A150" i="4"/>
  <c r="G149" i="4"/>
  <c r="F149" i="4"/>
  <c r="E149" i="4"/>
  <c r="D149" i="4"/>
  <c r="C149" i="4"/>
  <c r="B149" i="4"/>
  <c r="A149" i="4"/>
  <c r="G148" i="4"/>
  <c r="F148" i="4"/>
  <c r="E148" i="4"/>
  <c r="D148" i="4"/>
  <c r="C148" i="4"/>
  <c r="B148" i="4"/>
  <c r="A148" i="4"/>
  <c r="G147" i="4"/>
  <c r="F147" i="4"/>
  <c r="E147" i="4"/>
  <c r="D147" i="4"/>
  <c r="C147" i="4"/>
  <c r="B147" i="4"/>
  <c r="A147" i="4"/>
  <c r="G146" i="4"/>
  <c r="F146" i="4"/>
  <c r="E146" i="4"/>
  <c r="D146" i="4"/>
  <c r="C146" i="4"/>
  <c r="B146" i="4"/>
  <c r="A146" i="4"/>
  <c r="G145" i="4"/>
  <c r="F145" i="4"/>
  <c r="E145" i="4"/>
  <c r="D145" i="4"/>
  <c r="C145" i="4"/>
  <c r="B145" i="4"/>
  <c r="A145" i="4"/>
  <c r="G144" i="4"/>
  <c r="F144" i="4"/>
  <c r="E144" i="4"/>
  <c r="D144" i="4"/>
  <c r="C144" i="4"/>
  <c r="J144" i="4" s="1"/>
  <c r="B144" i="4"/>
  <c r="A144" i="4"/>
  <c r="G143" i="4"/>
  <c r="F143" i="4"/>
  <c r="E143" i="4"/>
  <c r="D143" i="4"/>
  <c r="C143" i="4"/>
  <c r="B143" i="4"/>
  <c r="A143" i="4"/>
  <c r="G142" i="4"/>
  <c r="F142" i="4"/>
  <c r="E142" i="4"/>
  <c r="D142" i="4"/>
  <c r="C142" i="4"/>
  <c r="B142" i="4"/>
  <c r="A142" i="4"/>
  <c r="H142" i="4" s="1"/>
  <c r="I142" i="4" s="1"/>
  <c r="G141" i="4"/>
  <c r="F141" i="4"/>
  <c r="E141" i="4"/>
  <c r="D141" i="4"/>
  <c r="C141" i="4"/>
  <c r="B141" i="4"/>
  <c r="A141" i="4"/>
  <c r="J140" i="4"/>
  <c r="G140" i="4"/>
  <c r="F140" i="4"/>
  <c r="E140" i="4"/>
  <c r="D140" i="4"/>
  <c r="C140" i="4"/>
  <c r="H140" i="4" s="1"/>
  <c r="I140" i="4" s="1"/>
  <c r="B140" i="4"/>
  <c r="A140" i="4"/>
  <c r="G139" i="4"/>
  <c r="F139" i="4"/>
  <c r="E139" i="4"/>
  <c r="D139" i="4"/>
  <c r="C139" i="4"/>
  <c r="B139" i="4"/>
  <c r="A139" i="4"/>
  <c r="G138" i="4"/>
  <c r="F138" i="4"/>
  <c r="E138" i="4"/>
  <c r="D138" i="4"/>
  <c r="C138" i="4"/>
  <c r="B138" i="4"/>
  <c r="A138" i="4"/>
  <c r="G137" i="4"/>
  <c r="F137" i="4"/>
  <c r="E137" i="4"/>
  <c r="D137" i="4"/>
  <c r="C137" i="4"/>
  <c r="B137" i="4"/>
  <c r="A137" i="4"/>
  <c r="H136" i="4"/>
  <c r="G136" i="4"/>
  <c r="F136" i="4"/>
  <c r="E136" i="4"/>
  <c r="D136" i="4"/>
  <c r="C136" i="4"/>
  <c r="B136" i="4"/>
  <c r="A136" i="4"/>
  <c r="J136" i="4" s="1"/>
  <c r="H135" i="4"/>
  <c r="I135" i="4" s="1"/>
  <c r="G135" i="4"/>
  <c r="F135" i="4"/>
  <c r="E135" i="4"/>
  <c r="D135" i="4"/>
  <c r="C135" i="4"/>
  <c r="J135" i="4" s="1"/>
  <c r="B135" i="4"/>
  <c r="A135" i="4"/>
  <c r="G134" i="4"/>
  <c r="F134" i="4"/>
  <c r="E134" i="4"/>
  <c r="D134" i="4"/>
  <c r="C134" i="4"/>
  <c r="B134" i="4"/>
  <c r="A134" i="4"/>
  <c r="G133" i="4"/>
  <c r="F133" i="4"/>
  <c r="E133" i="4"/>
  <c r="D133" i="4"/>
  <c r="C133" i="4"/>
  <c r="B133" i="4"/>
  <c r="A133" i="4"/>
  <c r="G132" i="4"/>
  <c r="F132" i="4"/>
  <c r="E132" i="4"/>
  <c r="D132" i="4"/>
  <c r="C132" i="4"/>
  <c r="B132" i="4"/>
  <c r="A132" i="4"/>
  <c r="G131" i="4"/>
  <c r="F131" i="4"/>
  <c r="E131" i="4"/>
  <c r="D131" i="4"/>
  <c r="C131" i="4"/>
  <c r="B131" i="4"/>
  <c r="A131" i="4"/>
  <c r="G130" i="4"/>
  <c r="F130" i="4"/>
  <c r="E130" i="4"/>
  <c r="D130" i="4"/>
  <c r="C130" i="4"/>
  <c r="B130" i="4"/>
  <c r="A130" i="4"/>
  <c r="J130" i="4" s="1"/>
  <c r="J129" i="4"/>
  <c r="H129" i="4"/>
  <c r="G129" i="4"/>
  <c r="F129" i="4"/>
  <c r="E129" i="4"/>
  <c r="D129" i="4"/>
  <c r="C129" i="4"/>
  <c r="B129" i="4"/>
  <c r="A129" i="4"/>
  <c r="G128" i="4"/>
  <c r="F128" i="4"/>
  <c r="E128" i="4"/>
  <c r="D128" i="4"/>
  <c r="C128" i="4"/>
  <c r="B128" i="4"/>
  <c r="A128" i="4"/>
  <c r="G127" i="4"/>
  <c r="F127" i="4"/>
  <c r="E127" i="4"/>
  <c r="D127" i="4"/>
  <c r="C127" i="4"/>
  <c r="B127" i="4"/>
  <c r="A127" i="4"/>
  <c r="G126" i="4"/>
  <c r="F126" i="4"/>
  <c r="E126" i="4"/>
  <c r="D126" i="4"/>
  <c r="C126" i="4"/>
  <c r="B126" i="4"/>
  <c r="A126" i="4"/>
  <c r="J125" i="4"/>
  <c r="G125" i="4"/>
  <c r="F125" i="4"/>
  <c r="E125" i="4"/>
  <c r="D125" i="4"/>
  <c r="C125" i="4"/>
  <c r="B125" i="4"/>
  <c r="A125" i="4"/>
  <c r="H125" i="4" s="1"/>
  <c r="I125" i="4" s="1"/>
  <c r="G124" i="4"/>
  <c r="F124" i="4"/>
  <c r="E124" i="4"/>
  <c r="D124" i="4"/>
  <c r="C124" i="4"/>
  <c r="B124" i="4"/>
  <c r="A124" i="4"/>
  <c r="G123" i="4"/>
  <c r="F123" i="4"/>
  <c r="E123" i="4"/>
  <c r="D123" i="4"/>
  <c r="C123" i="4"/>
  <c r="B123" i="4"/>
  <c r="A123" i="4"/>
  <c r="G122" i="4"/>
  <c r="F122" i="4"/>
  <c r="E122" i="4"/>
  <c r="D122" i="4"/>
  <c r="C122" i="4"/>
  <c r="J122" i="4" s="1"/>
  <c r="B122" i="4"/>
  <c r="A122" i="4"/>
  <c r="G121" i="4"/>
  <c r="F121" i="4"/>
  <c r="E121" i="4"/>
  <c r="D121" i="4"/>
  <c r="C121" i="4"/>
  <c r="J121" i="4" s="1"/>
  <c r="B121" i="4"/>
  <c r="A121" i="4"/>
  <c r="G120" i="4"/>
  <c r="F120" i="4"/>
  <c r="E120" i="4"/>
  <c r="D120" i="4"/>
  <c r="C120" i="4"/>
  <c r="B120" i="4"/>
  <c r="A120" i="4"/>
  <c r="G119" i="4"/>
  <c r="F119" i="4"/>
  <c r="E119" i="4"/>
  <c r="D119" i="4"/>
  <c r="C119" i="4"/>
  <c r="B119" i="4"/>
  <c r="A119" i="4"/>
  <c r="J118" i="4"/>
  <c r="G118" i="4"/>
  <c r="F118" i="4"/>
  <c r="E118" i="4"/>
  <c r="D118" i="4"/>
  <c r="C118" i="4"/>
  <c r="B118" i="4"/>
  <c r="A118" i="4"/>
  <c r="H118" i="4" s="1"/>
  <c r="G117" i="4"/>
  <c r="F117" i="4"/>
  <c r="E117" i="4"/>
  <c r="D117" i="4"/>
  <c r="C117" i="4"/>
  <c r="B117" i="4"/>
  <c r="A117" i="4"/>
  <c r="J117" i="4" s="1"/>
  <c r="G116" i="4"/>
  <c r="F116" i="4"/>
  <c r="E116" i="4"/>
  <c r="D116" i="4"/>
  <c r="C116" i="4"/>
  <c r="B116" i="4"/>
  <c r="A116" i="4"/>
  <c r="H116" i="4" s="1"/>
  <c r="J115" i="4"/>
  <c r="G115" i="4"/>
  <c r="F115" i="4"/>
  <c r="E115" i="4"/>
  <c r="D115" i="4"/>
  <c r="C115" i="4"/>
  <c r="B115" i="4"/>
  <c r="A115" i="4"/>
  <c r="H115" i="4" s="1"/>
  <c r="I115" i="4" s="1"/>
  <c r="G114" i="4"/>
  <c r="F114" i="4"/>
  <c r="E114" i="4"/>
  <c r="D114" i="4"/>
  <c r="C114" i="4"/>
  <c r="H114" i="4" s="1"/>
  <c r="B114" i="4"/>
  <c r="A114" i="4"/>
  <c r="J113" i="4"/>
  <c r="G113" i="4"/>
  <c r="F113" i="4"/>
  <c r="E113" i="4"/>
  <c r="D113" i="4"/>
  <c r="C113" i="4"/>
  <c r="B113" i="4"/>
  <c r="A113" i="4"/>
  <c r="H113" i="4" s="1"/>
  <c r="G112" i="4"/>
  <c r="F112" i="4"/>
  <c r="E112" i="4"/>
  <c r="D112" i="4"/>
  <c r="C112" i="4"/>
  <c r="B112" i="4"/>
  <c r="A112" i="4"/>
  <c r="J111" i="4"/>
  <c r="G111" i="4"/>
  <c r="F111" i="4"/>
  <c r="E111" i="4"/>
  <c r="D111" i="4"/>
  <c r="C111" i="4"/>
  <c r="B111" i="4"/>
  <c r="A111" i="4"/>
  <c r="G110" i="4"/>
  <c r="F110" i="4"/>
  <c r="E110" i="4"/>
  <c r="D110" i="4"/>
  <c r="C110" i="4"/>
  <c r="B110" i="4"/>
  <c r="A110" i="4"/>
  <c r="J110" i="4" s="1"/>
  <c r="J109" i="4"/>
  <c r="H109" i="4"/>
  <c r="G109" i="4"/>
  <c r="F109" i="4"/>
  <c r="E109" i="4"/>
  <c r="D109" i="4"/>
  <c r="C109" i="4"/>
  <c r="B109" i="4"/>
  <c r="A109" i="4"/>
  <c r="G108" i="4"/>
  <c r="F108" i="4"/>
  <c r="E108" i="4"/>
  <c r="D108" i="4"/>
  <c r="C108" i="4"/>
  <c r="B108" i="4"/>
  <c r="A108" i="4"/>
  <c r="G107" i="4"/>
  <c r="F107" i="4"/>
  <c r="E107" i="4"/>
  <c r="D107" i="4"/>
  <c r="C107" i="4"/>
  <c r="B107" i="4"/>
  <c r="A107" i="4"/>
  <c r="H107" i="4" s="1"/>
  <c r="G106" i="4"/>
  <c r="F106" i="4"/>
  <c r="E106" i="4"/>
  <c r="D106" i="4"/>
  <c r="C106" i="4"/>
  <c r="J106" i="4" s="1"/>
  <c r="B106" i="4"/>
  <c r="A106" i="4"/>
  <c r="G105" i="4"/>
  <c r="F105" i="4"/>
  <c r="E105" i="4"/>
  <c r="D105" i="4"/>
  <c r="C105" i="4"/>
  <c r="B105" i="4"/>
  <c r="A105" i="4"/>
  <c r="H105" i="4" s="1"/>
  <c r="J104" i="4"/>
  <c r="G104" i="4"/>
  <c r="F104" i="4"/>
  <c r="E104" i="4"/>
  <c r="D104" i="4"/>
  <c r="C104" i="4"/>
  <c r="H104" i="4" s="1"/>
  <c r="I104" i="4" s="1"/>
  <c r="B104" i="4"/>
  <c r="A104" i="4"/>
  <c r="G103" i="4"/>
  <c r="F103" i="4"/>
  <c r="E103" i="4"/>
  <c r="D103" i="4"/>
  <c r="C103" i="4"/>
  <c r="B103" i="4"/>
  <c r="A103" i="4"/>
  <c r="G102" i="4"/>
  <c r="F102" i="4"/>
  <c r="E102" i="4"/>
  <c r="D102" i="4"/>
  <c r="C102" i="4"/>
  <c r="B102" i="4"/>
  <c r="A102" i="4"/>
  <c r="G101" i="4"/>
  <c r="F101" i="4"/>
  <c r="E101" i="4"/>
  <c r="D101" i="4"/>
  <c r="C101" i="4"/>
  <c r="H101" i="4" s="1"/>
  <c r="B101" i="4"/>
  <c r="A101" i="4"/>
  <c r="J101" i="4" s="1"/>
  <c r="G100" i="4"/>
  <c r="F100" i="4"/>
  <c r="E100" i="4"/>
  <c r="D100" i="4"/>
  <c r="C100" i="4"/>
  <c r="B100" i="4"/>
  <c r="A100" i="4"/>
  <c r="G99" i="4"/>
  <c r="F99" i="4"/>
  <c r="E99" i="4"/>
  <c r="D99" i="4"/>
  <c r="C99" i="4"/>
  <c r="B99" i="4"/>
  <c r="A99" i="4"/>
  <c r="G98" i="4"/>
  <c r="F98" i="4"/>
  <c r="E98" i="4"/>
  <c r="D98" i="4"/>
  <c r="C98" i="4"/>
  <c r="B98" i="4"/>
  <c r="A98" i="4"/>
  <c r="G97" i="4"/>
  <c r="F97" i="4"/>
  <c r="E97" i="4"/>
  <c r="D97" i="4"/>
  <c r="C97" i="4"/>
  <c r="J97" i="4" s="1"/>
  <c r="B97" i="4"/>
  <c r="A97" i="4"/>
  <c r="H97" i="4" s="1"/>
  <c r="G96" i="4"/>
  <c r="F96" i="4"/>
  <c r="E96" i="4"/>
  <c r="D96" i="4"/>
  <c r="C96" i="4"/>
  <c r="B96" i="4"/>
  <c r="A96" i="4"/>
  <c r="G95" i="4"/>
  <c r="F95" i="4"/>
  <c r="E95" i="4"/>
  <c r="D95" i="4"/>
  <c r="C95" i="4"/>
  <c r="J95" i="4" s="1"/>
  <c r="B95" i="4"/>
  <c r="A95" i="4"/>
  <c r="H95" i="4" s="1"/>
  <c r="J94" i="4"/>
  <c r="H94" i="4"/>
  <c r="G94" i="4"/>
  <c r="F94" i="4"/>
  <c r="E94" i="4"/>
  <c r="D94" i="4"/>
  <c r="C94" i="4"/>
  <c r="B94" i="4"/>
  <c r="A94" i="4"/>
  <c r="G93" i="4"/>
  <c r="F93" i="4"/>
  <c r="E93" i="4"/>
  <c r="D93" i="4"/>
  <c r="C93" i="4"/>
  <c r="B93" i="4"/>
  <c r="A93" i="4"/>
  <c r="H93" i="4" s="1"/>
  <c r="I93" i="4" s="1"/>
  <c r="G92" i="4"/>
  <c r="F92" i="4"/>
  <c r="E92" i="4"/>
  <c r="D92" i="4"/>
  <c r="C92" i="4"/>
  <c r="J92" i="4" s="1"/>
  <c r="B92" i="4"/>
  <c r="A92" i="4"/>
  <c r="G91" i="4"/>
  <c r="F91" i="4"/>
  <c r="E91" i="4"/>
  <c r="D91" i="4"/>
  <c r="C91" i="4"/>
  <c r="B91" i="4"/>
  <c r="A91" i="4"/>
  <c r="J90" i="4"/>
  <c r="G90" i="4"/>
  <c r="F90" i="4"/>
  <c r="E90" i="4"/>
  <c r="D90" i="4"/>
  <c r="C90" i="4"/>
  <c r="B90" i="4"/>
  <c r="A90" i="4"/>
  <c r="G89" i="4"/>
  <c r="F89" i="4"/>
  <c r="E89" i="4"/>
  <c r="D89" i="4"/>
  <c r="C89" i="4"/>
  <c r="B89" i="4"/>
  <c r="A89" i="4"/>
  <c r="J89" i="4" s="1"/>
  <c r="G88" i="4"/>
  <c r="F88" i="4"/>
  <c r="E88" i="4"/>
  <c r="D88" i="4"/>
  <c r="C88" i="4"/>
  <c r="B88" i="4"/>
  <c r="A88" i="4"/>
  <c r="G87" i="4"/>
  <c r="F87" i="4"/>
  <c r="E87" i="4"/>
  <c r="D87" i="4"/>
  <c r="C87" i="4"/>
  <c r="H87" i="4" s="1"/>
  <c r="I87" i="4" s="1"/>
  <c r="B87" i="4"/>
  <c r="A87" i="4"/>
  <c r="G86" i="4"/>
  <c r="F86" i="4"/>
  <c r="E86" i="4"/>
  <c r="D86" i="4"/>
  <c r="C86" i="4"/>
  <c r="J86" i="4" s="1"/>
  <c r="B86" i="4"/>
  <c r="A86" i="4"/>
  <c r="H86" i="4" s="1"/>
  <c r="J85" i="4"/>
  <c r="G85" i="4"/>
  <c r="F85" i="4"/>
  <c r="E85" i="4"/>
  <c r="D85" i="4"/>
  <c r="C85" i="4"/>
  <c r="B85" i="4"/>
  <c r="A85" i="4"/>
  <c r="H85" i="4" s="1"/>
  <c r="I85" i="4" s="1"/>
  <c r="G84" i="4"/>
  <c r="F84" i="4"/>
  <c r="E84" i="4"/>
  <c r="D84" i="4"/>
  <c r="C84" i="4"/>
  <c r="B84" i="4"/>
  <c r="A84" i="4"/>
  <c r="J84" i="4" s="1"/>
  <c r="G83" i="4"/>
  <c r="F83" i="4"/>
  <c r="E83" i="4"/>
  <c r="D83" i="4"/>
  <c r="C83" i="4"/>
  <c r="B83" i="4"/>
  <c r="A83" i="4"/>
  <c r="H83" i="4" s="1"/>
  <c r="G82" i="4"/>
  <c r="F82" i="4"/>
  <c r="E82" i="4"/>
  <c r="D82" i="4"/>
  <c r="C82" i="4"/>
  <c r="B82" i="4"/>
  <c r="A82" i="4"/>
  <c r="G81" i="4"/>
  <c r="F81" i="4"/>
  <c r="E81" i="4"/>
  <c r="D81" i="4"/>
  <c r="C81" i="4"/>
  <c r="B81" i="4"/>
  <c r="A81" i="4"/>
  <c r="G80" i="4"/>
  <c r="F80" i="4"/>
  <c r="E80" i="4"/>
  <c r="D80" i="4"/>
  <c r="C80" i="4"/>
  <c r="J80" i="4" s="1"/>
  <c r="B80" i="4"/>
  <c r="A80" i="4"/>
  <c r="G79" i="4"/>
  <c r="F79" i="4"/>
  <c r="E79" i="4"/>
  <c r="D79" i="4"/>
  <c r="C79" i="4"/>
  <c r="J79" i="4" s="1"/>
  <c r="B79" i="4"/>
  <c r="A79" i="4"/>
  <c r="H79" i="4" s="1"/>
  <c r="I79" i="4" s="1"/>
  <c r="G78" i="4"/>
  <c r="F78" i="4"/>
  <c r="E78" i="4"/>
  <c r="D78" i="4"/>
  <c r="C78" i="4"/>
  <c r="B78" i="4"/>
  <c r="A78" i="4"/>
  <c r="G77" i="4"/>
  <c r="F77" i="4"/>
  <c r="E77" i="4"/>
  <c r="D77" i="4"/>
  <c r="C77" i="4"/>
  <c r="B77" i="4"/>
  <c r="A77" i="4"/>
  <c r="H77" i="4" s="1"/>
  <c r="I77" i="4" s="1"/>
  <c r="G76" i="4"/>
  <c r="F76" i="4"/>
  <c r="E76" i="4"/>
  <c r="D76" i="4"/>
  <c r="C76" i="4"/>
  <c r="J76" i="4" s="1"/>
  <c r="B76" i="4"/>
  <c r="A76" i="4"/>
  <c r="G75" i="4"/>
  <c r="F75" i="4"/>
  <c r="E75" i="4"/>
  <c r="D75" i="4"/>
  <c r="C75" i="4"/>
  <c r="B75" i="4"/>
  <c r="A75" i="4"/>
  <c r="G74" i="4"/>
  <c r="F74" i="4"/>
  <c r="E74" i="4"/>
  <c r="D74" i="4"/>
  <c r="C74" i="4"/>
  <c r="B74" i="4"/>
  <c r="A74" i="4"/>
  <c r="J73" i="4"/>
  <c r="G73" i="4"/>
  <c r="F73" i="4"/>
  <c r="E73" i="4"/>
  <c r="D73" i="4"/>
  <c r="C73" i="4"/>
  <c r="H73" i="4" s="1"/>
  <c r="I73" i="4" s="1"/>
  <c r="B73" i="4"/>
  <c r="A73" i="4"/>
  <c r="G72" i="4"/>
  <c r="F72" i="4"/>
  <c r="E72" i="4"/>
  <c r="D72" i="4"/>
  <c r="C72" i="4"/>
  <c r="J72" i="4" s="1"/>
  <c r="B72" i="4"/>
  <c r="A72" i="4"/>
  <c r="G71" i="4"/>
  <c r="F71" i="4"/>
  <c r="E71" i="4"/>
  <c r="D71" i="4"/>
  <c r="C71" i="4"/>
  <c r="J71" i="4" s="1"/>
  <c r="B71" i="4"/>
  <c r="A71" i="4"/>
  <c r="H71" i="4" s="1"/>
  <c r="I71" i="4" s="1"/>
  <c r="G70" i="4"/>
  <c r="F70" i="4"/>
  <c r="E70" i="4"/>
  <c r="D70" i="4"/>
  <c r="C70" i="4"/>
  <c r="B70" i="4"/>
  <c r="A70" i="4"/>
  <c r="G69" i="4"/>
  <c r="F69" i="4"/>
  <c r="E69" i="4"/>
  <c r="D69" i="4"/>
  <c r="C69" i="4"/>
  <c r="B69" i="4"/>
  <c r="A69" i="4"/>
  <c r="G68" i="4"/>
  <c r="F68" i="4"/>
  <c r="E68" i="4"/>
  <c r="D68" i="4"/>
  <c r="C68" i="4"/>
  <c r="B68" i="4"/>
  <c r="A68" i="4"/>
  <c r="G67" i="4"/>
  <c r="F67" i="4"/>
  <c r="E67" i="4"/>
  <c r="D67" i="4"/>
  <c r="C67" i="4"/>
  <c r="J67" i="4" s="1"/>
  <c r="B67" i="4"/>
  <c r="A67" i="4"/>
  <c r="G66" i="4"/>
  <c r="F66" i="4"/>
  <c r="E66" i="4"/>
  <c r="D66" i="4"/>
  <c r="C66" i="4"/>
  <c r="B66" i="4"/>
  <c r="A66" i="4"/>
  <c r="G65" i="4"/>
  <c r="F65" i="4"/>
  <c r="E65" i="4"/>
  <c r="D65" i="4"/>
  <c r="C65" i="4"/>
  <c r="B65" i="4"/>
  <c r="A65" i="4"/>
  <c r="H65" i="4" s="1"/>
  <c r="I65" i="4" s="1"/>
  <c r="G64" i="4"/>
  <c r="F64" i="4"/>
  <c r="E64" i="4"/>
  <c r="D64" i="4"/>
  <c r="C64" i="4"/>
  <c r="B64" i="4"/>
  <c r="A64" i="4"/>
  <c r="G63" i="4"/>
  <c r="F63" i="4"/>
  <c r="E63" i="4"/>
  <c r="D63" i="4"/>
  <c r="C63" i="4"/>
  <c r="B63" i="4"/>
  <c r="A63" i="4"/>
  <c r="G62" i="4"/>
  <c r="F62" i="4"/>
  <c r="E62" i="4"/>
  <c r="D62" i="4"/>
  <c r="C62" i="4"/>
  <c r="B62" i="4"/>
  <c r="A62" i="4"/>
  <c r="G61" i="4"/>
  <c r="F61" i="4"/>
  <c r="E61" i="4"/>
  <c r="D61" i="4"/>
  <c r="C61" i="4"/>
  <c r="B61" i="4"/>
  <c r="A61" i="4"/>
  <c r="J61" i="4" s="1"/>
  <c r="G60" i="4"/>
  <c r="F60" i="4"/>
  <c r="E60" i="4"/>
  <c r="D60" i="4"/>
  <c r="C60" i="4"/>
  <c r="B60" i="4"/>
  <c r="A60" i="4"/>
  <c r="G59" i="4"/>
  <c r="F59" i="4"/>
  <c r="E59" i="4"/>
  <c r="D59" i="4"/>
  <c r="C59" i="4"/>
  <c r="B59" i="4"/>
  <c r="A59" i="4"/>
  <c r="J59" i="4" s="1"/>
  <c r="H58" i="4"/>
  <c r="G58" i="4"/>
  <c r="F58" i="4"/>
  <c r="E58" i="4"/>
  <c r="D58" i="4"/>
  <c r="C58" i="4"/>
  <c r="B58" i="4"/>
  <c r="A58" i="4"/>
  <c r="G57" i="4"/>
  <c r="F57" i="4"/>
  <c r="E57" i="4"/>
  <c r="D57" i="4"/>
  <c r="C57" i="4"/>
  <c r="B57" i="4"/>
  <c r="A57" i="4"/>
  <c r="G56" i="4"/>
  <c r="F56" i="4"/>
  <c r="E56" i="4"/>
  <c r="D56" i="4"/>
  <c r="C56" i="4"/>
  <c r="J56" i="4" s="1"/>
  <c r="B56" i="4"/>
  <c r="A56" i="4"/>
  <c r="G55" i="4"/>
  <c r="F55" i="4"/>
  <c r="E55" i="4"/>
  <c r="D55" i="4"/>
  <c r="C55" i="4"/>
  <c r="B55" i="4"/>
  <c r="A55" i="4"/>
  <c r="G54" i="4"/>
  <c r="F54" i="4"/>
  <c r="E54" i="4"/>
  <c r="D54" i="4"/>
  <c r="C54" i="4"/>
  <c r="B54" i="4"/>
  <c r="A54" i="4"/>
  <c r="J53" i="4"/>
  <c r="H53" i="4"/>
  <c r="G53" i="4"/>
  <c r="F53" i="4"/>
  <c r="E53" i="4"/>
  <c r="D53" i="4"/>
  <c r="C53" i="4"/>
  <c r="B53" i="4"/>
  <c r="A53" i="4"/>
  <c r="G52" i="4"/>
  <c r="F52" i="4"/>
  <c r="E52" i="4"/>
  <c r="D52" i="4"/>
  <c r="C52" i="4"/>
  <c r="B52" i="4"/>
  <c r="A52" i="4"/>
  <c r="J52" i="4" s="1"/>
  <c r="G51" i="4"/>
  <c r="F51" i="4"/>
  <c r="E51" i="4"/>
  <c r="D51" i="4"/>
  <c r="C51" i="4"/>
  <c r="J51" i="4" s="1"/>
  <c r="B51" i="4"/>
  <c r="A51" i="4"/>
  <c r="G50" i="4"/>
  <c r="F50" i="4"/>
  <c r="E50" i="4"/>
  <c r="D50" i="4"/>
  <c r="C50" i="4"/>
  <c r="B50" i="4"/>
  <c r="A50" i="4"/>
  <c r="G49" i="4"/>
  <c r="F49" i="4"/>
  <c r="E49" i="4"/>
  <c r="D49" i="4"/>
  <c r="C49" i="4"/>
  <c r="B49" i="4"/>
  <c r="A49" i="4"/>
  <c r="H48" i="4"/>
  <c r="G48" i="4"/>
  <c r="F48" i="4"/>
  <c r="E48" i="4"/>
  <c r="D48" i="4"/>
  <c r="C48" i="4"/>
  <c r="J48" i="4" s="1"/>
  <c r="B48" i="4"/>
  <c r="A48" i="4"/>
  <c r="G47" i="4"/>
  <c r="F47" i="4"/>
  <c r="E47" i="4"/>
  <c r="D47" i="4"/>
  <c r="C47" i="4"/>
  <c r="B47" i="4"/>
  <c r="A47" i="4"/>
  <c r="G46" i="4"/>
  <c r="F46" i="4"/>
  <c r="E46" i="4"/>
  <c r="D46" i="4"/>
  <c r="C46" i="4"/>
  <c r="J46" i="4" s="1"/>
  <c r="B46" i="4"/>
  <c r="A46" i="4"/>
  <c r="G45" i="4"/>
  <c r="F45" i="4"/>
  <c r="E45" i="4"/>
  <c r="D45" i="4"/>
  <c r="C45" i="4"/>
  <c r="B45" i="4"/>
  <c r="A45" i="4"/>
  <c r="J45" i="4" s="1"/>
  <c r="H44" i="4"/>
  <c r="I44" i="4" s="1"/>
  <c r="G44" i="4"/>
  <c r="F44" i="4"/>
  <c r="E44" i="4"/>
  <c r="D44" i="4"/>
  <c r="C44" i="4"/>
  <c r="J44" i="4" s="1"/>
  <c r="B44" i="4"/>
  <c r="A44" i="4"/>
  <c r="G43" i="4"/>
  <c r="F43" i="4"/>
  <c r="E43" i="4"/>
  <c r="D43" i="4"/>
  <c r="C43" i="4"/>
  <c r="B43" i="4"/>
  <c r="A43" i="4"/>
  <c r="H42" i="4"/>
  <c r="I42" i="4" s="1"/>
  <c r="G42" i="4"/>
  <c r="F42" i="4"/>
  <c r="E42" i="4"/>
  <c r="D42" i="4"/>
  <c r="C42" i="4"/>
  <c r="J42" i="4" s="1"/>
  <c r="B42" i="4"/>
  <c r="A42" i="4"/>
  <c r="G41" i="4"/>
  <c r="F41" i="4"/>
  <c r="E41" i="4"/>
  <c r="D41" i="4"/>
  <c r="C41" i="4"/>
  <c r="B41" i="4"/>
  <c r="A41" i="4"/>
  <c r="G40" i="4"/>
  <c r="F40" i="4"/>
  <c r="E40" i="4"/>
  <c r="D40" i="4"/>
  <c r="C40" i="4"/>
  <c r="B40" i="4"/>
  <c r="A40" i="4"/>
  <c r="G39" i="4"/>
  <c r="F39" i="4"/>
  <c r="E39" i="4"/>
  <c r="D39" i="4"/>
  <c r="C39" i="4"/>
  <c r="B39" i="4"/>
  <c r="A39" i="4"/>
  <c r="G38" i="4"/>
  <c r="F38" i="4"/>
  <c r="E38" i="4"/>
  <c r="D38" i="4"/>
  <c r="C38" i="4"/>
  <c r="B38" i="4"/>
  <c r="A38" i="4"/>
  <c r="G37" i="4"/>
  <c r="F37" i="4"/>
  <c r="E37" i="4"/>
  <c r="D37" i="4"/>
  <c r="C37" i="4"/>
  <c r="J37" i="4" s="1"/>
  <c r="B37" i="4"/>
  <c r="A37" i="4"/>
  <c r="J36" i="4"/>
  <c r="G36" i="4"/>
  <c r="F36" i="4"/>
  <c r="E36" i="4"/>
  <c r="D36" i="4"/>
  <c r="C36" i="4"/>
  <c r="B36" i="4"/>
  <c r="A36" i="4"/>
  <c r="H36" i="4" s="1"/>
  <c r="I36" i="4" s="1"/>
  <c r="G35" i="4"/>
  <c r="F35" i="4"/>
  <c r="E35" i="4"/>
  <c r="D35" i="4"/>
  <c r="C35" i="4"/>
  <c r="B35" i="4"/>
  <c r="A35" i="4"/>
  <c r="G34" i="4"/>
  <c r="F34" i="4"/>
  <c r="E34" i="4"/>
  <c r="D34" i="4"/>
  <c r="C34" i="4"/>
  <c r="J34" i="4" s="1"/>
  <c r="B34" i="4"/>
  <c r="A34" i="4"/>
  <c r="G33" i="4"/>
  <c r="F33" i="4"/>
  <c r="E33" i="4"/>
  <c r="D33" i="4"/>
  <c r="C33" i="4"/>
  <c r="B33" i="4"/>
  <c r="A33" i="4"/>
  <c r="G32" i="4"/>
  <c r="F32" i="4"/>
  <c r="E32" i="4"/>
  <c r="D32" i="4"/>
  <c r="C32" i="4"/>
  <c r="B32" i="4"/>
  <c r="A32" i="4"/>
  <c r="G31" i="4"/>
  <c r="F31" i="4"/>
  <c r="E31" i="4"/>
  <c r="D31" i="4"/>
  <c r="C31" i="4"/>
  <c r="B31" i="4"/>
  <c r="A31" i="4"/>
  <c r="G30" i="4"/>
  <c r="F30" i="4"/>
  <c r="E30" i="4"/>
  <c r="D30" i="4"/>
  <c r="C30" i="4"/>
  <c r="J30" i="4" s="1"/>
  <c r="B30" i="4"/>
  <c r="A30" i="4"/>
  <c r="J29" i="4"/>
  <c r="G29" i="4"/>
  <c r="F29" i="4"/>
  <c r="E29" i="4"/>
  <c r="D29" i="4"/>
  <c r="C29" i="4"/>
  <c r="B29" i="4"/>
  <c r="A29" i="4"/>
  <c r="H29" i="4" s="1"/>
  <c r="G28" i="4"/>
  <c r="F28" i="4"/>
  <c r="E28" i="4"/>
  <c r="D28" i="4"/>
  <c r="C28" i="4"/>
  <c r="B28" i="4"/>
  <c r="A28" i="4"/>
  <c r="H28" i="4" s="1"/>
  <c r="I28" i="4" s="1"/>
  <c r="H27" i="4"/>
  <c r="G27" i="4"/>
  <c r="F27" i="4"/>
  <c r="E27" i="4"/>
  <c r="D27" i="4"/>
  <c r="C27" i="4"/>
  <c r="J27" i="4" s="1"/>
  <c r="B27" i="4"/>
  <c r="A27" i="4"/>
  <c r="G26" i="4"/>
  <c r="F26" i="4"/>
  <c r="E26" i="4"/>
  <c r="D26" i="4"/>
  <c r="C26" i="4"/>
  <c r="B26" i="4"/>
  <c r="A26" i="4"/>
  <c r="H26" i="4" s="1"/>
  <c r="G25" i="4"/>
  <c r="F25" i="4"/>
  <c r="E25" i="4"/>
  <c r="D25" i="4"/>
  <c r="C25" i="4"/>
  <c r="B25" i="4"/>
  <c r="A25" i="4"/>
  <c r="G24" i="4"/>
  <c r="F24" i="4"/>
  <c r="E24" i="4"/>
  <c r="D24" i="4"/>
  <c r="C24" i="4"/>
  <c r="J24" i="4" s="1"/>
  <c r="B24" i="4"/>
  <c r="A24" i="4"/>
  <c r="G23" i="4"/>
  <c r="F23" i="4"/>
  <c r="E23" i="4"/>
  <c r="D23" i="4"/>
  <c r="C23" i="4"/>
  <c r="B23" i="4"/>
  <c r="A23" i="4"/>
  <c r="G22" i="4"/>
  <c r="F22" i="4"/>
  <c r="E22" i="4"/>
  <c r="D22" i="4"/>
  <c r="C22" i="4"/>
  <c r="B22" i="4"/>
  <c r="A22" i="4"/>
  <c r="G21" i="4"/>
  <c r="F21" i="4"/>
  <c r="E21" i="4"/>
  <c r="D21" i="4"/>
  <c r="C21" i="4"/>
  <c r="B21" i="4"/>
  <c r="A21" i="4"/>
  <c r="J20" i="4"/>
  <c r="H20" i="4"/>
  <c r="G20" i="4"/>
  <c r="F20" i="4"/>
  <c r="E20" i="4"/>
  <c r="D20" i="4"/>
  <c r="C20" i="4"/>
  <c r="B20" i="4"/>
  <c r="A20" i="4"/>
  <c r="G19" i="4"/>
  <c r="F19" i="4"/>
  <c r="E19" i="4"/>
  <c r="D19" i="4"/>
  <c r="C19" i="4"/>
  <c r="B19" i="4"/>
  <c r="A19" i="4"/>
  <c r="G18" i="4"/>
  <c r="F18" i="4"/>
  <c r="E18" i="4"/>
  <c r="D18" i="4"/>
  <c r="C18" i="4"/>
  <c r="H18" i="4" s="1"/>
  <c r="I18" i="4" s="1"/>
  <c r="B18" i="4"/>
  <c r="A18" i="4"/>
  <c r="J17" i="4"/>
  <c r="H17" i="4"/>
  <c r="I17" i="4" s="1"/>
  <c r="G17" i="4"/>
  <c r="F17" i="4"/>
  <c r="E17" i="4"/>
  <c r="D17" i="4"/>
  <c r="C17" i="4"/>
  <c r="B17" i="4"/>
  <c r="A17" i="4"/>
  <c r="G16" i="4"/>
  <c r="F16" i="4"/>
  <c r="E16" i="4"/>
  <c r="D16" i="4"/>
  <c r="C16" i="4"/>
  <c r="B16" i="4"/>
  <c r="A16" i="4"/>
  <c r="G15" i="4"/>
  <c r="F15" i="4"/>
  <c r="E15" i="4"/>
  <c r="D15" i="4"/>
  <c r="C15" i="4"/>
  <c r="J15" i="4" s="1"/>
  <c r="B15" i="4"/>
  <c r="A15" i="4"/>
  <c r="G14" i="4"/>
  <c r="F14" i="4"/>
  <c r="E14" i="4"/>
  <c r="D14" i="4"/>
  <c r="C14" i="4"/>
  <c r="J14" i="4" s="1"/>
  <c r="B14" i="4"/>
  <c r="A14" i="4"/>
  <c r="H14" i="4" s="1"/>
  <c r="J13" i="4"/>
  <c r="G13" i="4"/>
  <c r="F13" i="4"/>
  <c r="E13" i="4"/>
  <c r="D13" i="4"/>
  <c r="C13" i="4"/>
  <c r="B13" i="4"/>
  <c r="A13" i="4"/>
  <c r="H13" i="4" s="1"/>
  <c r="H12" i="4"/>
  <c r="G12" i="4"/>
  <c r="F12" i="4"/>
  <c r="E12" i="4"/>
  <c r="D12" i="4"/>
  <c r="C12" i="4"/>
  <c r="J12" i="4" s="1"/>
  <c r="B12" i="4"/>
  <c r="A12" i="4"/>
  <c r="G11" i="4"/>
  <c r="F11" i="4"/>
  <c r="E11" i="4"/>
  <c r="D11" i="4"/>
  <c r="C11" i="4"/>
  <c r="B11" i="4"/>
  <c r="A11" i="4"/>
  <c r="G10" i="4"/>
  <c r="F10" i="4"/>
  <c r="E10" i="4"/>
  <c r="D10" i="4"/>
  <c r="C10" i="4"/>
  <c r="J10" i="4" s="1"/>
  <c r="B10" i="4"/>
  <c r="A10" i="4"/>
  <c r="G9" i="4"/>
  <c r="F9" i="4"/>
  <c r="E9" i="4"/>
  <c r="D9" i="4"/>
  <c r="C9" i="4"/>
  <c r="J9" i="4" s="1"/>
  <c r="B9" i="4"/>
  <c r="A9" i="4"/>
  <c r="H9" i="4" s="1"/>
  <c r="I9" i="4" s="1"/>
  <c r="G8" i="4"/>
  <c r="F8" i="4"/>
  <c r="E8" i="4"/>
  <c r="D8" i="4"/>
  <c r="C8" i="4"/>
  <c r="B8" i="4"/>
  <c r="A8" i="4"/>
  <c r="G7" i="4"/>
  <c r="F7" i="4"/>
  <c r="E7" i="4"/>
  <c r="D7" i="4"/>
  <c r="C7" i="4"/>
  <c r="B7" i="4"/>
  <c r="A7" i="4"/>
  <c r="G6" i="4"/>
  <c r="F6" i="4"/>
  <c r="E6" i="4"/>
  <c r="D6" i="4"/>
  <c r="C6" i="4"/>
  <c r="B6" i="4"/>
  <c r="A6" i="4"/>
  <c r="G5" i="4"/>
  <c r="F5" i="4"/>
  <c r="E5" i="4"/>
  <c r="D5" i="4"/>
  <c r="C5" i="4"/>
  <c r="B5" i="4"/>
  <c r="A5" i="4"/>
  <c r="G4" i="4"/>
  <c r="F4" i="4"/>
  <c r="E4" i="4"/>
  <c r="D4" i="4"/>
  <c r="C4" i="4"/>
  <c r="H4" i="4" s="1"/>
  <c r="B4" i="4"/>
  <c r="A4" i="4"/>
  <c r="G3" i="4"/>
  <c r="F3" i="4"/>
  <c r="E3" i="4"/>
  <c r="D3" i="4"/>
  <c r="C3" i="4"/>
  <c r="B3" i="4"/>
  <c r="A3" i="4"/>
  <c r="J2" i="4"/>
  <c r="H2" i="4"/>
  <c r="G2" i="4"/>
  <c r="F2" i="4"/>
  <c r="E2" i="4"/>
  <c r="D2" i="4"/>
  <c r="C2" i="4"/>
  <c r="B2" i="4"/>
  <c r="A2" i="4"/>
  <c r="J337" i="1"/>
  <c r="I337" i="1"/>
  <c r="J336" i="1"/>
  <c r="I336" i="1"/>
  <c r="J335" i="1"/>
  <c r="I335" i="1"/>
  <c r="J334" i="1"/>
  <c r="I334" i="1"/>
  <c r="J333" i="1"/>
  <c r="I333" i="1"/>
  <c r="J332" i="1"/>
  <c r="I332" i="1"/>
  <c r="J331" i="1"/>
  <c r="I331" i="1"/>
  <c r="J330" i="1"/>
  <c r="I330" i="1"/>
  <c r="J329" i="1"/>
  <c r="I329" i="1"/>
  <c r="J328" i="1"/>
  <c r="I328" i="1"/>
  <c r="J327" i="1"/>
  <c r="I327" i="1"/>
  <c r="J326" i="1"/>
  <c r="I326" i="1"/>
  <c r="J325" i="1"/>
  <c r="I325" i="1"/>
  <c r="J324" i="1"/>
  <c r="I324" i="1"/>
  <c r="J323" i="1"/>
  <c r="I323" i="1"/>
  <c r="J322" i="1"/>
  <c r="I322" i="1"/>
  <c r="J321" i="1"/>
  <c r="I321" i="1"/>
  <c r="J320" i="1"/>
  <c r="I320" i="1"/>
  <c r="J319" i="1"/>
  <c r="I319" i="1"/>
  <c r="J318" i="1"/>
  <c r="I318" i="1"/>
  <c r="J317" i="1"/>
  <c r="I317" i="1"/>
  <c r="J316" i="1"/>
  <c r="I316" i="1"/>
  <c r="J315" i="1"/>
  <c r="I315" i="1"/>
  <c r="J314" i="1"/>
  <c r="I314" i="1"/>
  <c r="J313" i="1"/>
  <c r="I313" i="1"/>
  <c r="J312" i="1"/>
  <c r="I312" i="1"/>
  <c r="J311" i="1"/>
  <c r="I311" i="1"/>
  <c r="J310" i="1"/>
  <c r="I310" i="1"/>
  <c r="J309" i="1"/>
  <c r="I309" i="1"/>
  <c r="J308" i="1"/>
  <c r="I308" i="1"/>
  <c r="J307" i="1"/>
  <c r="I307" i="1"/>
  <c r="J306" i="1"/>
  <c r="I306" i="1"/>
  <c r="J305" i="1"/>
  <c r="I305" i="1"/>
  <c r="J304" i="1"/>
  <c r="I304" i="1"/>
  <c r="J303" i="1"/>
  <c r="I303" i="1"/>
  <c r="J302" i="1"/>
  <c r="I302" i="1"/>
  <c r="J301" i="1"/>
  <c r="I301" i="1"/>
  <c r="J300" i="1"/>
  <c r="I300" i="1"/>
  <c r="J299" i="1"/>
  <c r="I299" i="1"/>
  <c r="J298" i="1"/>
  <c r="I298" i="1"/>
  <c r="J297" i="1"/>
  <c r="I297" i="1"/>
  <c r="J296" i="1"/>
  <c r="I296" i="1"/>
  <c r="J295" i="1"/>
  <c r="I295" i="1"/>
  <c r="J294" i="1"/>
  <c r="I294" i="1"/>
  <c r="J293" i="1"/>
  <c r="I293" i="1"/>
  <c r="J292" i="1"/>
  <c r="I292" i="1"/>
  <c r="J291" i="1"/>
  <c r="I291" i="1"/>
  <c r="J290" i="1"/>
  <c r="I290" i="1"/>
  <c r="J289" i="1"/>
  <c r="I289" i="1"/>
  <c r="J288" i="1"/>
  <c r="I288" i="1"/>
  <c r="J287" i="1"/>
  <c r="I287" i="1"/>
  <c r="J286" i="1"/>
  <c r="I286" i="1"/>
  <c r="J285" i="1"/>
  <c r="I285" i="1"/>
  <c r="J284" i="1"/>
  <c r="I284" i="1"/>
  <c r="J283" i="1"/>
  <c r="I283" i="1"/>
  <c r="J282" i="1"/>
  <c r="I282" i="1"/>
  <c r="J281" i="1"/>
  <c r="I281" i="1"/>
  <c r="J280" i="1"/>
  <c r="I280" i="1"/>
  <c r="J279" i="1"/>
  <c r="I279" i="1"/>
  <c r="J278" i="1"/>
  <c r="I278" i="1"/>
  <c r="J277" i="1"/>
  <c r="I277" i="1"/>
  <c r="J276" i="1"/>
  <c r="I276" i="1"/>
  <c r="J275" i="1"/>
  <c r="I275" i="1"/>
  <c r="J274" i="1"/>
  <c r="I274" i="1"/>
  <c r="J273" i="1"/>
  <c r="I273" i="1"/>
  <c r="J272" i="1"/>
  <c r="I272" i="1"/>
  <c r="J271" i="1"/>
  <c r="I271" i="1"/>
  <c r="J270" i="1"/>
  <c r="I270" i="1"/>
  <c r="J269" i="1"/>
  <c r="I269" i="1"/>
  <c r="J268" i="1"/>
  <c r="I268" i="1"/>
  <c r="J267" i="1"/>
  <c r="I267" i="1"/>
  <c r="J266" i="1"/>
  <c r="I266" i="1"/>
  <c r="J265" i="1"/>
  <c r="I265" i="1"/>
  <c r="J264" i="1"/>
  <c r="I264" i="1"/>
  <c r="J263" i="1"/>
  <c r="I263" i="1"/>
  <c r="J262" i="1"/>
  <c r="I262" i="1"/>
  <c r="J261" i="1"/>
  <c r="I261" i="1"/>
  <c r="J260" i="1"/>
  <c r="I260" i="1"/>
  <c r="J259" i="1"/>
  <c r="I259" i="1"/>
  <c r="J258" i="1"/>
  <c r="I258" i="1"/>
  <c r="J257" i="1"/>
  <c r="I257" i="1"/>
  <c r="J256" i="1"/>
  <c r="I256" i="1"/>
  <c r="J255" i="1"/>
  <c r="I255" i="1"/>
  <c r="J254" i="1"/>
  <c r="I254" i="1"/>
  <c r="J253" i="1"/>
  <c r="I253" i="1"/>
  <c r="J252" i="1"/>
  <c r="I252" i="1"/>
  <c r="J251" i="1"/>
  <c r="I251" i="1"/>
  <c r="J250" i="1"/>
  <c r="I250" i="1"/>
  <c r="J249" i="1"/>
  <c r="I249" i="1"/>
  <c r="J248" i="1"/>
  <c r="I248" i="1"/>
  <c r="J247" i="1"/>
  <c r="I247" i="1"/>
  <c r="J246" i="1"/>
  <c r="I246" i="1"/>
  <c r="J245" i="1"/>
  <c r="I245" i="1"/>
  <c r="J244" i="1"/>
  <c r="I244" i="1"/>
  <c r="J243" i="1"/>
  <c r="I243" i="1"/>
  <c r="J242" i="1"/>
  <c r="I242" i="1"/>
  <c r="J241" i="1"/>
  <c r="I241" i="1"/>
  <c r="J240" i="1"/>
  <c r="I240" i="1"/>
  <c r="J239" i="1"/>
  <c r="I239" i="1"/>
  <c r="J238" i="1"/>
  <c r="I238" i="1"/>
  <c r="J237" i="1"/>
  <c r="I237" i="1"/>
  <c r="J236" i="1"/>
  <c r="I236" i="1"/>
  <c r="J235" i="1"/>
  <c r="I235" i="1"/>
  <c r="J234" i="1"/>
  <c r="I234" i="1"/>
  <c r="J233" i="1"/>
  <c r="I233" i="1"/>
  <c r="J232" i="1"/>
  <c r="I232" i="1"/>
  <c r="J231" i="1"/>
  <c r="I231" i="1"/>
  <c r="J230" i="1"/>
  <c r="I230" i="1"/>
  <c r="J229" i="1"/>
  <c r="I229" i="1"/>
  <c r="J228" i="1"/>
  <c r="I228" i="1"/>
  <c r="J227" i="1"/>
  <c r="I227" i="1"/>
  <c r="J226" i="1"/>
  <c r="I226" i="1"/>
  <c r="J225" i="1"/>
  <c r="I225" i="1"/>
  <c r="J224" i="1"/>
  <c r="I224" i="1"/>
  <c r="J223" i="1"/>
  <c r="I223" i="1"/>
  <c r="J222" i="1"/>
  <c r="I222" i="1"/>
  <c r="J221" i="1"/>
  <c r="I221" i="1"/>
  <c r="J220" i="1"/>
  <c r="I220" i="1"/>
  <c r="J219" i="1"/>
  <c r="I219" i="1"/>
  <c r="J218" i="1"/>
  <c r="I218" i="1"/>
  <c r="J217" i="1"/>
  <c r="I217" i="1"/>
  <c r="J216" i="1"/>
  <c r="I216" i="1"/>
  <c r="J215" i="1"/>
  <c r="I215" i="1"/>
  <c r="J214" i="1"/>
  <c r="I214" i="1"/>
  <c r="J213" i="1"/>
  <c r="I213" i="1"/>
  <c r="J212" i="1"/>
  <c r="I212" i="1"/>
  <c r="J211" i="1"/>
  <c r="I211" i="1"/>
  <c r="J210" i="1"/>
  <c r="I210" i="1"/>
  <c r="J209" i="1"/>
  <c r="I209" i="1"/>
  <c r="J208" i="1"/>
  <c r="I208" i="1"/>
  <c r="J207" i="1"/>
  <c r="I207" i="1"/>
  <c r="J206" i="1"/>
  <c r="I206" i="1"/>
  <c r="J205" i="1"/>
  <c r="I205" i="1"/>
  <c r="J204" i="1"/>
  <c r="I204" i="1"/>
  <c r="J203" i="1"/>
  <c r="I203" i="1"/>
  <c r="J202" i="1"/>
  <c r="I202" i="1"/>
  <c r="J201" i="1"/>
  <c r="I201" i="1"/>
  <c r="J200" i="1"/>
  <c r="I200" i="1"/>
  <c r="J199" i="1"/>
  <c r="I199" i="1"/>
  <c r="J198" i="1"/>
  <c r="I198" i="1"/>
  <c r="J197" i="1"/>
  <c r="I197" i="1"/>
  <c r="J196" i="1"/>
  <c r="I196" i="1"/>
  <c r="J195" i="1"/>
  <c r="I195" i="1"/>
  <c r="J194" i="1"/>
  <c r="I194" i="1"/>
  <c r="J193" i="1"/>
  <c r="I193" i="1"/>
  <c r="J192" i="1"/>
  <c r="I192" i="1"/>
  <c r="J191" i="1"/>
  <c r="I191" i="1"/>
  <c r="J190" i="1"/>
  <c r="I190" i="1"/>
  <c r="J189" i="1"/>
  <c r="I189" i="1"/>
  <c r="J188" i="1"/>
  <c r="I188" i="1"/>
  <c r="J187" i="1"/>
  <c r="I187" i="1"/>
  <c r="J186" i="1"/>
  <c r="I186" i="1"/>
  <c r="J185" i="1"/>
  <c r="I185" i="1"/>
  <c r="J184" i="1"/>
  <c r="I184" i="1"/>
  <c r="J183" i="1"/>
  <c r="I183" i="1"/>
  <c r="J182" i="1"/>
  <c r="I182" i="1"/>
  <c r="J181" i="1"/>
  <c r="I181" i="1"/>
  <c r="J180" i="1"/>
  <c r="I180" i="1"/>
  <c r="J179" i="1"/>
  <c r="I179" i="1"/>
  <c r="J178" i="1"/>
  <c r="I178" i="1"/>
  <c r="J177" i="1"/>
  <c r="I177" i="1"/>
  <c r="J176" i="1"/>
  <c r="I176" i="1"/>
  <c r="J175" i="1"/>
  <c r="I175" i="1"/>
  <c r="J174" i="1"/>
  <c r="I174" i="1"/>
  <c r="J173" i="1"/>
  <c r="I173" i="1"/>
  <c r="J172" i="1"/>
  <c r="I172" i="1"/>
  <c r="J171" i="1"/>
  <c r="I171" i="1"/>
  <c r="J170" i="1"/>
  <c r="I170" i="1"/>
  <c r="J169" i="1"/>
  <c r="I169" i="1"/>
  <c r="J168" i="1"/>
  <c r="I168" i="1"/>
  <c r="J167" i="1"/>
  <c r="I167" i="1"/>
  <c r="J166" i="1"/>
  <c r="I166" i="1"/>
  <c r="J165" i="1"/>
  <c r="I165" i="1"/>
  <c r="J164" i="1"/>
  <c r="I164" i="1"/>
  <c r="J163" i="1"/>
  <c r="I163" i="1"/>
  <c r="J162" i="1"/>
  <c r="I162" i="1"/>
  <c r="J161" i="1"/>
  <c r="I161" i="1"/>
  <c r="J160" i="1"/>
  <c r="I160" i="1"/>
  <c r="J159" i="1"/>
  <c r="I159" i="1"/>
  <c r="J158" i="1"/>
  <c r="I158" i="1"/>
  <c r="J157" i="1"/>
  <c r="I157" i="1"/>
  <c r="J156" i="1"/>
  <c r="I156" i="1"/>
  <c r="J155" i="1"/>
  <c r="I155" i="1"/>
  <c r="J154" i="1"/>
  <c r="I154" i="1"/>
  <c r="J153" i="1"/>
  <c r="I153" i="1"/>
  <c r="J152" i="1"/>
  <c r="I152" i="1"/>
  <c r="J151" i="1"/>
  <c r="I151" i="1"/>
  <c r="J150" i="1"/>
  <c r="I150" i="1"/>
  <c r="J149" i="1"/>
  <c r="I149" i="1"/>
  <c r="J148" i="1"/>
  <c r="I148" i="1"/>
  <c r="J147" i="1"/>
  <c r="I147" i="1"/>
  <c r="J146" i="1"/>
  <c r="I146" i="1"/>
  <c r="J145" i="1"/>
  <c r="I145" i="1"/>
  <c r="J144" i="1"/>
  <c r="I144" i="1"/>
  <c r="J143" i="1"/>
  <c r="I143" i="1"/>
  <c r="J142" i="1"/>
  <c r="I142" i="1"/>
  <c r="J141" i="1"/>
  <c r="I141" i="1"/>
  <c r="J140" i="1"/>
  <c r="I140" i="1"/>
  <c r="J139" i="1"/>
  <c r="I139" i="1"/>
  <c r="J138" i="1"/>
  <c r="I138" i="1"/>
  <c r="J137" i="1"/>
  <c r="I137" i="1"/>
  <c r="J136" i="1"/>
  <c r="I136" i="1"/>
  <c r="J135" i="1"/>
  <c r="I135" i="1"/>
  <c r="J134" i="1"/>
  <c r="I134" i="1"/>
  <c r="J133" i="1"/>
  <c r="I133" i="1"/>
  <c r="J132" i="1"/>
  <c r="I132" i="1"/>
  <c r="J131" i="1"/>
  <c r="I131" i="1"/>
  <c r="J130" i="1"/>
  <c r="I130" i="1"/>
  <c r="J129" i="1"/>
  <c r="I129" i="1"/>
  <c r="J128" i="1"/>
  <c r="I128" i="1"/>
  <c r="J127" i="1"/>
  <c r="I127" i="1"/>
  <c r="J126" i="1"/>
  <c r="I126" i="1"/>
  <c r="J125" i="1"/>
  <c r="I125" i="1"/>
  <c r="J124" i="1"/>
  <c r="I124" i="1"/>
  <c r="J123" i="1"/>
  <c r="I123" i="1"/>
  <c r="J122" i="1"/>
  <c r="I122" i="1"/>
  <c r="J121" i="1"/>
  <c r="I121" i="1"/>
  <c r="J120" i="1"/>
  <c r="I120" i="1"/>
  <c r="J119" i="1"/>
  <c r="I119" i="1"/>
  <c r="J118" i="1"/>
  <c r="I118" i="1"/>
  <c r="J117" i="1"/>
  <c r="I117" i="1"/>
  <c r="J116" i="1"/>
  <c r="I116" i="1"/>
  <c r="J115" i="1"/>
  <c r="I115" i="1"/>
  <c r="J114" i="1"/>
  <c r="I114" i="1"/>
  <c r="J113" i="1"/>
  <c r="I113" i="1"/>
  <c r="J112" i="1"/>
  <c r="I112" i="1"/>
  <c r="J111" i="1"/>
  <c r="I111" i="1"/>
  <c r="J110" i="1"/>
  <c r="I110" i="1"/>
  <c r="J109" i="1"/>
  <c r="I109" i="1"/>
  <c r="J108" i="1"/>
  <c r="I108" i="1"/>
  <c r="J107" i="1"/>
  <c r="I107" i="1"/>
  <c r="J106" i="1"/>
  <c r="I106" i="1"/>
  <c r="J105" i="1"/>
  <c r="I105" i="1"/>
  <c r="J104" i="1"/>
  <c r="I104" i="1"/>
  <c r="J103" i="1"/>
  <c r="I103" i="1"/>
  <c r="J102" i="1"/>
  <c r="I102" i="1"/>
  <c r="J101" i="1"/>
  <c r="I101" i="1"/>
  <c r="J100" i="1"/>
  <c r="I100" i="1"/>
  <c r="J99" i="1"/>
  <c r="I99" i="1"/>
  <c r="J98" i="1"/>
  <c r="I98" i="1"/>
  <c r="J97" i="1"/>
  <c r="I97" i="1"/>
  <c r="J96" i="1"/>
  <c r="I96" i="1"/>
  <c r="J95" i="1"/>
  <c r="I95" i="1"/>
  <c r="J94" i="1"/>
  <c r="I94" i="1"/>
  <c r="J93" i="1"/>
  <c r="I93" i="1"/>
  <c r="J92" i="1"/>
  <c r="I92" i="1"/>
  <c r="J91" i="1"/>
  <c r="I91" i="1"/>
  <c r="J90" i="1"/>
  <c r="I90" i="1"/>
  <c r="J89" i="1"/>
  <c r="I89" i="1"/>
  <c r="J88" i="1"/>
  <c r="I88" i="1"/>
  <c r="J87" i="1"/>
  <c r="I87" i="1"/>
  <c r="J86" i="1"/>
  <c r="I86" i="1"/>
  <c r="J85" i="1"/>
  <c r="I85" i="1"/>
  <c r="J84" i="1"/>
  <c r="I84" i="1"/>
  <c r="J83" i="1"/>
  <c r="I83" i="1"/>
  <c r="J82" i="1"/>
  <c r="I82" i="1"/>
  <c r="J81" i="1"/>
  <c r="I81" i="1"/>
  <c r="J80" i="1"/>
  <c r="I80" i="1"/>
  <c r="J79" i="1"/>
  <c r="I79" i="1"/>
  <c r="J78" i="1"/>
  <c r="I78" i="1"/>
  <c r="J77" i="1"/>
  <c r="I77" i="1"/>
  <c r="J76" i="1"/>
  <c r="I76" i="1"/>
  <c r="J75" i="1"/>
  <c r="I75" i="1"/>
  <c r="J74" i="1"/>
  <c r="I74" i="1"/>
  <c r="J73" i="1"/>
  <c r="I73" i="1"/>
  <c r="J72" i="1"/>
  <c r="I72" i="1"/>
  <c r="J71" i="1"/>
  <c r="I71" i="1"/>
  <c r="J70" i="1"/>
  <c r="I70" i="1"/>
  <c r="J69" i="1"/>
  <c r="I69" i="1"/>
  <c r="J68" i="1"/>
  <c r="I68" i="1"/>
  <c r="J67" i="1"/>
  <c r="I67" i="1"/>
  <c r="J66" i="1"/>
  <c r="I66" i="1"/>
  <c r="J65" i="1"/>
  <c r="I65" i="1"/>
  <c r="J64" i="1"/>
  <c r="I64" i="1"/>
  <c r="J63" i="1"/>
  <c r="I63" i="1"/>
  <c r="J62" i="1"/>
  <c r="I62" i="1"/>
  <c r="J61" i="1"/>
  <c r="I61" i="1"/>
  <c r="J60" i="1"/>
  <c r="I60" i="1"/>
  <c r="J59" i="1"/>
  <c r="I59" i="1"/>
  <c r="J58" i="1"/>
  <c r="I58" i="1"/>
  <c r="J57" i="1"/>
  <c r="I57" i="1"/>
  <c r="J56" i="1"/>
  <c r="I56" i="1"/>
  <c r="J55" i="1"/>
  <c r="I55" i="1"/>
  <c r="J54" i="1"/>
  <c r="I54" i="1"/>
  <c r="J53" i="1"/>
  <c r="I53" i="1"/>
  <c r="J52" i="1"/>
  <c r="I52" i="1"/>
  <c r="J51" i="1"/>
  <c r="I51" i="1"/>
  <c r="J50" i="1"/>
  <c r="I50" i="1"/>
  <c r="J49" i="1"/>
  <c r="I49" i="1"/>
  <c r="J48" i="1"/>
  <c r="I48" i="1"/>
  <c r="J47" i="1"/>
  <c r="I47" i="1"/>
  <c r="J46" i="1"/>
  <c r="I46" i="1"/>
  <c r="J45" i="1"/>
  <c r="I45" i="1"/>
  <c r="J44" i="1"/>
  <c r="I44" i="1"/>
  <c r="J43" i="1"/>
  <c r="I43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J31" i="1"/>
  <c r="I31" i="1"/>
  <c r="J30" i="1"/>
  <c r="I30" i="1"/>
  <c r="J29" i="1"/>
  <c r="I29" i="1"/>
  <c r="J28" i="1"/>
  <c r="I28" i="1"/>
  <c r="J27" i="1"/>
  <c r="I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J3" i="1"/>
  <c r="I3" i="1"/>
  <c r="J2" i="1"/>
  <c r="I2" i="1"/>
  <c r="I2" i="4" l="1"/>
  <c r="I233" i="4"/>
  <c r="I161" i="4"/>
  <c r="I58" i="4"/>
  <c r="I109" i="4"/>
  <c r="I198" i="4"/>
  <c r="I247" i="4"/>
  <c r="I163" i="4"/>
  <c r="I202" i="4"/>
  <c r="I310" i="4"/>
  <c r="I326" i="4"/>
  <c r="I94" i="4"/>
  <c r="I53" i="4"/>
  <c r="I275" i="4"/>
  <c r="I95" i="4"/>
  <c r="I114" i="4"/>
  <c r="I157" i="4"/>
  <c r="I240" i="4"/>
  <c r="I276" i="4"/>
  <c r="I277" i="4"/>
  <c r="I29" i="4"/>
  <c r="I105" i="4"/>
  <c r="I107" i="4"/>
  <c r="I129" i="4"/>
  <c r="I268" i="4"/>
  <c r="I280" i="4"/>
  <c r="I101" i="4"/>
  <c r="I136" i="4"/>
  <c r="I4" i="4"/>
  <c r="I14" i="4"/>
  <c r="I304" i="4"/>
  <c r="I308" i="4"/>
  <c r="I116" i="4"/>
  <c r="I274" i="4"/>
  <c r="I86" i="4"/>
  <c r="I113" i="4"/>
  <c r="I171" i="4"/>
  <c r="I210" i="4"/>
  <c r="I249" i="4"/>
  <c r="I255" i="4"/>
  <c r="I314" i="4"/>
  <c r="J181" i="4"/>
  <c r="H181" i="4"/>
  <c r="J41" i="4"/>
  <c r="H41" i="4"/>
  <c r="J18" i="4"/>
  <c r="H10" i="4"/>
  <c r="I10" i="4" s="1"/>
  <c r="H34" i="4"/>
  <c r="I34" i="4" s="1"/>
  <c r="J119" i="4"/>
  <c r="H119" i="4"/>
  <c r="I119" i="4" s="1"/>
  <c r="H188" i="4"/>
  <c r="I188" i="4" s="1"/>
  <c r="J208" i="4"/>
  <c r="H209" i="4"/>
  <c r="I209" i="4" s="1"/>
  <c r="J237" i="4"/>
  <c r="H237" i="4"/>
  <c r="I237" i="4" s="1"/>
  <c r="J244" i="4"/>
  <c r="H287" i="4"/>
  <c r="I287" i="4" s="1"/>
  <c r="J293" i="4"/>
  <c r="J203" i="4"/>
  <c r="H259" i="4"/>
  <c r="I259" i="4" s="1"/>
  <c r="H265" i="4"/>
  <c r="I265" i="4" s="1"/>
  <c r="J292" i="4"/>
  <c r="H294" i="4"/>
  <c r="I294" i="4" s="1"/>
  <c r="J88" i="4"/>
  <c r="H90" i="4"/>
  <c r="I90" i="4" s="1"/>
  <c r="H190" i="4"/>
  <c r="I190" i="4" s="1"/>
  <c r="H192" i="4"/>
  <c r="I192" i="4" s="1"/>
  <c r="H246" i="4"/>
  <c r="I246" i="4" s="1"/>
  <c r="J87" i="4"/>
  <c r="J143" i="4"/>
  <c r="H143" i="4"/>
  <c r="I143" i="4" s="1"/>
  <c r="J149" i="4"/>
  <c r="H149" i="4"/>
  <c r="I149" i="4" s="1"/>
  <c r="H24" i="4"/>
  <c r="I24" i="4" s="1"/>
  <c r="H37" i="4"/>
  <c r="I37" i="4" s="1"/>
  <c r="J128" i="4"/>
  <c r="H128" i="4"/>
  <c r="I128" i="4" s="1"/>
  <c r="H272" i="4"/>
  <c r="I272" i="4" s="1"/>
  <c r="H303" i="4"/>
  <c r="I303" i="4" s="1"/>
  <c r="H122" i="4"/>
  <c r="I122" i="4" s="1"/>
  <c r="H150" i="4"/>
  <c r="I150" i="4" s="1"/>
  <c r="H239" i="4"/>
  <c r="I239" i="4" s="1"/>
  <c r="J279" i="4"/>
  <c r="H282" i="4"/>
  <c r="I282" i="4" s="1"/>
  <c r="H156" i="4"/>
  <c r="I156" i="4" s="1"/>
  <c r="J32" i="4"/>
  <c r="H32" i="4"/>
  <c r="I32" i="4" s="1"/>
  <c r="J296" i="4"/>
  <c r="H296" i="4"/>
  <c r="I296" i="4" s="1"/>
  <c r="H307" i="4"/>
  <c r="I307" i="4" s="1"/>
  <c r="H80" i="4"/>
  <c r="I80" i="4" s="1"/>
  <c r="J300" i="4"/>
  <c r="H300" i="4"/>
  <c r="I300" i="4" s="1"/>
  <c r="J63" i="4"/>
  <c r="H63" i="4"/>
  <c r="I63" i="4" s="1"/>
  <c r="J3" i="4"/>
  <c r="H30" i="4"/>
  <c r="I30" i="4" s="1"/>
  <c r="H51" i="4"/>
  <c r="I51" i="4" s="1"/>
  <c r="H106" i="4"/>
  <c r="I106" i="4" s="1"/>
  <c r="H183" i="4"/>
  <c r="I183" i="4" s="1"/>
  <c r="H330" i="4"/>
  <c r="I330" i="4" s="1"/>
  <c r="J332" i="4"/>
  <c r="J54" i="4"/>
  <c r="H56" i="4"/>
  <c r="I56" i="4" s="1"/>
  <c r="J75" i="4"/>
  <c r="H92" i="4"/>
  <c r="I92" i="4" s="1"/>
  <c r="J138" i="4"/>
  <c r="J151" i="4"/>
  <c r="H196" i="4"/>
  <c r="I196" i="4" s="1"/>
  <c r="H226" i="4"/>
  <c r="I226" i="4" s="1"/>
  <c r="J230" i="4"/>
  <c r="H252" i="4"/>
  <c r="I252" i="4" s="1"/>
  <c r="H269" i="4"/>
  <c r="I269" i="4" s="1"/>
  <c r="H295" i="4"/>
  <c r="I295" i="4" s="1"/>
  <c r="J335" i="4"/>
  <c r="J4" i="4"/>
  <c r="H15" i="4"/>
  <c r="I15" i="4" s="1"/>
  <c r="J38" i="4"/>
  <c r="H40" i="4"/>
  <c r="I40" i="4" s="1"/>
  <c r="H64" i="4"/>
  <c r="I64" i="4" s="1"/>
  <c r="H66" i="4"/>
  <c r="I66" i="4" s="1"/>
  <c r="J68" i="4"/>
  <c r="J96" i="4"/>
  <c r="J146" i="4"/>
  <c r="J182" i="4"/>
  <c r="H191" i="4"/>
  <c r="I191" i="4" s="1"/>
  <c r="J193" i="4"/>
  <c r="H204" i="4"/>
  <c r="I204" i="4" s="1"/>
  <c r="J215" i="4"/>
  <c r="J264" i="4"/>
  <c r="H266" i="4"/>
  <c r="I266" i="4" s="1"/>
  <c r="J318" i="4"/>
  <c r="J320" i="4"/>
  <c r="H72" i="4"/>
  <c r="I72" i="4" s="1"/>
  <c r="H100" i="4"/>
  <c r="I100" i="4" s="1"/>
  <c r="H111" i="4"/>
  <c r="I111" i="4" s="1"/>
  <c r="H121" i="4"/>
  <c r="I121" i="4" s="1"/>
  <c r="J131" i="4"/>
  <c r="H169" i="4"/>
  <c r="I169" i="4" s="1"/>
  <c r="H184" i="4"/>
  <c r="I184" i="4" s="1"/>
  <c r="H217" i="4"/>
  <c r="I217" i="4" s="1"/>
  <c r="H219" i="4"/>
  <c r="I219" i="4" s="1"/>
  <c r="H223" i="4"/>
  <c r="H290" i="4"/>
  <c r="I290" i="4" s="1"/>
  <c r="H291" i="4"/>
  <c r="I291" i="4" s="1"/>
  <c r="H322" i="4"/>
  <c r="I322" i="4" s="1"/>
  <c r="H324" i="4"/>
  <c r="I324" i="4" s="1"/>
  <c r="H76" i="4"/>
  <c r="J139" i="4"/>
  <c r="J152" i="4"/>
  <c r="H154" i="4"/>
  <c r="I154" i="4" s="1"/>
  <c r="J175" i="4"/>
  <c r="H177" i="4"/>
  <c r="I177" i="4" s="1"/>
  <c r="H225" i="4"/>
  <c r="I225" i="4" s="1"/>
  <c r="H231" i="4"/>
  <c r="I231" i="4" s="1"/>
  <c r="H283" i="4"/>
  <c r="I283" i="4" s="1"/>
  <c r="J285" i="4"/>
  <c r="H234" i="4"/>
  <c r="I234" i="4" s="1"/>
  <c r="J234" i="4"/>
  <c r="J28" i="4"/>
  <c r="H130" i="4"/>
  <c r="I130" i="4" s="1"/>
  <c r="J167" i="4"/>
  <c r="H167" i="4"/>
  <c r="I167" i="4" s="1"/>
  <c r="H203" i="4"/>
  <c r="I203" i="4" s="1"/>
  <c r="J252" i="4"/>
  <c r="J262" i="4"/>
  <c r="H262" i="4"/>
  <c r="I262" i="4" s="1"/>
  <c r="J265" i="4"/>
  <c r="J274" i="4"/>
  <c r="J290" i="4"/>
  <c r="J314" i="4"/>
  <c r="J55" i="4"/>
  <c r="H55" i="4"/>
  <c r="J83" i="4"/>
  <c r="J157" i="4"/>
  <c r="J283" i="4"/>
  <c r="H302" i="4"/>
  <c r="I302" i="4" s="1"/>
  <c r="J302" i="4"/>
  <c r="J160" i="4"/>
  <c r="H160" i="4"/>
  <c r="I160" i="4" s="1"/>
  <c r="H50" i="4"/>
  <c r="I50" i="4" s="1"/>
  <c r="J50" i="4"/>
  <c r="J213" i="4"/>
  <c r="H213" i="4"/>
  <c r="I213" i="4" s="1"/>
  <c r="J98" i="4"/>
  <c r="H98" i="4"/>
  <c r="I98" i="4" s="1"/>
  <c r="J142" i="4"/>
  <c r="J206" i="4"/>
  <c r="H206" i="4"/>
  <c r="I206" i="4" s="1"/>
  <c r="J248" i="4"/>
  <c r="H248" i="4"/>
  <c r="I248" i="4" s="1"/>
  <c r="H325" i="4"/>
  <c r="I325" i="4" s="1"/>
  <c r="J325" i="4"/>
  <c r="J153" i="4"/>
  <c r="H153" i="4"/>
  <c r="I153" i="4" s="1"/>
  <c r="J100" i="4"/>
  <c r="H241" i="4"/>
  <c r="I241" i="4" s="1"/>
  <c r="J241" i="4"/>
  <c r="J31" i="4"/>
  <c r="H31" i="4"/>
  <c r="I31" i="4" s="1"/>
  <c r="J26" i="4"/>
  <c r="J93" i="4"/>
  <c r="H148" i="4"/>
  <c r="I148" i="4" s="1"/>
  <c r="J148" i="4"/>
  <c r="J74" i="4"/>
  <c r="H74" i="4"/>
  <c r="I74" i="4" s="1"/>
  <c r="H88" i="4"/>
  <c r="I88" i="4" s="1"/>
  <c r="H59" i="4"/>
  <c r="I59" i="4" s="1"/>
  <c r="J105" i="4"/>
  <c r="H127" i="4"/>
  <c r="I127" i="4" s="1"/>
  <c r="J127" i="4"/>
  <c r="H151" i="4"/>
  <c r="I151" i="4" s="1"/>
  <c r="J170" i="4"/>
  <c r="J171" i="4"/>
  <c r="J184" i="4"/>
  <c r="J191" i="4"/>
  <c r="J192" i="4"/>
  <c r="J227" i="4"/>
  <c r="H227" i="4"/>
  <c r="I227" i="4" s="1"/>
  <c r="H230" i="4"/>
  <c r="I230" i="4" s="1"/>
  <c r="H52" i="4"/>
  <c r="I52" i="4" s="1"/>
  <c r="J58" i="4"/>
  <c r="J66" i="4"/>
  <c r="J77" i="4"/>
  <c r="J214" i="4"/>
  <c r="H38" i="4"/>
  <c r="I38" i="4" s="1"/>
  <c r="H45" i="4"/>
  <c r="I45" i="4" s="1"/>
  <c r="J69" i="4"/>
  <c r="H69" i="4"/>
  <c r="I69" i="4" s="1"/>
  <c r="H146" i="4"/>
  <c r="H164" i="4"/>
  <c r="I164" i="4" s="1"/>
  <c r="H175" i="4"/>
  <c r="I175" i="4" s="1"/>
  <c r="J179" i="4"/>
  <c r="H182" i="4"/>
  <c r="I182" i="4" s="1"/>
  <c r="J259" i="4"/>
  <c r="H279" i="4"/>
  <c r="I279" i="4" s="1"/>
  <c r="J305" i="4"/>
  <c r="H309" i="4"/>
  <c r="I309" i="4" s="1"/>
  <c r="J309" i="4"/>
  <c r="H328" i="4"/>
  <c r="I328" i="4" s="1"/>
  <c r="J328" i="4"/>
  <c r="H281" i="4"/>
  <c r="I281" i="4" s="1"/>
  <c r="J281" i="4"/>
  <c r="J23" i="4"/>
  <c r="H23" i="4"/>
  <c r="I23" i="4" s="1"/>
  <c r="J16" i="4"/>
  <c r="H16" i="4"/>
  <c r="I16" i="4" s="1"/>
  <c r="H84" i="4"/>
  <c r="I84" i="4" s="1"/>
  <c r="J116" i="4"/>
  <c r="J132" i="4"/>
  <c r="H132" i="4"/>
  <c r="I132" i="4" s="1"/>
  <c r="J177" i="4"/>
  <c r="J204" i="4"/>
  <c r="J255" i="4"/>
  <c r="J263" i="4"/>
  <c r="H293" i="4"/>
  <c r="I293" i="4" s="1"/>
  <c r="J312" i="4"/>
  <c r="H3" i="4"/>
  <c r="I3" i="4" s="1"/>
  <c r="J65" i="4"/>
  <c r="J172" i="4"/>
  <c r="H172" i="4"/>
  <c r="I172" i="4" s="1"/>
  <c r="H199" i="4"/>
  <c r="I199" i="4" s="1"/>
  <c r="J6" i="4"/>
  <c r="H6" i="4"/>
  <c r="I6" i="4" s="1"/>
  <c r="J62" i="4"/>
  <c r="H62" i="4"/>
  <c r="I62" i="4" s="1"/>
  <c r="J108" i="4"/>
  <c r="H108" i="4"/>
  <c r="I108" i="4" s="1"/>
  <c r="H139" i="4"/>
  <c r="I139" i="4" s="1"/>
  <c r="J163" i="4"/>
  <c r="J207" i="4"/>
  <c r="J220" i="4"/>
  <c r="H220" i="4"/>
  <c r="I220" i="4" s="1"/>
  <c r="J249" i="4"/>
  <c r="J317" i="4"/>
  <c r="H318" i="4"/>
  <c r="I318" i="4" s="1"/>
  <c r="J324" i="4"/>
  <c r="J219" i="4"/>
  <c r="J226" i="4"/>
  <c r="J233" i="4"/>
  <c r="J247" i="4"/>
  <c r="J331" i="4"/>
  <c r="J40" i="4"/>
  <c r="H186" i="4"/>
  <c r="I186" i="4" s="1"/>
  <c r="J198" i="4"/>
  <c r="J240" i="4"/>
  <c r="J107" i="4"/>
  <c r="J114" i="4"/>
  <c r="J205" i="4"/>
  <c r="J212" i="4"/>
  <c r="J254" i="4"/>
  <c r="J261" i="4"/>
  <c r="J268" i="4"/>
  <c r="J275" i="4"/>
  <c r="J289" i="4"/>
  <c r="J242" i="4"/>
  <c r="J322" i="4"/>
  <c r="J326" i="4"/>
  <c r="J333" i="4"/>
  <c r="J329" i="4"/>
  <c r="J337" i="4"/>
  <c r="H39" i="4"/>
  <c r="I39" i="4" s="1"/>
  <c r="J39" i="4"/>
  <c r="H99" i="4"/>
  <c r="I99" i="4" s="1"/>
  <c r="J99" i="4"/>
  <c r="H102" i="4"/>
  <c r="I102" i="4" s="1"/>
  <c r="J102" i="4"/>
  <c r="J284" i="4"/>
  <c r="H284" i="4"/>
  <c r="I284" i="4" s="1"/>
  <c r="H316" i="4"/>
  <c r="I316" i="4" s="1"/>
  <c r="J316" i="4"/>
  <c r="J5" i="4"/>
  <c r="H5" i="4"/>
  <c r="I5" i="4" s="1"/>
  <c r="J35" i="4"/>
  <c r="H35" i="4"/>
  <c r="I35" i="4" s="1"/>
  <c r="H120" i="4"/>
  <c r="I120" i="4" s="1"/>
  <c r="J120" i="4"/>
  <c r="H301" i="4"/>
  <c r="I301" i="4" s="1"/>
  <c r="J301" i="4"/>
  <c r="I20" i="4"/>
  <c r="J112" i="4"/>
  <c r="H112" i="4"/>
  <c r="I112" i="4" s="1"/>
  <c r="J228" i="4"/>
  <c r="H228" i="4"/>
  <c r="I228" i="4" s="1"/>
  <c r="I12" i="4"/>
  <c r="J70" i="4"/>
  <c r="H70" i="4"/>
  <c r="I70" i="4" s="1"/>
  <c r="H155" i="4"/>
  <c r="I155" i="4" s="1"/>
  <c r="J155" i="4"/>
  <c r="J126" i="4"/>
  <c r="H126" i="4"/>
  <c r="I126" i="4" s="1"/>
  <c r="H253" i="4"/>
  <c r="I253" i="4" s="1"/>
  <c r="J253" i="4"/>
  <c r="J147" i="4"/>
  <c r="H147" i="4"/>
  <c r="I147" i="4" s="1"/>
  <c r="J243" i="4"/>
  <c r="J123" i="4"/>
  <c r="H123" i="4"/>
  <c r="I123" i="4" s="1"/>
  <c r="H273" i="4"/>
  <c r="I273" i="4" s="1"/>
  <c r="J273" i="4"/>
  <c r="J81" i="4"/>
  <c r="H81" i="4"/>
  <c r="I81" i="4" s="1"/>
  <c r="J200" i="4"/>
  <c r="H200" i="4"/>
  <c r="I200" i="4" s="1"/>
  <c r="I55" i="4"/>
  <c r="H78" i="4"/>
  <c r="I78" i="4" s="1"/>
  <c r="J78" i="4"/>
  <c r="J137" i="4"/>
  <c r="H137" i="4"/>
  <c r="I137" i="4" s="1"/>
  <c r="H141" i="4"/>
  <c r="I141" i="4" s="1"/>
  <c r="J141" i="4"/>
  <c r="J221" i="4"/>
  <c r="H221" i="4"/>
  <c r="I221" i="4" s="1"/>
  <c r="J158" i="4"/>
  <c r="H158" i="4"/>
  <c r="I158" i="4" s="1"/>
  <c r="J256" i="4"/>
  <c r="H256" i="4"/>
  <c r="I256" i="4" s="1"/>
  <c r="H8" i="4"/>
  <c r="I8" i="4" s="1"/>
  <c r="J8" i="4"/>
  <c r="J19" i="4"/>
  <c r="H19" i="4"/>
  <c r="I19" i="4" s="1"/>
  <c r="J21" i="4"/>
  <c r="H21" i="4"/>
  <c r="I21" i="4" s="1"/>
  <c r="H260" i="4"/>
  <c r="I260" i="4" s="1"/>
  <c r="J260" i="4"/>
  <c r="J319" i="4"/>
  <c r="H319" i="4"/>
  <c r="I319" i="4" s="1"/>
  <c r="J11" i="4"/>
  <c r="H11" i="4"/>
  <c r="I11" i="4" s="1"/>
  <c r="J133" i="4"/>
  <c r="H133" i="4"/>
  <c r="I133" i="4" s="1"/>
  <c r="H176" i="4"/>
  <c r="I176" i="4" s="1"/>
  <c r="J176" i="4"/>
  <c r="H288" i="4"/>
  <c r="I288" i="4" s="1"/>
  <c r="J288" i="4"/>
  <c r="H43" i="4"/>
  <c r="I43" i="4" s="1"/>
  <c r="J43" i="4"/>
  <c r="I244" i="4"/>
  <c r="J91" i="4"/>
  <c r="H91" i="4"/>
  <c r="I91" i="4" s="1"/>
  <c r="J166" i="4"/>
  <c r="H238" i="4"/>
  <c r="I238" i="4" s="1"/>
  <c r="J238" i="4"/>
  <c r="H22" i="4"/>
  <c r="I22" i="4" s="1"/>
  <c r="J22" i="4"/>
  <c r="J33" i="4"/>
  <c r="H33" i="4"/>
  <c r="I33" i="4" s="1"/>
  <c r="J49" i="4"/>
  <c r="H49" i="4"/>
  <c r="I49" i="4" s="1"/>
  <c r="H134" i="4"/>
  <c r="I134" i="4" s="1"/>
  <c r="J134" i="4"/>
  <c r="H218" i="4"/>
  <c r="I218" i="4" s="1"/>
  <c r="J218" i="4"/>
  <c r="I76" i="4"/>
  <c r="H57" i="4"/>
  <c r="I57" i="4" s="1"/>
  <c r="J57" i="4"/>
  <c r="J60" i="4"/>
  <c r="H60" i="4"/>
  <c r="I60" i="4" s="1"/>
  <c r="H245" i="4"/>
  <c r="I245" i="4" s="1"/>
  <c r="J245" i="4"/>
  <c r="J271" i="4"/>
  <c r="J7" i="4"/>
  <c r="H7" i="4"/>
  <c r="I7" i="4" s="1"/>
  <c r="J25" i="4"/>
  <c r="H25" i="4"/>
  <c r="I25" i="4" s="1"/>
  <c r="I26" i="4"/>
  <c r="J168" i="4"/>
  <c r="H168" i="4"/>
  <c r="I168" i="4" s="1"/>
  <c r="J278" i="4"/>
  <c r="H312" i="4"/>
  <c r="I312" i="4" s="1"/>
  <c r="I251" i="4"/>
  <c r="I286" i="4"/>
  <c r="I118" i="4"/>
  <c r="I223" i="4"/>
  <c r="I321" i="4"/>
  <c r="I41" i="4"/>
  <c r="H179" i="4"/>
  <c r="I179" i="4" s="1"/>
  <c r="I13" i="4"/>
  <c r="I27" i="4"/>
  <c r="J82" i="4"/>
  <c r="I83" i="4"/>
  <c r="J180" i="4"/>
  <c r="I181" i="4"/>
  <c r="H189" i="4"/>
  <c r="I189" i="4" s="1"/>
  <c r="J197" i="4"/>
  <c r="J210" i="4"/>
  <c r="J225" i="4"/>
  <c r="J229" i="4"/>
  <c r="H263" i="4"/>
  <c r="I263" i="4" s="1"/>
  <c r="J308" i="4"/>
  <c r="J323" i="4"/>
  <c r="J327" i="4"/>
  <c r="I258" i="4"/>
  <c r="H46" i="4"/>
  <c r="I46" i="4" s="1"/>
  <c r="J103" i="4"/>
  <c r="H144" i="4"/>
  <c r="I144" i="4" s="1"/>
  <c r="J201" i="4"/>
  <c r="H298" i="4"/>
  <c r="I298" i="4" s="1"/>
  <c r="H333" i="4"/>
  <c r="I333" i="4" s="1"/>
  <c r="I97" i="4"/>
  <c r="I195" i="4"/>
  <c r="H67" i="4"/>
  <c r="I67" i="4" s="1"/>
  <c r="J124" i="4"/>
  <c r="H165" i="4"/>
  <c r="I165" i="4" s="1"/>
  <c r="H235" i="4"/>
  <c r="I235" i="4" s="1"/>
  <c r="J280" i="4"/>
  <c r="J295" i="4"/>
  <c r="J299" i="4"/>
  <c r="J334" i="4"/>
  <c r="J47" i="4"/>
  <c r="I48" i="4"/>
  <c r="J64" i="4"/>
  <c r="J145" i="4"/>
  <c r="I146" i="4"/>
  <c r="J162" i="4"/>
  <c r="J217" i="4"/>
  <c r="J232" i="4"/>
  <c r="J236" i="4"/>
  <c r="H270" i="4"/>
  <c r="I270" i="4" s="1"/>
  <c r="J315" i="4"/>
  <c r="J330" i="4"/>
  <c r="J336" i="4"/>
  <c r="H336" i="4"/>
  <c r="I336" i="4" s="1"/>
  <c r="H331" i="4"/>
  <c r="I331" i="4" s="1"/>
  <c r="H47" i="4"/>
  <c r="I47" i="4" s="1"/>
  <c r="H54" i="4"/>
  <c r="I54" i="4" s="1"/>
  <c r="H61" i="4"/>
  <c r="I61" i="4" s="1"/>
  <c r="H68" i="4"/>
  <c r="I68" i="4" s="1"/>
  <c r="H75" i="4"/>
  <c r="I75" i="4" s="1"/>
  <c r="H82" i="4"/>
  <c r="I82" i="4" s="1"/>
  <c r="H89" i="4"/>
  <c r="I89" i="4" s="1"/>
  <c r="H96" i="4"/>
  <c r="I96" i="4" s="1"/>
  <c r="H103" i="4"/>
  <c r="I103" i="4" s="1"/>
  <c r="H110" i="4"/>
  <c r="I110" i="4" s="1"/>
  <c r="H117" i="4"/>
  <c r="I117" i="4" s="1"/>
  <c r="H124" i="4"/>
  <c r="I124" i="4" s="1"/>
  <c r="H131" i="4"/>
  <c r="I131" i="4" s="1"/>
  <c r="H138" i="4"/>
  <c r="I138" i="4" s="1"/>
  <c r="H145" i="4"/>
  <c r="I145" i="4" s="1"/>
  <c r="H152" i="4"/>
  <c r="I152" i="4" s="1"/>
  <c r="H159" i="4"/>
  <c r="I159" i="4" s="1"/>
  <c r="H166" i="4"/>
  <c r="I166" i="4" s="1"/>
  <c r="H173" i="4"/>
  <c r="I173" i="4" s="1"/>
  <c r="H180" i="4"/>
  <c r="I180" i="4" s="1"/>
  <c r="H187" i="4"/>
  <c r="I187" i="4" s="1"/>
  <c r="H194" i="4"/>
  <c r="I194" i="4" s="1"/>
  <c r="H201" i="4"/>
  <c r="I201" i="4" s="1"/>
  <c r="H208" i="4"/>
  <c r="I208" i="4" s="1"/>
  <c r="H215" i="4"/>
  <c r="I215" i="4" s="1"/>
  <c r="H222" i="4"/>
  <c r="I222" i="4" s="1"/>
  <c r="H229" i="4"/>
  <c r="I229" i="4" s="1"/>
  <c r="H236" i="4"/>
  <c r="I236" i="4" s="1"/>
  <c r="H243" i="4"/>
  <c r="I243" i="4" s="1"/>
  <c r="H250" i="4"/>
  <c r="I250" i="4" s="1"/>
  <c r="H257" i="4"/>
  <c r="I257" i="4" s="1"/>
  <c r="H264" i="4"/>
  <c r="I264" i="4" s="1"/>
  <c r="H271" i="4"/>
  <c r="I271" i="4" s="1"/>
  <c r="H278" i="4"/>
  <c r="I278" i="4" s="1"/>
  <c r="H285" i="4"/>
  <c r="I285" i="4" s="1"/>
  <c r="H292" i="4"/>
  <c r="I292" i="4" s="1"/>
  <c r="H299" i="4"/>
  <c r="I299" i="4" s="1"/>
  <c r="H306" i="4"/>
  <c r="I306" i="4" s="1"/>
  <c r="H313" i="4"/>
  <c r="I313" i="4" s="1"/>
  <c r="H320" i="4"/>
  <c r="I320" i="4" s="1"/>
  <c r="H327" i="4"/>
  <c r="I327" i="4" s="1"/>
  <c r="H334" i="4"/>
  <c r="I334" i="4" s="1"/>
</calcChain>
</file>

<file path=xl/sharedStrings.xml><?xml version="1.0" encoding="utf-8"?>
<sst xmlns="http://schemas.openxmlformats.org/spreadsheetml/2006/main" count="17795" uniqueCount="3325">
  <si>
    <t>Referencia Interna</t>
  </si>
  <si>
    <t>Producto</t>
  </si>
  <si>
    <t>Número de lote</t>
  </si>
  <si>
    <t>Fecha de caducidad</t>
  </si>
  <si>
    <t>Lugar</t>
  </si>
  <si>
    <t>Cantidad inventariada</t>
  </si>
  <si>
    <t>Unidad de Medida</t>
  </si>
  <si>
    <t>EE10005</t>
  </si>
  <si>
    <t>[EE10005] CAJA MASTER TIYAPUY CAFÉ  # 5 X UND</t>
  </si>
  <si>
    <t>16/25</t>
  </si>
  <si>
    <t>SF-03/Materiales</t>
  </si>
  <si>
    <t>Unidades</t>
  </si>
  <si>
    <t>EE10073</t>
  </si>
  <si>
    <t>[EE10073] CINTA DE EMBALAJE 2" X 110 YD X ROLLO</t>
  </si>
  <si>
    <t>EE10072</t>
  </si>
  <si>
    <t>[EE10072] ETIQUETA BLANCA CAJA TT-50MMx100MM 1C-T1x1000</t>
  </si>
  <si>
    <t>EE10071</t>
  </si>
  <si>
    <t>[EE10071] ETIQUETA DE FECHAS TT-17 MMx23MM X ROLLO</t>
  </si>
  <si>
    <t>EE10076</t>
  </si>
  <si>
    <t>[EE10076] RIBBON 110MMx300MTS NEGRO CERA OUT</t>
  </si>
  <si>
    <t>EE10078</t>
  </si>
  <si>
    <t>[EE10078] CINTA 1" X 110 YD TRANSPARENTE X ROLLO</t>
  </si>
  <si>
    <t>EE10115</t>
  </si>
  <si>
    <t>[EE10115] CINTA CODIFICADORA TERMOIMPRESIÓN X ROLLO  34MM X 600M</t>
  </si>
  <si>
    <t>EE10079</t>
  </si>
  <si>
    <t>[EE10079] CINTILLOS TIRA 1.7CM X 43.5CM X UND</t>
  </si>
  <si>
    <t>EE10120</t>
  </si>
  <si>
    <t>[EE10120] CINTILLOS TIRA 1.7CM X 50 CM X UND</t>
  </si>
  <si>
    <t>EE10010</t>
  </si>
  <si>
    <t>[EE10010] CAJITA CAFÉ 86 PTOS ORG X UND</t>
  </si>
  <si>
    <t>INFORME 20</t>
  </si>
  <si>
    <t>INFORME 31</t>
  </si>
  <si>
    <t>EE10008</t>
  </si>
  <si>
    <t>[EE10008] CAJA MASTER TIYAPUY QUINUA GRANO # 8 X UND</t>
  </si>
  <si>
    <t>INFORME 33</t>
  </si>
  <si>
    <t>EE10137</t>
  </si>
  <si>
    <t>[EE10137] CINTA CODIFICADORA TERMOIMPRESIÓN X ROLLO  33MM X 700M</t>
  </si>
  <si>
    <t>EE10140</t>
  </si>
  <si>
    <t>[EE10140] LAMINA TIYAPUY NATIVA MIX 160GR ESPAÑA X KG</t>
  </si>
  <si>
    <t>INFORME 39</t>
  </si>
  <si>
    <t>Kilogramo</t>
  </si>
  <si>
    <t>EE10141</t>
  </si>
  <si>
    <t>[EE10141] LAMINA TIYAPUY AMARILLA 160GR ESPAÑA X KG</t>
  </si>
  <si>
    <t>INFORME 21</t>
  </si>
  <si>
    <t>EE10074</t>
  </si>
  <si>
    <t>[EE10074] CINTAS SNACK 36MM X 200 M X ROLLO</t>
  </si>
  <si>
    <t>EE10154</t>
  </si>
  <si>
    <t>[EE10154] BOLSA DE POLIETILENO ANCHO 26"x ALTO 59"x1.5 MIC ALTA NATURAL C/FUELLE 2"</t>
  </si>
  <si>
    <t>LOTE 509</t>
  </si>
  <si>
    <t>EE10056</t>
  </si>
  <si>
    <t>[EE10056] BOLSA TIYAPUY SUPERPACK 142GR X UND</t>
  </si>
  <si>
    <t>02/25</t>
  </si>
  <si>
    <t>01/25</t>
  </si>
  <si>
    <t>EE10159</t>
  </si>
  <si>
    <t>[EE10159] LAMINA RIKY TOK 155 GR PAPAS HILO X KG</t>
  </si>
  <si>
    <t>INFORME 02/25</t>
  </si>
  <si>
    <t>EE10165</t>
  </si>
  <si>
    <t>[EE10165] PALLET LIVIANA 1.2MX1M EXPORTACION</t>
  </si>
  <si>
    <t>LOTE 692</t>
  </si>
  <si>
    <t>EE10177</t>
  </si>
  <si>
    <t>[EE10177] PALLET EURO LIVIANA 0.8MX1.2M EXPORTACION</t>
  </si>
  <si>
    <t>EE10149-2</t>
  </si>
  <si>
    <t>[EE10149-2] STICKERS RIKYTOK PARA LAMINA CONG SIN IMPRESION PEBD 1KG</t>
  </si>
  <si>
    <t>EE10146</t>
  </si>
  <si>
    <t>[EE10146] LAMINA TIYAPUY AMARILLA PICANTE 142GR CONV MEXICO X KG</t>
  </si>
  <si>
    <t>EE10088-1</t>
  </si>
  <si>
    <t>[EE10088-1] LAMINA TIYAPUY NATIVA MIX 40GR ORG MEXICO X KG</t>
  </si>
  <si>
    <t>INFORME 05/25</t>
  </si>
  <si>
    <t>EE10004</t>
  </si>
  <si>
    <t>[EE10004] CAJA MASTER TIYAPUY AMAZON # 4 X UND</t>
  </si>
  <si>
    <t>LT-SF-AGR</t>
  </si>
  <si>
    <t>EE10092</t>
  </si>
  <si>
    <t>[EE10092] BOLSA LAMINADA CAFÉ UNAKA  C/FUELLE C/SELLOS 200g</t>
  </si>
  <si>
    <t>INFORME 10</t>
  </si>
  <si>
    <t>INFORME 11</t>
  </si>
  <si>
    <t>INFORME 8</t>
  </si>
  <si>
    <t>EE10158</t>
  </si>
  <si>
    <t>[EE10158] LAMINA RIKY TOK 45 GR PAPAS HILO X KG</t>
  </si>
  <si>
    <t>INFORME 04/25</t>
  </si>
  <si>
    <t>EE10181</t>
  </si>
  <si>
    <t>[EE10181] STICKERS TIYAPUY PARA LAMINA CONG SIN IMPRESION PEBD 2.5KG</t>
  </si>
  <si>
    <t>INFORME 21/25</t>
  </si>
  <si>
    <t>INFORME 06/25</t>
  </si>
  <si>
    <t>EE10121</t>
  </si>
  <si>
    <t>[EE10121] LAMINA TIYAPUY AMARILLA 142 GR CONVENCIONAL X KG</t>
  </si>
  <si>
    <t>INFORME 10/25</t>
  </si>
  <si>
    <t>EE10097</t>
  </si>
  <si>
    <t>[EE10097] PALLET EAN 1.2MX1M EXPORTACION</t>
  </si>
  <si>
    <t>INFORME 07/25</t>
  </si>
  <si>
    <t>EE10060</t>
  </si>
  <si>
    <t>[EE10060] DOYPACK PET/PEBD - TIYAPUY QUINUA ORG BLANCA 340 GR X UND</t>
  </si>
  <si>
    <t>INFORME 01/25</t>
  </si>
  <si>
    <t>EE10062</t>
  </si>
  <si>
    <t>[EE10062] DOYPACK PET/PEBD - TIYAPUY QUINUA ORG TRICOLOR 340 GR X UND</t>
  </si>
  <si>
    <t>EE10081</t>
  </si>
  <si>
    <t>[EE10081] BOLSA LAMINADA SIN TEXTOS 16 cm CAFÉ 60g</t>
  </si>
  <si>
    <t>EE10015</t>
  </si>
  <si>
    <t>[EE10015] LAMINA TIYAPUY AMARILLA 30GR CONVENCIONAL X KG</t>
  </si>
  <si>
    <t>INFORME 13/25</t>
  </si>
  <si>
    <t>INFORME 14/25</t>
  </si>
  <si>
    <t>EE10122</t>
  </si>
  <si>
    <t>[EE10122] LAMINA TIYAPUY AMARILLA PICANTE 142 GR CONVENCIONAL X KG</t>
  </si>
  <si>
    <t>EE10007</t>
  </si>
  <si>
    <t>[EE10007] CAJA MASTER TIYAPUY P/LATA + 1 SEPARADOR + 4 DIVISORES # 7 X UND</t>
  </si>
  <si>
    <t>INFORME 17/25</t>
  </si>
  <si>
    <t>EE10128</t>
  </si>
  <si>
    <t>[EE10128] LAMINA TIYAPUY C/TRAMA 120 GR LA MAR X KG</t>
  </si>
  <si>
    <t>EE10022</t>
  </si>
  <si>
    <t>[EE10022] LAMINA TIYAPUY AMARILLA PICANTE 30GR X KG</t>
  </si>
  <si>
    <t>EE10029-1</t>
  </si>
  <si>
    <t>[EE10029-1] LAMINA TIYAPUY NATIVA MIX 160GR ORG MEXICO X KG</t>
  </si>
  <si>
    <t>INFORME 15/25</t>
  </si>
  <si>
    <t>EE10098</t>
  </si>
  <si>
    <t>[EE10098] PALLET EURO 0.8MX1.2M EXPORTACION</t>
  </si>
  <si>
    <t>EE10087-1</t>
  </si>
  <si>
    <t>[EE10087-1] LAMINA TIYAPUY AMARILLA 40GR ORG MEXICO X KG</t>
  </si>
  <si>
    <t>INFORME 16/25</t>
  </si>
  <si>
    <t>EE10188</t>
  </si>
  <si>
    <t>[EE10188] LAMINA TIYAPUY JALAPEÑO 40G CNV MEXICO X KG</t>
  </si>
  <si>
    <t>INFORME 08/25</t>
  </si>
  <si>
    <t>EE10131</t>
  </si>
  <si>
    <t>[EE10131] LAMINA TIYAPUY CHIFLE 142GR X KG</t>
  </si>
  <si>
    <t>INFORME 18/25</t>
  </si>
  <si>
    <t>EE10186</t>
  </si>
  <si>
    <t>[EE10186] LAMINA TIYAPUY AMARILLA PICANTE 40G CNV X KG</t>
  </si>
  <si>
    <t>EE10187</t>
  </si>
  <si>
    <t>[EE10187] LAMINA TIYAPUY JALAPEÑO 40 GR CNV X KG</t>
  </si>
  <si>
    <t>INFORME 09/25</t>
  </si>
  <si>
    <t>EE10198</t>
  </si>
  <si>
    <t>[EE10198] LAMINA TIYAPUY NATIVA MIX 142G REPUBLICA CHECA X KG</t>
  </si>
  <si>
    <t>EE10075</t>
  </si>
  <si>
    <t>[EE10075] CINTA CODIFICADORA TERMOIMPRESIÓN X ROLLO 30MM X 1100 M</t>
  </si>
  <si>
    <t>EE10204</t>
  </si>
  <si>
    <t>[EE10204] STICKERS NUTRICIONAL PARA ARGENTINA 40G AMARILLA PICANTE</t>
  </si>
  <si>
    <t>EE10205</t>
  </si>
  <si>
    <t>[EE10205] STICKERS NUTRICIONAL PARA ARGENTINA 40G JALAPEÑO</t>
  </si>
  <si>
    <t>EE10203</t>
  </si>
  <si>
    <t>[EE10203] STICKERS NUTRICIONAL PARA ARGENTINA 40G MIX NATIVA</t>
  </si>
  <si>
    <t>EE10202</t>
  </si>
  <si>
    <t>[EE10202] STICKERS NUTRICIONAL PARA ARGENTINA 142G JALAPEÑO</t>
  </si>
  <si>
    <t>EE10196</t>
  </si>
  <si>
    <t>[EE10196] STICKERS NUTRICIONAL PARA ARGENTINA 142G MIX NATIVA</t>
  </si>
  <si>
    <t>EE10044</t>
  </si>
  <si>
    <t>[EE10044] LAMINA TIYAPUY CHIPS QUINUA BBQ 100 GR X KG</t>
  </si>
  <si>
    <t>INFORME 19/25</t>
  </si>
  <si>
    <t>EE10045</t>
  </si>
  <si>
    <t>[EE10045] LAMINA TIYAPUY CHIPS QUINUA PICANTE 100 GR X KG</t>
  </si>
  <si>
    <t>EE10153</t>
  </si>
  <si>
    <t>[EE10153] LAMINA RIKY TOK 30 GR ONDA JALAPEÑO X KG</t>
  </si>
  <si>
    <t>EE10152</t>
  </si>
  <si>
    <t>[EE10152] LAMINA RIKY TOK 30 GR ONDA BBQ X KG</t>
  </si>
  <si>
    <t>EE10106</t>
  </si>
  <si>
    <t>[EE10106] LAMINA TIYAPUY PAPAS NATIVAS CONGELADAS PEBD 1KG</t>
  </si>
  <si>
    <t>EE10049</t>
  </si>
  <si>
    <t>[EE10049] LAMINA RIKY TOK 180 GR ONDA NATURAL X KG</t>
  </si>
  <si>
    <t>EE10225</t>
  </si>
  <si>
    <t>[EE10225] STICKERS NUTRICIONAL PREFRITAS CONGELADAS 2.5 KG ESPAÑA</t>
  </si>
  <si>
    <t>INFORME 100/25</t>
  </si>
  <si>
    <t>EE10217</t>
  </si>
  <si>
    <t>[EE10217] LAMINA RIKY TOK 30 G ONDA JALAPEÑO MEXICO X KG</t>
  </si>
  <si>
    <t>EE10215</t>
  </si>
  <si>
    <t>[EE10215] LAMINA RIKY TOK 30 G ONDA PICANTE MEXICO X KG</t>
  </si>
  <si>
    <t>EE10105</t>
  </si>
  <si>
    <t>[EE10105] LAMINA TIYAPUY PAPAS NATIVAS CONGELADAS PEBD 2.5KG</t>
  </si>
  <si>
    <t>EE10222</t>
  </si>
  <si>
    <t>[EE10222] LAMINA BITZ ONDA JALAPEÑO 200G X KG</t>
  </si>
  <si>
    <t>EE10183</t>
  </si>
  <si>
    <t>[EE10183] LAMINA BITZ ONDA PICANTE 200G X KG</t>
  </si>
  <si>
    <t>INFORME 03/25</t>
  </si>
  <si>
    <t>EE10139</t>
  </si>
  <si>
    <t>[EE10139] LAMINA TIYAPUY JALAPEÑO 142GR CONVENCIONAL X KG</t>
  </si>
  <si>
    <t>INFORME 11/25</t>
  </si>
  <si>
    <t>MP10055</t>
  </si>
  <si>
    <t>[MP10055] SABOR JAPPY PICANTE SP-P95283-28 CRAMER X KG</t>
  </si>
  <si>
    <t>INFORME 24/25</t>
  </si>
  <si>
    <t>EE10150</t>
  </si>
  <si>
    <t>[EE10150] DOYPACK NEGRO MATE CAFÉ 1 KG X UND</t>
  </si>
  <si>
    <t>EE10138</t>
  </si>
  <si>
    <t>[EE10138] LAMINA TIYAPUY LIMON PIMIENTA 142GR CONVENCIONAL X KG</t>
  </si>
  <si>
    <t>INFORME 05/25.</t>
  </si>
  <si>
    <t>EE10136</t>
  </si>
  <si>
    <t>[EE10136] LAMINA TIYAPUY TIYAMIX 200GR X KG</t>
  </si>
  <si>
    <t>EE10116</t>
  </si>
  <si>
    <t>[EE10116] LAMINA TIYAPUY LIMÓN Y PIMIENTA 30GR X KG</t>
  </si>
  <si>
    <t>EE10124</t>
  </si>
  <si>
    <t>[EE10124] LAMINA TIYAPUY CAMOTE 142GR X KG</t>
  </si>
  <si>
    <t>EE10214</t>
  </si>
  <si>
    <t>[EE10214] LAMINA RIKY TOK 30 G ONDA NATURAL MEXICO X KG</t>
  </si>
  <si>
    <t>EE10149</t>
  </si>
  <si>
    <t>[EE10149] LAMINA RIKYTOK SIN IMPRESION PAPAS CONG PEBD 2.5KG</t>
  </si>
  <si>
    <t>EE10099</t>
  </si>
  <si>
    <t>[EE10099] ESQUINERO KRAFT 2300MMX50MMX4.5MM</t>
  </si>
  <si>
    <t>EE10127</t>
  </si>
  <si>
    <t>[EE10127] LAMINA TIYAPUY P/LATA CON TRAMA X KG</t>
  </si>
  <si>
    <t>EE10184</t>
  </si>
  <si>
    <t>[EE10184] LAMINA JAPPY CLASICAS 200G X KG</t>
  </si>
  <si>
    <t>EE10043</t>
  </si>
  <si>
    <t>[EE10043] LAMINA TIYAPUY CHIPS QUINUA BBQ 40 GR X KG</t>
  </si>
  <si>
    <t>EE10040</t>
  </si>
  <si>
    <t>[EE10040] LAMINA TIYAPUY CHIPS QUINUA NATURAL 40 GR X KG</t>
  </si>
  <si>
    <t>EE10149-1</t>
  </si>
  <si>
    <t>[EE10149-1] STICKERS RIKYTOK PARA LAMINA CONG SIN IMPRESION PEBD 2.5KG</t>
  </si>
  <si>
    <t>INFORME 20/25</t>
  </si>
  <si>
    <t>EE10223</t>
  </si>
  <si>
    <t>[EE10223] LAMINA TIYAPUY NATIVA MIX AJÍ AMARILLO 142G X KG</t>
  </si>
  <si>
    <t>EE10117</t>
  </si>
  <si>
    <t>[EE10117] LAMINA TIYAPUY JALAPEÑO 30GR X KG</t>
  </si>
  <si>
    <t>EE10224</t>
  </si>
  <si>
    <t>[EE10224] STICKERS NUTRICIONAL PREFRITAS CONGELADAS 1 KG ESPAÑA</t>
  </si>
  <si>
    <t>INFORME 99/25</t>
  </si>
  <si>
    <t>EE10242</t>
  </si>
  <si>
    <t>[EE10242] STICKERS NUTRICIONAL PARA ARGENTINA 142G LIMÓN Y PIMIENTA</t>
  </si>
  <si>
    <t>INFORME 116/25</t>
  </si>
  <si>
    <t>EE10197</t>
  </si>
  <si>
    <t>[EE10197] STICKERS OCTOGONOS PARA ARGENTINA 142G</t>
  </si>
  <si>
    <t>INFORME 117/25</t>
  </si>
  <si>
    <t>EE10145</t>
  </si>
  <si>
    <t>[EE10145] LAMINA TIYAPUY LIMON PIMIENTA 142GR ORG. MEXICO X KG</t>
  </si>
  <si>
    <t>MP10018</t>
  </si>
  <si>
    <t>[MP10018] SAL YODADA X KG</t>
  </si>
  <si>
    <t>EE10245</t>
  </si>
  <si>
    <t>[EE10245] STICKER RIPLEY PROMOCIÓN PRECIO P/TUBOS NATIVA MIX 100G</t>
  </si>
  <si>
    <t>INFORME 119/25</t>
  </si>
  <si>
    <t>EE10006</t>
  </si>
  <si>
    <t>[EE10006] CAJA MASTER TIYAPUY P/TUBO # 6 X UND</t>
  </si>
  <si>
    <t>INFORME 42</t>
  </si>
  <si>
    <t>EE10161</t>
  </si>
  <si>
    <t>[EE10161] BOLSA TIYAPUY SUPERPACK 160GR X UND</t>
  </si>
  <si>
    <t>Millar</t>
  </si>
  <si>
    <t>EE10053</t>
  </si>
  <si>
    <t>[EE10053] LAMINA RIKY TOK 45GR BASTONCITOS QUESO CHEDDAR X KG</t>
  </si>
  <si>
    <t>MP10048</t>
  </si>
  <si>
    <t>[MP10048] SABOR RIKY TOK BBQ ML NATURAL P-1623 GLM X KG</t>
  </si>
  <si>
    <t>EE10077</t>
  </si>
  <si>
    <t>[EE10077] CINTA C/IMPRESIÓN DUO PACK 1" X 110 YD X ROLLO</t>
  </si>
  <si>
    <t>EE10239</t>
  </si>
  <si>
    <t>[EE10239] ETIQUETA LAMAR 120 GRAMOS (NATIVA MIX) USA</t>
  </si>
  <si>
    <t>INFORME 114/25</t>
  </si>
  <si>
    <t>EE10227</t>
  </si>
  <si>
    <t>[EE10227] ETIQUETA CELESTE CAJA (PREFRITA 10 mm) TT-50MMx100MM 1C-T1x1000</t>
  </si>
  <si>
    <t>INFORME 01</t>
  </si>
  <si>
    <t>EE10228</t>
  </si>
  <si>
    <t>[EE10228] LAMINA RIKY TOK 70 G ONDA NATURAL X KG</t>
  </si>
  <si>
    <t>EE10231</t>
  </si>
  <si>
    <t>[EE10231] LAMINA RIKY TOK 70 G ONDA JALAPEÑO X KG</t>
  </si>
  <si>
    <t>EE10248</t>
  </si>
  <si>
    <t>[EE10248] PAPEL ABSORBENTE PARA LATA 400g</t>
  </si>
  <si>
    <t>EE10232</t>
  </si>
  <si>
    <t>[EE10232] LAMINA TIYAPUY NATIVA MIX 20G X KG</t>
  </si>
  <si>
    <t>EE10185</t>
  </si>
  <si>
    <t>[EE10185] LAMINA JAPPY ONDA PICANTE 200G X KG</t>
  </si>
  <si>
    <t>EE10166</t>
  </si>
  <si>
    <t>[EE10166] LAMINA TIYAPUY NATIVA MIX 40G ESPAÑA X KG</t>
  </si>
  <si>
    <t>INFORME 25/25</t>
  </si>
  <si>
    <t>EE10096</t>
  </si>
  <si>
    <t>[EE10096] CAJA MASTER C/LOGO # 12 CONGELADOS 25X38.5X26</t>
  </si>
  <si>
    <t>EE10212</t>
  </si>
  <si>
    <t>[EE10212] LAMINA TOTTUS  BBQ 130G X KG</t>
  </si>
  <si>
    <t>INFORME 01/26</t>
  </si>
  <si>
    <t>EE10057</t>
  </si>
  <si>
    <t>[EE10057] BOLSA TIYAPUY PACK LONCHERA X UND</t>
  </si>
  <si>
    <t>INFORME  01/26</t>
  </si>
  <si>
    <t>EE10160</t>
  </si>
  <si>
    <t>[EE10160] CAJA MASTER RIKY TOK S/LOGO # 9 X UND</t>
  </si>
  <si>
    <t>EE10255</t>
  </si>
  <si>
    <t>[EE10255] ETIQUETA TEXTOS LEGALES LIMON PIMIENTA 142g USA</t>
  </si>
  <si>
    <t>EE10254</t>
  </si>
  <si>
    <t>[EE10254] ETIQUETA TEXTOS LEGALES JALAPEÑO 142g USA</t>
  </si>
  <si>
    <t>EE10156</t>
  </si>
  <si>
    <t>[EE10156] LAMINA JAPPY 200 GR ONDA JALAPEÑO X KG</t>
  </si>
  <si>
    <t>INFORME 02/26</t>
  </si>
  <si>
    <t>EE10093</t>
  </si>
  <si>
    <t>[EE10093] ETIQUETA TEXTOS LEGALES PAPAS NATIVAS 142g USA</t>
  </si>
  <si>
    <t>EE10256</t>
  </si>
  <si>
    <t>[EE10256] ETIQUETA TEXTOS LEGALES CAMOTE 142g USA</t>
  </si>
  <si>
    <t>INFORM 04/25</t>
  </si>
  <si>
    <t>EE10253</t>
  </si>
  <si>
    <t>[EE10253] ETIQUETA TEXTOS LEGALES PFT 2500g CH</t>
  </si>
  <si>
    <t>EE10229</t>
  </si>
  <si>
    <t>[EE10229] LAMINA RIKY TOK 70 G ONDA PICANTE X KG</t>
  </si>
  <si>
    <t>EE10142</t>
  </si>
  <si>
    <t>[EE10142] LAMINA TIYAPUY CHIPS QUINUA BBQ 100GR MEXICO X KG</t>
  </si>
  <si>
    <t>EE10050</t>
  </si>
  <si>
    <t>[EE10050] LAMINA RIKY TOK 180 GR ONDA PICANTE X KG</t>
  </si>
  <si>
    <t>EE10171</t>
  </si>
  <si>
    <t>[EE10171] LAMINA TIYAPUY CAMOTE 160G ESPAÑA X KG</t>
  </si>
  <si>
    <t>EE10249</t>
  </si>
  <si>
    <t>[EE10249] CINTA DE EMBALAJE TRANSPARENTE 48MMX548M X ROLLO</t>
  </si>
  <si>
    <t>INFORME 03/26</t>
  </si>
  <si>
    <t>EE10250</t>
  </si>
  <si>
    <t>[EE10250] CINTA DE EMBALAJE TRANSPARENTE 48MMX1000M X ROLLO</t>
  </si>
  <si>
    <t>INFORME 04/26</t>
  </si>
  <si>
    <t>EE10211</t>
  </si>
  <si>
    <t>[EE10211] LAMINA TOTTUS  JALAPEÑO 130G X KG</t>
  </si>
  <si>
    <t>EE10209</t>
  </si>
  <si>
    <t>[EE10209] LAMINA TOTTUS  NATURAL 130G X KG</t>
  </si>
  <si>
    <t>EE10199</t>
  </si>
  <si>
    <t>[EE10199] ETIQUETA TEXTOS LEGALES TIYATUBO ESPAÑA</t>
  </si>
  <si>
    <t>INFORME 05/26</t>
  </si>
  <si>
    <t>EE10201</t>
  </si>
  <si>
    <t>[EE10201] STICKERS NUTRICIONAL PARA ARGENTINA 142G AMARILLA PICANTE</t>
  </si>
  <si>
    <t>AS2603</t>
  </si>
  <si>
    <t>EE10260</t>
  </si>
  <si>
    <t>[EE10260] PAPEL ABSORVENTE TUBOS 100g</t>
  </si>
  <si>
    <t>EE10047</t>
  </si>
  <si>
    <t>[EE10047] LAMINA RIKY TOK 30 GR ONDA PICANTE X KG</t>
  </si>
  <si>
    <t>EE10265</t>
  </si>
  <si>
    <t>[EE10265] STRECH FILM PRE-ESTIRADO 18 PULGADAS</t>
  </si>
  <si>
    <t>EE10058</t>
  </si>
  <si>
    <t>[EE10058] DOYPACK NEGRO MATE 86 PUNTOS CAFÉ 250 GR ORG X UND</t>
  </si>
  <si>
    <t>EE10262</t>
  </si>
  <si>
    <t>[EE10262] STICKERS NUTRICIONAL COLOMBIA 142g MIX NATIVA</t>
  </si>
  <si>
    <t>INFORME 09/26</t>
  </si>
  <si>
    <t>EE10263</t>
  </si>
  <si>
    <t>[EE10263] STICKERS NUTRICIONAL COLOMBIA 142g JALAPEÑO</t>
  </si>
  <si>
    <t>EE10264</t>
  </si>
  <si>
    <t>[EE10264] STICKERS NUTRICIONAL COLOMBIA 142g LIMON PIMIENTA</t>
  </si>
  <si>
    <t>INFORME 08/26</t>
  </si>
  <si>
    <t>EE10021-1</t>
  </si>
  <si>
    <t>[EE10021-1] LAMINA TIYAPUY AMARILLA 160GR ORG MEXICO X KG</t>
  </si>
  <si>
    <t>EE10041</t>
  </si>
  <si>
    <t>[EE10041] LAMINA TIYAPUY CHIPS QUINUA NATURAL 100 GR X KG</t>
  </si>
  <si>
    <t>EE10235</t>
  </si>
  <si>
    <t>[EE10235] LAMINA RIKY TOK 135 G ONDA NATURAL X KG</t>
  </si>
  <si>
    <t>EE10238</t>
  </si>
  <si>
    <t>[EE10238] LAMINA RIKY TOK 135 G ONDA JALAPEÑO X KG</t>
  </si>
  <si>
    <t>EE10236</t>
  </si>
  <si>
    <t>[EE10236] LAMINA RIKY TOK 135 G ONDA PICANTE X KG</t>
  </si>
  <si>
    <t>INFORME 12</t>
  </si>
  <si>
    <t>EE10032</t>
  </si>
  <si>
    <t>[EE10032] LAMINA TIYAPUY CHIFLES 30 GR X KG</t>
  </si>
  <si>
    <t>EE10035</t>
  </si>
  <si>
    <t>[EE10035] LAMINA TIYAPUY CAMOTE 30 GR X KG</t>
  </si>
  <si>
    <t>MP10019-1</t>
  </si>
  <si>
    <t>[MP10019-1] SABOR TIYAPUY AJI AMARILLO MX SP A60948-28 CRAMER X KG</t>
  </si>
  <si>
    <t>EE10282</t>
  </si>
  <si>
    <t>[EE10282] STICKERS NUTRICIONAL BRASIL 142g LIMON PIMIENTA</t>
  </si>
  <si>
    <t>EE10284</t>
  </si>
  <si>
    <t>[EE10284] STICKERS NUTRICIONAL BRASIL 142g CAMOTE</t>
  </si>
  <si>
    <t>EE10283</t>
  </si>
  <si>
    <t>[EE10283] STICKERS NUTRICIONAL BRASIL 142g NATIVA PICANTE</t>
  </si>
  <si>
    <t>EE10280</t>
  </si>
  <si>
    <t>[EE10280] STICKERS NUTRICIONAL BRASIL 142g MIX NATIVA</t>
  </si>
  <si>
    <t>INFORME 07/26</t>
  </si>
  <si>
    <t>MP10044</t>
  </si>
  <si>
    <t>[MP10044] SABOR TIYAPUY PIMIENTA LIMÓN NAT SP P49514-28 CRAMER X KG</t>
  </si>
  <si>
    <t>MP10020</t>
  </si>
  <si>
    <t>[MP10020] SABOR TIYAPUY BBQ B48620-26 CRAMER X KG</t>
  </si>
  <si>
    <t>EE10300</t>
  </si>
  <si>
    <t>[EE10300] LAMINA RIKY TOK 25 G JALAPEÑO X KG</t>
  </si>
  <si>
    <t>EE10297</t>
  </si>
  <si>
    <t>[EE10297] LAMINA RIKY TOK 25 G NATURAL X KG</t>
  </si>
  <si>
    <t>EE10299</t>
  </si>
  <si>
    <t>[EE10299] LAMINA RIKY TOK 25 G BBQ X KG</t>
  </si>
  <si>
    <t>EE10058-1</t>
  </si>
  <si>
    <t>[EE10058-1] ENVASE FIBRA MIX NATIVA 73x220mm TUBO 100g + TAPAS (metal + plástico)</t>
  </si>
  <si>
    <t>EE10213</t>
  </si>
  <si>
    <t>[EE10213] CAJA MASTER TIYAPUY S/LOGO # 15 X UND</t>
  </si>
  <si>
    <t>EE10302</t>
  </si>
  <si>
    <t>[EE10302] ETIQUETA TEXTOS LEGALES MIX NATIVA 40g USA</t>
  </si>
  <si>
    <t>MP10002</t>
  </si>
  <si>
    <t>[MP10002] PAPA NATIVA MIX CONVENCIONAL X KG</t>
  </si>
  <si>
    <t>INFORME 107/26</t>
  </si>
  <si>
    <t>INFORME 111/26</t>
  </si>
  <si>
    <t>INFORME 112/26</t>
  </si>
  <si>
    <t>INFORME 118/26</t>
  </si>
  <si>
    <t>MP10062</t>
  </si>
  <si>
    <t>[MP10062] SABOR JALAPEÑO II SP J9441328 CRAMER  X KG</t>
  </si>
  <si>
    <t>EE10251</t>
  </si>
  <si>
    <t>[EE10251] ETIQUETA TEXTOS LEGALES PAPAS NATIVAS AJI AMARILLO 142g USA</t>
  </si>
  <si>
    <t>EE10304</t>
  </si>
  <si>
    <t>[EE10304] ETIQUETA TEXTOS LEGALES CHIFLE 142g USA</t>
  </si>
  <si>
    <t>INFORME 102/26</t>
  </si>
  <si>
    <t>EE10200</t>
  </si>
  <si>
    <t>[EE10200] ETIQUETA AMARILLA CAJA (ALTURA) TT-50MMx100MM 1C-T1x1000</t>
  </si>
  <si>
    <t>EE10012</t>
  </si>
  <si>
    <t>[EE10012] ENVASE TIYAPUY LATA + TAPA 400 GR X UND</t>
  </si>
  <si>
    <t>EE10287</t>
  </si>
  <si>
    <t>[EE10287] STICKERS NUTRICIONAL BRASIL 40g MIX NATIVA</t>
  </si>
  <si>
    <t>EE10281</t>
  </si>
  <si>
    <t>[EE10281] STICKERS NUTRICIONAL BRASIL 142g JALAPEÑO</t>
  </si>
  <si>
    <t>EE10285</t>
  </si>
  <si>
    <t>[EE10285] STICKERS NUTRICIONAL BRASIL 142g PLATANO</t>
  </si>
  <si>
    <t>EE10286</t>
  </si>
  <si>
    <t>[EE10286] STICKERS NUTRICIONAL BRASIL 100g QUINUA NATURAL</t>
  </si>
  <si>
    <t>EE10303</t>
  </si>
  <si>
    <t>[EE10303] ETIQUETA TEXTOS LEGALES QUINUA PICANTE 100g USA</t>
  </si>
  <si>
    <t>EE10290</t>
  </si>
  <si>
    <t>[EE10290] STICKERS NUTRICIONAL BRASIL 100g QUINUA BBQ</t>
  </si>
  <si>
    <t>EE10036</t>
  </si>
  <si>
    <t>[EE10036] LAMINA TIYAPUY CAMOTE 40 GR X KG</t>
  </si>
  <si>
    <t>MP10036</t>
  </si>
  <si>
    <t>[MP10036] SABOR TIYAPUY JALAPEÑO MX SP J06708-28 X KG</t>
  </si>
  <si>
    <t>INFORME 140/26</t>
  </si>
  <si>
    <t>INFORME 141/26</t>
  </si>
  <si>
    <t>INFORME 147/26</t>
  </si>
  <si>
    <t>MP10030</t>
  </si>
  <si>
    <t>[MP10030] ALMIDÓN DE MAIZ X KG</t>
  </si>
  <si>
    <t>INFORME 148/26</t>
  </si>
  <si>
    <t>INFORME 152/26</t>
  </si>
  <si>
    <t>INFORME 156/26</t>
  </si>
  <si>
    <t>INFORME 157/26</t>
  </si>
  <si>
    <t>EE10278</t>
  </si>
  <si>
    <t>[EE10278] DIVISORES DE CAJA LATAS 400g</t>
  </si>
  <si>
    <t>MP10027</t>
  </si>
  <si>
    <t>[MP10027] HARINA DE QUINUA CONVECIONAL X KG</t>
  </si>
  <si>
    <t>INFORME 162/26</t>
  </si>
  <si>
    <t>INFORME 161/26</t>
  </si>
  <si>
    <t>INFORME 160/26</t>
  </si>
  <si>
    <t>EE10103</t>
  </si>
  <si>
    <t>[EE10103] LAMINA TIYAPUY NATIVA MIX 40GR CONV X KG</t>
  </si>
  <si>
    <t>INFORME 165/26</t>
  </si>
  <si>
    <t>INFORME 164/26</t>
  </si>
  <si>
    <t>EE10033</t>
  </si>
  <si>
    <t>[EE10033] LAMINA TIYAPUY CHIFLES 40 GR X KG</t>
  </si>
  <si>
    <t>EE10030</t>
  </si>
  <si>
    <t>[EE10030] LAMINA TIYAPUY NATIVA MIX 142GR CONVENCIONAL BOLIVIA X KG</t>
  </si>
  <si>
    <t>INFORME 03/26.</t>
  </si>
  <si>
    <t>EE10277</t>
  </si>
  <si>
    <t>[EE10277] LAMINA MIX NATIVA 30g ALTA BARRERA X KG</t>
  </si>
  <si>
    <t>INFORME 11/25.</t>
  </si>
  <si>
    <t>JALAVISTAS</t>
  </si>
  <si>
    <t>LA-01/26</t>
  </si>
  <si>
    <t>LA-02/26</t>
  </si>
  <si>
    <t>LA-03/26</t>
  </si>
  <si>
    <t>LA-04/26</t>
  </si>
  <si>
    <t>LA 04/26</t>
  </si>
  <si>
    <t>LA-05/26</t>
  </si>
  <si>
    <t>LA-06/26</t>
  </si>
  <si>
    <t>HA-01/26</t>
  </si>
  <si>
    <t>MP10017</t>
  </si>
  <si>
    <t>[MP10017] SAL DE MARAS X KG</t>
  </si>
  <si>
    <t>SM-06/26</t>
  </si>
  <si>
    <t>AM-01/26</t>
  </si>
  <si>
    <t>MP10031</t>
  </si>
  <si>
    <t>[MP10031] ALMIDÓN DE PAPA X KG</t>
  </si>
  <si>
    <t>AM-02/26</t>
  </si>
  <si>
    <t>SB-04/26</t>
  </si>
  <si>
    <t>SB-03/26</t>
  </si>
  <si>
    <t>SB-02/26</t>
  </si>
  <si>
    <t>MP10021</t>
  </si>
  <si>
    <t>[MP10021] SABOR RIKY TOK PICANTE SP-P73900-26 CRAMER X KG</t>
  </si>
  <si>
    <t>SB-01/26</t>
  </si>
  <si>
    <t>MP10013</t>
  </si>
  <si>
    <t>[MP10013] ACEITE DE GIRASOL ALTO OLEICO X LT</t>
  </si>
  <si>
    <t>AO-13/26</t>
  </si>
  <si>
    <t>L</t>
  </si>
  <si>
    <t>EE10144</t>
  </si>
  <si>
    <t>[EE10144] LAMINA TIYAPUY JALAPEÑO 142GR ORG. MEXICO X KG</t>
  </si>
  <si>
    <t>LA-02/26.</t>
  </si>
  <si>
    <t>MP10015</t>
  </si>
  <si>
    <t>[MP10015] ACEITE OLEINA DE PALMA X LT (BIN)</t>
  </si>
  <si>
    <t>OP-43/26.</t>
  </si>
  <si>
    <t>EE10298</t>
  </si>
  <si>
    <t>[EE10298] LAMINA RIKY TOK 25 G PICANTE X KG</t>
  </si>
  <si>
    <t>INFORME 187/26</t>
  </si>
  <si>
    <t>INFORME 177/26</t>
  </si>
  <si>
    <t>INFORME 179/26</t>
  </si>
  <si>
    <t>INFORME 184/26</t>
  </si>
  <si>
    <t>INFORME 183/26</t>
  </si>
  <si>
    <t>INFORME 185/26</t>
  </si>
  <si>
    <t>EE10083</t>
  </si>
  <si>
    <t>[EE10083] BOLSA PEBD 16"x24"x3</t>
  </si>
  <si>
    <t>BP-01/26</t>
  </si>
  <si>
    <t>EE10001</t>
  </si>
  <si>
    <t>[EE10001] CAJA MASTER TIYAPUY C/LOGO #1 X UND</t>
  </si>
  <si>
    <t>CT-16/26</t>
  </si>
  <si>
    <t>CT-16/26-</t>
  </si>
  <si>
    <t>EE10312</t>
  </si>
  <si>
    <t>[EE10312] LAMINA TIYAPUY NATIVA AJI AMARILLO 142g MEXICO X KG</t>
  </si>
  <si>
    <t>LA-10/26</t>
  </si>
  <si>
    <t>EE10009</t>
  </si>
  <si>
    <t>[EE10009] CAJA MASTER RIKY TOK C/LOGO # 9 X UND</t>
  </si>
  <si>
    <t>CR-17/26</t>
  </si>
  <si>
    <t>INFORME 188/26</t>
  </si>
  <si>
    <t>INFORME 189/26</t>
  </si>
  <si>
    <t>EE10305</t>
  </si>
  <si>
    <t>[EE10305] ETIQUETA TEXTOS LEGALES CHIFLES 142g ESPAÑA</t>
  </si>
  <si>
    <t>informe 01/26</t>
  </si>
  <si>
    <t>EE10360</t>
  </si>
  <si>
    <t>[EE10360] ETIQUETA LAMAR 120 GRAMOS (PAPA Y CAMOTE) ESPAÑA</t>
  </si>
  <si>
    <t>EE10310</t>
  </si>
  <si>
    <t>[EE10310] ETIQUETA NUTRICIONAL ALEMANIA JALAPEÑO FLAVORED POTATO CHIPS 142g X 20 un</t>
  </si>
  <si>
    <t>ET-01/26</t>
  </si>
  <si>
    <t>EE10309</t>
  </si>
  <si>
    <t>[EE10309] ETIQUETA NUTRICIONAL ALEMANIA FRIED NATIVE POTATO CHIPS WITH SALT 40g X 48 un</t>
  </si>
  <si>
    <t>ET-02/26</t>
  </si>
  <si>
    <t>EE10311</t>
  </si>
  <si>
    <t>[EE10311] ETIQUETA NUTRICIONAL ALEMANIA NATIVE POTATO FLAKES WITH YELLOW CHILE PEPPER 142g X 20 un</t>
  </si>
  <si>
    <t>EE10308</t>
  </si>
  <si>
    <t>[EE10308] ETIQUETA NUTRICIONAL ALEMANIA FRIED NATIVE POTATO CHIPS WITH SALT 142g X 20 un</t>
  </si>
  <si>
    <t>EE10315</t>
  </si>
  <si>
    <t>[EE10315] STICKERS PANAMA JALAPEÑO 142g</t>
  </si>
  <si>
    <t>EE10316</t>
  </si>
  <si>
    <t>[EE10316] STICKERS PANAMA LIMON PIMIENTA 142g</t>
  </si>
  <si>
    <t>EE10317</t>
  </si>
  <si>
    <t>[EE10317] STICKERS PANAMA QUINUA BBQ 100g</t>
  </si>
  <si>
    <t>EE10318</t>
  </si>
  <si>
    <t>[EE10318] STICKERS PANAMA QUINUA PICANTE 100g</t>
  </si>
  <si>
    <t>EE10291</t>
  </si>
  <si>
    <t>[EE10291] STICKERS NUTRICIONAL BRASIL 40g CAMOTE</t>
  </si>
  <si>
    <t>EE10189</t>
  </si>
  <si>
    <t>[EE10189] STICKERS TEXTOS LEGALES MIX NATIVA 160g ESPAÑA</t>
  </si>
  <si>
    <t>EE10182</t>
  </si>
  <si>
    <t>[EE10182] LAMINA BITZ ONDA NATURAL 200G X KG</t>
  </si>
  <si>
    <t>LA-11/26</t>
  </si>
  <si>
    <t>CR-18/26</t>
  </si>
  <si>
    <t>HA-02/26</t>
  </si>
  <si>
    <t>TB-08/26</t>
  </si>
  <si>
    <t>MP10010</t>
  </si>
  <si>
    <t>[MP10010] PAPA UNICA X KG</t>
  </si>
  <si>
    <t>MP10054</t>
  </si>
  <si>
    <t>[MP10054] SABOR BITZ PICANTE SP-P40698-28 CRAMER X KG</t>
  </si>
  <si>
    <t>INFORME 06/26</t>
  </si>
  <si>
    <t>EE10046</t>
  </si>
  <si>
    <t>[EE10046] LAMINA RIKY TOK 30 GR ONDA NATURAL X KG</t>
  </si>
  <si>
    <t>AO-14/26</t>
  </si>
  <si>
    <t>MP10009</t>
  </si>
  <si>
    <t>[MP10009] PAPA CANCHAN X KG</t>
  </si>
  <si>
    <t>CT-13/26</t>
  </si>
  <si>
    <t>CT-14/26</t>
  </si>
  <si>
    <t>EE10293</t>
  </si>
  <si>
    <t>[EE10293] LAMINA TIYAPUY PAPAS NATIVAS CONGELADAS PEBD 400g</t>
  </si>
  <si>
    <t>INFORME 46/26</t>
  </si>
  <si>
    <t>SA-07/26</t>
  </si>
  <si>
    <t>MP10005</t>
  </si>
  <si>
    <t>[MP10005] CAMOTE X KG</t>
  </si>
  <si>
    <t>OP-47/26</t>
  </si>
  <si>
    <t>Código de barras producto</t>
  </si>
  <si>
    <t>Clave de búsqueda</t>
  </si>
  <si>
    <t>Activo</t>
  </si>
  <si>
    <t>Código ubicación</t>
  </si>
  <si>
    <t>Nombre ubicación</t>
  </si>
  <si>
    <t>Código de barras</t>
  </si>
  <si>
    <t>Activa</t>
  </si>
  <si>
    <t>Observaciones</t>
  </si>
  <si>
    <t>SÍ</t>
  </si>
  <si>
    <t>ID conteo</t>
  </si>
  <si>
    <t>Fecha y hora</t>
  </si>
  <si>
    <t>Usuario</t>
  </si>
  <si>
    <t>Tipo identificación</t>
  </si>
  <si>
    <t>Texto OCR o código leído</t>
  </si>
  <si>
    <t>Referencia interna</t>
  </si>
  <si>
    <t>Lote</t>
  </si>
  <si>
    <t>Fecha de vencimiento</t>
  </si>
  <si>
    <t>Unidad de medida</t>
  </si>
  <si>
    <t>Stock sistema</t>
  </si>
  <si>
    <t>Ubicación física</t>
  </si>
  <si>
    <t>Cantidad física</t>
  </si>
  <si>
    <t>Diferencia acumulada</t>
  </si>
  <si>
    <t>Estado</t>
  </si>
  <si>
    <t>Observación</t>
  </si>
  <si>
    <t>Foto etiqueta</t>
  </si>
  <si>
    <t>Lugar sistema</t>
  </si>
  <si>
    <t>Unidad</t>
  </si>
  <si>
    <t>Stock físico</t>
  </si>
  <si>
    <t>Diferencia</t>
  </si>
  <si>
    <t>Fecha</t>
  </si>
  <si>
    <t>Tipo incidencia</t>
  </si>
  <si>
    <t>Ubicación</t>
  </si>
  <si>
    <t>Detalle</t>
  </si>
  <si>
    <t>Estado revisión</t>
  </si>
  <si>
    <t>APP DE INVENTARIO – GUÍA DE PREPARACIÓN</t>
  </si>
  <si>
    <t>Paso</t>
  </si>
  <si>
    <t>Acción</t>
  </si>
  <si>
    <t>Suba este archivo a Google Drive y ábralo con Hojas de cálculo de Google.</t>
  </si>
  <si>
    <t>Complete Código de barras producto en STOCK_SISTEMA cuando sea diferente de la referencia interna.</t>
  </si>
  <si>
    <t>Registre todas las ubicaciones y sus códigos de barras en UBICACIONES.</t>
  </si>
  <si>
    <t>La aplicación web guardará una fila por producto, lote y ubicación en CONTEOS.</t>
  </si>
  <si>
    <t>RESUMEN_AJUSTE totaliza el conteo por referencia y lote y calcula la diferencia.</t>
  </si>
  <si>
    <t>Revise faltantes, sobrantes y datos no reconocidos antes de efectuar ajustes en Odoo.</t>
  </si>
  <si>
    <t>No modifique los encabezados: serán utilizados por la aplicación web.</t>
  </si>
  <si>
    <t>EE10025</t>
  </si>
  <si>
    <t>TC0103PE</t>
  </si>
  <si>
    <t>TC0054PE</t>
  </si>
  <si>
    <t>TC0068PE</t>
  </si>
  <si>
    <t>TC0003MX</t>
  </si>
  <si>
    <t>TC0232PE</t>
  </si>
  <si>
    <t>TC0091PE</t>
  </si>
  <si>
    <t>TQ0035PE</t>
  </si>
  <si>
    <t>TC0004PE</t>
  </si>
  <si>
    <t>TC0008MX</t>
  </si>
  <si>
    <t>TC0006PE</t>
  </si>
  <si>
    <t>TC0016PE</t>
  </si>
  <si>
    <t>TQ0038PE</t>
  </si>
  <si>
    <t>TQ0037PE</t>
  </si>
  <si>
    <t>TC0082PE</t>
  </si>
  <si>
    <t>TC0099PE</t>
  </si>
  <si>
    <t>TC0086PE</t>
  </si>
  <si>
    <t>TQ0034PE</t>
  </si>
  <si>
    <t>TC0233PE</t>
  </si>
  <si>
    <t>TC0087PE</t>
  </si>
  <si>
    <t>TC0113PE</t>
  </si>
  <si>
    <t>TC0123PE</t>
  </si>
  <si>
    <t>TC0029PE</t>
  </si>
  <si>
    <t>TC0058PE</t>
  </si>
  <si>
    <t>TC0015PE</t>
  </si>
  <si>
    <t>RT0055PE</t>
  </si>
  <si>
    <t>RT0063PE</t>
  </si>
  <si>
    <t>TC0114PE</t>
  </si>
  <si>
    <t>TC0119PE</t>
  </si>
  <si>
    <t>TC0227PE</t>
  </si>
  <si>
    <t>RT0110PE</t>
  </si>
  <si>
    <t>MP10070</t>
  </si>
  <si>
    <t>MP10071</t>
  </si>
  <si>
    <t>EE10301</t>
  </si>
  <si>
    <t>RT0106PE</t>
  </si>
  <si>
    <t>TC0115PE</t>
  </si>
  <si>
    <t>RT0105PE</t>
  </si>
  <si>
    <t>TC0002BR</t>
  </si>
  <si>
    <t>TC0001BR</t>
  </si>
  <si>
    <t>TQ0001BR</t>
  </si>
  <si>
    <t>RT0131PE</t>
  </si>
  <si>
    <t>TC0201PE</t>
  </si>
  <si>
    <t>EE10002</t>
  </si>
  <si>
    <t>TC0224PE</t>
  </si>
  <si>
    <t>TC0225PE</t>
  </si>
  <si>
    <t>TC0223PE</t>
  </si>
  <si>
    <t>TC0028PE</t>
  </si>
  <si>
    <t>TC0242PE</t>
  </si>
  <si>
    <t>TC0244PE</t>
  </si>
  <si>
    <t>TC0248PE</t>
  </si>
  <si>
    <t>RT0123PE</t>
  </si>
  <si>
    <t>TC0246PE</t>
  </si>
  <si>
    <t>TC0200PE</t>
  </si>
  <si>
    <t>TTS0002PE</t>
  </si>
  <si>
    <t>RT0057PE</t>
  </si>
  <si>
    <t>RT0058PE</t>
  </si>
  <si>
    <t>RT0073PE</t>
  </si>
  <si>
    <t>TC0116PE</t>
  </si>
  <si>
    <t>RT0124PE</t>
  </si>
  <si>
    <t>CT0007PE</t>
  </si>
  <si>
    <t>CT0008PE</t>
  </si>
  <si>
    <t>RT0053PE</t>
  </si>
  <si>
    <t>RT0092PE</t>
  </si>
  <si>
    <t>RT0095PE</t>
  </si>
  <si>
    <t>RT0108PE</t>
  </si>
  <si>
    <t>RT0109PE</t>
  </si>
  <si>
    <t>TC0003PE</t>
  </si>
  <si>
    <t>TQ0011PE</t>
  </si>
  <si>
    <t>TQ0019PE</t>
  </si>
  <si>
    <t>TQ0036PE</t>
  </si>
  <si>
    <t>TTS0004PE</t>
  </si>
  <si>
    <t>TP0001PE</t>
  </si>
  <si>
    <t>BS0003PE</t>
  </si>
  <si>
    <t>RP0001PE</t>
  </si>
  <si>
    <t>RP0003PE</t>
  </si>
  <si>
    <t>RT0114PE</t>
  </si>
  <si>
    <t>RT0115PE</t>
  </si>
  <si>
    <t>TQ0045PE</t>
  </si>
  <si>
    <t>TC0008BR</t>
  </si>
  <si>
    <t>JS0001PE</t>
  </si>
  <si>
    <t>JS0002PE</t>
  </si>
  <si>
    <t>JS0003PE</t>
  </si>
  <si>
    <t>RT0071PE</t>
  </si>
  <si>
    <t>RT0080MX</t>
  </si>
  <si>
    <t>TC0224US</t>
  </si>
  <si>
    <t>TC0011BR</t>
  </si>
  <si>
    <t>TC0091US</t>
  </si>
  <si>
    <t>TC0082US</t>
  </si>
  <si>
    <t>TC0001MX</t>
  </si>
  <si>
    <t>UK0001PE</t>
  </si>
  <si>
    <t>TC0009MX</t>
  </si>
  <si>
    <t>BS0001PE</t>
  </si>
  <si>
    <t>TC0056PE</t>
  </si>
  <si>
    <t>TQ0043PE</t>
  </si>
  <si>
    <t>TQ0042PE</t>
  </si>
  <si>
    <t>TC0234PE</t>
  </si>
  <si>
    <t>TC0231PE</t>
  </si>
  <si>
    <t>RT0091PE</t>
  </si>
  <si>
    <t>BS0002PE</t>
  </si>
  <si>
    <t>RT0099PE</t>
  </si>
  <si>
    <t>RT0101PE</t>
  </si>
  <si>
    <t>RT0059PE</t>
  </si>
  <si>
    <t>TC0122PE</t>
  </si>
  <si>
    <t>RT0103PE</t>
  </si>
  <si>
    <t>TC0094PE</t>
  </si>
  <si>
    <t>TQ0041PE</t>
  </si>
  <si>
    <t>TC0053PE</t>
  </si>
  <si>
    <t>TQ0040PE</t>
  </si>
  <si>
    <t>RT0088PE</t>
  </si>
  <si>
    <t>RT0076PE</t>
  </si>
  <si>
    <t>TTS0001PE</t>
  </si>
  <si>
    <t>TC0117PE</t>
  </si>
  <si>
    <t>RT0093PE</t>
  </si>
  <si>
    <t>RT0074PE</t>
  </si>
  <si>
    <t>TC0118PE</t>
  </si>
  <si>
    <t>TC0222PE</t>
  </si>
  <si>
    <t>RP0005PE</t>
  </si>
  <si>
    <t>TP0001ES</t>
  </si>
  <si>
    <t>TP0003PE</t>
  </si>
  <si>
    <t>TTS0007PE</t>
  </si>
  <si>
    <t>RT0132PE</t>
  </si>
  <si>
    <t>RT0122PE</t>
  </si>
  <si>
    <t>INT0002-1</t>
  </si>
  <si>
    <t>RT0075PE</t>
  </si>
  <si>
    <t>TC0090PE</t>
  </si>
  <si>
    <t>TC0239PE</t>
  </si>
  <si>
    <t>TC0238PE</t>
  </si>
  <si>
    <t>RT0119PE</t>
  </si>
  <si>
    <t>TC0100PE</t>
  </si>
  <si>
    <t>TC0120PE</t>
  </si>
  <si>
    <t>TC0129PE</t>
  </si>
  <si>
    <t>TC0083PE</t>
  </si>
  <si>
    <t>TQ0039PE</t>
  </si>
  <si>
    <t>RT0072PE</t>
  </si>
  <si>
    <t>TTS0005PE</t>
  </si>
  <si>
    <t>TTS0006PE</t>
  </si>
  <si>
    <t>RT0118PE</t>
  </si>
  <si>
    <t>EE10292</t>
  </si>
  <si>
    <t>TC0226PE</t>
  </si>
  <si>
    <t>TC0004RD</t>
  </si>
  <si>
    <t>TQ0001RD</t>
  </si>
  <si>
    <t>TC0001RD</t>
  </si>
  <si>
    <t>TC0008CO</t>
  </si>
  <si>
    <t>TC0002RD</t>
  </si>
  <si>
    <t>EE10314</t>
  </si>
  <si>
    <t>CT0001PE</t>
  </si>
  <si>
    <t>TC0005RD</t>
  </si>
  <si>
    <t>TP0005PE</t>
  </si>
  <si>
    <t>INT0009</t>
  </si>
  <si>
    <t>TC0009CO</t>
  </si>
  <si>
    <t>TQ0003RD</t>
  </si>
  <si>
    <t>TC0245US</t>
  </si>
  <si>
    <t>EE10268</t>
  </si>
  <si>
    <t>TQ0002RD</t>
  </si>
  <si>
    <t>EE10322</t>
  </si>
  <si>
    <t>CT0009PE</t>
  </si>
  <si>
    <t>UK0002PE</t>
  </si>
  <si>
    <t>MP10011</t>
  </si>
  <si>
    <t>EE10323</t>
  </si>
  <si>
    <t>EE10325</t>
  </si>
  <si>
    <t>EE10326</t>
  </si>
  <si>
    <t>EE10328</t>
  </si>
  <si>
    <t>EE10330</t>
  </si>
  <si>
    <t>EE10331</t>
  </si>
  <si>
    <t>EE10332</t>
  </si>
  <si>
    <t>EE10324</t>
  </si>
  <si>
    <t>EE10327</t>
  </si>
  <si>
    <t>EE10329</t>
  </si>
  <si>
    <t>INT0002-M</t>
  </si>
  <si>
    <t>[EE10025] LAMINA TIYAPUY NATIVA MIX 30GR CONVENCIONAL X KG</t>
  </si>
  <si>
    <t>[TC0103PE] TIYAPUY CHIFLES SALADO ALTURA S/T 30g x 72un</t>
  </si>
  <si>
    <t>[TC0054PE] TIYAPUY CHIFLES SALADO ALTURA C/T 30g x 72un</t>
  </si>
  <si>
    <t>[TC0068PE] TIYAPUY PAPAS NATIVAS AMARILLAS PICANTE C/T 30g x 72un</t>
  </si>
  <si>
    <t>[TC0003MX] PAPAS NATIVAS DEL PERÚ EN HOJUELAS FRITAS CON SAL 160g  x 18un</t>
  </si>
  <si>
    <t>[TC0232PE] TIYAPUY MIX DE PAPAS NATIVAS Y CAMOTES 120g x 20un</t>
  </si>
  <si>
    <t>[TC0091PE] TIYAPUY PAPAS NATIVAS MIXTAS CNV 142g x 20un</t>
  </si>
  <si>
    <t>[TQ0035PE] TIYAPUY EXTRUIDO FRITO A BASE DE QUINUA 100g x 18und.</t>
  </si>
  <si>
    <t>[TC0004PE] TIYAPUY CHIFLES SALADO C/T 30g x 72un</t>
  </si>
  <si>
    <t>[TC0008MX] PAPAS EN HOJUELAS FRITAS CON SABOR CHILE JALAPEÑO 142g X 20un</t>
  </si>
  <si>
    <t>[TC0006PE] TIYAPUY PAPAS NATIVAS MIXTAS CNV C/T 30g x 72un</t>
  </si>
  <si>
    <t>[TC0016PE] TIYAPUY  HOJUELAS DE PAPAS NATIVAS FRITAS CON SAL ALT S/T 30g x 72und.</t>
  </si>
  <si>
    <t>[TQ0038PE] TIYAPUY CHIPS QUINUA BBQ 40g x 48un</t>
  </si>
  <si>
    <t>[TQ0037PE] TIYAPUY CHIPS QUINUA NATURAL 40g x 48un</t>
  </si>
  <si>
    <t>[TC0082PE] TIYAPUY HOJUELAS DE PAPAS NATIVAS FRITAS CON SAL 40g x 48ud.</t>
  </si>
  <si>
    <t>[TC0099PE] TIYAPUY CHIFLES SALADO 142g x 20un</t>
  </si>
  <si>
    <t>[TC0086PE] TIYAPUY CAMOTES SALADO 40g x 48un</t>
  </si>
  <si>
    <t>[TQ0034PE] TIYAPUY CHIPS QUINUA BBQ 100g x 18un</t>
  </si>
  <si>
    <t>[TC0233PE] TIYAPUY PAPAS NATIVAS MIXTAS JALAPEÑO C/T 30g x 72un</t>
  </si>
  <si>
    <t>[TC0087PE] TIYAPUY CHIFLES SALADO 40g x 48un</t>
  </si>
  <si>
    <t>[TC0113PE] TIYAPUY CHIFLES SALADO ALTURA 142g x 20un</t>
  </si>
  <si>
    <t>[TC0123PE] TIYAPUY HOJUELAS DE CAMOTES FRITOS CON SAL ALT 142g x 20und.</t>
  </si>
  <si>
    <t>[TC0029PE] TIYAPUY HOJUELAS DE CAMOTES FRITOS CON SAL S/T 30g x 72und.</t>
  </si>
  <si>
    <t>[TC0058PE] TIYAPUY HOJUELAS DE CAMOTES FRITOS CON SAL 142g x 20und.</t>
  </si>
  <si>
    <t>[TC0015PE] TIYAPUY HOJUELAS DE PAPAS NATIVAS FRITAS CON SAL S/T 30g x 72und.</t>
  </si>
  <si>
    <t>[RT0055PE] RIKYTOK PAPAS ONDAS NATURAL ALTURA 180g x 26un</t>
  </si>
  <si>
    <t>[RT0063PE] RIKYTOK PAPAS ONDAS PICANTE S/T 30g x 120un</t>
  </si>
  <si>
    <t>[TC0114PE] TIYAPUY HOJUELAS DE PAPAS NATIVAS FRITAS CON SAL ALT 142g x 20und.</t>
  </si>
  <si>
    <t>[TC0119PE] TIYAPUY SUPER PACK NATIVAS (3UN MIX 142g + 3UN AMARILLAS 142g) 852g x 3un</t>
  </si>
  <si>
    <t>[TC0227PE] TIYAPUY HOJUELAS DE CAMOTES FRITOS CON SAL ALT 40g x 48und.</t>
  </si>
  <si>
    <t>[RT0110PE] RIKYTOK SELECTO PAPAS ONDAS JALAPEÑO 135g x 32un</t>
  </si>
  <si>
    <t>[MP10070] ACIDO CITRICO X KG</t>
  </si>
  <si>
    <t>[MP10071] ACIDO ASCORBICO X KG</t>
  </si>
  <si>
    <t>[EE10301] EASY PEEL ALUMINIO TUBOS X 100g</t>
  </si>
  <si>
    <t>[RT0106PE] RIKYTOK PAPAS ONDAS JALAPEÑO ALTURA C/T 30g x 120un</t>
  </si>
  <si>
    <t>[TC0115PE] TIYAPUY DUO PACK (NATIVAS MIX 142g + CHIFLES 142g) 284g x 8un</t>
  </si>
  <si>
    <t>[RT0105PE] RIKYTOK PAPAS ONDAS BBQ ALTURA C/T 30g x 120un</t>
  </si>
  <si>
    <t>[TC0002BR] JALAPEÑO FLAVORED POTATO CHIPS 142g x 20un</t>
  </si>
  <si>
    <t>[TC0001BR] FRIED NATIVE POTATO CHIPS WITH SALT 142g x 20un</t>
  </si>
  <si>
    <t>[TQ0001BR] FRIED EXTRUDED QUINOA BASED CHIPS 100g x 18 un</t>
  </si>
  <si>
    <t>[RT0131PE] RIKY TOK HOJUELAS DE PAPAS FRITAS SABOR PICANTE ALT C/T 25g x 120und.</t>
  </si>
  <si>
    <t>[TC0201PE] TIYAPUY TIYAMIX ALTURA (CAMOTE 120g + NATIVAS MIX 40g+ CHIFLE 40g  ) 200g x 16un</t>
  </si>
  <si>
    <t>[EE10002] CAJA MASTER TIYAPUY C/LOGO - EXPORTACION # 2 X UND</t>
  </si>
  <si>
    <t>[TC0224PE] TIYAPUY HOJUELAS DE PAPAS FRITAS SABOR LIMÓN Y PIMIENTA 142g x 20und.</t>
  </si>
  <si>
    <t>[TC0225PE] TIYAPUY HOJUELAS DE PAPAS FRITAS CON SABOR JALAPEÑO ALT 142g x 20und.</t>
  </si>
  <si>
    <t>[TC0223PE] TIYAPUY HOJUELAS DE PAPAS FRITAS CON SABOR JALAPEÑO 142g x 20und.</t>
  </si>
  <si>
    <t>[TC0028PE] TIYAPUY CHIFLES SALADO S/T 30g x 72un</t>
  </si>
  <si>
    <t>[TC0242PE] TIYAPUY PAPAS NATIVAS MIXTAS 500g x 12un</t>
  </si>
  <si>
    <t>[TC0244PE] TIYAPUY HOJUELAS DE PAPA NATIVA CON AJÍ AMARILLO 142 g X 20 und.</t>
  </si>
  <si>
    <t>[TC0248PE] HOJUELAS DE PAPA NATIVA CON AJÍ AMARILLO ALTURA 142 g X 20 un</t>
  </si>
  <si>
    <t>[RT0123PE] RIKY TOK HOJUELAS DE PAPAS FRITAS SABOR PICANTE C/T 25g x 120und.</t>
  </si>
  <si>
    <t>[TC0246PE] TIYAPUY PAPAS NATIVAS MIXTAS 20g x 144un</t>
  </si>
  <si>
    <t>[TC0200PE] TIYAPUY TIYAMIX (CAMOTE 120g +NATIVAS MIX 40g + CHIFLE 40g  ) 200g x 16un</t>
  </si>
  <si>
    <t>[TTS0002PE] PAPAS SABOR JALAPEÑO TOTTUS 130g x 20un</t>
  </si>
  <si>
    <t>[RT0057PE] RIKY TOK HOJUELAS DE PAPA ONDULADA FRITAS CON SAL C/T 30g x 120und.</t>
  </si>
  <si>
    <t>[RT0058PE] RIKYTOK PAPAS ONDAS NATURAL ALTURA C/T 30g x 120un</t>
  </si>
  <si>
    <t>[RT0073PE] RIKY TOK HOJUELAS DE PAPAS FRITAS CON SABOR BARBECUE C/T 30g x 120und.</t>
  </si>
  <si>
    <t>[TC0116PE] TIYAPUY DUO PACK (NATIVAS MIX 142g + CAMOTES 142g) 284g x 8un</t>
  </si>
  <si>
    <t>[RT0124PE] RIKY TOK HOJUELAS DE PAPAS FRITAS SABOR JALAPEÑO C/T 25g x 120und.</t>
  </si>
  <si>
    <t>[CT0007PE] TIYAPUY CAFÉ ORGÁNICO TAZA DEL VRAEM - GRANO ENTERO 1000g x 10un</t>
  </si>
  <si>
    <t>[CT0008PE] TIYAPUY CAFÉ ORGÁNICO GRANO ENTERO 86 PUNTOS 250g x 6un</t>
  </si>
  <si>
    <t>[RT0053PE] RIKYTOK PAPAS ONDAS NATURAL 180g x 26un</t>
  </si>
  <si>
    <t>[RT0092PE] RIKYTOK SELECTO PAPAS ONDAS NATURAL C/T 70g x 48un</t>
  </si>
  <si>
    <t>[RT0095PE] RIKYTOK SELECTO PAPAS ONDAS JALAPEÑO C/T 70g x 48un</t>
  </si>
  <si>
    <t>[RT0108PE] RIKYTOK SELECTO PAPAS ONDAS NATURAL 135g x 32un</t>
  </si>
  <si>
    <t>[RT0109PE] RIKYTOK SELECTO PAPAS ONDAS PICANTE 135g x 32un</t>
  </si>
  <si>
    <t>[TC0003PE] TIYAPUY HOJUELAS DE CAMOTES FRITOS CON SAL C/T 30g x 72und.</t>
  </si>
  <si>
    <t>[TQ0011PE] TIYAPUY QUINUA ORGANICA BLANCA 340g x 12un</t>
  </si>
  <si>
    <t>[TQ0019PE] TIYAPUY QUINUA ORGANICA TRICOLOR 340g x 12un</t>
  </si>
  <si>
    <t>[TQ0036PE] TIYAPUY CHIPS QUINUA PICANTE 100g x 18un</t>
  </si>
  <si>
    <t>[TTS0004PE] PAPAS SABOR BBQ TOTTUS 130 g x 20un</t>
  </si>
  <si>
    <t>[TP0001PE] TIYAPUY PAPAS PREFRITAS CONGELADAS 1000g x 10un</t>
  </si>
  <si>
    <t>[BS0003PE] BITZ CRUJIONDAS JALAPEÑO 200g X 26 und.</t>
  </si>
  <si>
    <t>[RP0001PE] RIKYTOK PAPAS PREFRITAS (13 mm) 2500g x 4un</t>
  </si>
  <si>
    <t>[RP0003PE] RIKYTOK PAPAS PREFRITAS (10 mm) 2500g x 4un</t>
  </si>
  <si>
    <t>[RT0114PE] RIKYTOK SELECTO PAPAS ONDAS NATURAL ALTURA 135g x 32un</t>
  </si>
  <si>
    <t>[RT0115PE] RIKY TOK SELECTO HOJUELAS DE PAPAS FRITAS SABOR PICANTE ALT 135g x 32und.</t>
  </si>
  <si>
    <t>[TQ0045PE] TIYAPUY CHIPS QUINUA BBQ 500g x 12un</t>
  </si>
  <si>
    <t>[TC0008BR] FRIED NATIVE POTATO CHIPS WITH SALT 40g x 48un</t>
  </si>
  <si>
    <t>[JS0001PE] JAPPY SNACK ONDAS BBQ 200g X 26 un</t>
  </si>
  <si>
    <t>[JS0002PE] JAPPY SNACK ONDAS JALAPEÑO 200g X 26 un</t>
  </si>
  <si>
    <t>[JS0003PE] JAPPY SNACK PICANTE 200g X 26 un</t>
  </si>
  <si>
    <t>[RT0071PE] RIKYTOK PAPAS ONDAS BBQ S/T 30g x 120un</t>
  </si>
  <si>
    <t>[RT0080MX] RIKY TOK HOJUELAS DE PAPA ONDULADA FRITAS CON SAL S/T 30g x 120und.</t>
  </si>
  <si>
    <t>[TC0224US] LEMON PEPPER FLAVORED POTATO CHIPS 142g x 20un</t>
  </si>
  <si>
    <t>[TC0011BR] SWEET POTATO CHIPS  WITH SALT 40g x 48un</t>
  </si>
  <si>
    <t>[TC0091US] FRIED NATIVE POTATO CHIPS WITH SALT 142g x 20un</t>
  </si>
  <si>
    <t>[TC0082US] FRIED NATIVE POTATO CHIPS WITH SALT 40g x 48un</t>
  </si>
  <si>
    <t>[TC0001MX] PAPAS AMARILLAS NATIVAS DEL PERÚ EN HOJUELAS FRITAS CON SAL 160g x 18 un</t>
  </si>
  <si>
    <t>[UK0001PE] UNAKA CAFÉ TOSTADO MOLIDO 60g x 50un</t>
  </si>
  <si>
    <t>[TC0009MX] PAPAS EN HOJUELAS FRITAS CON PIMIENTA SABOR A LIMÓN 142g X 20un</t>
  </si>
  <si>
    <t>[BS0001PE] BITZ CRUJIONDAS ORIGINAL 200g x 26und.</t>
  </si>
  <si>
    <t>[TC0056PE] TIYAPUY PAPAS NATIVAS MIXTAS ALTURA C/T 30g x 72un</t>
  </si>
  <si>
    <t>[TQ0043PE] TIYAPUY CHIPS QUINUA BBQ ALT 40g x 48un</t>
  </si>
  <si>
    <t>[TQ0042PE] TIYAPUY CHIPS QUINUA NATURAL ALT 40g x 48un</t>
  </si>
  <si>
    <t>[TC0234PE] TIYAPUY PAPAS NATIVAS MIXTAS LIMON Y PIMIENTA C/T 30g x 72un</t>
  </si>
  <si>
    <t>[TC0231PE] TIYAPUY HOJUELAS DE PAPAS FRITAS CON SABOR JALAPEÑO S/T 30g x 72und.</t>
  </si>
  <si>
    <t>[RT0091PE] RIKYTOK SELECTO PAPAS ONDAS JALAPEÑO 70g x 56un</t>
  </si>
  <si>
    <t>[BS0002PE] BITZ CRUJIONDAS PICANTE 200g X 26 und.</t>
  </si>
  <si>
    <t>[RT0099PE] RIKYTOK SELECTO PAPAS ONDAS JALAPEÑO ALTURA C/T 70g x 48un</t>
  </si>
  <si>
    <t>[RT0101PE] RIKYTOK SELECTO PAPAS ONDAS NATURAL ALTURA C/T 70g x 48un</t>
  </si>
  <si>
    <t>[RT0059PE] RIKYTOK PAPAS ONDAS NATURAL S/T 30g x 120un</t>
  </si>
  <si>
    <t>[TC0122PE] TIYAPUY DUO PACK ALTURA (NATIVAS MIX 142g + CHIFLES 142g) 284g x 8un</t>
  </si>
  <si>
    <t>[RT0103PE] RIKYTOK SELECTO PAPAS ONDAS PICANTE ALTURA C/T 70g x 48un</t>
  </si>
  <si>
    <t>[TC0094PE] TIYAPUY HOJUELAS DE CAMOTES FRITOS CON SAL ALT S/T 30g x 72und.</t>
  </si>
  <si>
    <t>[TQ0041PE] TIYAPUY CHIPS QUINUA PICANTE ALT 100g x 18un</t>
  </si>
  <si>
    <t>[TC0053PE] TIYAPUY CAMOTES SALADO C/T ALTURA 30g x 72un</t>
  </si>
  <si>
    <t>[TQ0040PE] TIYAPUY CHIPS QUINUA NATURAL ALT 100g x 18un</t>
  </si>
  <si>
    <t>[RT0088PE] RIKY TOK SELECTO HOJUELAS DE PAPA ONDULADA FRITAS CON SAL S/T 70g x 56und.</t>
  </si>
  <si>
    <t>[RT0076PE] RIKY TOK PAPA AL HILO FRITAS CON SAL C/T 45g x 120un</t>
  </si>
  <si>
    <t>[TTS0001PE] PAPAS CON SAL DE MARAS TOTTUS 130g x 20un</t>
  </si>
  <si>
    <t>[TC0117PE] TIYAPUY DUO PACK (NATIVAS MIX 142g + CHIPS QUINUA NAT 100g) 242g x 8un</t>
  </si>
  <si>
    <t>[RT0093PE] RIKY TOK SELECTO HOJUELAS DE PAPAS FRITAS SABOR PICANTE C/T 70g x 48und.</t>
  </si>
  <si>
    <t>[RT0074PE] RIKYTOK PAPAS ONDAS JALAPEÑO C/T 30g x 120un</t>
  </si>
  <si>
    <t>[TC0118PE] TIYAPUY DUO PACK (NATIVAS MIX 142g + CHIPS QUINUA BBQ 100g) 242g x 8un</t>
  </si>
  <si>
    <t>[TC0222PE] TIYAPUY PAPAS NATIVAS MIXTAS LATA 400g x 8un</t>
  </si>
  <si>
    <t>[RP0005PE] RIKY TOK PAPA PREFRITA DW (13 mm) 2500g x 4 un</t>
  </si>
  <si>
    <t>[TP0001ES] TIYAPUY PAPAS PREFRITAS CONGELADAS 1000g x 10un</t>
  </si>
  <si>
    <t>[TP0003PE] TIYAPUY PAPAS PREFRITAS MIXTAS 2500g x 4un</t>
  </si>
  <si>
    <t>[TTS0007PE] PAPAS SABOR BBQ TOTTUS ALTURA 130g x 20un</t>
  </si>
  <si>
    <t>[RT0132PE] RIKY TOK HOJUELAS DE PAPAS FRITAS SABOR JALAPEÑO ALT C/T 25g x 120und.</t>
  </si>
  <si>
    <t>[RT0122PE] RIKY TOK HOJUELAS DE PAPA FRITAS CON SAL C/T 25g x 120und.</t>
  </si>
  <si>
    <t>[INT0002-1] HOJUELAS DE PAPAS NATIVAS FRITAS CNV PARA TRANSITO X KG</t>
  </si>
  <si>
    <t>[RT0075PE] RIKY TOK PAPA AL HILO FRITAS CON SAL S/T 45 g x 120 un</t>
  </si>
  <si>
    <t>[TC0090PE] TIYAPUY HOJUELAS DE PAPAS FRITAS CON SAL 100g x 24un</t>
  </si>
  <si>
    <t>[TC0239PE] TIYAPUY CAMOTES SALADO 500g x 12un</t>
  </si>
  <si>
    <t>[TC0238PE] TIYAPUY HOJUELAS DE PAPAS FRITAS SABOR LIMÓN Y PIMIENTA ALT C/T 30g x 72und.</t>
  </si>
  <si>
    <t>[RT0119PE] RIKYTOK HOJUELAS DE PAPAS FRITAS SABOR PICANTE  S/T 25g x 120un</t>
  </si>
  <si>
    <t>[TC0100PE] TIYAPUY PACK LONCHERA (02MIX 40g + 01CHI 40g + 01CAM 40g + 01CHQNAT 40g + 01CHQBBQ 40g) 240g x 7un</t>
  </si>
  <si>
    <t>[TC0120PE] TIYAPUY DUO PACK ALTURA (NATIVAS MIX 142g + CAMOTES 142g) 284g x 8un</t>
  </si>
  <si>
    <t>[TC0129PE] TIYAPUY CHIFLES SALADO 500g x 12un</t>
  </si>
  <si>
    <t>[TC0083PE] TIYAPUY HOJUELAS DE PAPAS NATIVAS FRITAS CON SAL ALT 40g x 48und.</t>
  </si>
  <si>
    <t>[TQ0039PE] TIYAPUY CHIPS QUINUA BBQ ALT 100g x 18un</t>
  </si>
  <si>
    <t>[RT0072PE] RIKYTOK PAPAS ONDAS JALAPEÑO S/T 30g x 120un</t>
  </si>
  <si>
    <t>[TTS0005PE] PAPAS CON SAL DE MARAS TOTTUS ALTURA 130g x 20un</t>
  </si>
  <si>
    <t>[TTS0006PE] PAPAS SABOR JALAPEÑO TOTTUS ALTURA 130g x 20un</t>
  </si>
  <si>
    <t>[RT0118PE] RIKY TOK HOJUELAS DE PAPA FRITAS CON SAL 25g x 120un</t>
  </si>
  <si>
    <t>[EE10292] LAMINA TIYAPUY PAPAS NATIVAS CONGELADAS PEBD 700g</t>
  </si>
  <si>
    <t>[TC0226PE] TIYAPUY HOJUELAS DE PAPAS FRITAS SABOR LIMÓN Y PIMIENTA ALT 142g x 20und.</t>
  </si>
  <si>
    <t>[TC0004RD] TIYAPUY HOJUELAS DE CAMOTES FRITOS CON SAL 142g x 20un</t>
  </si>
  <si>
    <t>[TQ0001RD] TIYAPUY  EXTRUIDO FRITO A BASE DE QUINUA CON SABOR BARBECUE 100g x 18un</t>
  </si>
  <si>
    <t>[TC0001RD] TIYAPUY HOJUELAS DE PAPAS NATIVAS FRITAS CON SAL 142g x 20und.</t>
  </si>
  <si>
    <t>[TC0008CO] TIYAPUY HOJUELAS DE PAPAS NATIVAS FRITAS CON SAL 142g x 20und.</t>
  </si>
  <si>
    <t>[TC0002RD] TIYAPUY HOJUELAS DE PAPAS NATIVAS FRITAS CON SAL 40g x 48und.</t>
  </si>
  <si>
    <t>[EE10314] STICKERS PANAMA MIX NATIVA 142g</t>
  </si>
  <si>
    <t>[CT0001PE] TIYAPUY CAFÉ ORGÁNICO TOSTADO MOLIDO 86 PUNTOS 250g x 6un</t>
  </si>
  <si>
    <t>[TC0005RD] TIYAPUY HOJUELAS DE CAMOTES FRITOS CON SAL 40g x 48un</t>
  </si>
  <si>
    <t>[TP0005PE] TIYAPUY PAPAS PREFRITAS CONGELADAS(10mm) 400g x 24und.</t>
  </si>
  <si>
    <t>[INT0009] HOJUELAS DE PAPA BLANCA FRITAS X KG</t>
  </si>
  <si>
    <t>[TC0009CO] TIYAPUY HOJUELAS DE PAPAS NATIVAS FRITAS CON SAL TUBOS 100g x 24un</t>
  </si>
  <si>
    <t>[TQ0003RD] TIYAPUY EXTRUIDO FRITO A BASE DE QUINUA 40g x 48und.</t>
  </si>
  <si>
    <t>[TC0245US] TIYAPUY FRIED NATIVE POTATO CHIPS WITH SALT 120g x 20un</t>
  </si>
  <si>
    <t>[EE10268] STICKERS NUTRICIONAL COLOMBIA 100g TUBOS MIX NATIVA</t>
  </si>
  <si>
    <t>[TQ0002RD] TIYAPUY EXTRUIDO FRITO A BASE DE QUINUA 100g x 18und.</t>
  </si>
  <si>
    <t>[EE10322] LAMINA RIKYTOK PAPAS CONG PEBD 400g</t>
  </si>
  <si>
    <t>[CT0009PE] TIYAPUY CAFÉ ORGANICO TOSTADO MOLIDO 86 PUNTOS 60g x 50un</t>
  </si>
  <si>
    <t>[UK0002PE] UNAKA CAFÉ TOSTADO MOLIDO 200g x 16un</t>
  </si>
  <si>
    <t>[MP10011] PAPA BICENTENARIO X KG</t>
  </si>
  <si>
    <t>[EE10323] STICKERS REPUBLICA DOMINICANA MIX NATIVA 142g</t>
  </si>
  <si>
    <t>[EE10325] STICKERS REPUBLICA DOMINICANA JALAPEÑO 142g</t>
  </si>
  <si>
    <t>[EE10326] STICKERS REPUBLICA DOMINICANA CAMOTE 142g</t>
  </si>
  <si>
    <t>[EE10328] STICKERS REPUBLICA DOMINICANA CHIFLE 142g</t>
  </si>
  <si>
    <t>[EE10330] STICKERS REPUBLICA DOMINICANA QUINUA BBQ 100g</t>
  </si>
  <si>
    <t>[EE10331] STICKERS REPUBLICA DOMINICANA QUINUA 100g</t>
  </si>
  <si>
    <t>[EE10332] STICKERS REPUBLICA DOMINICANA QUINUA 40g</t>
  </si>
  <si>
    <t>[EE10324] STICKERS REPUBLICA DOMINICANA MIX NATIVA 40g</t>
  </si>
  <si>
    <t>[EE10327] STICKERS REPUBLICA DOMINICANA CAMOTE 40g</t>
  </si>
  <si>
    <t>[EE10329] STICKERS REPUBLICA DOMINICANA CHIFLE 40g</t>
  </si>
  <si>
    <t>[INT0002-M] MERMA HOJUELAS DE PAPAS NATIVAS FRITAS CNV X KG</t>
  </si>
  <si>
    <t>INFORME 2</t>
  </si>
  <si>
    <t>INFORME 31/25</t>
  </si>
  <si>
    <t>SP-30425</t>
  </si>
  <si>
    <t>SP-23325</t>
  </si>
  <si>
    <t>SP-23425</t>
  </si>
  <si>
    <t>AP-15025</t>
  </si>
  <si>
    <t>SN-17525</t>
  </si>
  <si>
    <t>PC-29425</t>
  </si>
  <si>
    <t>SN-10126-E3</t>
  </si>
  <si>
    <t>SN-10126-E4</t>
  </si>
  <si>
    <t>SN-10526-E2</t>
  </si>
  <si>
    <t>SN-10526-E1</t>
  </si>
  <si>
    <t>SN-10626-E1</t>
  </si>
  <si>
    <t>SN-10626-E3</t>
  </si>
  <si>
    <t>SN-10726-E1</t>
  </si>
  <si>
    <t>SN-10726-E2</t>
  </si>
  <si>
    <t>SN-10826-E2</t>
  </si>
  <si>
    <t>SN-10826-E3</t>
  </si>
  <si>
    <t>SN-10926-E2</t>
  </si>
  <si>
    <t>SN-11126-E2</t>
  </si>
  <si>
    <t>SN-11126-E3</t>
  </si>
  <si>
    <t>SN-11226-E3</t>
  </si>
  <si>
    <t>SN-11226-E4</t>
  </si>
  <si>
    <t>SN-11626-E7</t>
  </si>
  <si>
    <t>QN-09926-E5</t>
  </si>
  <si>
    <t>SC-10826-E7</t>
  </si>
  <si>
    <t>PJ-07026-E4</t>
  </si>
  <si>
    <t>SN-00626-E7T1</t>
  </si>
  <si>
    <t>SN-03526-E4</t>
  </si>
  <si>
    <t>QN-10126-E5</t>
  </si>
  <si>
    <t>SN-10326-E3</t>
  </si>
  <si>
    <t>SN-09126-E5</t>
  </si>
  <si>
    <t>QB-05526-E10</t>
  </si>
  <si>
    <t>QN-09826-E5</t>
  </si>
  <si>
    <t>QN-31025</t>
  </si>
  <si>
    <t>QB-10126-E5</t>
  </si>
  <si>
    <t>SN-10426-E2</t>
  </si>
  <si>
    <t>SN-09226-E7</t>
  </si>
  <si>
    <t>SP-03726-E1</t>
  </si>
  <si>
    <t>SC-08826-E8</t>
  </si>
  <si>
    <t>SC-09026-E8</t>
  </si>
  <si>
    <t>QB-10226-E1</t>
  </si>
  <si>
    <t>SP-03126-E7</t>
  </si>
  <si>
    <t>SN-04626-E3</t>
  </si>
  <si>
    <t>SN-10426-E1</t>
  </si>
  <si>
    <t>SN-03526-E2</t>
  </si>
  <si>
    <t>QB-09826-E10</t>
  </si>
  <si>
    <t>SN-03426-E4</t>
  </si>
  <si>
    <t>QN-10026-E5</t>
  </si>
  <si>
    <t>SN-12526-E1</t>
  </si>
  <si>
    <t>SN-12626-E1</t>
  </si>
  <si>
    <t>SN-12626-E5</t>
  </si>
  <si>
    <t>PJ-27725</t>
  </si>
  <si>
    <t>SP-08626-E7</t>
  </si>
  <si>
    <t>SN-12626-E2</t>
  </si>
  <si>
    <t>SC-08926-E8</t>
  </si>
  <si>
    <t>SN-12726-E3</t>
  </si>
  <si>
    <t>SN-12726-E1</t>
  </si>
  <si>
    <t>SN-12526-E3</t>
  </si>
  <si>
    <t>SC-26325</t>
  </si>
  <si>
    <t>SC-10726-E8</t>
  </si>
  <si>
    <t>QB-12826-E10</t>
  </si>
  <si>
    <t>SN-09726-E1</t>
  </si>
  <si>
    <t>SC-11226-E7</t>
  </si>
  <si>
    <t>SC-13026-E5</t>
  </si>
  <si>
    <t>QN-12726-E10</t>
  </si>
  <si>
    <t>SN-12726-E2</t>
  </si>
  <si>
    <t>SP-11926-E7</t>
  </si>
  <si>
    <t>SN-10426-E4</t>
  </si>
  <si>
    <t>SP-10826-E7</t>
  </si>
  <si>
    <t>SC-13726-E8</t>
  </si>
  <si>
    <t>SC-13826-E7</t>
  </si>
  <si>
    <t>SN-09726-E3</t>
  </si>
  <si>
    <t>SC-13626-E8</t>
  </si>
  <si>
    <t>SN-13926-E8</t>
  </si>
  <si>
    <t>SN-13026-E5</t>
  </si>
  <si>
    <t>SN-12826-E2</t>
  </si>
  <si>
    <t>SN-12626-E3</t>
  </si>
  <si>
    <t>SN-14026-E8</t>
  </si>
  <si>
    <t>RO-24925</t>
  </si>
  <si>
    <t>OP-01126-E3</t>
  </si>
  <si>
    <t>SN-10526-E3</t>
  </si>
  <si>
    <t>SN-22125</t>
  </si>
  <si>
    <t>SN-14126-E7</t>
  </si>
  <si>
    <t>SN-16126-E5</t>
  </si>
  <si>
    <t>SN-16126-E2</t>
  </si>
  <si>
    <t>SP-30525</t>
  </si>
  <si>
    <t>PACK-19025</t>
  </si>
  <si>
    <t>SC-18525</t>
  </si>
  <si>
    <t>PJ-27825</t>
  </si>
  <si>
    <t>SN-16226-E2</t>
  </si>
  <si>
    <t>SN-16226-E5</t>
  </si>
  <si>
    <t>SN-16226-E1</t>
  </si>
  <si>
    <t>SN-16326-E2</t>
  </si>
  <si>
    <t>SN-16226-E3</t>
  </si>
  <si>
    <t>SN-16326-E3</t>
  </si>
  <si>
    <t>SN-16326-E4</t>
  </si>
  <si>
    <t>SN-16326-E5</t>
  </si>
  <si>
    <t>SN-16426-E2</t>
  </si>
  <si>
    <t>SN-16426-E3</t>
  </si>
  <si>
    <t>SN-16426-E5</t>
  </si>
  <si>
    <t>SN-17526-E8</t>
  </si>
  <si>
    <t>RJ-17426-E1</t>
  </si>
  <si>
    <t>SN-17226-E7</t>
  </si>
  <si>
    <t>SN-17126-E7</t>
  </si>
  <si>
    <t>SN-17126-E8</t>
  </si>
  <si>
    <t>SN-17026-E7</t>
  </si>
  <si>
    <t>SN-17026-E8</t>
  </si>
  <si>
    <t>SN-17626-E7</t>
  </si>
  <si>
    <t>RJ-18326-E2</t>
  </si>
  <si>
    <t>DUO-18326-E11</t>
  </si>
  <si>
    <t>SC-18226-E8</t>
  </si>
  <si>
    <t>SN-17826-E7</t>
  </si>
  <si>
    <t>RB-18226-E2</t>
  </si>
  <si>
    <t>SN-18226-E8</t>
  </si>
  <si>
    <t>SN-14226-E8</t>
  </si>
  <si>
    <t>PJ-14826-E7</t>
  </si>
  <si>
    <t>SN-15026-E7</t>
  </si>
  <si>
    <t>QN-15026-E10</t>
  </si>
  <si>
    <t>QN-18426-E1</t>
  </si>
  <si>
    <t>SC-18426-E8</t>
  </si>
  <si>
    <t>SP-18526-E7</t>
  </si>
  <si>
    <t>RP-18526-E1</t>
  </si>
  <si>
    <t>TIY-18526-E8</t>
  </si>
  <si>
    <t>RP-18626-E1</t>
  </si>
  <si>
    <t>RP-18626-E3</t>
  </si>
  <si>
    <t>SN-18626-E8</t>
  </si>
  <si>
    <t>SN-18626-E7</t>
  </si>
  <si>
    <t>LP-18726-E1</t>
  </si>
  <si>
    <t>LP-18726-E2</t>
  </si>
  <si>
    <t>PJ-18726-E3</t>
  </si>
  <si>
    <t>PJ-18726-E4</t>
  </si>
  <si>
    <t>PJ-18726-E5</t>
  </si>
  <si>
    <t>PJ-18826-E3</t>
  </si>
  <si>
    <t>PJ-18826-E4</t>
  </si>
  <si>
    <t>SN-18826-E3</t>
  </si>
  <si>
    <t>SN-18826-E4</t>
  </si>
  <si>
    <t>SP-18826-E1</t>
  </si>
  <si>
    <t>SN-18826-E1</t>
  </si>
  <si>
    <t>SN-18926-E3</t>
  </si>
  <si>
    <t>SN-18926-E4</t>
  </si>
  <si>
    <t>SNP-18926-E1</t>
  </si>
  <si>
    <t>SN-19026-E4</t>
  </si>
  <si>
    <t>SN-19026-E2</t>
  </si>
  <si>
    <t>SN-20426-E7</t>
  </si>
  <si>
    <t>SN-19026-E5</t>
  </si>
  <si>
    <t>RP-19126-E8</t>
  </si>
  <si>
    <t>SN-19126-E4</t>
  </si>
  <si>
    <t>SN-19126-E5</t>
  </si>
  <si>
    <t>SN-19126-E3</t>
  </si>
  <si>
    <t>TIY-19126-E7</t>
  </si>
  <si>
    <t>PC-19126-E8</t>
  </si>
  <si>
    <t>PC-19226-E8</t>
  </si>
  <si>
    <t>TIY-19226-E8</t>
  </si>
  <si>
    <t>TTJ-19326-E2</t>
  </si>
  <si>
    <t>TTJ-19326-E4</t>
  </si>
  <si>
    <t>TTJ-19326-E1</t>
  </si>
  <si>
    <t>SN-19526-E7</t>
  </si>
  <si>
    <t>RP-19526-E1</t>
  </si>
  <si>
    <t>RP-19626-E1</t>
  </si>
  <si>
    <t>RP-19726-E1</t>
  </si>
  <si>
    <t>TIY-19726-E7</t>
  </si>
  <si>
    <t>RP-19826-E1</t>
  </si>
  <si>
    <t>TIY-19826-E7</t>
  </si>
  <si>
    <t>QN-19926-E10</t>
  </si>
  <si>
    <t>PC-19826-E8</t>
  </si>
  <si>
    <t>PC-19926-E8</t>
  </si>
  <si>
    <t>RB-20126-E5</t>
  </si>
  <si>
    <t>RB-20226-E5</t>
  </si>
  <si>
    <t>RN-20226-E3</t>
  </si>
  <si>
    <t>PJ-20226-E7</t>
  </si>
  <si>
    <t>RN-20126-E1</t>
  </si>
  <si>
    <t>SN-20226-E8</t>
  </si>
  <si>
    <t>SN-20326-E8</t>
  </si>
  <si>
    <t>TTJ-20326-E8</t>
  </si>
  <si>
    <t>DUO-20426-E11</t>
  </si>
  <si>
    <t>RJ-20326-E1</t>
  </si>
  <si>
    <t>SN-14126-E8</t>
  </si>
  <si>
    <t>SN-12826-E1</t>
  </si>
  <si>
    <t>QB-13426-E10</t>
  </si>
  <si>
    <t>PJ-18826-E5</t>
  </si>
  <si>
    <t>LT-103</t>
  </si>
  <si>
    <t>SF-102</t>
  </si>
  <si>
    <t>RN-10626-E7</t>
  </si>
  <si>
    <t>RN-10726-E7</t>
  </si>
  <si>
    <t>RN-10526-E7</t>
  </si>
  <si>
    <t>RN-07526-E4</t>
  </si>
  <si>
    <t>RP-13126-E3</t>
  </si>
  <si>
    <t>RO-33825</t>
  </si>
  <si>
    <t>RJ-04126-E3</t>
  </si>
  <si>
    <t>RN-14526-E5</t>
  </si>
  <si>
    <t>RP-16626-E2</t>
  </si>
  <si>
    <t>SC-13526-E7</t>
  </si>
  <si>
    <t>SN-12526-E4</t>
  </si>
  <si>
    <t>SN-16026-E3</t>
  </si>
  <si>
    <t>SN-03926-E5</t>
  </si>
  <si>
    <t>SN-07326-E3</t>
  </si>
  <si>
    <t>SP-01526-E7</t>
  </si>
  <si>
    <t>SP-15726-E7</t>
  </si>
  <si>
    <t>DUO-10426-E11</t>
  </si>
  <si>
    <t>LP-14826-E8</t>
  </si>
  <si>
    <t>SNP-16026-E4</t>
  </si>
  <si>
    <t>SNP-16126-E1</t>
  </si>
  <si>
    <t>QBO-15626</t>
  </si>
  <si>
    <t>QTO-15626</t>
  </si>
  <si>
    <t>QN-15126-E1</t>
  </si>
  <si>
    <t>QP-13626-E10</t>
  </si>
  <si>
    <t>QN-15626-E10</t>
  </si>
  <si>
    <t>QN-10026-E10</t>
  </si>
  <si>
    <t>QN-30925</t>
  </si>
  <si>
    <t>QB-19226-E10</t>
  </si>
  <si>
    <t>TTJ-14626-E7</t>
  </si>
  <si>
    <t>TTB-16026-E4</t>
  </si>
  <si>
    <t>PFT-08526-E9</t>
  </si>
  <si>
    <t>PFT-08026-E9</t>
  </si>
  <si>
    <t>BJ-13526-E4</t>
  </si>
  <si>
    <t>BJ-17426-E2</t>
  </si>
  <si>
    <t>PFR-13625</t>
  </si>
  <si>
    <t>PFR-13725</t>
  </si>
  <si>
    <t>PFR-15725</t>
  </si>
  <si>
    <t>RN-17626-E5</t>
  </si>
  <si>
    <t>RN-17626-E4</t>
  </si>
  <si>
    <t>RN-18226-E3</t>
  </si>
  <si>
    <t>RT-18226-E3</t>
  </si>
  <si>
    <t>RJ-15526-E4</t>
  </si>
  <si>
    <t>RN-18226-E1</t>
  </si>
  <si>
    <t>RP-18326-E1</t>
  </si>
  <si>
    <t>RP-15126-E3</t>
  </si>
  <si>
    <t>RP-16426-E7</t>
  </si>
  <si>
    <t>RP-17726-E4</t>
  </si>
  <si>
    <t>QB-17726-E1</t>
  </si>
  <si>
    <t>SP-17426-E7</t>
  </si>
  <si>
    <t>SN-10426-E3</t>
  </si>
  <si>
    <t>SN-16026-E4</t>
  </si>
  <si>
    <t>SC-18326-E7</t>
  </si>
  <si>
    <t>SN-11186-E5</t>
  </si>
  <si>
    <t>SN-17626-E8</t>
  </si>
  <si>
    <t>PJ-16526-E1</t>
  </si>
  <si>
    <t>PJ-16526-E2</t>
  </si>
  <si>
    <t>PJ-16526-E3</t>
  </si>
  <si>
    <t>SN-14626-E7</t>
  </si>
  <si>
    <t>JB-00926-E4T1</t>
  </si>
  <si>
    <t>JJ-01026-E5</t>
  </si>
  <si>
    <t>JP-35725</t>
  </si>
  <si>
    <t>DUO-07626-VAR11</t>
  </si>
  <si>
    <t>RB-34725</t>
  </si>
  <si>
    <t>RP-17526-E2</t>
  </si>
  <si>
    <t>RO-28825</t>
  </si>
  <si>
    <t>PJ-04226-E3</t>
  </si>
  <si>
    <t>PJ-04226-E4</t>
  </si>
  <si>
    <t>LP-01726-E2</t>
  </si>
  <si>
    <t>PJ-14726-E7</t>
  </si>
  <si>
    <t>SC-16926-E8</t>
  </si>
  <si>
    <t>SA-14326-E7</t>
  </si>
  <si>
    <t>RN-17026-E4</t>
  </si>
  <si>
    <t>RN-16826-E5</t>
  </si>
  <si>
    <t>100</t>
  </si>
  <si>
    <t>LT-102</t>
  </si>
  <si>
    <t>LP-07026-E2</t>
  </si>
  <si>
    <t>RN-16826-E2</t>
  </si>
  <si>
    <t>SN-06926-E4</t>
  </si>
  <si>
    <t>RN-16926-E5</t>
  </si>
  <si>
    <t>RN-16926-E3</t>
  </si>
  <si>
    <t>RN-13426-E8</t>
  </si>
  <si>
    <t>RN-15526-E2</t>
  </si>
  <si>
    <t>RN-15426-E2</t>
  </si>
  <si>
    <t>RN-16926-E4</t>
  </si>
  <si>
    <t>RN-16926-E2</t>
  </si>
  <si>
    <t>RJ-05726-E5</t>
  </si>
  <si>
    <t>RJ-06726-E4</t>
  </si>
  <si>
    <t>QP-23525</t>
  </si>
  <si>
    <t>BN-35725</t>
  </si>
  <si>
    <t>BJ-02226-E5</t>
  </si>
  <si>
    <t>BJ-04226-E4</t>
  </si>
  <si>
    <t>BJ-08626-E4</t>
  </si>
  <si>
    <t>BJ-32925</t>
  </si>
  <si>
    <t>BJ-35025</t>
  </si>
  <si>
    <t>SC-26425</t>
  </si>
  <si>
    <t>QB-14626-E1</t>
  </si>
  <si>
    <t>QB-16926-E10</t>
  </si>
  <si>
    <t>QN-15526-E10</t>
  </si>
  <si>
    <t>QBO-04726</t>
  </si>
  <si>
    <t>QBO-24725</t>
  </si>
  <si>
    <t>LP-14926-E8</t>
  </si>
  <si>
    <t>RN-16726-E7</t>
  </si>
  <si>
    <t>PJ-14926-E7</t>
  </si>
  <si>
    <t>RJ-04226-E3</t>
  </si>
  <si>
    <t>RJ-06626-E4</t>
  </si>
  <si>
    <t>RJ-14626-E5</t>
  </si>
  <si>
    <t>PJ-16426-E1</t>
  </si>
  <si>
    <t>BP-13526-E5</t>
  </si>
  <si>
    <t>SNP-16426-E4</t>
  </si>
  <si>
    <t>RP-14626-E5</t>
  </si>
  <si>
    <t>RN-08926-E1</t>
  </si>
  <si>
    <t>RO-02626-E5</t>
  </si>
  <si>
    <t>RN-17326-E4</t>
  </si>
  <si>
    <t>SN-15426-E1</t>
  </si>
  <si>
    <t>PJ-16426-E2</t>
  </si>
  <si>
    <t>SNP-16426-E1</t>
  </si>
  <si>
    <t>DUO-16726-E11</t>
  </si>
  <si>
    <t>LP-16526-E5</t>
  </si>
  <si>
    <t>RN-16826-E7</t>
  </si>
  <si>
    <t>PJ-12926-E2</t>
  </si>
  <si>
    <t>RJ-14626-E4</t>
  </si>
  <si>
    <t>RP-17526-E3</t>
  </si>
  <si>
    <t>SC-31025</t>
  </si>
  <si>
    <t>RB-13426-E5</t>
  </si>
  <si>
    <t>RB-35725</t>
  </si>
  <si>
    <t>RB-35825</t>
  </si>
  <si>
    <t>RJ-15426-E4</t>
  </si>
  <si>
    <t>QP-20425</t>
  </si>
  <si>
    <t>QN-00526-E10T2</t>
  </si>
  <si>
    <t>QN-00626-E10T1</t>
  </si>
  <si>
    <t>QN-00626-E10T2</t>
  </si>
  <si>
    <t>SP-17526-E7</t>
  </si>
  <si>
    <t>RN-03826-E8</t>
  </si>
  <si>
    <t>RN-03926-E8</t>
  </si>
  <si>
    <t>RB-15326-E3</t>
  </si>
  <si>
    <t>RN-17626-E3</t>
  </si>
  <si>
    <t>RP-15426-E2</t>
  </si>
  <si>
    <t>RP-16726-E2</t>
  </si>
  <si>
    <t>RP-16726-E3</t>
  </si>
  <si>
    <t>RB-28525</t>
  </si>
  <si>
    <t>RB-17426-E3</t>
  </si>
  <si>
    <t>RP-17526-E4</t>
  </si>
  <si>
    <t>RP-15326-E2</t>
  </si>
  <si>
    <t>RP-16626-E3</t>
  </si>
  <si>
    <t>RB-15426-E3</t>
  </si>
  <si>
    <t>RP-17526-E5</t>
  </si>
  <si>
    <t>RTRJ-14626-E5</t>
  </si>
  <si>
    <t>RJ-14526-E5</t>
  </si>
  <si>
    <t>RN-06326-E2</t>
  </si>
  <si>
    <t>RN-14626-E5</t>
  </si>
  <si>
    <t>RH-30725</t>
  </si>
  <si>
    <t>RH-31925</t>
  </si>
  <si>
    <t>RH-32025</t>
  </si>
  <si>
    <t>RH-34425</t>
  </si>
  <si>
    <t>RJ-17626-E1</t>
  </si>
  <si>
    <t>TTN-15326-E7</t>
  </si>
  <si>
    <t>DUO-16326-E11</t>
  </si>
  <si>
    <t>RN-13326-E8</t>
  </si>
  <si>
    <t>SNP-16226-E1</t>
  </si>
  <si>
    <t>SC-16826-E8</t>
  </si>
  <si>
    <t>TTJ-15926-E5</t>
  </si>
  <si>
    <t>TTN-15926-E3</t>
  </si>
  <si>
    <t>TTN-16026-E5</t>
  </si>
  <si>
    <t>SP-13326-E5</t>
  </si>
  <si>
    <t>RP-06626-E3</t>
  </si>
  <si>
    <t>RP-08926-E3</t>
  </si>
  <si>
    <t>RP-09026-E3</t>
  </si>
  <si>
    <t>RP-09026-E2</t>
  </si>
  <si>
    <t>SP-15826-E7</t>
  </si>
  <si>
    <t>DUO-04726-E11</t>
  </si>
  <si>
    <t>RP-09126-E3</t>
  </si>
  <si>
    <t>TIY-13026-E7</t>
  </si>
  <si>
    <t>DUO-11326-E11</t>
  </si>
  <si>
    <t>PJ-12926-E1</t>
  </si>
  <si>
    <t>RP-09126-E2</t>
  </si>
  <si>
    <t>SP-01626-E7</t>
  </si>
  <si>
    <t>SN-16026-E2</t>
  </si>
  <si>
    <t>LP-16426-E4</t>
  </si>
  <si>
    <t>DUO-09626-E11</t>
  </si>
  <si>
    <t>DUO-13426-E11</t>
  </si>
  <si>
    <t>PJ-09826-E2</t>
  </si>
  <si>
    <t>SP-02426-E8</t>
  </si>
  <si>
    <t>DUO-10526-E11</t>
  </si>
  <si>
    <t>RJ-08526-E5</t>
  </si>
  <si>
    <t>DUO-10526</t>
  </si>
  <si>
    <t>DUO-11626</t>
  </si>
  <si>
    <t>DUO-09826</t>
  </si>
  <si>
    <t>DUO-11426</t>
  </si>
  <si>
    <t>DUO-13826</t>
  </si>
  <si>
    <t>SN-11226-E1</t>
  </si>
  <si>
    <t>SN-16126-E4</t>
  </si>
  <si>
    <t>DUO-16226-E11</t>
  </si>
  <si>
    <t>SN-14226-E7</t>
  </si>
  <si>
    <t>SN-12626-E4</t>
  </si>
  <si>
    <t>SN-16226-E4</t>
  </si>
  <si>
    <t>SN-09226-E8</t>
  </si>
  <si>
    <t>SP-03026-E7</t>
  </si>
  <si>
    <t>DUO-02826-VAR</t>
  </si>
  <si>
    <t>DUO-09026</t>
  </si>
  <si>
    <t>SC-24825</t>
  </si>
  <si>
    <t>PJ-01726-E3</t>
  </si>
  <si>
    <t>SN-03626</t>
  </si>
  <si>
    <t>PFT-31625</t>
  </si>
  <si>
    <t>PFT-32425</t>
  </si>
  <si>
    <t>PFR-15225</t>
  </si>
  <si>
    <t>PFR-15525</t>
  </si>
  <si>
    <t>PF</t>
  </si>
  <si>
    <t>PFT-07826-E9</t>
  </si>
  <si>
    <t>PFR-13525</t>
  </si>
  <si>
    <t>PFT-08626-E9</t>
  </si>
  <si>
    <t>PF-22924</t>
  </si>
  <si>
    <t>PFR-31025</t>
  </si>
  <si>
    <t>PFT-27325</t>
  </si>
  <si>
    <t>PFT-32325</t>
  </si>
  <si>
    <t>SN-17926-E7</t>
  </si>
  <si>
    <t>SN-21526-E3</t>
  </si>
  <si>
    <t>SN-21526-E1</t>
  </si>
  <si>
    <t>SN-21626-E1</t>
  </si>
  <si>
    <t>PFT-08426-E9</t>
  </si>
  <si>
    <t>SN-21726-E3</t>
  </si>
  <si>
    <t>PFR-30325</t>
  </si>
  <si>
    <t>PFT-03826-E9</t>
  </si>
  <si>
    <t>PFR-28725</t>
  </si>
  <si>
    <t>PFR-29425</t>
  </si>
  <si>
    <t>PFR-21726-E9</t>
  </si>
  <si>
    <t>SN-21726-E2</t>
  </si>
  <si>
    <t>TTN-21826-E4</t>
  </si>
  <si>
    <t>PFR-21826-E9</t>
  </si>
  <si>
    <t>TTJ-21826-E2</t>
  </si>
  <si>
    <t>DUO-21726</t>
  </si>
  <si>
    <t>TTB-21826-E3</t>
  </si>
  <si>
    <t>TTN-21826-E1</t>
  </si>
  <si>
    <t>RP-21926-E5</t>
  </si>
  <si>
    <t>RP-21926-E4</t>
  </si>
  <si>
    <t>RP-21926-E3</t>
  </si>
  <si>
    <t>PFR-29225</t>
  </si>
  <si>
    <t>PFT-24725</t>
  </si>
  <si>
    <t>RJ-21926-E2</t>
  </si>
  <si>
    <t>RP-18826-E7</t>
  </si>
  <si>
    <t>SC-17026-E8</t>
  </si>
  <si>
    <t>RN-09026-E1</t>
  </si>
  <si>
    <t>PFR-28525</t>
  </si>
  <si>
    <t>PFR-28025</t>
  </si>
  <si>
    <t>RN-22426-E2</t>
  </si>
  <si>
    <t>PJ-17525</t>
  </si>
  <si>
    <t>SN-21726-E4</t>
  </si>
  <si>
    <t>BN-22326-E1</t>
  </si>
  <si>
    <t>BN-22426-E1</t>
  </si>
  <si>
    <t>BN-22426-E3</t>
  </si>
  <si>
    <t>RP-19826-E5</t>
  </si>
  <si>
    <t>RP-18926-E8</t>
  </si>
  <si>
    <t>RJ-21926-E1</t>
  </si>
  <si>
    <t>RN-22426-E3</t>
  </si>
  <si>
    <t>BJ-22226-E4</t>
  </si>
  <si>
    <t>BJ-22326-E4</t>
  </si>
  <si>
    <t>SN-22026-E8</t>
  </si>
  <si>
    <t>SN-22426-E7</t>
  </si>
  <si>
    <t>PFT-22526-E9</t>
  </si>
  <si>
    <t>RH-25125</t>
  </si>
  <si>
    <t>SNP-06926-E3</t>
  </si>
  <si>
    <t>PF-24224</t>
  </si>
  <si>
    <t>PFT-18225</t>
  </si>
  <si>
    <t>SN-21726-E5</t>
  </si>
  <si>
    <t>RP-22626-E2</t>
  </si>
  <si>
    <t>RJ-22426-E1</t>
  </si>
  <si>
    <t>RJ-22526-E1</t>
  </si>
  <si>
    <t>SN-21826-E1</t>
  </si>
  <si>
    <t>BP-22326-E5</t>
  </si>
  <si>
    <t>SN-22426-E11</t>
  </si>
  <si>
    <t>SN-22526-E11</t>
  </si>
  <si>
    <t>SC-22626-E7</t>
  </si>
  <si>
    <t>RJ-22626-E5</t>
  </si>
  <si>
    <t>SC-22626-E1</t>
  </si>
  <si>
    <t>PFT-24825</t>
  </si>
  <si>
    <t>PFT-02826-E9</t>
  </si>
  <si>
    <t>PFT-22425</t>
  </si>
  <si>
    <t>PFT-03726-E9</t>
  </si>
  <si>
    <t>PF-14826-E9</t>
  </si>
  <si>
    <t>PFR-29925</t>
  </si>
  <si>
    <t>PFR-28825</t>
  </si>
  <si>
    <t>PFR-29125</t>
  </si>
  <si>
    <t>PFR-29825</t>
  </si>
  <si>
    <t>LP-22626-E5</t>
  </si>
  <si>
    <t>QB-22726-E10</t>
  </si>
  <si>
    <t>QB-22626-E10</t>
  </si>
  <si>
    <t>SC-22626-E5</t>
  </si>
  <si>
    <t>SC-22526-E5</t>
  </si>
  <si>
    <t>SC-22826-E7</t>
  </si>
  <si>
    <t>SC-22726-E7</t>
  </si>
  <si>
    <t>SC-22626-E8</t>
  </si>
  <si>
    <t>SC-22726-E8</t>
  </si>
  <si>
    <t>SC-22826-E8</t>
  </si>
  <si>
    <t>RP-22726-E2</t>
  </si>
  <si>
    <t>RP-22726-E3</t>
  </si>
  <si>
    <t>RP-22826-E3</t>
  </si>
  <si>
    <t>SC-22726-E1</t>
  </si>
  <si>
    <t>INFORME 201/26</t>
  </si>
  <si>
    <t>PFT-22626-E9</t>
  </si>
  <si>
    <t>QB-22826-E10</t>
  </si>
  <si>
    <t>SC-22826-E1</t>
  </si>
  <si>
    <t>RP-17526-E1</t>
  </si>
  <si>
    <t>SC-32525</t>
  </si>
  <si>
    <t>SN-19126-E1</t>
  </si>
  <si>
    <t>SP-19826-E7</t>
  </si>
  <si>
    <t>SN-22426</t>
  </si>
  <si>
    <t>SC-30525</t>
  </si>
  <si>
    <t>SN-17726-E7</t>
  </si>
  <si>
    <t>LP-12926-E3</t>
  </si>
  <si>
    <t>LP-12826-E4</t>
  </si>
  <si>
    <t>LP-12926-E4</t>
  </si>
  <si>
    <t>SP-19926-E7</t>
  </si>
  <si>
    <t>SN-18826-E2</t>
  </si>
  <si>
    <t>SN-21626-E5</t>
  </si>
  <si>
    <t>SN-16426-E4</t>
  </si>
  <si>
    <t>SN-16026-E5</t>
  </si>
  <si>
    <t>SN-12926-E3</t>
  </si>
  <si>
    <t>SN-13026-E3</t>
  </si>
  <si>
    <t>SN-12826-E5</t>
  </si>
  <si>
    <t>SN-12526-E5</t>
  </si>
  <si>
    <t>SN-11826-E5</t>
  </si>
  <si>
    <t>SN-18826-E5</t>
  </si>
  <si>
    <t>SN-17726-E8</t>
  </si>
  <si>
    <t>SN-10926-E3</t>
  </si>
  <si>
    <t>SN-10626-E2</t>
  </si>
  <si>
    <t>SN-11226-E2</t>
  </si>
  <si>
    <t>SN-16326-E1</t>
  </si>
  <si>
    <t>TIY-19226-E7</t>
  </si>
  <si>
    <t>SP-18426-E7</t>
  </si>
  <si>
    <t>SN-21526-E2</t>
  </si>
  <si>
    <t>PACK-17026</t>
  </si>
  <si>
    <t>DUO-17326</t>
  </si>
  <si>
    <t>SC-18326-E8</t>
  </si>
  <si>
    <t>TTJ-21826-E5</t>
  </si>
  <si>
    <t>DUO-18326</t>
  </si>
  <si>
    <t>DUO-13526-E11</t>
  </si>
  <si>
    <t>SN-21626-E4</t>
  </si>
  <si>
    <t>SN-21626-E3</t>
  </si>
  <si>
    <t>QP-19026-E10</t>
  </si>
  <si>
    <t>SN-21726-E1</t>
  </si>
  <si>
    <t>QN-16926-E10</t>
  </si>
  <si>
    <t>SP-17426-E5</t>
  </si>
  <si>
    <t>QB-21726-E10</t>
  </si>
  <si>
    <t>SN-18926-E2</t>
  </si>
  <si>
    <t>TIY-17426-E5</t>
  </si>
  <si>
    <t>SP-15626-E7</t>
  </si>
  <si>
    <t>SP-15526-E7</t>
  </si>
  <si>
    <t>SP-15426-E7</t>
  </si>
  <si>
    <t>QN-17626-E10</t>
  </si>
  <si>
    <t>BP-22226-E5</t>
  </si>
  <si>
    <t>TTN-21826-E5</t>
  </si>
  <si>
    <t>RB-17326-E3</t>
  </si>
  <si>
    <t>RJ-17326-E2</t>
  </si>
  <si>
    <t>RJ-16726-E1</t>
  </si>
  <si>
    <t>QP-13526-E10</t>
  </si>
  <si>
    <t>QP-15726-E10</t>
  </si>
  <si>
    <t>TTB-21826-E4</t>
  </si>
  <si>
    <t>PJ-01626-E1</t>
  </si>
  <si>
    <t>TTJ-21926-E5</t>
  </si>
  <si>
    <t>RN-17426-E4</t>
  </si>
  <si>
    <t>RJ-22026-E1</t>
  </si>
  <si>
    <t>RN-22426-E1</t>
  </si>
  <si>
    <t>RN-19526-E1</t>
  </si>
  <si>
    <t>RP-22226-E3</t>
  </si>
  <si>
    <t>RN-22226-E3</t>
  </si>
  <si>
    <t>RT-18226-E4</t>
  </si>
  <si>
    <t>RP-18526-E4</t>
  </si>
  <si>
    <t>RP-22626-E3</t>
  </si>
  <si>
    <t>RP-22426-E2</t>
  </si>
  <si>
    <t>RP-22526-E2</t>
  </si>
  <si>
    <t>RP-22526-E3</t>
  </si>
  <si>
    <t>RP-22426-E3</t>
  </si>
  <si>
    <t>RP-22026-E4</t>
  </si>
  <si>
    <t>RP-22026-E3</t>
  </si>
  <si>
    <t>RP-22026-E5</t>
  </si>
  <si>
    <t>RP-19626-E2</t>
  </si>
  <si>
    <t>DUO-23026</t>
  </si>
  <si>
    <t>QB-22826-E1</t>
  </si>
  <si>
    <t>RN-23026-E2</t>
  </si>
  <si>
    <t>RN-22926-E3</t>
  </si>
  <si>
    <t>RN-23026-E3</t>
  </si>
  <si>
    <t>RN-22926-E4</t>
  </si>
  <si>
    <t>RN-23026-E4</t>
  </si>
  <si>
    <t>RN-22926-E5</t>
  </si>
  <si>
    <t>RN-23026-E5</t>
  </si>
  <si>
    <t>RP-23026-E1</t>
  </si>
  <si>
    <t>RP-23126-E1</t>
  </si>
  <si>
    <t>RN-23126-E5</t>
  </si>
  <si>
    <t>SN-23026-E11</t>
  </si>
  <si>
    <t>SN-23126-E11</t>
  </si>
  <si>
    <t>RP-23126-E5</t>
  </si>
  <si>
    <t>RP-23126-E4</t>
  </si>
  <si>
    <t>RP-23126-E3</t>
  </si>
  <si>
    <t>RP-23126-E2</t>
  </si>
  <si>
    <t>DUO-23126</t>
  </si>
  <si>
    <t>RP-23226-E2</t>
  </si>
  <si>
    <t>RP-23226-E3</t>
  </si>
  <si>
    <t>RP-23226-E5</t>
  </si>
  <si>
    <t>SN-23126-E8</t>
  </si>
  <si>
    <t>SN-23226-E8</t>
  </si>
  <si>
    <t>SN-23226-E7</t>
  </si>
  <si>
    <t>BN-11326-E4</t>
  </si>
  <si>
    <t>BN-35625</t>
  </si>
  <si>
    <t>BP-08826-E5</t>
  </si>
  <si>
    <t>RP-23326-E3</t>
  </si>
  <si>
    <t>RP-23326-E4</t>
  </si>
  <si>
    <t>RP-23326-E5</t>
  </si>
  <si>
    <t>PJ-23326-E8</t>
  </si>
  <si>
    <t>LP-23326-E7</t>
  </si>
  <si>
    <t>SN-22926-E7</t>
  </si>
  <si>
    <t>SN-23126-E7</t>
  </si>
  <si>
    <t>SN-23026-E8</t>
  </si>
  <si>
    <t>RP-23426-E1</t>
  </si>
  <si>
    <t>RP-23426-E5</t>
  </si>
  <si>
    <t>RP-23426-E4</t>
  </si>
  <si>
    <t>RP-23526-E2</t>
  </si>
  <si>
    <t>RP-23526-E3</t>
  </si>
  <si>
    <t>RP-23526-E4</t>
  </si>
  <si>
    <t>RP-23526-E5</t>
  </si>
  <si>
    <t>RP-23426-E3</t>
  </si>
  <si>
    <t>RP-23426-E2</t>
  </si>
  <si>
    <t>BP-17426-E4</t>
  </si>
  <si>
    <t>RP-23326-E2</t>
  </si>
  <si>
    <t>RP-23626-E2</t>
  </si>
  <si>
    <t>RP-23626-E1</t>
  </si>
  <si>
    <t>RP-23626-E3</t>
  </si>
  <si>
    <t>RP-23626-E4</t>
  </si>
  <si>
    <t>RP-23626-E5</t>
  </si>
  <si>
    <t>RP-23726-E3</t>
  </si>
  <si>
    <t>RP-23726-E2</t>
  </si>
  <si>
    <t>RP-23726-E4</t>
  </si>
  <si>
    <t>RP-23726-E1</t>
  </si>
  <si>
    <t>RP-23726-E5</t>
  </si>
  <si>
    <t>PFR-28925</t>
  </si>
  <si>
    <t>RP-23826-E3</t>
  </si>
  <si>
    <t>DUO-23726</t>
  </si>
  <si>
    <t>PFT-23726-E9</t>
  </si>
  <si>
    <t>PFT-23826-E9</t>
  </si>
  <si>
    <t>RP-23826-E1</t>
  </si>
  <si>
    <t>RP-23826-E2</t>
  </si>
  <si>
    <t>RP-23826-E4</t>
  </si>
  <si>
    <t>RP-23826-E5</t>
  </si>
  <si>
    <t>DUO-23826</t>
  </si>
  <si>
    <t>RP-23926-E5</t>
  </si>
  <si>
    <t>RP-23926-E4</t>
  </si>
  <si>
    <t>RP-23926-E3</t>
  </si>
  <si>
    <t>RP-23926-E2</t>
  </si>
  <si>
    <t>RO-00725</t>
  </si>
  <si>
    <t>JJ-05025</t>
  </si>
  <si>
    <t>RP-23926-E1</t>
  </si>
  <si>
    <t>BN-22326-E4</t>
  </si>
  <si>
    <t>PFT-23926-E9</t>
  </si>
  <si>
    <t>RP-24026-E1</t>
  </si>
  <si>
    <t>RP-24026-E5</t>
  </si>
  <si>
    <t>RP-24026-E3</t>
  </si>
  <si>
    <t>LP-20426-E7</t>
  </si>
  <si>
    <t>RP-24026-E2</t>
  </si>
  <si>
    <t>RP-24026-E4</t>
  </si>
  <si>
    <t>SC-24026-E7</t>
  </si>
  <si>
    <t>SC-23926-E7</t>
  </si>
  <si>
    <t>SC-24026-E8</t>
  </si>
  <si>
    <t>QN-23826-E10</t>
  </si>
  <si>
    <t>BN-22326-E3</t>
  </si>
  <si>
    <t>CT-15/26</t>
  </si>
  <si>
    <t>RJ-22026-E2</t>
  </si>
  <si>
    <t>CR-19/26</t>
  </si>
  <si>
    <t>CT-20/26</t>
  </si>
  <si>
    <t>INFORME 229/26</t>
  </si>
  <si>
    <t>CT-21/26</t>
  </si>
  <si>
    <t>SN-23326-E11</t>
  </si>
  <si>
    <t>QN-23726-E10</t>
  </si>
  <si>
    <t>SN-23426-E11</t>
  </si>
  <si>
    <t>QN-20026-E10</t>
  </si>
  <si>
    <t>SN-22526-E7</t>
  </si>
  <si>
    <t>SN-23026-E7</t>
  </si>
  <si>
    <t>SN-21626-E2</t>
  </si>
  <si>
    <t>SN-18926-E5</t>
  </si>
  <si>
    <t>SN-16126-E3</t>
  </si>
  <si>
    <t>INFORME 204/26</t>
  </si>
  <si>
    <t>INFORME 193/26</t>
  </si>
  <si>
    <t>INFORME 195/26</t>
  </si>
  <si>
    <t>INFORME 10/26</t>
  </si>
  <si>
    <t>INFORME 11/26</t>
  </si>
  <si>
    <t>INFORME 13/26</t>
  </si>
  <si>
    <t>RP-24126-E1</t>
  </si>
  <si>
    <t>RP-24126-E2</t>
  </si>
  <si>
    <t>RP-24126-E3</t>
  </si>
  <si>
    <t>RP-24126-E4</t>
  </si>
  <si>
    <t>RP-24126-E5</t>
  </si>
  <si>
    <t>RP-24226-E2</t>
  </si>
  <si>
    <t>RP-24226-E3</t>
  </si>
  <si>
    <t>RP-24226-E4</t>
  </si>
  <si>
    <t>RP-24226-E5</t>
  </si>
  <si>
    <t>RP-24326-E4</t>
  </si>
  <si>
    <t>RP-24326-E5</t>
  </si>
  <si>
    <t>RP-24326-E3</t>
  </si>
  <si>
    <t>INFORME 26/26</t>
  </si>
  <si>
    <t>INFORME 232/26</t>
  </si>
  <si>
    <t>RP-24326-E1</t>
  </si>
  <si>
    <t>RP-24326-E2</t>
  </si>
  <si>
    <t>RP-24426-E3</t>
  </si>
  <si>
    <t>RP-24426-E4</t>
  </si>
  <si>
    <t>RP-24426-E5</t>
  </si>
  <si>
    <t>SC-24026-E1</t>
  </si>
  <si>
    <t>SC-24126-E1</t>
  </si>
  <si>
    <t>SC-24126-E8</t>
  </si>
  <si>
    <t>SN-24126-E8</t>
  </si>
  <si>
    <t>SN-24426-E8</t>
  </si>
  <si>
    <t>SN-24426-E7</t>
  </si>
  <si>
    <t>RP-24426-E1</t>
  </si>
  <si>
    <t>RP-24426-E2</t>
  </si>
  <si>
    <t>RP-24526-E3</t>
  </si>
  <si>
    <t>RP-24526-E4</t>
  </si>
  <si>
    <t>PACK-23926</t>
  </si>
  <si>
    <t>PACK-24326</t>
  </si>
  <si>
    <t>RP-24526-E5</t>
  </si>
  <si>
    <t>SN-23226-E11</t>
  </si>
  <si>
    <t>SF-103</t>
  </si>
  <si>
    <t>INFORME 233/26</t>
  </si>
  <si>
    <t>RJ-24526-E5</t>
  </si>
  <si>
    <t>RJ-24526-E1</t>
  </si>
  <si>
    <t>RJ-24526-E2</t>
  </si>
  <si>
    <t>INFORME 234/26</t>
  </si>
  <si>
    <t>OP-48/26</t>
  </si>
  <si>
    <t>SN-24626</t>
  </si>
  <si>
    <t>LP-24626-E8</t>
  </si>
  <si>
    <t>INFORME 192/26</t>
  </si>
  <si>
    <t>INFORME 194/26</t>
  </si>
  <si>
    <t>INFORME 196/26</t>
  </si>
  <si>
    <t>INFORME 207/26</t>
  </si>
  <si>
    <t>INFORME 211/26</t>
  </si>
  <si>
    <t>INFORME 225/26</t>
  </si>
  <si>
    <t>INFORME 228/26</t>
  </si>
  <si>
    <t>INFORME 230/26</t>
  </si>
  <si>
    <t>INFORME 231/26</t>
  </si>
  <si>
    <t>RJ-24526-E3</t>
  </si>
  <si>
    <t>RJ-24626-E3</t>
  </si>
  <si>
    <t>RJ-24626-E5</t>
  </si>
  <si>
    <t>SN-24526-E7</t>
  </si>
  <si>
    <t>SN-24526-E8</t>
  </si>
  <si>
    <t>BJ-24626-E2</t>
  </si>
  <si>
    <t>BJ-24626-E1</t>
  </si>
  <si>
    <t>SF-03/Cuarentena</t>
  </si>
  <si>
    <t>SF-03/Preproducción</t>
  </si>
  <si>
    <t>SF-03/PT/VENCIDOS Y OBSERVADOS</t>
  </si>
  <si>
    <t>SF-03/PT/STOCK</t>
  </si>
  <si>
    <t>SF-03/PT/SALDOS</t>
  </si>
  <si>
    <t>SF-03/Posproducción</t>
  </si>
  <si>
    <t>SF-03/Desmedro Otros</t>
  </si>
  <si>
    <t>SF-03/Desecho</t>
  </si>
  <si>
    <t>SF-03/PT</t>
  </si>
  <si>
    <t>SF-03/Control calidad</t>
  </si>
  <si>
    <t>SF-03/Entrada</t>
  </si>
  <si>
    <t>SF-03/PT/STOCK/01D/012/001/001</t>
  </si>
  <si>
    <t>SF-03/PT/STOCK/01D/005/002</t>
  </si>
  <si>
    <t>SF-03/PT/STOCK/01D/011/001/001</t>
  </si>
  <si>
    <t>SF-03/PT/STOCK/01D/010/001/002</t>
  </si>
  <si>
    <t>SF-03/PT/STOCK/01D/013/003</t>
  </si>
  <si>
    <t>SF-03/PT/STOCK/01D/013/001/002</t>
  </si>
  <si>
    <t>SF-03/PT/STOCK/01D/013/001/001</t>
  </si>
  <si>
    <t>SF-03/PT/STOCK/01D/013/004</t>
  </si>
  <si>
    <t>SF-03/PT/STOCK/01D/014/001/002</t>
  </si>
  <si>
    <t>SF-03/PT/STOCK/01D/014/003</t>
  </si>
  <si>
    <t>SF-03/PT/STOCK/01D/014/004</t>
  </si>
  <si>
    <t>SF-03/PT/STOCK/01I/002/004</t>
  </si>
  <si>
    <t>SF-03/PT/STOCK/01I/002/003</t>
  </si>
  <si>
    <t>SF-03/PT/STOCK/01I/002/002</t>
  </si>
  <si>
    <t>SF-03/PT/STOCK/01D/017/003</t>
  </si>
  <si>
    <t>SF-03/PT/STOCK/01D/015/004</t>
  </si>
  <si>
    <t>SF-03/PT/STOCK/01D/015/003</t>
  </si>
  <si>
    <t>SF-03/PT/STOCK/06D/019/003</t>
  </si>
  <si>
    <t>SF-03/PT/STOCK/06D/018/004</t>
  </si>
  <si>
    <t>SF-03/PT/STOCK/06D/017/004</t>
  </si>
  <si>
    <t>SF-03/PT/STOCK/06D/017/003</t>
  </si>
  <si>
    <t>SF-03/PT/STOCK/06D/016/003</t>
  </si>
  <si>
    <t>SF-03/PT/STOCK/06D/015/004</t>
  </si>
  <si>
    <t>SF-03/PT/STOCK/06D/015/003</t>
  </si>
  <si>
    <t>SF-03/PT/STOCK/06D/015/002</t>
  </si>
  <si>
    <t>SF-03/PT/STOCK/06D/014/004</t>
  </si>
  <si>
    <t>SF-03/PT/STOCK/06D/014/001/002</t>
  </si>
  <si>
    <t>SF-03/PT/STOCK/06D/013/004</t>
  </si>
  <si>
    <t>SF-03/PT/STOCK/06D/013/003</t>
  </si>
  <si>
    <t>SF-03/PT/STOCK/06D/013/002</t>
  </si>
  <si>
    <t>SF-03/PT/STOCK/06D/012/004</t>
  </si>
  <si>
    <t>SF-03/PT/STOCK/06D/012/003</t>
  </si>
  <si>
    <t>SF-03/PT/STOCK/06D/012/001/001</t>
  </si>
  <si>
    <t>SF-03/PT/STOCK/06D/011/003</t>
  </si>
  <si>
    <t>SF-03/PT/STOCK/06D/011/002</t>
  </si>
  <si>
    <t>SF-03/PT/STOCK/06D/011/001/001</t>
  </si>
  <si>
    <t>SF-03/PT/STOCK/06D/010/004</t>
  </si>
  <si>
    <t>SF-03/PT/STOCK/06D/010/003</t>
  </si>
  <si>
    <t>SF-03/PT/STOCK/06D/009/004</t>
  </si>
  <si>
    <t>SF-03/PT/STOCK/06D/009/002</t>
  </si>
  <si>
    <t>SF-03/PT/STOCK/06D/008/003</t>
  </si>
  <si>
    <t>SF-03/PT/STOCK/06D/008/002</t>
  </si>
  <si>
    <t>SF-03/PT/STOCK/06D/007/004</t>
  </si>
  <si>
    <t>SF-03/PT/STOCK/06D/007/003</t>
  </si>
  <si>
    <t>SF-03/PT/STOCK/06D/007/002</t>
  </si>
  <si>
    <t>SF-03/PT/STOCK/06D/007/001/001</t>
  </si>
  <si>
    <t>SF-03/PT/STOCK/06D/006/004</t>
  </si>
  <si>
    <t>SF-03/PT/STOCK/06D/006/001/002</t>
  </si>
  <si>
    <t>SF-03/PT/STOCK/06D/005/002</t>
  </si>
  <si>
    <t>SF-03/PT/STOCK/06D/002/003</t>
  </si>
  <si>
    <t>SF-03/PT/STOCK/06D/001/002</t>
  </si>
  <si>
    <t>SF-03/PT/STOCK/05I/020/004</t>
  </si>
  <si>
    <t>SF-03/PT/STOCK/05I/020/003</t>
  </si>
  <si>
    <t>SF-03/PT/STOCK/05I/020/002</t>
  </si>
  <si>
    <t>SF-03/PT/STOCK/05I/020/001/002</t>
  </si>
  <si>
    <t>SF-03/PT/STOCK/05I/020/001/001</t>
  </si>
  <si>
    <t>SF-03/PT/STOCK/05I/019/004</t>
  </si>
  <si>
    <t>SF-03/PT/STOCK/05I/019/003</t>
  </si>
  <si>
    <t>SF-03/PT/STOCK/05I/019/002</t>
  </si>
  <si>
    <t>SF-03/PT/STOCK/05I/019/001/002</t>
  </si>
  <si>
    <t>SF-03/PT/STOCK/05I/019/001/001</t>
  </si>
  <si>
    <t>SF-03/PT/STOCK/05I/018/004</t>
  </si>
  <si>
    <t>SF-03/PT/STOCK/05I/018/003</t>
  </si>
  <si>
    <t>SF-03/PT/STOCK/05I/018/002</t>
  </si>
  <si>
    <t>SF-03/PT/STOCK/05I/018/001/002</t>
  </si>
  <si>
    <t>SF-03/PT/STOCK/05I/018/001/001</t>
  </si>
  <si>
    <t>SF-03/PT/STOCK/05I/017/004</t>
  </si>
  <si>
    <t>SF-03/PT/STOCK/05I/017/003</t>
  </si>
  <si>
    <t>SF-03/PT/STOCK/05I/017/002</t>
  </si>
  <si>
    <t>SF-03/PT/STOCK/05I/017/001/002</t>
  </si>
  <si>
    <t>SF-03/PT/STOCK/05I/017/001/001</t>
  </si>
  <si>
    <t>SF-03/PT/STOCK/05I/016/004</t>
  </si>
  <si>
    <t>SF-03/PT/STOCK/05I/016/003</t>
  </si>
  <si>
    <t>SF-03/PT/STOCK/05I/016/002</t>
  </si>
  <si>
    <t>SF-03/PT/STOCK/05I/016/001/002</t>
  </si>
  <si>
    <t>SF-03/PT/STOCK/05I/016/001/001</t>
  </si>
  <si>
    <t>SF-03/PT/STOCK/05I/015/004</t>
  </si>
  <si>
    <t>SF-03/PT/STOCK/05I/015/003</t>
  </si>
  <si>
    <t>SF-03/PT/STOCK/05I/015/002</t>
  </si>
  <si>
    <t>SF-03/PT/STOCK/05I/015/001/002</t>
  </si>
  <si>
    <t>SF-03/PT/STOCK/05I/015/001/001</t>
  </si>
  <si>
    <t>SF-03/PT/STOCK/05I/014/004</t>
  </si>
  <si>
    <t>SF-03/PT/STOCK/05I/014/003</t>
  </si>
  <si>
    <t>SF-03/PT/STOCK/05I/014/002</t>
  </si>
  <si>
    <t>SF-03/PT/STOCK/05I/014/001/002</t>
  </si>
  <si>
    <t>SF-03/PT/STOCK/05I/014/001/001</t>
  </si>
  <si>
    <t>SF-03/PT/STOCK/05I/013/004</t>
  </si>
  <si>
    <t>SF-03/PT/STOCK/05I/013/003</t>
  </si>
  <si>
    <t>SF-03/PT/STOCK/05I/013/002</t>
  </si>
  <si>
    <t>SF-03/PT/STOCK/05I/013/001/002</t>
  </si>
  <si>
    <t>SF-03/PT/STOCK/05I/013/001/001</t>
  </si>
  <si>
    <t>SF-03/PT/STOCK/05I/012/004</t>
  </si>
  <si>
    <t>SF-03/PT/STOCK/05I/012/003</t>
  </si>
  <si>
    <t>SF-03/PT/STOCK/05I/012/002</t>
  </si>
  <si>
    <t>SF-03/PT/STOCK/05I/012/001/002</t>
  </si>
  <si>
    <t>SF-03/PT/STOCK/05I/012/001/001</t>
  </si>
  <si>
    <t>SF-03/PT/STOCK/05I/011/004</t>
  </si>
  <si>
    <t>SF-03/PT/STOCK/05I/011/003</t>
  </si>
  <si>
    <t>SF-03/PT/STOCK/05I/011/002</t>
  </si>
  <si>
    <t>SF-03/PT/STOCK/05I/011/001/002</t>
  </si>
  <si>
    <t>SF-03/PT/STOCK/05I/011/001/001</t>
  </si>
  <si>
    <t>SF-03/PT/STOCK/05I/010/004</t>
  </si>
  <si>
    <t>SF-03/PT/STOCK/05I/010/003</t>
  </si>
  <si>
    <t>SF-03/PT/STOCK/05I/010/001/002</t>
  </si>
  <si>
    <t>SF-03/PT/STOCK/05I/009/004</t>
  </si>
  <si>
    <t>SF-03/PT/STOCK/05I/009/003</t>
  </si>
  <si>
    <t>SF-03/PT/STOCK/05I/009/002</t>
  </si>
  <si>
    <t>SF-03/PT/STOCK/05I/009/001/002</t>
  </si>
  <si>
    <t>SF-03/PT/STOCK/05I/009/001/001</t>
  </si>
  <si>
    <t>SF-03/PT/STOCK/05I/008/004</t>
  </si>
  <si>
    <t>SF-03/PT/STOCK/05I/008/003</t>
  </si>
  <si>
    <t>SF-03/PT/STOCK/05I/007/004</t>
  </si>
  <si>
    <t>SF-03/PT/STOCK/05I/007/003</t>
  </si>
  <si>
    <t>SF-03/PT/STOCK/05I/007/002</t>
  </si>
  <si>
    <t>SF-03/PT/STOCK/05I/006/003</t>
  </si>
  <si>
    <t>SF-03/PT/STOCK/05I/006/002</t>
  </si>
  <si>
    <t>SF-03/PT/STOCK/05I/006/001/002</t>
  </si>
  <si>
    <t>SF-03/PT/STOCK/05I/006/001/001</t>
  </si>
  <si>
    <t>SF-03/PT/STOCK/05I/005/004</t>
  </si>
  <si>
    <t>SF-03/PT/STOCK/05I/005/003</t>
  </si>
  <si>
    <t>SF-03/PT/STOCK/05I/005/002</t>
  </si>
  <si>
    <t>SF-03/PT/STOCK/05I/004/004</t>
  </si>
  <si>
    <t>SF-03/PT/STOCK/05I/004/003</t>
  </si>
  <si>
    <t>SF-03/PT/STOCK/05I/004/002</t>
  </si>
  <si>
    <t>SF-03/PT/STOCK/05I/004/001/001</t>
  </si>
  <si>
    <t>SF-03/PT/STOCK/05I/003/003</t>
  </si>
  <si>
    <t>SF-03/PT/STOCK/05I/003/002</t>
  </si>
  <si>
    <t>SF-03/PT/STOCK/05I/002/002</t>
  </si>
  <si>
    <t>SF-03/PT/STOCK/05I/002/001/002</t>
  </si>
  <si>
    <t>SF-03/PT/STOCK/05I/002/001/001</t>
  </si>
  <si>
    <t>SF-03/PT/STOCK/05I/001/004</t>
  </si>
  <si>
    <t>SF-03/PT/STOCK/05I/001/002</t>
  </si>
  <si>
    <t>SF-03/PT/STOCK/05I/001/001/002</t>
  </si>
  <si>
    <t>SF-03/PT/STOCK/05D/020/004</t>
  </si>
  <si>
    <t>SF-03/PT/STOCK/05D/020/003</t>
  </si>
  <si>
    <t>SF-03/PT/STOCK/05D/020/002</t>
  </si>
  <si>
    <t>SF-03/PT/STOCK/05D/020/001/001</t>
  </si>
  <si>
    <t>SF-03/PT/STOCK/05D/019/004</t>
  </si>
  <si>
    <t>SF-03/PT/STOCK/05D/019/003</t>
  </si>
  <si>
    <t>SF-03/PT/STOCK/05D/019/002</t>
  </si>
  <si>
    <t>SF-03/PT/STOCK/05D/019/001/001</t>
  </si>
  <si>
    <t>SF-03/PT/STOCK/05D/018/004</t>
  </si>
  <si>
    <t>SF-03/PT/STOCK/05D/018/003</t>
  </si>
  <si>
    <t>SF-03/PT/STOCK/05D/018/002</t>
  </si>
  <si>
    <t>SF-03/PT/STOCK/05D/018/001/001</t>
  </si>
  <si>
    <t>SF-03/PT/STOCK/05D/017/003</t>
  </si>
  <si>
    <t>SF-03/PT/STOCK/05D/017/002</t>
  </si>
  <si>
    <t>SF-03/PT/STOCK/05D/017/001/002</t>
  </si>
  <si>
    <t>SF-03/PT/STOCK/05D/017/001/001</t>
  </si>
  <si>
    <t>SF-03/PT/STOCK/05D/016/004</t>
  </si>
  <si>
    <t>SF-03/PT/STOCK/05D/016/001/002</t>
  </si>
  <si>
    <t>SF-03/PT/STOCK/05D/016/001/001</t>
  </si>
  <si>
    <t>SF-03/PT/STOCK/05D/015/004</t>
  </si>
  <si>
    <t>SF-03/PT/STOCK/05D/015/003</t>
  </si>
  <si>
    <t>SF-03/PT/STOCK/05D/015/001/002</t>
  </si>
  <si>
    <t>SF-03/PT/STOCK/05D/015/001/001</t>
  </si>
  <si>
    <t>SF-03/PT/STOCK/05D/014/004</t>
  </si>
  <si>
    <t>SF-03/PT/STOCK/05D/014/003</t>
  </si>
  <si>
    <t>SF-03/PT/STOCK/05D/014/001/001</t>
  </si>
  <si>
    <t>SF-03/PT/STOCK/05D/013/004</t>
  </si>
  <si>
    <t>SF-03/PT/STOCK/05D/013/003</t>
  </si>
  <si>
    <t>SF-03/PT/STOCK/05D/013/002</t>
  </si>
  <si>
    <t>SF-03/PT/STOCK/05D/013/001/002</t>
  </si>
  <si>
    <t>SF-03/PT/STOCK/05D/013/001/001</t>
  </si>
  <si>
    <t>SF-03/PT/STOCK/05D/012/004</t>
  </si>
  <si>
    <t>SF-03/PT/STOCK/05D/012/003</t>
  </si>
  <si>
    <t>SF-03/PT/STOCK/05D/012/002</t>
  </si>
  <si>
    <t>SF-03/PT/STOCK/05D/012/001/002</t>
  </si>
  <si>
    <t>SF-03/PT/STOCK/05D/012/001/001</t>
  </si>
  <si>
    <t>SF-03/PT/STOCK/05D/011/004</t>
  </si>
  <si>
    <t>SF-03/PT/STOCK/05D/011/003</t>
  </si>
  <si>
    <t>SF-03/PT/STOCK/05D/011/002</t>
  </si>
  <si>
    <t>SF-03/PT/STOCK/05D/011/001/002</t>
  </si>
  <si>
    <t>SF-03/PT/STOCK/05D/011/001/001</t>
  </si>
  <si>
    <t>SF-03/PT/STOCK/05D/010/002</t>
  </si>
  <si>
    <t>SF-03/PT/STOCK/05D/010/001/001</t>
  </si>
  <si>
    <t>SF-03/PT/STOCK/05D/009/004</t>
  </si>
  <si>
    <t>SF-03/PT/STOCK/05D/009/003</t>
  </si>
  <si>
    <t>SF-03/PT/STOCK/05D/009/002</t>
  </si>
  <si>
    <t>SF-03/PT/STOCK/05D/009/001/001</t>
  </si>
  <si>
    <t>SF-03/PT/STOCK/05D/008/004</t>
  </si>
  <si>
    <t>SF-03/PT/STOCK/05D/008/003</t>
  </si>
  <si>
    <t>SF-03/PT/STOCK/05D/008/001/002</t>
  </si>
  <si>
    <t>SF-03/PT/STOCK/05D/008/001/001</t>
  </si>
  <si>
    <t>SF-03/PT/STOCK/05D/007/003</t>
  </si>
  <si>
    <t>SF-03/PT/STOCK/05D/007/001/002</t>
  </si>
  <si>
    <t>SF-03/PT/STOCK/05D/006/004</t>
  </si>
  <si>
    <t>SF-03/PT/STOCK/05D/006/002</t>
  </si>
  <si>
    <t>SF-03/PT/STOCK/05D/006/001/002</t>
  </si>
  <si>
    <t>SF-03/PT/STOCK/05D/005/004</t>
  </si>
  <si>
    <t>SF-03/PT/STOCK/05D/005/003</t>
  </si>
  <si>
    <t>SF-03/PT/STOCK/05D/005/002</t>
  </si>
  <si>
    <t>SF-03/PT/STOCK/05D/004/003</t>
  </si>
  <si>
    <t>SF-03/PT/STOCK/05D/003/001/002</t>
  </si>
  <si>
    <t>SF-03/PT/STOCK/05D/003/001/001</t>
  </si>
  <si>
    <t>SF-03/PT/STOCK/05D/002/004</t>
  </si>
  <si>
    <t>SF-03/PT/STOCK/05D/002/003</t>
  </si>
  <si>
    <t>SF-03/PT/STOCK/05D/002/001/002</t>
  </si>
  <si>
    <t>SF-03/PT/STOCK/05D/001/004</t>
  </si>
  <si>
    <t>SF-03/PT/STOCK/05D/001/003</t>
  </si>
  <si>
    <t>SF-03/PT/STOCK/05D/001/002</t>
  </si>
  <si>
    <t>SF-03/PT/STOCK/04I/019/002</t>
  </si>
  <si>
    <t>SF-03/PT/STOCK/04I/017/004</t>
  </si>
  <si>
    <t>SF-03/PT/STOCK/04I/017/001/002</t>
  </si>
  <si>
    <t>SF-03/PT/STOCK/04I/016/004</t>
  </si>
  <si>
    <t>SF-03/PT/STOCK/04I/016/003</t>
  </si>
  <si>
    <t>SF-03/PT/STOCK/04I/016/002</t>
  </si>
  <si>
    <t>SF-03/PT/STOCK/04I/016/001/002</t>
  </si>
  <si>
    <t>SF-03/PT/STOCK/04I/016/001/001</t>
  </si>
  <si>
    <t>SF-03/PT/STOCK/04I/015/004</t>
  </si>
  <si>
    <t>SF-03/PT/STOCK/04I/015/003</t>
  </si>
  <si>
    <t>SF-03/PT/STOCK/04I/015/002</t>
  </si>
  <si>
    <t>SF-03/PT/STOCK/04I/014/004</t>
  </si>
  <si>
    <t>SF-03/PT/STOCK/04I/014/002</t>
  </si>
  <si>
    <t>SF-03/PT/STOCK/04I/014/001/002</t>
  </si>
  <si>
    <t>SF-03/PT/STOCK/04I/013/003</t>
  </si>
  <si>
    <t>SF-03/PT/STOCK/04I/013/001/002</t>
  </si>
  <si>
    <t>SF-03/PT/STOCK/04I/013/001/001</t>
  </si>
  <si>
    <t>SF-03/PT/STOCK/04I/012/001/001</t>
  </si>
  <si>
    <t>SF-03/PT/STOCK/04I/011/003</t>
  </si>
  <si>
    <t>SF-03/PT/STOCK/04I/011/002</t>
  </si>
  <si>
    <t>SF-03/PT/STOCK/04I/010/002</t>
  </si>
  <si>
    <t>SF-03/PT/STOCK/04I/010/001/001</t>
  </si>
  <si>
    <t>SF-03/PT/STOCK/04I/009/003</t>
  </si>
  <si>
    <t>SF-03/PT/STOCK/04I/009/002</t>
  </si>
  <si>
    <t>SF-03/PT/STOCK/04I/007/002</t>
  </si>
  <si>
    <t>SF-03/PT/STOCK/04I/007/001/002</t>
  </si>
  <si>
    <t>SF-03/PT/STOCK/04I/006/002</t>
  </si>
  <si>
    <t>SF-03/PT/STOCK/04I/006/001/002</t>
  </si>
  <si>
    <t>SF-03/PT/STOCK/04I/006/001/001</t>
  </si>
  <si>
    <t>SF-03/PT/STOCK/04I/005/004</t>
  </si>
  <si>
    <t>SF-03/PT/STOCK/04I/005/003</t>
  </si>
  <si>
    <t>SF-03/PT/STOCK/04I/005/002</t>
  </si>
  <si>
    <t>SF-03/PT/STOCK/04I/005/001/002</t>
  </si>
  <si>
    <t>SF-03/PT/STOCK/04I/004/004</t>
  </si>
  <si>
    <t>SF-03/PT/STOCK/04I/004/003</t>
  </si>
  <si>
    <t>SF-03/PT/STOCK/04I/004/002</t>
  </si>
  <si>
    <t>SF-03/PT/STOCK/04I/004/001/001</t>
  </si>
  <si>
    <t>SF-03/PT/STOCK/04I/003/003</t>
  </si>
  <si>
    <t>SF-03/PT/STOCK/04I/003/002</t>
  </si>
  <si>
    <t>SF-03/PT/STOCK/04I/002/003</t>
  </si>
  <si>
    <t>SF-03/PT/STOCK/04I/002/001/001</t>
  </si>
  <si>
    <t>SF-03/PT/STOCK/04I/001/001/002</t>
  </si>
  <si>
    <t>SF-03/PT/STOCK/04D/019/001/002</t>
  </si>
  <si>
    <t>SF-03/PT/STOCK/04D/019/001/001</t>
  </si>
  <si>
    <t>SF-03/PT/STOCK/04D/018/003</t>
  </si>
  <si>
    <t>SF-03/PT/STOCK/04D/017/001/001</t>
  </si>
  <si>
    <t>SF-03/PT/STOCK/04D/016/004</t>
  </si>
  <si>
    <t>SF-03/PT/STOCK/04D/016/001/001</t>
  </si>
  <si>
    <t>SF-03/PT/STOCK/04D/016/002</t>
  </si>
  <si>
    <t>SF-03/PT/STOCK/04D/015/003</t>
  </si>
  <si>
    <t>SF-03/PT/STOCK/04D/015/001/002</t>
  </si>
  <si>
    <t>SF-03/PT/STOCK/04D/014/004</t>
  </si>
  <si>
    <t>SF-03/PT/STOCK/04D/014/001/002</t>
  </si>
  <si>
    <t>SF-03/PT/STOCK/04D/013/004</t>
  </si>
  <si>
    <t>SF-03/PT/STOCK/04D/013/001/001</t>
  </si>
  <si>
    <t>SF-03/PT/STOCK/04D/012/002</t>
  </si>
  <si>
    <t>SF-03/PT/STOCK/04D/012/001/002</t>
  </si>
  <si>
    <t>SF-03/PT/STOCK/04D/011/001/002</t>
  </si>
  <si>
    <t>SF-03/PT/STOCK/04D/010/001/001</t>
  </si>
  <si>
    <t>SF-03/PT/STOCK/04D/009/004</t>
  </si>
  <si>
    <t>SF-03/PT/STOCK/04D/009/003</t>
  </si>
  <si>
    <t>SF-03/PT/STOCK/04D/009/002</t>
  </si>
  <si>
    <t>SF-03/PT/STOCK/04D/008/004</t>
  </si>
  <si>
    <t>SF-03/PT/STOCK/04D/008/003</t>
  </si>
  <si>
    <t>SF-03/PT/STOCK/04D/008/001/002</t>
  </si>
  <si>
    <t>SF-03/PT/STOCK/04D/007/004</t>
  </si>
  <si>
    <t>SF-03/PT/STOCK/04D/007/003</t>
  </si>
  <si>
    <t>SF-03/PT/STOCK/04D/007/001/002</t>
  </si>
  <si>
    <t>SF-03/PT/STOCK/04D/007/001/001</t>
  </si>
  <si>
    <t>SF-03/PT/STOCK/04D/005/004</t>
  </si>
  <si>
    <t>SF-03/PT/STOCK/04D/005/001/001</t>
  </si>
  <si>
    <t>SF-03/PT/STOCK/04D/004/004</t>
  </si>
  <si>
    <t>SF-03/PT/STOCK/04D/003/003</t>
  </si>
  <si>
    <t>SF-03/PT/STOCK/04D/003/002</t>
  </si>
  <si>
    <t>SF-03/PT/STOCK/04D/003/001/002</t>
  </si>
  <si>
    <t>SF-03/PT/STOCK/04D/003/001/001</t>
  </si>
  <si>
    <t>SF-03/PT/STOCK/04D/002/004</t>
  </si>
  <si>
    <t>SF-03/PT/STOCK/04D/002/003</t>
  </si>
  <si>
    <t>SF-03/PT/STOCK/04D/001/004</t>
  </si>
  <si>
    <t>SF-03/PT/STOCK/04D/001/003</t>
  </si>
  <si>
    <t>SF-03/PT/STOCK/04D/001/001/001</t>
  </si>
  <si>
    <t>SF-03/PT/STOCK/03I/020/001/001</t>
  </si>
  <si>
    <t>SF-03/PT/STOCK/03I/019/004</t>
  </si>
  <si>
    <t>SF-03/PT/STOCK/03I/019/003</t>
  </si>
  <si>
    <t>SF-03/PT/STOCK/03I/019/001/002</t>
  </si>
  <si>
    <t>SF-03/PT/STOCK/03I/018/003</t>
  </si>
  <si>
    <t>SF-03/PT/STOCK/03I/018/001/001</t>
  </si>
  <si>
    <t>SF-03/PT/STOCK/03I/017/004</t>
  </si>
  <si>
    <t>SF-03/PT/STOCK/03I/017/003</t>
  </si>
  <si>
    <t>SF-03/PT/STOCK/03I/017/002</t>
  </si>
  <si>
    <t>SF-03/PT/STOCK/03I/016/003</t>
  </si>
  <si>
    <t>SF-03/PT/STOCK/03I/016/001/001</t>
  </si>
  <si>
    <t>SF-03/PT/STOCK/03I/015/004</t>
  </si>
  <si>
    <t>SF-03/PT/STOCK/03I/015/002</t>
  </si>
  <si>
    <t>SF-03/PT/STOCK/03I/015/001/001</t>
  </si>
  <si>
    <t>SF-03/PT/STOCK/03I/014/004</t>
  </si>
  <si>
    <t>SF-03/PT/STOCK/03I/014/003</t>
  </si>
  <si>
    <t>SF-03/PT/STOCK/03I/014/002</t>
  </si>
  <si>
    <t>SF-03/PT/STOCK/03I/013/001/001</t>
  </si>
  <si>
    <t>SF-03/PT/STOCK/03I/012/003</t>
  </si>
  <si>
    <t>SF-03/PT/STOCK/03I/012/001/001</t>
  </si>
  <si>
    <t>SF-03/PT/STOCK/03I/011/002</t>
  </si>
  <si>
    <t>SF-03/PT/STOCK/03I/011/001/001</t>
  </si>
  <si>
    <t>SF-03/PT/STOCK/03I/010/004</t>
  </si>
  <si>
    <t>SF-03/PT/STOCK/03I/010/002</t>
  </si>
  <si>
    <t>SF-03/PT/STOCK/03I/009/004</t>
  </si>
  <si>
    <t>SF-03/PT/STOCK/03I/009/003</t>
  </si>
  <si>
    <t>SF-03/PT/STOCK/03I/009/002</t>
  </si>
  <si>
    <t>SF-03/PT/STOCK/03I/008/004</t>
  </si>
  <si>
    <t>SF-03/PT/STOCK/03I/008/002</t>
  </si>
  <si>
    <t>SF-03/PT/STOCK/03I/007/004</t>
  </si>
  <si>
    <t>SF-03/PT/STOCK/03I/007/003</t>
  </si>
  <si>
    <t>SF-03/PT/STOCK/03I/005/004</t>
  </si>
  <si>
    <t>SF-03/PT/STOCK/03I/005/003</t>
  </si>
  <si>
    <t>SF-03/PT/STOCK/03I/005/001/001</t>
  </si>
  <si>
    <t>SF-03/PT/STOCK/03I/004/001/001</t>
  </si>
  <si>
    <t>SF-03/PT/STOCK/03I/003/004</t>
  </si>
  <si>
    <t>SF-03/PT/STOCK/03I/003/001/001</t>
  </si>
  <si>
    <t>SF-03/PT/STOCK/03I/002/004</t>
  </si>
  <si>
    <t>SF-03/PT/STOCK/03I/002/002</t>
  </si>
  <si>
    <t>SF-03/PT/STOCK/03I/001/004</t>
  </si>
  <si>
    <t>SF-03/PT/STOCK/03D/020/004</t>
  </si>
  <si>
    <t>SF-03/PT/STOCK/03D/020/001/002</t>
  </si>
  <si>
    <t>SF-03/PT/STOCK/03D/020/001/001</t>
  </si>
  <si>
    <t>SF-03/PT/STOCK/03D/019/001/002</t>
  </si>
  <si>
    <t>SF-03/PT/STOCK/03D/019/001/001</t>
  </si>
  <si>
    <t>SF-03/PT/STOCK/03D/018/004</t>
  </si>
  <si>
    <t>SF-03/PT/STOCK/03D/018/003</t>
  </si>
  <si>
    <t>SF-03/PT/STOCK/03D/018/002</t>
  </si>
  <si>
    <t>SF-03/PT/STOCK/03D/018/001/002</t>
  </si>
  <si>
    <t>SF-03/PT/STOCK/03D/018/001/001</t>
  </si>
  <si>
    <t>SF-03/PT/STOCK/03D/017/004</t>
  </si>
  <si>
    <t>SF-03/PT/STOCK/03D/017/002</t>
  </si>
  <si>
    <t>SF-03/PT/STOCK/03D/017/001/002</t>
  </si>
  <si>
    <t>SF-03/PT/STOCK/03D/016/001/002</t>
  </si>
  <si>
    <t>SF-03/PT/STOCK/03D/014/002</t>
  </si>
  <si>
    <t>SF-03/PT/STOCK/03D/013/003</t>
  </si>
  <si>
    <t>SF-03/PT/STOCK/03D/013/001/002</t>
  </si>
  <si>
    <t>SF-03/PT/STOCK/03D/013/001/001</t>
  </si>
  <si>
    <t>SF-03/PT/STOCK/03D/012/003</t>
  </si>
  <si>
    <t>SF-03/PT/STOCK/03D/012/001/001</t>
  </si>
  <si>
    <t>SF-03/PT/STOCK/03D/011/001/002</t>
  </si>
  <si>
    <t>SF-03/PT/STOCK/03D/011/001/001</t>
  </si>
  <si>
    <t>SF-03/PT/STOCK/03D/009/001/001</t>
  </si>
  <si>
    <t>SF-03/PT/STOCK/03D/006/004</t>
  </si>
  <si>
    <t>SF-03/PT/STOCK/03D/006/001/001</t>
  </si>
  <si>
    <t>SF-03/PT/STOCK/03D/005/004</t>
  </si>
  <si>
    <t>SF-03/PT/STOCK/03D/005/003</t>
  </si>
  <si>
    <t>SF-03/PT/STOCK/03D/004/002</t>
  </si>
  <si>
    <t>SF-03/PT/STOCK/03D/004/001/001</t>
  </si>
  <si>
    <t>SF-03/PT/STOCK/03D/003/004</t>
  </si>
  <si>
    <t>SF-03/PT/STOCK/03D/003/003</t>
  </si>
  <si>
    <t>SF-03/PT/STOCK/03D/003/002</t>
  </si>
  <si>
    <t>SF-03/PT/STOCK/03D/003/001/002</t>
  </si>
  <si>
    <t>SF-03/PT/STOCK/03D/003/001/001</t>
  </si>
  <si>
    <t>SF-03/PT/STOCK/03D/002/001/002</t>
  </si>
  <si>
    <t>SF-03/PT/STOCK/03D/001/004</t>
  </si>
  <si>
    <t>SF-03/PT/STOCK/03D/001/001/002</t>
  </si>
  <si>
    <t>SF-03/PT/STOCK/02I/020/004</t>
  </si>
  <si>
    <t>SF-03/PT/STOCK/02I/020/003</t>
  </si>
  <si>
    <t>SF-03/PT/STOCK/02I/020/002</t>
  </si>
  <si>
    <t>SF-03/PT/STOCK/02I/020/001/002</t>
  </si>
  <si>
    <t>SF-03/PT/STOCK/02I/017/004</t>
  </si>
  <si>
    <t>SF-03/PT/STOCK/02I/016/004</t>
  </si>
  <si>
    <t>SF-03/PT/STOCK/02I/016/002</t>
  </si>
  <si>
    <t>SF-03/PT/STOCK/02I/013/004</t>
  </si>
  <si>
    <t>SF-03/PT/STOCK/02I/013/003</t>
  </si>
  <si>
    <t>SF-03/PT/STOCK/02I/013/002</t>
  </si>
  <si>
    <t>SF-03/PT/STOCK/02I/012/004</t>
  </si>
  <si>
    <t>SF-03/PT/STOCK/02I/012/001/002</t>
  </si>
  <si>
    <t>SF-03/PT/STOCK/02I/011/004</t>
  </si>
  <si>
    <t>SF-03/PT/STOCK/02I/011/001/002</t>
  </si>
  <si>
    <t>SF-03/PT/STOCK/02I/010/004</t>
  </si>
  <si>
    <t>SF-03/PT/STOCK/02I/010/001/002</t>
  </si>
  <si>
    <t>SF-03/PT/STOCK/02I/010/001/001</t>
  </si>
  <si>
    <t>SF-03/PT/STOCK/02I/009/002</t>
  </si>
  <si>
    <t>SF-03/PT/STOCK/02I/008/002</t>
  </si>
  <si>
    <t>SF-03/PT/STOCK/02I/008/001/002</t>
  </si>
  <si>
    <t>SF-03/PT/STOCK/02I/008/001/001</t>
  </si>
  <si>
    <t>SF-03/PT/STOCK/02I/007/004</t>
  </si>
  <si>
    <t>SF-03/PT/STOCK/02I/007/002</t>
  </si>
  <si>
    <t>SF-03/PT/STOCK/02I/007/001/002</t>
  </si>
  <si>
    <t>SF-03/PT/STOCK/02I/006/004</t>
  </si>
  <si>
    <t>SF-03/PT/STOCK/02I/006/002</t>
  </si>
  <si>
    <t>SF-03/PT/STOCK/02I/006/001/001</t>
  </si>
  <si>
    <t>SF-03/PT/STOCK/02I/005/004</t>
  </si>
  <si>
    <t>SF-03/PT/STOCK/02I/005/003</t>
  </si>
  <si>
    <t>SF-03/PT/STOCK/02I/005/001/002</t>
  </si>
  <si>
    <t>SF-03/PT/STOCK/02I/004/004</t>
  </si>
  <si>
    <t>SF-03/PT/STOCK/02I/004/003</t>
  </si>
  <si>
    <t>SF-03/PT/STOCK/02I/004/001/002</t>
  </si>
  <si>
    <t>SF-03/PT/STOCK/02I/003/004</t>
  </si>
  <si>
    <t>SF-03/PT/STOCK/02I/003/003</t>
  </si>
  <si>
    <t>SF-03/PT/STOCK/02I/003/002</t>
  </si>
  <si>
    <t>SF-03/PT/STOCK/02I/002/004</t>
  </si>
  <si>
    <t>SF-03/PT/STOCK/02I/002/001/002</t>
  </si>
  <si>
    <t>SF-03/PT/STOCK/02I/001/004</t>
  </si>
  <si>
    <t>SF-03/PT/STOCK/02I/001/002</t>
  </si>
  <si>
    <t>SF-03/PT/STOCK/02I/001/001/001</t>
  </si>
  <si>
    <t>SF-03/PT/STOCK/02D/016/004</t>
  </si>
  <si>
    <t>SF-03/PT/STOCK/02D/015/003</t>
  </si>
  <si>
    <t>SF-03/PT/STOCK/02D/015/002</t>
  </si>
  <si>
    <t>SF-03/PT/STOCK/02D/015/001/002</t>
  </si>
  <si>
    <t>SF-03/PT/STOCK/02D/014/004</t>
  </si>
  <si>
    <t>SF-03/PT/STOCK/02D/012/004</t>
  </si>
  <si>
    <t>SF-03/PT/STOCK/02D/010/002</t>
  </si>
  <si>
    <t>SF-03/PT/STOCK/02D/009/004</t>
  </si>
  <si>
    <t>SF-03/PT/STOCK/02D/009/003</t>
  </si>
  <si>
    <t>SF-03/PT/STOCK/02D/009/002</t>
  </si>
  <si>
    <t>SF-03/PT/STOCK/02D/009/001/002</t>
  </si>
  <si>
    <t>SF-03/PT/STOCK/02D/008/004</t>
  </si>
  <si>
    <t>SF-03/PT/STOCK/02D/008/003</t>
  </si>
  <si>
    <t>SF-03/PT/STOCK/02D/008/002</t>
  </si>
  <si>
    <t>SF-03/PT/STOCK/02D/008/001/002</t>
  </si>
  <si>
    <t>SF-03/PT/STOCK/02D/008/001/001</t>
  </si>
  <si>
    <t>SF-03/PT/STOCK/02D/007/003</t>
  </si>
  <si>
    <t>SF-03/PT/STOCK/02D/006/004</t>
  </si>
  <si>
    <t>SF-03/PT/STOCK/02D/006/003</t>
  </si>
  <si>
    <t>SF-03/PT/STOCK/02D/006/001/002</t>
  </si>
  <si>
    <t>SF-03/PT/STOCK/02D/001/002</t>
  </si>
  <si>
    <t>SF-03/PT/STOCK/01I/015/001/001</t>
  </si>
  <si>
    <t>SF-03/PT/STOCK/01I/014/004</t>
  </si>
  <si>
    <t>SF-03/PT/STOCK/01I/013/004</t>
  </si>
  <si>
    <t>SF-03/PT/STOCK/01I/013/003</t>
  </si>
  <si>
    <t>SF-03/PT/STOCK/01I/012/004</t>
  </si>
  <si>
    <t>SF-03/PT/STOCK/01I/012/003</t>
  </si>
  <si>
    <t>SF-03/PT/STOCK/01I/012/002</t>
  </si>
  <si>
    <t>SF-03/PT/STOCK/01I/011/004</t>
  </si>
  <si>
    <t>SF-03/PT/STOCK/01I/011/003</t>
  </si>
  <si>
    <t>SF-03/PT/STOCK/01I/011/002</t>
  </si>
  <si>
    <t>SF-03/PT/STOCK/01I/010/004</t>
  </si>
  <si>
    <t>SF-03/PT/STOCK/01I/010/002</t>
  </si>
  <si>
    <t>SF-03/PT/STOCK/01I/009/004</t>
  </si>
  <si>
    <t>SF-03/PT/STOCK/01I/009/003</t>
  </si>
  <si>
    <t>SF-03/PT/STOCK/01I/009/002</t>
  </si>
  <si>
    <t>SF-03/PT/STOCK/01I/009/001/001</t>
  </si>
  <si>
    <t>SF-03/PT/STOCK/01I/008/004</t>
  </si>
  <si>
    <t>SF-03/PT/STOCK/01I/008/003</t>
  </si>
  <si>
    <t>SF-03/PT/STOCK/01I/008/002</t>
  </si>
  <si>
    <t>SF-03/PT/STOCK/01I/007/004</t>
  </si>
  <si>
    <t>SF-03/PT/STOCK/01I/007/003</t>
  </si>
  <si>
    <t>SF-03/PT/STOCK/01I/007/002</t>
  </si>
  <si>
    <t>SF-03/PT/STOCK/01I/005/002</t>
  </si>
  <si>
    <t>SF-03/PT/STOCK/01I/005/001/001</t>
  </si>
  <si>
    <t>SF-03/PT/STOCK/01I/004/002</t>
  </si>
  <si>
    <t>SF-03/PT/STOCK/01I/003/001/001</t>
  </si>
  <si>
    <t>SF-03/PT/STOCK/DIF/001/001</t>
  </si>
  <si>
    <t>SF-03/Merma</t>
  </si>
  <si>
    <t>SF-03/Cuarentena_PT</t>
  </si>
  <si>
    <t>SF-03/PT/STOCK/06D/012/002</t>
  </si>
  <si>
    <t>SF-03/PT/STOCK/06D/014/003</t>
  </si>
  <si>
    <t>SF-03/PT/STOCK/06D/017/002</t>
  </si>
  <si>
    <t>SF-03/PT/STOCK/05I/001/003</t>
  </si>
  <si>
    <t>SF-03/PT/STOCK/05D/007/001/001</t>
  </si>
  <si>
    <t>SF-03/PT/STOCK/04D/004/003</t>
  </si>
  <si>
    <t>SF-03/PT/STOCK/05D/003/003</t>
  </si>
  <si>
    <t>SF-03/PT/STOCK/04D/005/003</t>
  </si>
  <si>
    <t>SF-03/PT/STOCK/04I/008/004</t>
  </si>
  <si>
    <t>SF-03/PT/STOCK/04I/009/004</t>
  </si>
  <si>
    <t>SF-03/PT/STOCK/03D/002/003</t>
  </si>
  <si>
    <t>SF-03/PT/STOCK/03I/006/002</t>
  </si>
  <si>
    <t>SF-03/PT/STOCK/03I/015/003</t>
  </si>
  <si>
    <t>SF-03/PT/STOCK/04I/008/003</t>
  </si>
  <si>
    <t>SF-03/PT/STOCK/02D/015/001/001</t>
  </si>
  <si>
    <t>SF-03/PT/STOCK/02I/005/001/001</t>
  </si>
  <si>
    <t>SF-03/PT/STOCK/04I/007/004</t>
  </si>
  <si>
    <t>SF-03/PT/STOCK/02I/019/003</t>
  </si>
  <si>
    <t>SF-03/PT/STOCK/02I/017/003</t>
  </si>
  <si>
    <t>SF-03/PT/STOCK/04I/012/004</t>
  </si>
  <si>
    <t>SF-03/PT/STOCK/04I/013/004</t>
  </si>
  <si>
    <t>SF-03/PT/STOCK/04I/006/004</t>
  </si>
  <si>
    <t>SF-03/PT/STOCK/04I/006/003</t>
  </si>
  <si>
    <t>SF-03/PT/STOCK/04D/016/003</t>
  </si>
  <si>
    <t>SF-03/PT/STOCK/01D/016/003</t>
  </si>
  <si>
    <t>SF-03/PT/STOCK/01D/016/002</t>
  </si>
  <si>
    <t>SF-03/PT/STOCK/01D/016/001/001</t>
  </si>
  <si>
    <t>SF-03/PT/STOCK/04D/017/004</t>
  </si>
  <si>
    <t>SF-03/PT/STOCK/04D/018/004</t>
  </si>
  <si>
    <t>SF-03/PT/STOCK/04D/017/003</t>
  </si>
  <si>
    <t>SF-03/PT/STOCK/04D/017/002</t>
  </si>
  <si>
    <t>SF-03/PT/STOCK/04D/019/003</t>
  </si>
  <si>
    <t>SF-03/PT/STOCK/02I/002/003</t>
  </si>
  <si>
    <t>SF-03/PT/STOCK/02I/008/004</t>
  </si>
  <si>
    <t>SF-03/PT/STOCK/02I/008/003</t>
  </si>
  <si>
    <t>SF-03/PT/STOCK/02I/011/003</t>
  </si>
  <si>
    <t>SF-03/PT/STOCK/02I/009/001/002</t>
  </si>
  <si>
    <t>SF-03/PT/STOCK/04I/020/001/002</t>
  </si>
  <si>
    <t>SF-03/PT/STOCK/02D/007/001/002</t>
  </si>
  <si>
    <t>SF-03/PT/STOCK/02D/007/001/001</t>
  </si>
  <si>
    <t>SF-03/PT/STOCK/02D/007/002</t>
  </si>
  <si>
    <t>SF-03/PT/STOCK/02I/009/004</t>
  </si>
  <si>
    <t>SF-03/PT/STOCK/02I/009/003</t>
  </si>
  <si>
    <t>SF-03/PT/STOCK/02D/011/003</t>
  </si>
  <si>
    <t>SF-03/PT/STOCK/02I/002/002</t>
  </si>
  <si>
    <t>SF-03/PT/STOCK/02I/001/003</t>
  </si>
  <si>
    <t>SF-03/PT/STOCK/03D/010/002</t>
  </si>
  <si>
    <t>SF-03/PT/STOCK/03D/015/003</t>
  </si>
  <si>
    <t>SF-03/PT/STOCK/03D/017/001/001</t>
  </si>
  <si>
    <t>SF-03/PT/STOCK/03D/010/001/002</t>
  </si>
  <si>
    <t>SF-03/PT/STOCK/02D/020/004</t>
  </si>
  <si>
    <t>SF-03/PT/STOCK/02D/020/003</t>
  </si>
  <si>
    <t>SF-03/PT/STOCK/01A/001/001</t>
  </si>
  <si>
    <t>SF-03/PT/STOCK/04D/020/002</t>
  </si>
  <si>
    <t>SF-03/PT/STOCK/04D/014/002</t>
  </si>
  <si>
    <t>SF-03/PT/STOCK/04I/002/002</t>
  </si>
  <si>
    <t>SF-03/PT/STOCK/01I/006/002</t>
  </si>
  <si>
    <t>SF-03/PT/STOCK/02D/001/003</t>
  </si>
  <si>
    <t>SF-03/PT/STOCK/02D/002/004</t>
  </si>
  <si>
    <t>SF-03/PT/STOCK/02D/002/003</t>
  </si>
  <si>
    <t>SF-03/PT/STOCK/02D/002/002</t>
  </si>
  <si>
    <t>SF-03/PT/STOCK/02D/003/004</t>
  </si>
  <si>
    <t>SF-03/PT/STOCK/02D/012/001/002</t>
  </si>
  <si>
    <t>SF-03/PT/STOCK/02D/003/003</t>
  </si>
  <si>
    <t>SF-03/PT/STOCK/02D/003/002</t>
  </si>
  <si>
    <t>SF-03/PT/STOCK/02D/005/003</t>
  </si>
  <si>
    <t>SF-03/PT/STOCK/02D/005/002</t>
  </si>
  <si>
    <t>SF-03/PT/STOCK/02D/007/004</t>
  </si>
  <si>
    <t>SF-03/PT/STOCK/02D/011/002</t>
  </si>
  <si>
    <t>SF-03/PT/STOCK/02D/012/002</t>
  </si>
  <si>
    <t>SF-03/PT/STOCK/01D/001/001</t>
  </si>
  <si>
    <t>CajaX72</t>
  </si>
  <si>
    <t>CajaX18</t>
  </si>
  <si>
    <t>CajaX20</t>
  </si>
  <si>
    <t>CajaX48</t>
  </si>
  <si>
    <t>CajaX26</t>
  </si>
  <si>
    <t>CajaX120</t>
  </si>
  <si>
    <t>CajaX3</t>
  </si>
  <si>
    <t>CajaX32</t>
  </si>
  <si>
    <t>CajaX8</t>
  </si>
  <si>
    <t>CajaX16</t>
  </si>
  <si>
    <t>CajaX12</t>
  </si>
  <si>
    <t>CajaX144</t>
  </si>
  <si>
    <t>FardoX10</t>
  </si>
  <si>
    <t>CajaX6</t>
  </si>
  <si>
    <t>CajaX10</t>
  </si>
  <si>
    <t>CajaX4</t>
  </si>
  <si>
    <t>FardoX50</t>
  </si>
  <si>
    <t>CajaX24</t>
  </si>
  <si>
    <t>CajaX7</t>
  </si>
  <si>
    <t>FARDOx16</t>
  </si>
  <si>
    <t>CONTROL_CALIDAD_0001</t>
  </si>
  <si>
    <t>Cuarentena_PT-001</t>
  </si>
  <si>
    <t>WH-INPUT</t>
  </si>
  <si>
    <t>SF-03/PT/DESPACHO</t>
  </si>
  <si>
    <t>SF-03/PT/DIFERENCIAS</t>
  </si>
  <si>
    <t>SF-03/PT/STOCK/01D</t>
  </si>
  <si>
    <t>SF-03/PT/STOCK/01D/001</t>
  </si>
  <si>
    <t>SF-03/PT/STOCK/01D/001/001/001</t>
  </si>
  <si>
    <t>SF-03/PT/STOCK/01D/001/001/002</t>
  </si>
  <si>
    <t>SF-03/PT/STOCK/01D/001/002</t>
  </si>
  <si>
    <t>SF-03/PT/STOCK/01D/001/003</t>
  </si>
  <si>
    <t>SF-03/PT/STOCK/01D/001/004</t>
  </si>
  <si>
    <t>SF-03/PT/STOCK/01D/002</t>
  </si>
  <si>
    <t>SF-03/PT/STOCK/01D/002/001</t>
  </si>
  <si>
    <t>SF-03/PT/STOCK/01D/002/001/001</t>
  </si>
  <si>
    <t>SF-03/PT/STOCK/01D/002/001/002</t>
  </si>
  <si>
    <t>SF-03/PT/STOCK/01D/002/002</t>
  </si>
  <si>
    <t>SF-03/PT/STOCK/01D/002/003</t>
  </si>
  <si>
    <t>SF-03/PT/STOCK/01D/002/004</t>
  </si>
  <si>
    <t>SF-03/PT/STOCK/01D/003</t>
  </si>
  <si>
    <t>SF-03/PT/STOCK/01D/003/001</t>
  </si>
  <si>
    <t>SF-03/PT/STOCK/01D/003/001/001</t>
  </si>
  <si>
    <t>SF-03/PT/STOCK/01D/003/001/002</t>
  </si>
  <si>
    <t>SF-03/PT/STOCK/01D/003/002</t>
  </si>
  <si>
    <t>SF-03/PT/STOCK/01D/003/003</t>
  </si>
  <si>
    <t>SF-03/PT/STOCK/01D/003/004</t>
  </si>
  <si>
    <t>SF-03/PT/STOCK/01D/004</t>
  </si>
  <si>
    <t>SF-03/PT/STOCK/01D/004/001</t>
  </si>
  <si>
    <t>SF-03/PT/STOCK/01D/004/001/001</t>
  </si>
  <si>
    <t>SF-03/PT/STOCK/01D/004/001/002</t>
  </si>
  <si>
    <t>SF-03/PT/STOCK/01D/004/002</t>
  </si>
  <si>
    <t>SF-03/PT/STOCK/01D/004/003</t>
  </si>
  <si>
    <t>SF-03/PT/STOCK/01D/004/004</t>
  </si>
  <si>
    <t>SF-03/PT/STOCK/01D/005</t>
  </si>
  <si>
    <t>SF-03/PT/STOCK/01D/005/001</t>
  </si>
  <si>
    <t>SF-03/PT/STOCK/01D/005/001/001</t>
  </si>
  <si>
    <t>SF-03/PT/STOCK/01D/005/001/002</t>
  </si>
  <si>
    <t>SF-03/PT/STOCK/01D/005/003</t>
  </si>
  <si>
    <t>SF-03/PT/STOCK/01D/005/004</t>
  </si>
  <si>
    <t>SF-03/PT/STOCK/01D/006</t>
  </si>
  <si>
    <t>SF-03/PT/STOCK/01D/006/001</t>
  </si>
  <si>
    <t>SF-03/PT/STOCK/01D/006/001/001</t>
  </si>
  <si>
    <t>SF-03/PT/STOCK/01D/006/001/002</t>
  </si>
  <si>
    <t>SF-03/PT/STOCK/01D/006/002</t>
  </si>
  <si>
    <t>SF-03/PT/STOCK/01D/006/003</t>
  </si>
  <si>
    <t>SF-03/PT/STOCK/01D/006/004</t>
  </si>
  <si>
    <t>SF-03/PT/STOCK/01D/007</t>
  </si>
  <si>
    <t>SF-03/PT/STOCK/01D/007/001</t>
  </si>
  <si>
    <t>SF-03/PT/STOCK/01D/007/001/001</t>
  </si>
  <si>
    <t>SF-03/PT/STOCK/01D/007/001/002</t>
  </si>
  <si>
    <t>SF-03/PT/STOCK/01D/007/002</t>
  </si>
  <si>
    <t>SF-03/PT/STOCK/01D/007/003</t>
  </si>
  <si>
    <t>SF-03/PT/STOCK/01D/007/004</t>
  </si>
  <si>
    <t>SF-03/PT/STOCK/01D/008</t>
  </si>
  <si>
    <t>SF-03/PT/STOCK/01D/008/001</t>
  </si>
  <si>
    <t>SF-03/PT/STOCK/01D/008/001/001</t>
  </si>
  <si>
    <t>SF-03/PT/STOCK/01D/008/001/002</t>
  </si>
  <si>
    <t>SF-03/PT/STOCK/01D/008/002</t>
  </si>
  <si>
    <t>SF-03/PT/STOCK/01D/008/003</t>
  </si>
  <si>
    <t>SF-03/PT/STOCK/01D/008/004</t>
  </si>
  <si>
    <t>SF-03/PT/STOCK/01D/009</t>
  </si>
  <si>
    <t>SF-03/PT/STOCK/01D/009/001</t>
  </si>
  <si>
    <t>SF-03/PT/STOCK/01D/009/001/001</t>
  </si>
  <si>
    <t>SF-03/PT/STOCK/01D/009/001/002</t>
  </si>
  <si>
    <t>SF-03/PT/STOCK/01D/009/002</t>
  </si>
  <si>
    <t>SF-03/PT/STOCK/01D/009/003</t>
  </si>
  <si>
    <t>SF-03/PT/STOCK/01D/009/004</t>
  </si>
  <si>
    <t>SF-03/PT/STOCK/01D/010</t>
  </si>
  <si>
    <t>SF-03/PT/STOCK/01D/010/001</t>
  </si>
  <si>
    <t>SF-03/PT/STOCK/01D/010/001/001</t>
  </si>
  <si>
    <t>SF-03/PT/STOCK/01D/010/002</t>
  </si>
  <si>
    <t>SF-03/PT/STOCK/01D/010/003</t>
  </si>
  <si>
    <t>SF-03/PT/STOCK/01D/010/004</t>
  </si>
  <si>
    <t>SF-03/PT/STOCK/01D/011</t>
  </si>
  <si>
    <t>SF-03/PT/STOCK/01D/011/001</t>
  </si>
  <si>
    <t>SF-03/PT/STOCK/01D/011/001/002</t>
  </si>
  <si>
    <t>SF-03/PT/STOCK/01D/011/002</t>
  </si>
  <si>
    <t>SF-03/PT/STOCK/01D/011/003</t>
  </si>
  <si>
    <t>SF-03/PT/STOCK/01D/011/004</t>
  </si>
  <si>
    <t>SF-03/PT/STOCK/01D/012</t>
  </si>
  <si>
    <t>SF-03/PT/STOCK/01D/012/001</t>
  </si>
  <si>
    <t>SF-03/PT/STOCK/01D/012/001/002</t>
  </si>
  <si>
    <t>SF-03/PT/STOCK/01D/012/002</t>
  </si>
  <si>
    <t>SF-03/PT/STOCK/01D/012/003</t>
  </si>
  <si>
    <t>SF-03/PT/STOCK/01D/012/004</t>
  </si>
  <si>
    <t>SF-03/PT/STOCK/01D/013</t>
  </si>
  <si>
    <t>SF-03/PT/STOCK/01D/013/001</t>
  </si>
  <si>
    <t>SF-03/PT/STOCK/01D/013/002</t>
  </si>
  <si>
    <t>SF-03/PT/STOCK/01D/014</t>
  </si>
  <si>
    <t>SF-03/PT/STOCK/01D/014/001</t>
  </si>
  <si>
    <t>SF-03/PT/STOCK/01D/014/001/001</t>
  </si>
  <si>
    <t>SF-03/PT/STOCK/01D/014/002</t>
  </si>
  <si>
    <t>SF-03/PT/STOCK/01D/015</t>
  </si>
  <si>
    <t>SF-03/PT/STOCK/01D/015/001</t>
  </si>
  <si>
    <t>SF-03/PT/STOCK/01D/015/001/001</t>
  </si>
  <si>
    <t>SF-03/PT/STOCK/01D/015/001/002</t>
  </si>
  <si>
    <t>SF-03/PT/STOCK/01D/015/002</t>
  </si>
  <si>
    <t>SF-03/PT/STOCK/01D/016</t>
  </si>
  <si>
    <t>SF-03/PT/STOCK/01D/016/001</t>
  </si>
  <si>
    <t>SF-03/PT/STOCK/01D/016/001/002</t>
  </si>
  <si>
    <t>SF-03/PT/STOCK/01D/016/004</t>
  </si>
  <si>
    <t>SF-03/PT/STOCK/01D/017</t>
  </si>
  <si>
    <t>SF-03/PT/STOCK/01D/017/001</t>
  </si>
  <si>
    <t>SF-03/PT/STOCK/01D/017/001/001</t>
  </si>
  <si>
    <t>SF-03/PT/STOCK/01D/017/001/002</t>
  </si>
  <si>
    <t>SF-03/PT/STOCK/01D/017/002</t>
  </si>
  <si>
    <t>SF-03/PT/STOCK/01D/017/004</t>
  </si>
  <si>
    <t>SF-03/PT/STOCK/01D/018</t>
  </si>
  <si>
    <t>SF-03/PT/STOCK/01D/018/001</t>
  </si>
  <si>
    <t>SF-03/PT/STOCK/01D/018/001/001</t>
  </si>
  <si>
    <t>SF-03/PT/STOCK/01D/018/001/002</t>
  </si>
  <si>
    <t>SF-03/PT/STOCK/01D/018/002</t>
  </si>
  <si>
    <t>SF-03/PT/STOCK/01D/018/003</t>
  </si>
  <si>
    <t>SF-03/PT/STOCK/01D/018/004</t>
  </si>
  <si>
    <t>SF-03/PT/STOCK/01D/019</t>
  </si>
  <si>
    <t>SF-03/PT/STOCK/01D/019/001</t>
  </si>
  <si>
    <t>SF-03/PT/STOCK/01D/019/001/001</t>
  </si>
  <si>
    <t>SF-03/PT/STOCK/01D/019/001/002</t>
  </si>
  <si>
    <t>SF-03/PT/STOCK/01D/019/002</t>
  </si>
  <si>
    <t>SF-03/PT/STOCK/01D/019/003</t>
  </si>
  <si>
    <t>SF-03/PT/STOCK/01D/019/004</t>
  </si>
  <si>
    <t>SF-03/PT/STOCK/01D/020</t>
  </si>
  <si>
    <t>SF-03/PT/STOCK/01D/020/001</t>
  </si>
  <si>
    <t>SF-03/PT/STOCK/01D/020/001/001</t>
  </si>
  <si>
    <t>SF-03/PT/STOCK/01D/020/001/002</t>
  </si>
  <si>
    <t>SF-03/PT/STOCK/01D/020/002</t>
  </si>
  <si>
    <t>SF-03/PT/STOCK/01D/020/003</t>
  </si>
  <si>
    <t>SF-03/PT/STOCK/01D/020/004</t>
  </si>
  <si>
    <t>SF-03/PT/STOCK/01D/021</t>
  </si>
  <si>
    <t>SF-03/PT/STOCK/01D/021/001</t>
  </si>
  <si>
    <t>SF-03/PT/STOCK/01D/021/001/001</t>
  </si>
  <si>
    <t>SF-03/PT/STOCK/01D/021/001/002</t>
  </si>
  <si>
    <t>SF-03/PT/STOCK/01D/021/002</t>
  </si>
  <si>
    <t>SF-03/PT/STOCK/01D/021/003</t>
  </si>
  <si>
    <t>SF-03/PT/STOCK/01D/021/004</t>
  </si>
  <si>
    <t>SF-03/PT/STOCK/01I</t>
  </si>
  <si>
    <t>SF-03/PT/STOCK/01I/001</t>
  </si>
  <si>
    <t>SF-03/PT/STOCK/01I/001/001</t>
  </si>
  <si>
    <t>SF-03/PT/STOCK/01I/001/001/001</t>
  </si>
  <si>
    <t>SF-03/PT/STOCK/01I/001/001/002</t>
  </si>
  <si>
    <t>SF-03/PT/STOCK/01I/001/002</t>
  </si>
  <si>
    <t>SF-03/PT/STOCK/01I/001/003</t>
  </si>
  <si>
    <t>SF-03/PT/STOCK/01I/001/004</t>
  </si>
  <si>
    <t>SF-03/PT/STOCK/01I/002</t>
  </si>
  <si>
    <t>SF-03/PT/STOCK/01I/002/001</t>
  </si>
  <si>
    <t>SF-03/PT/STOCK/01I/002/001/001</t>
  </si>
  <si>
    <t>SF-03/PT/STOCK/01I/002/001/002</t>
  </si>
  <si>
    <t>SF-03/PT/STOCK/01I/003</t>
  </si>
  <si>
    <t>SF-03/PT/STOCK/01I/003/001</t>
  </si>
  <si>
    <t>SF-03/PT/STOCK/01I/003/001/002</t>
  </si>
  <si>
    <t>SF-03/PT/STOCK/01I/003/002</t>
  </si>
  <si>
    <t>SF-03/PT/STOCK/01I/003/003</t>
  </si>
  <si>
    <t>SF-03/PT/STOCK/01I/003/004</t>
  </si>
  <si>
    <t>SF-03/PT/STOCK/01I/004</t>
  </si>
  <si>
    <t>SF-03/PT/STOCK/01I/004/001</t>
  </si>
  <si>
    <t>SF-03/PT/STOCK/01I/004/001/001</t>
  </si>
  <si>
    <t>SF-03/PT/STOCK/01I/004/001/002</t>
  </si>
  <si>
    <t>SF-03/PT/STOCK/01I/004/003</t>
  </si>
  <si>
    <t>SF-03/PT/STOCK/01I/004/004</t>
  </si>
  <si>
    <t>SF-03/PT/STOCK/01I/005</t>
  </si>
  <si>
    <t>SF-03/PT/STOCK/01I/005/001</t>
  </si>
  <si>
    <t>SF-03/PT/STOCK/01I/005/001/002</t>
  </si>
  <si>
    <t>SF-03/PT/STOCK/01I/005/003</t>
  </si>
  <si>
    <t>SF-03/PT/STOCK/01I/005/004</t>
  </si>
  <si>
    <t>SF-03/PT/STOCK/01I/006</t>
  </si>
  <si>
    <t>SF-03/PT/STOCK/01I/006/001</t>
  </si>
  <si>
    <t>SF-03/PT/STOCK/01I/006/001/001</t>
  </si>
  <si>
    <t>SF-03/PT/STOCK/01I/006/001/002</t>
  </si>
  <si>
    <t>SF-03/PT/STOCK/01I/006/003</t>
  </si>
  <si>
    <t>SF-03/PT/STOCK/01I/006/004</t>
  </si>
  <si>
    <t>SF-03/PT/STOCK/01I/007</t>
  </si>
  <si>
    <t>SF-03/PT/STOCK/01I/007/001</t>
  </si>
  <si>
    <t>SF-03/PT/STOCK/01I/007/001/001</t>
  </si>
  <si>
    <t>SF-03/PT/STOCK/01I/007/001/002</t>
  </si>
  <si>
    <t>SF-03/PT/STOCK/01I/008</t>
  </si>
  <si>
    <t>SF-03/PT/STOCK/01I/008/001</t>
  </si>
  <si>
    <t>SF-03/PT/STOCK/01I/008/001/001</t>
  </si>
  <si>
    <t>SF-03/PT/STOCK/01I/008/001/002</t>
  </si>
  <si>
    <t>SF-03/PT/STOCK/01I/009</t>
  </si>
  <si>
    <t>SF-03/PT/STOCK/01I/009/001</t>
  </si>
  <si>
    <t>SF-03/PT/STOCK/01I/009/001/002</t>
  </si>
  <si>
    <t>SF-03/PT/STOCK/01I/010</t>
  </si>
  <si>
    <t>SF-03/PT/STOCK/01I/010/001</t>
  </si>
  <si>
    <t>SF-03/PT/STOCK/01I/010/001/001</t>
  </si>
  <si>
    <t>SF-03/PT/STOCK/01I/010/001/002</t>
  </si>
  <si>
    <t>SF-03/PT/STOCK/01I/010/003</t>
  </si>
  <si>
    <t>SF-03/PT/STOCK/01I/011</t>
  </si>
  <si>
    <t>SF-03/PT/STOCK/01I/011/001</t>
  </si>
  <si>
    <t>SF-03/PT/STOCK/01I/011/001/001</t>
  </si>
  <si>
    <t>SF-03/PT/STOCK/01I/011/001/002</t>
  </si>
  <si>
    <t>SF-03/PT/STOCK/01I/012</t>
  </si>
  <si>
    <t>SF-03/PT/STOCK/01I/012/001</t>
  </si>
  <si>
    <t>SF-03/PT/STOCK/01I/012/001/001</t>
  </si>
  <si>
    <t>SF-03/PT/STOCK/01I/012/001/002</t>
  </si>
  <si>
    <t>SF-03/PT/STOCK/01I/013</t>
  </si>
  <si>
    <t>SF-03/PT/STOCK/01I/013/001</t>
  </si>
  <si>
    <t>SF-03/PT/STOCK/01I/013/001/001</t>
  </si>
  <si>
    <t>SF-03/PT/STOCK/01I/013/001/002</t>
  </si>
  <si>
    <t>SF-03/PT/STOCK/01I/013/002</t>
  </si>
  <si>
    <t>SF-03/PT/STOCK/01I/014</t>
  </si>
  <si>
    <t>SF-03/PT/STOCK/01I/014/001</t>
  </si>
  <si>
    <t>SF-03/PT/STOCK/01I/014/001/001</t>
  </si>
  <si>
    <t>SF-03/PT/STOCK/01I/014/001/002</t>
  </si>
  <si>
    <t>SF-03/PT/STOCK/01I/014/002</t>
  </si>
  <si>
    <t>SF-03/PT/STOCK/01I/014/003</t>
  </si>
  <si>
    <t>SF-03/PT/STOCK/01I/015</t>
  </si>
  <si>
    <t>SF-03/PT/STOCK/01I/015/001</t>
  </si>
  <si>
    <t>SF-03/PT/STOCK/01I/015/001/002</t>
  </si>
  <si>
    <t>SF-03/PT/STOCK/01I/015/002</t>
  </si>
  <si>
    <t>SF-03/PT/STOCK/01I/015/003</t>
  </si>
  <si>
    <t>SF-03/PT/STOCK/01I/015/004</t>
  </si>
  <si>
    <t>SF-03/PT/STOCK/01I/016</t>
  </si>
  <si>
    <t>SF-03/PT/STOCK/01I/016/001</t>
  </si>
  <si>
    <t>SF-03/PT/STOCK/01I/016/001/001</t>
  </si>
  <si>
    <t>SF-03/PT/STOCK/01I/016/001/002</t>
  </si>
  <si>
    <t>SF-03/PT/STOCK/01I/016/002</t>
  </si>
  <si>
    <t>SF-03/PT/STOCK/01I/016/003</t>
  </si>
  <si>
    <t>SF-03/PT/STOCK/01I/016/004</t>
  </si>
  <si>
    <t>SF-03/PT/STOCK/01I/017</t>
  </si>
  <si>
    <t>SF-03/PT/STOCK/01I/017/001</t>
  </si>
  <si>
    <t>SF-03/PT/STOCK/01I/017/001/001</t>
  </si>
  <si>
    <t>SF-03/PT/STOCK/01I/017/001/002</t>
  </si>
  <si>
    <t>SF-03/PT/STOCK/01I/017/002</t>
  </si>
  <si>
    <t>SF-03/PT/STOCK/01I/017/003</t>
  </si>
  <si>
    <t>SF-03/PT/STOCK/01I/017/004</t>
  </si>
  <si>
    <t>SF-03/PT/STOCK/01I/018</t>
  </si>
  <si>
    <t>SF-03/PT/STOCK/01I/018/001</t>
  </si>
  <si>
    <t>SF-03/PT/STOCK/01I/018/001/001</t>
  </si>
  <si>
    <t>SF-03/PT/STOCK/01I/018/001/002</t>
  </si>
  <si>
    <t>SF-03/PT/STOCK/01I/018/002</t>
  </si>
  <si>
    <t>SF-03/PT/STOCK/01I/018/003</t>
  </si>
  <si>
    <t>SF-03/PT/STOCK/01I/018/004</t>
  </si>
  <si>
    <t>SF-03/PT/STOCK/01I/019</t>
  </si>
  <si>
    <t>SF-03/PT/STOCK/01I/019/001</t>
  </si>
  <si>
    <t>SF-03/PT/STOCK/01I/019/001/001</t>
  </si>
  <si>
    <t>SF-03/PT/STOCK/01I/019/001/002</t>
  </si>
  <si>
    <t>SF-03/PT/STOCK/01I/019/002</t>
  </si>
  <si>
    <t>SF-03/PT/STOCK/01I/019/003</t>
  </si>
  <si>
    <t>SF-03/PT/STOCK/01I/019/004</t>
  </si>
  <si>
    <t>SF-03/PT/STOCK/01I/020</t>
  </si>
  <si>
    <t>SF-03/PT/STOCK/01I/020/001</t>
  </si>
  <si>
    <t>SF-03/PT/STOCK/01I/020/001/001</t>
  </si>
  <si>
    <t>SF-03/PT/STOCK/01I/020/001/002</t>
  </si>
  <si>
    <t>SF-03/PT/STOCK/01I/020/002</t>
  </si>
  <si>
    <t>SF-03/PT/STOCK/01I/020/003</t>
  </si>
  <si>
    <t>SF-03/PT/STOCK/01I/020/004</t>
  </si>
  <si>
    <t>SF-03/PT/STOCK/01I/021</t>
  </si>
  <si>
    <t>SF-03/PT/STOCK/01I/021/001</t>
  </si>
  <si>
    <t>SF-03/PT/STOCK/01I/021/001/001</t>
  </si>
  <si>
    <t>SF-03/PT/STOCK/01I/021/001/002</t>
  </si>
  <si>
    <t>SF-03/PT/STOCK/01I/021/002</t>
  </si>
  <si>
    <t>SF-03/PT/STOCK/01I/021/003</t>
  </si>
  <si>
    <t>SF-03/PT/STOCK/01I/021/004</t>
  </si>
  <si>
    <t>SF-03/PT/STOCK/02D</t>
  </si>
  <si>
    <t>SF-03/PT/STOCK/02D/001</t>
  </si>
  <si>
    <t>SF-03/PT/STOCK/02D/001/001</t>
  </si>
  <si>
    <t>SF-03/PT/STOCK/02D/001/001/001</t>
  </si>
  <si>
    <t>SF-03/PT/STOCK/02D/001/001/002</t>
  </si>
  <si>
    <t>SF-03/PT/STOCK/02D/001/004</t>
  </si>
  <si>
    <t>SF-03/PT/STOCK/02D/002</t>
  </si>
  <si>
    <t>SF-03/PT/STOCK/02D/002/001</t>
  </si>
  <si>
    <t>SF-03/PT/STOCK/02D/002/001/001</t>
  </si>
  <si>
    <t>SF-03/PT/STOCK/02D/002/001/002</t>
  </si>
  <si>
    <t>SF-03/PT/STOCK/02D/003</t>
  </si>
  <si>
    <t>SF-03/PT/STOCK/02D/003/001</t>
  </si>
  <si>
    <t>SF-03/PT/STOCK/02D/003/001/001</t>
  </si>
  <si>
    <t>SF-03/PT/STOCK/02D/003/001/002</t>
  </si>
  <si>
    <t>SF-03/PT/STOCK/02D/004</t>
  </si>
  <si>
    <t>SF-03/PT/STOCK/02D/004/001</t>
  </si>
  <si>
    <t>SF-03/PT/STOCK/02D/004/001/001</t>
  </si>
  <si>
    <t>SF-03/PT/STOCK/02D/004/001/002</t>
  </si>
  <si>
    <t>SF-03/PT/STOCK/02D/004/002</t>
  </si>
  <si>
    <t>SF-03/PT/STOCK/02D/004/003</t>
  </si>
  <si>
    <t>SF-03/PT/STOCK/02D/004/004</t>
  </si>
  <si>
    <t>SF-03/PT/STOCK/02D/005</t>
  </si>
  <si>
    <t>SF-03/PT/STOCK/02D/005/001</t>
  </si>
  <si>
    <t>SF-03/PT/STOCK/02D/005/001/001</t>
  </si>
  <si>
    <t>SF-03/PT/STOCK/02D/005/001/002</t>
  </si>
  <si>
    <t>SF-03/PT/STOCK/02D/005/004</t>
  </si>
  <si>
    <t>SF-03/PT/STOCK/02D/006</t>
  </si>
  <si>
    <t>SF-03/PT/STOCK/02D/006/001</t>
  </si>
  <si>
    <t>SF-03/PT/STOCK/02D/006/001/001</t>
  </si>
  <si>
    <t>SF-03/PT/STOCK/02D/006/002</t>
  </si>
  <si>
    <t>SF-03/PT/STOCK/02D/007</t>
  </si>
  <si>
    <t>SF-03/PT/STOCK/02D/007/001</t>
  </si>
  <si>
    <t>SF-03/PT/STOCK/02D/008</t>
  </si>
  <si>
    <t>SF-03/PT/STOCK/02D/008/001</t>
  </si>
  <si>
    <t>SF-03/PT/STOCK/02D/009</t>
  </si>
  <si>
    <t>SF-03/PT/STOCK/02D/009/001</t>
  </si>
  <si>
    <t>SF-03/PT/STOCK/02D/009/001/001</t>
  </si>
  <si>
    <t>SF-03/PT/STOCK/02D/010</t>
  </si>
  <si>
    <t>SF-03/PT/STOCK/02D/010/001</t>
  </si>
  <si>
    <t>SF-03/PT/STOCK/02D/010/001/001</t>
  </si>
  <si>
    <t>SF-03/PT/STOCK/02D/010/001/002</t>
  </si>
  <si>
    <t>SF-03/PT/STOCK/02D/010/003</t>
  </si>
  <si>
    <t>SF-03/PT/STOCK/02D/010/004</t>
  </si>
  <si>
    <t>SF-03/PT/STOCK/02D/011</t>
  </si>
  <si>
    <t>SF-03/PT/STOCK/02D/011/001</t>
  </si>
  <si>
    <t>SF-03/PT/STOCK/02D/011/001/001</t>
  </si>
  <si>
    <t>SF-03/PT/STOCK/02D/011/001/002</t>
  </si>
  <si>
    <t>SF-03/PT/STOCK/02D/011/004</t>
  </si>
  <si>
    <t>SF-03/PT/STOCK/02D/012</t>
  </si>
  <si>
    <t>SF-03/PT/STOCK/02D/012/001</t>
  </si>
  <si>
    <t>SF-03/PT/STOCK/02D/012/001/001</t>
  </si>
  <si>
    <t>SF-03/PT/STOCK/02D/012/003</t>
  </si>
  <si>
    <t>SF-03/PT/STOCK/02D/013</t>
  </si>
  <si>
    <t>SF-03/PT/STOCK/02D/013/001</t>
  </si>
  <si>
    <t>SF-03/PT/STOCK/02D/013/001/001</t>
  </si>
  <si>
    <t>SF-03/PT/STOCK/02D/013/001/002</t>
  </si>
  <si>
    <t>SF-03/PT/STOCK/02D/013/002</t>
  </si>
  <si>
    <t>SF-03/PT/STOCK/02D/013/003</t>
  </si>
  <si>
    <t>SF-03/PT/STOCK/02D/013/004</t>
  </si>
  <si>
    <t>SF-03/PT/STOCK/02D/014</t>
  </si>
  <si>
    <t>SF-03/PT/STOCK/02D/014/001</t>
  </si>
  <si>
    <t>SF-03/PT/STOCK/02D/014/001/001</t>
  </si>
  <si>
    <t>SF-03/PT/STOCK/02D/014/001/002</t>
  </si>
  <si>
    <t>SF-03/PT/STOCK/02D/014/002</t>
  </si>
  <si>
    <t>SF-03/PT/STOCK/02D/014/003</t>
  </si>
  <si>
    <t>SF-03/PT/STOCK/02D/015</t>
  </si>
  <si>
    <t>SF-03/PT/STOCK/02D/015/001</t>
  </si>
  <si>
    <t>SF-03/PT/STOCK/02D/015/004</t>
  </si>
  <si>
    <t>SF-03/PT/STOCK/02D/016</t>
  </si>
  <si>
    <t>SF-03/PT/STOCK/02D/016/001</t>
  </si>
  <si>
    <t>SF-03/PT/STOCK/02D/016/001/001</t>
  </si>
  <si>
    <t>SF-03/PT/STOCK/02D/016/001/002</t>
  </si>
  <si>
    <t>SF-03/PT/STOCK/02D/016/002</t>
  </si>
  <si>
    <t>SF-03/PT/STOCK/02D/016/003</t>
  </si>
  <si>
    <t>SF-03/PT/STOCK/02D/017</t>
  </si>
  <si>
    <t>SF-03/PT/STOCK/02D/017/001</t>
  </si>
  <si>
    <t>SF-03/PT/STOCK/02D/017/001/001</t>
  </si>
  <si>
    <t>SF-03/PT/STOCK/02D/017/001/002</t>
  </si>
  <si>
    <t>SF-03/PT/STOCK/02D/017/002</t>
  </si>
  <si>
    <t>SF-03/PT/STOCK/02D/017/003</t>
  </si>
  <si>
    <t>SF-03/PT/STOCK/02D/017/004</t>
  </si>
  <si>
    <t>SF-03/PT/STOCK/02D/018</t>
  </si>
  <si>
    <t>SF-03/PT/STOCK/02D/018/001</t>
  </si>
  <si>
    <t>SF-03/PT/STOCK/02D/018/001/001</t>
  </si>
  <si>
    <t>SF-03/PT/STOCK/02D/018/001/002</t>
  </si>
  <si>
    <t>SF-03/PT/STOCK/02D/018/002</t>
  </si>
  <si>
    <t>SF-03/PT/STOCK/02D/018/003</t>
  </si>
  <si>
    <t>SF-03/PT/STOCK/02D/018/004</t>
  </si>
  <si>
    <t>SF-03/PT/STOCK/02D/019</t>
  </si>
  <si>
    <t>SF-03/PT/STOCK/02D/019/001</t>
  </si>
  <si>
    <t>SF-03/PT/STOCK/02D/019/001/001</t>
  </si>
  <si>
    <t>SF-03/PT/STOCK/02D/019/001/002</t>
  </si>
  <si>
    <t>SF-03/PT/STOCK/02D/019/002</t>
  </si>
  <si>
    <t>SF-03/PT/STOCK/02D/019/003</t>
  </si>
  <si>
    <t>SF-03/PT/STOCK/02D/019/004</t>
  </si>
  <si>
    <t>SF-03/PT/STOCK/02D/020</t>
  </si>
  <si>
    <t>SF-03/PT/STOCK/02D/020/001</t>
  </si>
  <si>
    <t>SF-03/PT/STOCK/02D/020/001/001</t>
  </si>
  <si>
    <t>SF-03/PT/STOCK/02D/020/001/002</t>
  </si>
  <si>
    <t>SF-03/PT/STOCK/02D/020/002</t>
  </si>
  <si>
    <t>SF-03/PT/STOCK/02D/021</t>
  </si>
  <si>
    <t>SF-03/PT/STOCK/02D/021/001</t>
  </si>
  <si>
    <t>SF-03/PT/STOCK/02D/021/001/001</t>
  </si>
  <si>
    <t>SF-03/PT/STOCK/02D/021/001/002</t>
  </si>
  <si>
    <t>SF-03/PT/STOCK/02D/021/002</t>
  </si>
  <si>
    <t>SF-03/PT/STOCK/02D/021/003</t>
  </si>
  <si>
    <t>SF-03/PT/STOCK/02D/021/004</t>
  </si>
  <si>
    <t>SF-03/PT/STOCK/02I</t>
  </si>
  <si>
    <t>SF-03/PT/STOCK/02I/001</t>
  </si>
  <si>
    <t>SF-03/PT/STOCK/02I/001/001</t>
  </si>
  <si>
    <t>SF-03/PT/STOCK/02I/001/001/002</t>
  </si>
  <si>
    <t>SF-03/PT/STOCK/02I/002</t>
  </si>
  <si>
    <t>SF-03/PT/STOCK/02I/002/001</t>
  </si>
  <si>
    <t>SF-03/PT/STOCK/02I/002/001/001</t>
  </si>
  <si>
    <t>SF-03/PT/STOCK/02I/003</t>
  </si>
  <si>
    <t>SF-03/PT/STOCK/02I/003/001</t>
  </si>
  <si>
    <t>SF-03/PT/STOCK/02I/003/001/001</t>
  </si>
  <si>
    <t>SF-03/PT/STOCK/02I/003/001/002</t>
  </si>
  <si>
    <t>SF-03/PT/STOCK/02I/004</t>
  </si>
  <si>
    <t>SF-03/PT/STOCK/02I/004/001</t>
  </si>
  <si>
    <t>SF-03/PT/STOCK/02I/004/001/001</t>
  </si>
  <si>
    <t>SF-03/PT/STOCK/02I/004/002</t>
  </si>
  <si>
    <t>SF-03/PT/STOCK/02I/005</t>
  </si>
  <si>
    <t>SF-03/PT/STOCK/02I/005/001</t>
  </si>
  <si>
    <t>SF-03/PT/STOCK/02I/005/002</t>
  </si>
  <si>
    <t>SF-03/PT/STOCK/02I/006</t>
  </si>
  <si>
    <t>SF-03/PT/STOCK/02I/006/001</t>
  </si>
  <si>
    <t>SF-03/PT/STOCK/02I/006/001/002</t>
  </si>
  <si>
    <t>SF-03/PT/STOCK/02I/006/003</t>
  </si>
  <si>
    <t>SF-03/PT/STOCK/02I/007</t>
  </si>
  <si>
    <t>SF-03/PT/STOCK/02I/007/001</t>
  </si>
  <si>
    <t>SF-03/PT/STOCK/02I/007/001/001</t>
  </si>
  <si>
    <t>SF-03/PT/STOCK/02I/007/003</t>
  </si>
  <si>
    <t>SF-03/PT/STOCK/02I/008</t>
  </si>
  <si>
    <t>SF-03/PT/STOCK/02I/008/001</t>
  </si>
  <si>
    <t>SF-03/PT/STOCK/02I/009</t>
  </si>
  <si>
    <t>SF-03/PT/STOCK/02I/009/001</t>
  </si>
  <si>
    <t>SF-03/PT/STOCK/02I/009/001/001</t>
  </si>
  <si>
    <t>SF-03/PT/STOCK/02I/010</t>
  </si>
  <si>
    <t>SF-03/PT/STOCK/02I/010/001</t>
  </si>
  <si>
    <t>SF-03/PT/STOCK/02I/010/002</t>
  </si>
  <si>
    <t>SF-03/PT/STOCK/02I/010/003</t>
  </si>
  <si>
    <t>SF-03/PT/STOCK/02I/011</t>
  </si>
  <si>
    <t>SF-03/PT/STOCK/02I/011/001</t>
  </si>
  <si>
    <t>SF-03/PT/STOCK/02I/011/001/001</t>
  </si>
  <si>
    <t>SF-03/PT/STOCK/02I/011/002</t>
  </si>
  <si>
    <t>SF-03/PT/STOCK/02I/012</t>
  </si>
  <si>
    <t>SF-03/PT/STOCK/02I/012/001</t>
  </si>
  <si>
    <t>SF-03/PT/STOCK/02I/012/001/001</t>
  </si>
  <si>
    <t>SF-03/PT/STOCK/02I/012/002</t>
  </si>
  <si>
    <t>SF-03/PT/STOCK/02I/012/003</t>
  </si>
  <si>
    <t>SF-03/PT/STOCK/02I/013</t>
  </si>
  <si>
    <t>SF-03/PT/STOCK/02I/013/001</t>
  </si>
  <si>
    <t>SF-03/PT/STOCK/02I/013/001/001</t>
  </si>
  <si>
    <t>SF-03/PT/STOCK/02I/013/001/002</t>
  </si>
  <si>
    <t>SF-03/PT/STOCK/02I/014</t>
  </si>
  <si>
    <t>SF-03/PT/STOCK/02I/014/001</t>
  </si>
  <si>
    <t>SF-03/PT/STOCK/02I/014/001/001</t>
  </si>
  <si>
    <t>SF-03/PT/STOCK/02I/014/001/002</t>
  </si>
  <si>
    <t>SF-03/PT/STOCK/02I/014/002</t>
  </si>
  <si>
    <t>SF-03/PT/STOCK/02I/014/003</t>
  </si>
  <si>
    <t>SF-03/PT/STOCK/02I/014/004</t>
  </si>
  <si>
    <t>SF-03/PT/STOCK/02I/015</t>
  </si>
  <si>
    <t>SF-03/PT/STOCK/02I/015/001</t>
  </si>
  <si>
    <t>SF-03/PT/STOCK/02I/015/001/001</t>
  </si>
  <si>
    <t>SF-03/PT/STOCK/02I/015/001/002</t>
  </si>
  <si>
    <t>SF-03/PT/STOCK/02I/015/002</t>
  </si>
  <si>
    <t>SF-03/PT/STOCK/02I/015/003</t>
  </si>
  <si>
    <t>SF-03/PT/STOCK/02I/015/004</t>
  </si>
  <si>
    <t>SF-03/PT/STOCK/02I/016</t>
  </si>
  <si>
    <t>SF-03/PT/STOCK/02I/016/001</t>
  </si>
  <si>
    <t>SF-03/PT/STOCK/02I/016/001/001</t>
  </si>
  <si>
    <t>SF-03/PT/STOCK/02I/016/001/002</t>
  </si>
  <si>
    <t>SF-03/PT/STOCK/02I/016/003</t>
  </si>
  <si>
    <t>SF-03/PT/STOCK/02I/017</t>
  </si>
  <si>
    <t>SF-03/PT/STOCK/02I/017/001</t>
  </si>
  <si>
    <t>SF-03/PT/STOCK/02I/017/001/001</t>
  </si>
  <si>
    <t>SF-03/PT/STOCK/02I/017/001/002</t>
  </si>
  <si>
    <t>SF-03/PT/STOCK/02I/017/002</t>
  </si>
  <si>
    <t>SF-03/PT/STOCK/02I/018</t>
  </si>
  <si>
    <t>SF-03/PT/STOCK/02I/018/001</t>
  </si>
  <si>
    <t>SF-03/PT/STOCK/02I/018/001/001</t>
  </si>
  <si>
    <t>SF-03/PT/STOCK/02I/018/001/002</t>
  </si>
  <si>
    <t>SF-03/PT/STOCK/02I/018/002</t>
  </si>
  <si>
    <t>SF-03/PT/STOCK/02I/018/003</t>
  </si>
  <si>
    <t>SF-03/PT/STOCK/02I/018/004</t>
  </si>
  <si>
    <t>SF-03/PT/STOCK/02I/019</t>
  </si>
  <si>
    <t>SF-03/PT/STOCK/02I/019/001</t>
  </si>
  <si>
    <t>SF-03/PT/STOCK/02I/019/001/001</t>
  </si>
  <si>
    <t>SF-03/PT/STOCK/02I/019/001/002</t>
  </si>
  <si>
    <t>SF-03/PT/STOCK/02I/019/002</t>
  </si>
  <si>
    <t>SF-03/PT/STOCK/02I/019/004</t>
  </si>
  <si>
    <t>SF-03/PT/STOCK/02I/020</t>
  </si>
  <si>
    <t>SF-03/PT/STOCK/02I/020/001</t>
  </si>
  <si>
    <t>SF-03/PT/STOCK/02I/020/001/001</t>
  </si>
  <si>
    <t>SF-03/PT/STOCK/02I/021</t>
  </si>
  <si>
    <t>SF-03/PT/STOCK/02I/021/001</t>
  </si>
  <si>
    <t>SF-03/PT/STOCK/02I/021/001/001</t>
  </si>
  <si>
    <t>SF-03/PT/STOCK/02I/021/001/002</t>
  </si>
  <si>
    <t>SF-03/PT/STOCK/02I/021/002</t>
  </si>
  <si>
    <t>SF-03/PT/STOCK/02I/021/003</t>
  </si>
  <si>
    <t>SF-03/PT/STOCK/02I/021/004</t>
  </si>
  <si>
    <t>SF-03/PT/STOCK/03D</t>
  </si>
  <si>
    <t>SF-03/PT/STOCK/03D/001</t>
  </si>
  <si>
    <t>SF-03/PT/STOCK/03D/001/001</t>
  </si>
  <si>
    <t>SF-03/PT/STOCK/03D/001/001/001</t>
  </si>
  <si>
    <t>SF-03/PT/STOCK/03D/001/002</t>
  </si>
  <si>
    <t>SF-03/PT/STOCK/03D/001/003</t>
  </si>
  <si>
    <t>SF-03/PT/STOCK/03D/002</t>
  </si>
  <si>
    <t>SF-03/PT/STOCK/03D/002/001</t>
  </si>
  <si>
    <t>SF-03/PT/STOCK/03D/002/001/001</t>
  </si>
  <si>
    <t>SF-03/PT/STOCK/03D/002/002</t>
  </si>
  <si>
    <t>SF-03/PT/STOCK/03D/002/004</t>
  </si>
  <si>
    <t>SF-03/PT/STOCK/03D/003</t>
  </si>
  <si>
    <t>SF-03/PT/STOCK/03D/003/001</t>
  </si>
  <si>
    <t>SF-03/PT/STOCK/03D/004</t>
  </si>
  <si>
    <t>SF-03/PT/STOCK/03D/004/001</t>
  </si>
  <si>
    <t>SF-03/PT/STOCK/03D/004/001/002</t>
  </si>
  <si>
    <t>SF-03/PT/STOCK/03D/004/003</t>
  </si>
  <si>
    <t>SF-03/PT/STOCK/03D/004/004</t>
  </si>
  <si>
    <t>SF-03/PT/STOCK/03D/005</t>
  </si>
  <si>
    <t>SF-03/PT/STOCK/03D/005/001</t>
  </si>
  <si>
    <t>SF-03/PT/STOCK/03D/005/001/001</t>
  </si>
  <si>
    <t>SF-03/PT/STOCK/03D/005/001/002</t>
  </si>
  <si>
    <t>SF-03/PT/STOCK/03D/005/002</t>
  </si>
  <si>
    <t>SF-03/PT/STOCK/03D/006</t>
  </si>
  <si>
    <t>SF-03/PT/STOCK/03D/006/001</t>
  </si>
  <si>
    <t>SF-03/PT/STOCK/03D/006/001/002</t>
  </si>
  <si>
    <t>SF-03/PT/STOCK/03D/006/002</t>
  </si>
  <si>
    <t>SF-03/PT/STOCK/03D/006/003</t>
  </si>
  <si>
    <t>SF-03/PT/STOCK/03D/007</t>
  </si>
  <si>
    <t>SF-03/PT/STOCK/03D/007/001</t>
  </si>
  <si>
    <t>SF-03/PT/STOCK/03D/007/001/001</t>
  </si>
  <si>
    <t>SF-03/PT/STOCK/03D/007/001/002</t>
  </si>
  <si>
    <t>SF-03/PT/STOCK/03D/007/002</t>
  </si>
  <si>
    <t>SF-03/PT/STOCK/03D/007/003</t>
  </si>
  <si>
    <t>SF-03/PT/STOCK/03D/007/004</t>
  </si>
  <si>
    <t>SF-03/PT/STOCK/03D/008</t>
  </si>
  <si>
    <t>SF-03/PT/STOCK/03D/008/001</t>
  </si>
  <si>
    <t>SF-03/PT/STOCK/03D/008/001/001</t>
  </si>
  <si>
    <t>SF-03/PT/STOCK/03D/008/001/002</t>
  </si>
  <si>
    <t>SF-03/PT/STOCK/03D/008/002</t>
  </si>
  <si>
    <t>SF-03/PT/STOCK/03D/008/003</t>
  </si>
  <si>
    <t>SF-03/PT/STOCK/03D/008/004</t>
  </si>
  <si>
    <t>SF-03/PT/STOCK/03D/009</t>
  </si>
  <si>
    <t>SF-03/PT/STOCK/03D/009/001</t>
  </si>
  <si>
    <t>SF-03/PT/STOCK/03D/009/001/002</t>
  </si>
  <si>
    <t>SF-03/PT/STOCK/03D/009/002</t>
  </si>
  <si>
    <t>SF-03/PT/STOCK/03D/009/003</t>
  </si>
  <si>
    <t>SF-03/PT/STOCK/03D/009/004</t>
  </si>
  <si>
    <t>SF-03/PT/STOCK/03D/010</t>
  </si>
  <si>
    <t>SF-03/PT/STOCK/03D/010/001</t>
  </si>
  <si>
    <t>SF-03/PT/STOCK/03D/010/001/001</t>
  </si>
  <si>
    <t>SF-03/PT/STOCK/03D/010/003</t>
  </si>
  <si>
    <t>SF-03/PT/STOCK/03D/010/004</t>
  </si>
  <si>
    <t>SF-03/PT/STOCK/03D/011</t>
  </si>
  <si>
    <t>SF-03/PT/STOCK/03D/011/001</t>
  </si>
  <si>
    <t>SF-03/PT/STOCK/03D/011/002</t>
  </si>
  <si>
    <t>SF-03/PT/STOCK/03D/011/003</t>
  </si>
  <si>
    <t>SF-03/PT/STOCK/03D/011/004</t>
  </si>
  <si>
    <t>SF-03/PT/STOCK/03D/012</t>
  </si>
  <si>
    <t>SF-03/PT/STOCK/03D/012/001</t>
  </si>
  <si>
    <t>SF-03/PT/STOCK/03D/012/001/002</t>
  </si>
  <si>
    <t>SF-03/PT/STOCK/03D/012/002</t>
  </si>
  <si>
    <t>SF-03/PT/STOCK/03D/012/004</t>
  </si>
  <si>
    <t>SF-03/PT/STOCK/03D/013</t>
  </si>
  <si>
    <t>SF-03/PT/STOCK/03D/013/001</t>
  </si>
  <si>
    <t>SF-03/PT/STOCK/03D/013/002</t>
  </si>
  <si>
    <t>SF-03/PT/STOCK/03D/013/004</t>
  </si>
  <si>
    <t>SF-03/PT/STOCK/03D/014</t>
  </si>
  <si>
    <t>SF-03/PT/STOCK/03D/014/001</t>
  </si>
  <si>
    <t>SF-03/PT/STOCK/03D/014/001/001</t>
  </si>
  <si>
    <t>SF-03/PT/STOCK/03D/014/001/002</t>
  </si>
  <si>
    <t>SF-03/PT/STOCK/03D/014/003</t>
  </si>
  <si>
    <t>SF-03/PT/STOCK/03D/014/004</t>
  </si>
  <si>
    <t>SF-03/PT/STOCK/03D/015</t>
  </si>
  <si>
    <t>SF-03/PT/STOCK/03D/015/001</t>
  </si>
  <si>
    <t>SF-03/PT/STOCK/03D/015/001/001</t>
  </si>
  <si>
    <t>SF-03/PT/STOCK/03D/015/001/002</t>
  </si>
  <si>
    <t>SF-03/PT/STOCK/03D/015/002</t>
  </si>
  <si>
    <t>SF-03/PT/STOCK/03D/015/004</t>
  </si>
  <si>
    <t>SF-03/PT/STOCK/03D/016</t>
  </si>
  <si>
    <t>SF-03/PT/STOCK/03D/016/001</t>
  </si>
  <si>
    <t>SF-03/PT/STOCK/03D/016/001/001</t>
  </si>
  <si>
    <t>SF-03/PT/STOCK/03D/016/002</t>
  </si>
  <si>
    <t>SF-03/PT/STOCK/03D/016/003</t>
  </si>
  <si>
    <t>SF-03/PT/STOCK/03D/016/004</t>
  </si>
  <si>
    <t>SF-03/PT/STOCK/03D/017</t>
  </si>
  <si>
    <t>SF-03/PT/STOCK/03D/017/001</t>
  </si>
  <si>
    <t>SF-03/PT/STOCK/03D/017/003</t>
  </si>
  <si>
    <t>SF-03/PT/STOCK/03D/018</t>
  </si>
  <si>
    <t>SF-03/PT/STOCK/03D/018/001</t>
  </si>
  <si>
    <t>SF-03/PT/STOCK/03D/019</t>
  </si>
  <si>
    <t>SF-03/PT/STOCK/03D/019/001</t>
  </si>
  <si>
    <t>SF-03/PT/STOCK/03D/019/002</t>
  </si>
  <si>
    <t>SF-03/PT/STOCK/03D/019/003</t>
  </si>
  <si>
    <t>SF-03/PT/STOCK/03D/019/004</t>
  </si>
  <si>
    <t>SF-03/PT/STOCK/03D/020</t>
  </si>
  <si>
    <t>SF-03/PT/STOCK/03D/020/001</t>
  </si>
  <si>
    <t>SF-03/PT/STOCK/03D/020/002</t>
  </si>
  <si>
    <t>SF-03/PT/STOCK/03D/020/003</t>
  </si>
  <si>
    <t>SF-03/PT/STOCK/03D/021</t>
  </si>
  <si>
    <t>SF-03/PT/STOCK/03D/021/001</t>
  </si>
  <si>
    <t>SF-03/PT/STOCK/03D/021/001/001</t>
  </si>
  <si>
    <t>SF-03/PT/STOCK/03D/021/001/002</t>
  </si>
  <si>
    <t>SF-03/PT/STOCK/03D/021/002</t>
  </si>
  <si>
    <t>SF-03/PT/STOCK/03D/021/003</t>
  </si>
  <si>
    <t>SF-03/PT/STOCK/03D/021/004</t>
  </si>
  <si>
    <t>SF-03/PT/STOCK/03I</t>
  </si>
  <si>
    <t>SF-03/PT/STOCK/03I/001</t>
  </si>
  <si>
    <t>SF-03/PT/STOCK/03I/001/001</t>
  </si>
  <si>
    <t>SF-03/PT/STOCK/03I/001/001/001</t>
  </si>
  <si>
    <t>SF-03/PT/STOCK/03I/001/001/002</t>
  </si>
  <si>
    <t>SF-03/PT/STOCK/03I/001/002</t>
  </si>
  <si>
    <t>SF-03/PT/STOCK/03I/001/003</t>
  </si>
  <si>
    <t>SF-03/PT/STOCK/03I/002</t>
  </si>
  <si>
    <t>SF-03/PT/STOCK/03I/002/001</t>
  </si>
  <si>
    <t>SF-03/PT/STOCK/03I/002/001/001</t>
  </si>
  <si>
    <t>SF-03/PT/STOCK/03I/002/001/002</t>
  </si>
  <si>
    <t>SF-03/PT/STOCK/03I/002/003</t>
  </si>
  <si>
    <t>SF-03/PT/STOCK/03I/003</t>
  </si>
  <si>
    <t>SF-03/PT/STOCK/03I/003/001</t>
  </si>
  <si>
    <t>SF-03/PT/STOCK/03I/003/001/002</t>
  </si>
  <si>
    <t>SF-03/PT/STOCK/03I/003/002</t>
  </si>
  <si>
    <t>SF-03/PT/STOCK/03I/003/003</t>
  </si>
  <si>
    <t>SF-03/PT/STOCK/03I/004</t>
  </si>
  <si>
    <t>SF-03/PT/STOCK/03I/004/001</t>
  </si>
  <si>
    <t>SF-03/PT/STOCK/03I/004/001/002</t>
  </si>
  <si>
    <t>SF-03/PT/STOCK/03I/004/002</t>
  </si>
  <si>
    <t>SF-03/PT/STOCK/03I/004/003</t>
  </si>
  <si>
    <t>SF-03/PT/STOCK/03I/004/004</t>
  </si>
  <si>
    <t>SF-03/PT/STOCK/03I/005</t>
  </si>
  <si>
    <t>SF-03/PT/STOCK/03I/005/001</t>
  </si>
  <si>
    <t>SF-03/PT/STOCK/03I/005/001/002</t>
  </si>
  <si>
    <t>SF-03/PT/STOCK/03I/005/002</t>
  </si>
  <si>
    <t>SF-03/PT/STOCK/03I/006</t>
  </si>
  <si>
    <t>SF-03/PT/STOCK/03I/006/001</t>
  </si>
  <si>
    <t>SF-03/PT/STOCK/03I/006/001/001</t>
  </si>
  <si>
    <t>SF-03/PT/STOCK/03I/006/001/002</t>
  </si>
  <si>
    <t>SF-03/PT/STOCK/03I/006/003</t>
  </si>
  <si>
    <t>SF-03/PT/STOCK/03I/006/004</t>
  </si>
  <si>
    <t>SF-03/PT/STOCK/03I/007</t>
  </si>
  <si>
    <t>SF-03/PT/STOCK/03I/007/001</t>
  </si>
  <si>
    <t>SF-03/PT/STOCK/03I/007/001/001</t>
  </si>
  <si>
    <t>SF-03/PT/STOCK/03I/007/001/002</t>
  </si>
  <si>
    <t>SF-03/PT/STOCK/03I/007/002</t>
  </si>
  <si>
    <t>SF-03/PT/STOCK/03I/008</t>
  </si>
  <si>
    <t>SF-03/PT/STOCK/03I/008/001</t>
  </si>
  <si>
    <t>SF-03/PT/STOCK/03I/008/001/001</t>
  </si>
  <si>
    <t>SF-03/PT/STOCK/03I/008/001/002</t>
  </si>
  <si>
    <t>SF-03/PT/STOCK/03I/008/003</t>
  </si>
  <si>
    <t>SF-03/PT/STOCK/03I/009</t>
  </si>
  <si>
    <t>SF-03/PT/STOCK/03I/009/001</t>
  </si>
  <si>
    <t>SF-03/PT/STOCK/03I/009/001/001</t>
  </si>
  <si>
    <t>SF-03/PT/STOCK/03I/009/001/002</t>
  </si>
  <si>
    <t>SF-03/PT/STOCK/03I/010</t>
  </si>
  <si>
    <t>SF-03/PT/STOCK/03I/010/001</t>
  </si>
  <si>
    <t>SF-03/PT/STOCK/03I/010/001/001</t>
  </si>
  <si>
    <t>SF-03/PT/STOCK/03I/010/001/002</t>
  </si>
  <si>
    <t>SF-03/PT/STOCK/03I/010/003</t>
  </si>
  <si>
    <t>SF-03/PT/STOCK/03I/011</t>
  </si>
  <si>
    <t>SF-03/PT/STOCK/03I/011/001</t>
  </si>
  <si>
    <t>SF-03/PT/STOCK/03I/011/001/002</t>
  </si>
  <si>
    <t>SF-03/PT/STOCK/03I/011/003</t>
  </si>
  <si>
    <t>SF-03/PT/STOCK/03I/011/004</t>
  </si>
  <si>
    <t>SF-03/PT/STOCK/03I/012</t>
  </si>
  <si>
    <t>SF-03/PT/STOCK/03I/012/001</t>
  </si>
  <si>
    <t>SF-03/PT/STOCK/03I/012/001/002</t>
  </si>
  <si>
    <t>SF-03/PT/STOCK/03I/012/002</t>
  </si>
  <si>
    <t>SF-03/PT/STOCK/03I/012/004</t>
  </si>
  <si>
    <t>SF-03/PT/STOCK/03I/013</t>
  </si>
  <si>
    <t>SF-03/PT/STOCK/03I/013/001</t>
  </si>
  <si>
    <t>SF-03/PT/STOCK/03I/013/001/002</t>
  </si>
  <si>
    <t>SF-03/PT/STOCK/03I/013/002</t>
  </si>
  <si>
    <t>SF-03/PT/STOCK/03I/013/003</t>
  </si>
  <si>
    <t>SF-03/PT/STOCK/03I/013/004</t>
  </si>
  <si>
    <t>SF-03/PT/STOCK/03I/014</t>
  </si>
  <si>
    <t>SF-03/PT/STOCK/03I/014/001</t>
  </si>
  <si>
    <t>SF-03/PT/STOCK/03I/014/001/001</t>
  </si>
  <si>
    <t>SF-03/PT/STOCK/03I/014/001/002</t>
  </si>
  <si>
    <t>SF-03/PT/STOCK/03I/015</t>
  </si>
  <si>
    <t>SF-03/PT/STOCK/03I/015/001</t>
  </si>
  <si>
    <t>SF-03/PT/STOCK/03I/015/001/002</t>
  </si>
  <si>
    <t>SF-03/PT/STOCK/03I/016</t>
  </si>
  <si>
    <t>SF-03/PT/STOCK/03I/016/001</t>
  </si>
  <si>
    <t>SF-03/PT/STOCK/03I/016/001/002</t>
  </si>
  <si>
    <t>SF-03/PT/STOCK/03I/016/002</t>
  </si>
  <si>
    <t>SF-03/PT/STOCK/03I/016/004</t>
  </si>
  <si>
    <t>SF-03/PT/STOCK/03I/017</t>
  </si>
  <si>
    <t>SF-03/PT/STOCK/03I/017/001</t>
  </si>
  <si>
    <t>SF-03/PT/STOCK/03I/017/001/001</t>
  </si>
  <si>
    <t>SF-03/PT/STOCK/03I/017/001/002</t>
  </si>
  <si>
    <t>SF-03/PT/STOCK/03I/018</t>
  </si>
  <si>
    <t>SF-03/PT/STOCK/03I/018/001</t>
  </si>
  <si>
    <t>SF-03/PT/STOCK/03I/018/001/002</t>
  </si>
  <si>
    <t>SF-03/PT/STOCK/03I/018/002</t>
  </si>
  <si>
    <t>SF-03/PT/STOCK/03I/018/004</t>
  </si>
  <si>
    <t>SF-03/PT/STOCK/03I/019</t>
  </si>
  <si>
    <t>SF-03/PT/STOCK/03I/019/001</t>
  </si>
  <si>
    <t>SF-03/PT/STOCK/03I/019/001/001</t>
  </si>
  <si>
    <t>SF-03/PT/STOCK/03I/019/002</t>
  </si>
  <si>
    <t>SF-03/PT/STOCK/03I/020</t>
  </si>
  <si>
    <t>SF-03/PT/STOCK/03I/020/001</t>
  </si>
  <si>
    <t>SF-03/PT/STOCK/03I/020/001/002</t>
  </si>
  <si>
    <t>SF-03/PT/STOCK/03I/020/002</t>
  </si>
  <si>
    <t>SF-03/PT/STOCK/03I/020/003</t>
  </si>
  <si>
    <t>SF-03/PT/STOCK/03I/020/004</t>
  </si>
  <si>
    <t>SF-03/PT/STOCK/03I/021</t>
  </si>
  <si>
    <t>SF-03/PT/STOCK/03I/021/001</t>
  </si>
  <si>
    <t>SF-03/PT/STOCK/03I/021/001/001</t>
  </si>
  <si>
    <t>SF-03/PT/STOCK/03I/021/001/002</t>
  </si>
  <si>
    <t>SF-03/PT/STOCK/03I/021/002</t>
  </si>
  <si>
    <t>SF-03/PT/STOCK/03I/021/003</t>
  </si>
  <si>
    <t>SF-03/PT/STOCK/03I/021/004</t>
  </si>
  <si>
    <t>SF-03/PT/STOCK/04D</t>
  </si>
  <si>
    <t>SF-03/PT/STOCK/04D/001</t>
  </si>
  <si>
    <t>SF-03/PT/STOCK/04D/001/001</t>
  </si>
  <si>
    <t>SF-03/PT/STOCK/04D/001/001/002</t>
  </si>
  <si>
    <t>SF-03/PT/STOCK/04D/001/002</t>
  </si>
  <si>
    <t>SF-03/PT/STOCK/04D/002</t>
  </si>
  <si>
    <t>SF-03/PT/STOCK/04D/002/001</t>
  </si>
  <si>
    <t>SF-03/PT/STOCK/04D/002/001/001</t>
  </si>
  <si>
    <t>SF-03/PT/STOCK/04D/002/001/002</t>
  </si>
  <si>
    <t>SF-03/PT/STOCK/04D/002/002</t>
  </si>
  <si>
    <t>SF-03/PT/STOCK/04D/003</t>
  </si>
  <si>
    <t>SF-03/PT/STOCK/04D/003/001</t>
  </si>
  <si>
    <t>SF-03/PT/STOCK/04D/003/004</t>
  </si>
  <si>
    <t>SF-03/PT/STOCK/04D/004</t>
  </si>
  <si>
    <t>SF-03/PT/STOCK/04D/004/001</t>
  </si>
  <si>
    <t>SF-03/PT/STOCK/04D/004/001/001</t>
  </si>
  <si>
    <t>SF-03/PT/STOCK/04D/004/001/002</t>
  </si>
  <si>
    <t>SF-03/PT/STOCK/04D/004/002</t>
  </si>
  <si>
    <t>SF-03/PT/STOCK/04D/005</t>
  </si>
  <si>
    <t>SF-03/PT/STOCK/04D/005/001</t>
  </si>
  <si>
    <t>SF-03/PT/STOCK/04D/005/001/002</t>
  </si>
  <si>
    <t>SF-03/PT/STOCK/04D/005/002</t>
  </si>
  <si>
    <t>SF-03/PT/STOCK/04D/006</t>
  </si>
  <si>
    <t>SF-03/PT/STOCK/04D/006/001</t>
  </si>
  <si>
    <t>SF-03/PT/STOCK/04D/006/001/001</t>
  </si>
  <si>
    <t>SF-03/PT/STOCK/04D/006/001/002</t>
  </si>
  <si>
    <t>SF-03/PT/STOCK/04D/006/002</t>
  </si>
  <si>
    <t>SF-03/PT/STOCK/04D/006/003</t>
  </si>
  <si>
    <t>SF-03/PT/STOCK/04D/006/004</t>
  </si>
  <si>
    <t>SF-03/PT/STOCK/04D/007</t>
  </si>
  <si>
    <t>SF-03/PT/STOCK/04D/007/001</t>
  </si>
  <si>
    <t>SF-03/PT/STOCK/04D/007/002</t>
  </si>
  <si>
    <t>SF-03/PT/STOCK/04D/008</t>
  </si>
  <si>
    <t>SF-03/PT/STOCK/04D/008/001</t>
  </si>
  <si>
    <t>SF-03/PT/STOCK/04D/008/001/001</t>
  </si>
  <si>
    <t>SF-03/PT/STOCK/04D/008/002</t>
  </si>
  <si>
    <t>SF-03/PT/STOCK/04D/009</t>
  </si>
  <si>
    <t>SF-03/PT/STOCK/04D/009/001</t>
  </si>
  <si>
    <t>SF-03/PT/STOCK/04D/009/001/001</t>
  </si>
  <si>
    <t>SF-03/PT/STOCK/04D/009/001/002</t>
  </si>
  <si>
    <t>SF-03/PT/STOCK/04D/010</t>
  </si>
  <si>
    <t>SF-03/PT/STOCK/04D/010/001</t>
  </si>
  <si>
    <t>SF-03/PT/STOCK/04D/010/001/002</t>
  </si>
  <si>
    <t>SF-03/PT/STOCK/04D/010/002</t>
  </si>
  <si>
    <t>SF-03/PT/STOCK/04D/010/003</t>
  </si>
  <si>
    <t>SF-03/PT/STOCK/04D/010/004</t>
  </si>
  <si>
    <t>SF-03/PT/STOCK/04D/011</t>
  </si>
  <si>
    <t>SF-03/PT/STOCK/04D/011/001</t>
  </si>
  <si>
    <t>SF-03/PT/STOCK/04D/011/001/001</t>
  </si>
  <si>
    <t>SF-03/PT/STOCK/04D/011/002</t>
  </si>
  <si>
    <t>SF-03/PT/STOCK/04D/011/003</t>
  </si>
  <si>
    <t>SF-03/PT/STOCK/04D/011/004</t>
  </si>
  <si>
    <t>SF-03/PT/STOCK/04D/012</t>
  </si>
  <si>
    <t>SF-03/PT/STOCK/04D/012/001</t>
  </si>
  <si>
    <t>SF-03/PT/STOCK/04D/012/001/001</t>
  </si>
  <si>
    <t>SF-03/PT/STOCK/04D/012/003</t>
  </si>
  <si>
    <t>SF-03/PT/STOCK/04D/012/004</t>
  </si>
  <si>
    <t>SF-03/PT/STOCK/04D/013</t>
  </si>
  <si>
    <t>SF-03/PT/STOCK/04D/013/001</t>
  </si>
  <si>
    <t>SF-03/PT/STOCK/04D/013/001/002</t>
  </si>
  <si>
    <t>SF-03/PT/STOCK/04D/013/002</t>
  </si>
  <si>
    <t>SF-03/PT/STOCK/04D/013/003</t>
  </si>
  <si>
    <t>SF-03/PT/STOCK/04D/014</t>
  </si>
  <si>
    <t>SF-03/PT/STOCK/04D/014/001</t>
  </si>
  <si>
    <t>SF-03/PT/STOCK/04D/014/001/001</t>
  </si>
  <si>
    <t>SF-03/PT/STOCK/04D/014/003</t>
  </si>
  <si>
    <t>SF-03/PT/STOCK/04D/015</t>
  </si>
  <si>
    <t>SF-03/PT/STOCK/04D/015/001</t>
  </si>
  <si>
    <t>SF-03/PT/STOCK/04D/015/001/001</t>
  </si>
  <si>
    <t>SF-03/PT/STOCK/04D/015/002</t>
  </si>
  <si>
    <t>SF-03/PT/STOCK/04D/015/004</t>
  </si>
  <si>
    <t>SF-03/PT/STOCK/04D/016</t>
  </si>
  <si>
    <t>SF-03/PT/STOCK/04D/016/001</t>
  </si>
  <si>
    <t>SF-03/PT/STOCK/04D/016/001/002</t>
  </si>
  <si>
    <t>SF-03/PT/STOCK/04D/017</t>
  </si>
  <si>
    <t>SF-03/PT/STOCK/04D/017/001</t>
  </si>
  <si>
    <t>SF-03/PT/STOCK/04D/017/001/002</t>
  </si>
  <si>
    <t>SF-03/PT/STOCK/04D/018</t>
  </si>
  <si>
    <t>SF-03/PT/STOCK/04D/018/001</t>
  </si>
  <si>
    <t>SF-03/PT/STOCK/04D/018/001/001</t>
  </si>
  <si>
    <t>SF-03/PT/STOCK/04D/018/001/002</t>
  </si>
  <si>
    <t>SF-03/PT/STOCK/04D/018/002</t>
  </si>
  <si>
    <t>SF-03/PT/STOCK/04D/019</t>
  </si>
  <si>
    <t>SF-03/PT/STOCK/04D/019/001</t>
  </si>
  <si>
    <t>SF-03/PT/STOCK/04D/019/002</t>
  </si>
  <si>
    <t>SF-03/PT/STOCK/04D/019/004</t>
  </si>
  <si>
    <t>SF-03/PT/STOCK/04D/020</t>
  </si>
  <si>
    <t>SF-03/PT/STOCK/04D/020/001</t>
  </si>
  <si>
    <t>SF-03/PT/STOCK/04D/020/001/001</t>
  </si>
  <si>
    <t>SF-03/PT/STOCK/04D/020/001/002</t>
  </si>
  <si>
    <t>SF-03/PT/STOCK/04D/020/003</t>
  </si>
  <si>
    <t>SF-03/PT/STOCK/04D/020/004</t>
  </si>
  <si>
    <t>SF-03/PT/STOCK/04D/021</t>
  </si>
  <si>
    <t>SF-03/PT/STOCK/04D/021/001</t>
  </si>
  <si>
    <t>SF-03/PT/STOCK/04D/021/001/001</t>
  </si>
  <si>
    <t>SF-03/PT/STOCK/04D/021/001/002</t>
  </si>
  <si>
    <t>SF-03/PT/STOCK/04D/021/002</t>
  </si>
  <si>
    <t>SF-03/PT/STOCK/04D/021/003</t>
  </si>
  <si>
    <t>SF-03/PT/STOCK/04D/021/004</t>
  </si>
  <si>
    <t>SF-03/PT/STOCK/04I</t>
  </si>
  <si>
    <t>SF-03/PT/STOCK/04I/001</t>
  </si>
  <si>
    <t>SF-03/PT/STOCK/04I/001/001</t>
  </si>
  <si>
    <t>SF-03/PT/STOCK/04I/001/001/001</t>
  </si>
  <si>
    <t>SF-03/PT/STOCK/04I/001/002</t>
  </si>
  <si>
    <t>SF-03/PT/STOCK/04I/001/003</t>
  </si>
  <si>
    <t>SF-03/PT/STOCK/04I/001/004</t>
  </si>
  <si>
    <t>SF-03/PT/STOCK/04I/002</t>
  </si>
  <si>
    <t>SF-03/PT/STOCK/04I/002/001</t>
  </si>
  <si>
    <t>SF-03/PT/STOCK/04I/002/001/002</t>
  </si>
  <si>
    <t>SF-03/PT/STOCK/04I/002/004</t>
  </si>
  <si>
    <t>SF-03/PT/STOCK/04I/003</t>
  </si>
  <si>
    <t>SF-03/PT/STOCK/04I/003/001</t>
  </si>
  <si>
    <t>SF-03/PT/STOCK/04I/003/001/001</t>
  </si>
  <si>
    <t>SF-03/PT/STOCK/04I/003/001/002</t>
  </si>
  <si>
    <t>SF-03/PT/STOCK/04I/003/004</t>
  </si>
  <si>
    <t>SF-03/PT/STOCK/04I/004</t>
  </si>
  <si>
    <t>SF-03/PT/STOCK/04I/004/001</t>
  </si>
  <si>
    <t>SF-03/PT/STOCK/04I/004/001/002</t>
  </si>
  <si>
    <t>SF-03/PT/STOCK/04I/005</t>
  </si>
  <si>
    <t>SF-03/PT/STOCK/04I/005/001</t>
  </si>
  <si>
    <t>SF-03/PT/STOCK/04I/005/001/001</t>
  </si>
  <si>
    <t>SF-03/PT/STOCK/04I/006</t>
  </si>
  <si>
    <t>SF-03/PT/STOCK/04I/006/001</t>
  </si>
  <si>
    <t>SF-03/PT/STOCK/04I/007</t>
  </si>
  <si>
    <t>SF-03/PT/STOCK/04I/007/001</t>
  </si>
  <si>
    <t>SF-03/PT/STOCK/04I/007/001/001</t>
  </si>
  <si>
    <t>SF-03/PT/STOCK/04I/007/003</t>
  </si>
  <si>
    <t>SF-03/PT/STOCK/04I/008</t>
  </si>
  <si>
    <t>SF-03/PT/STOCK/04I/008/001</t>
  </si>
  <si>
    <t>SF-03/PT/STOCK/04I/008/001/001</t>
  </si>
  <si>
    <t>SF-03/PT/STOCK/04I/008/001/002</t>
  </si>
  <si>
    <t>SF-03/PT/STOCK/04I/008/002</t>
  </si>
  <si>
    <t>SF-03/PT/STOCK/04I/009</t>
  </si>
  <si>
    <t>SF-03/PT/STOCK/04I/009/001</t>
  </si>
  <si>
    <t>SF-03/PT/STOCK/04I/009/001/001</t>
  </si>
  <si>
    <t>SF-03/PT/STOCK/04I/009/001/002</t>
  </si>
  <si>
    <t>SF-03/PT/STOCK/04I/010</t>
  </si>
  <si>
    <t>SF-03/PT/STOCK/04I/010/001</t>
  </si>
  <si>
    <t>SF-03/PT/STOCK/04I/010/001/002</t>
  </si>
  <si>
    <t>SF-03/PT/STOCK/04I/010/003</t>
  </si>
  <si>
    <t>SF-03/PT/STOCK/04I/010/004</t>
  </si>
  <si>
    <t>SF-03/PT/STOCK/04I/011</t>
  </si>
  <si>
    <t>SF-03/PT/STOCK/04I/011/001</t>
  </si>
  <si>
    <t>SF-03/PT/STOCK/04I/011/001/001</t>
  </si>
  <si>
    <t>SF-03/PT/STOCK/04I/011/001/002</t>
  </si>
  <si>
    <t>SF-03/PT/STOCK/04I/011/004</t>
  </si>
  <si>
    <t>SF-03/PT/STOCK/04I/012</t>
  </si>
  <si>
    <t>SF-03/PT/STOCK/04I/012/001</t>
  </si>
  <si>
    <t>SF-03/PT/STOCK/04I/012/001/002</t>
  </si>
  <si>
    <t>SF-03/PT/STOCK/04I/012/002</t>
  </si>
  <si>
    <t>SF-03/PT/STOCK/04I/012/003</t>
  </si>
  <si>
    <t>SF-03/PT/STOCK/04I/013</t>
  </si>
  <si>
    <t>SF-03/PT/STOCK/04I/013/001</t>
  </si>
  <si>
    <t>SF-03/PT/STOCK/04I/013/002</t>
  </si>
  <si>
    <t>SF-03/PT/STOCK/04I/014</t>
  </si>
  <si>
    <t>SF-03/PT/STOCK/04I/014/001</t>
  </si>
  <si>
    <t>SF-03/PT/STOCK/04I/014/001/001</t>
  </si>
  <si>
    <t>SF-03/PT/STOCK/04I/014/003</t>
  </si>
  <si>
    <t>SF-03/PT/STOCK/04I/015</t>
  </si>
  <si>
    <t>SF-03/PT/STOCK/04I/015/001</t>
  </si>
  <si>
    <t>SF-03/PT/STOCK/04I/015/001/001</t>
  </si>
  <si>
    <t>SF-03/PT/STOCK/04I/015/001/002</t>
  </si>
  <si>
    <t>SF-03/PT/STOCK/04I/016</t>
  </si>
  <si>
    <t>SF-03/PT/STOCK/04I/016/001</t>
  </si>
  <si>
    <t>SF-03/PT/STOCK/04I/017</t>
  </si>
  <si>
    <t>SF-03/PT/STOCK/04I/017/001</t>
  </si>
  <si>
    <t>SF-03/PT/STOCK/04I/017/001/001</t>
  </si>
  <si>
    <t>SF-03/PT/STOCK/04I/017/002</t>
  </si>
  <si>
    <t>SF-03/PT/STOCK/04I/017/003</t>
  </si>
  <si>
    <t>SF-03/PT/STOCK/04I/018</t>
  </si>
  <si>
    <t>SF-03/PT/STOCK/04I/018/001</t>
  </si>
  <si>
    <t>SF-03/PT/STOCK/04I/018/001/001</t>
  </si>
  <si>
    <t>SF-03/PT/STOCK/04I/018/001/002</t>
  </si>
  <si>
    <t>SF-03/PT/STOCK/04I/018/002</t>
  </si>
  <si>
    <t>SF-03/PT/STOCK/04I/018/003</t>
  </si>
  <si>
    <t>SF-03/PT/STOCK/04I/018/004</t>
  </si>
  <si>
    <t>SF-03/PT/STOCK/04I/019</t>
  </si>
  <si>
    <t>SF-03/PT/STOCK/04I/019/001</t>
  </si>
  <si>
    <t>SF-03/PT/STOCK/04I/019/001/001</t>
  </si>
  <si>
    <t>SF-03/PT/STOCK/04I/019/001/002</t>
  </si>
  <si>
    <t>SF-03/PT/STOCK/04I/019/003</t>
  </si>
  <si>
    <t>SF-03/PT/STOCK/04I/019/004</t>
  </si>
  <si>
    <t>SF-03/PT/STOCK/04I/020</t>
  </si>
  <si>
    <t>SF-03/PT/STOCK/04I/020/001</t>
  </si>
  <si>
    <t>SF-03/PT/STOCK/04I/020/001/001</t>
  </si>
  <si>
    <t>SF-03/PT/STOCK/04I/020/002</t>
  </si>
  <si>
    <t>SF-03/PT/STOCK/04I/020/003</t>
  </si>
  <si>
    <t>SF-03/PT/STOCK/04I/020/004</t>
  </si>
  <si>
    <t>SF-03/PT/STOCK/04I/021</t>
  </si>
  <si>
    <t>SF-03/PT/STOCK/04I/021/001</t>
  </si>
  <si>
    <t>SF-03/PT/STOCK/04I/021/001/001</t>
  </si>
  <si>
    <t>SF-03/PT/STOCK/04I/021/001/002</t>
  </si>
  <si>
    <t>SF-03/PT/STOCK/04I/021/002</t>
  </si>
  <si>
    <t>SF-03/PT/STOCK/04I/021/003</t>
  </si>
  <si>
    <t>SF-03/PT/STOCK/04I/021/004</t>
  </si>
  <si>
    <t>SF-03/PT/STOCK/05D</t>
  </si>
  <si>
    <t>SF-03/PT/STOCK/05D/001</t>
  </si>
  <si>
    <t>SF-03/PT/STOCK/05D/001/001</t>
  </si>
  <si>
    <t>SF-03/PT/STOCK/05D/001/001/001</t>
  </si>
  <si>
    <t>SF-03/PT/STOCK/05D/001/001/002</t>
  </si>
  <si>
    <t>SF-03/PT/STOCK/05D/002</t>
  </si>
  <si>
    <t>SF-03/PT/STOCK/05D/002/001</t>
  </si>
  <si>
    <t>SF-03/PT/STOCK/05D/002/001/001</t>
  </si>
  <si>
    <t>SF-03/PT/STOCK/05D/002/002</t>
  </si>
  <si>
    <t>SF-03/PT/STOCK/05D/003</t>
  </si>
  <si>
    <t>SF-03/PT/STOCK/05D/003/001</t>
  </si>
  <si>
    <t>SF-03/PT/STOCK/05D/003/002</t>
  </si>
  <si>
    <t>SF-03/PT/STOCK/05D/003/004</t>
  </si>
  <si>
    <t>SF-03/PT/STOCK/05D/004</t>
  </si>
  <si>
    <t>SF-03/PT/STOCK/05D/004/001</t>
  </si>
  <si>
    <t>SF-03/PT/STOCK/05D/004/001/001</t>
  </si>
  <si>
    <t>SF-03/PT/STOCK/05D/004/001/002</t>
  </si>
  <si>
    <t>SF-03/PT/STOCK/05D/004/002</t>
  </si>
  <si>
    <t>SF-03/PT/STOCK/05D/004/004</t>
  </si>
  <si>
    <t>SF-03/PT/STOCK/05D/005</t>
  </si>
  <si>
    <t>SF-03/PT/STOCK/05D/005/001</t>
  </si>
  <si>
    <t>SF-03/PT/STOCK/05D/005/001/001</t>
  </si>
  <si>
    <t>SF-03/PT/STOCK/05D/005/001/002</t>
  </si>
  <si>
    <t>SF-03/PT/STOCK/05D/006</t>
  </si>
  <si>
    <t>SF-03/PT/STOCK/05D/006/001</t>
  </si>
  <si>
    <t>SF-03/PT/STOCK/05D/006/001/001</t>
  </si>
  <si>
    <t>SF-03/PT/STOCK/05D/006/003</t>
  </si>
  <si>
    <t>SF-03/PT/STOCK/05D/007</t>
  </si>
  <si>
    <t>SF-03/PT/STOCK/05D/007/001</t>
  </si>
  <si>
    <t>SF-03/PT/STOCK/05D/007/002</t>
  </si>
  <si>
    <t>SF-03/PT/STOCK/05D/007/004</t>
  </si>
  <si>
    <t>SF-03/PT/STOCK/05D/008</t>
  </si>
  <si>
    <t>SF-03/PT/STOCK/05D/008/001</t>
  </si>
  <si>
    <t>SF-03/PT/STOCK/05D/008/002</t>
  </si>
  <si>
    <t>SF-03/PT/STOCK/05D/009</t>
  </si>
  <si>
    <t>SF-03/PT/STOCK/05D/009/001</t>
  </si>
  <si>
    <t>SF-03/PT/STOCK/05D/009/001/002</t>
  </si>
  <si>
    <t>SF-03/PT/STOCK/05D/010</t>
  </si>
  <si>
    <t>SF-03/PT/STOCK/05D/010/001</t>
  </si>
  <si>
    <t>SF-03/PT/STOCK/05D/010/001/002</t>
  </si>
  <si>
    <t>SF-03/PT/STOCK/05D/010/003</t>
  </si>
  <si>
    <t>SF-03/PT/STOCK/05D/010/004</t>
  </si>
  <si>
    <t>SF-03/PT/STOCK/05D/011</t>
  </si>
  <si>
    <t>SF-03/PT/STOCK/05D/011/001</t>
  </si>
  <si>
    <t>SF-03/PT/STOCK/05D/012</t>
  </si>
  <si>
    <t>SF-03/PT/STOCK/05D/012/001</t>
  </si>
  <si>
    <t>SF-03/PT/STOCK/05D/013</t>
  </si>
  <si>
    <t>SF-03/PT/STOCK/05D/013/001</t>
  </si>
  <si>
    <t>SF-03/PT/STOCK/05D/014</t>
  </si>
  <si>
    <t>SF-03/PT/STOCK/05D/014/001</t>
  </si>
  <si>
    <t>SF-03/PT/STOCK/05D/014/001/002</t>
  </si>
  <si>
    <t>SF-03/PT/STOCK/05D/014/002</t>
  </si>
  <si>
    <t>SF-03/PT/STOCK/05D/015</t>
  </si>
  <si>
    <t>SF-03/PT/STOCK/05D/015/001</t>
  </si>
  <si>
    <t>SF-03/PT/STOCK/05D/015/002</t>
  </si>
  <si>
    <t>SF-03/PT/STOCK/05D/016</t>
  </si>
  <si>
    <t>SF-03/PT/STOCK/05D/016/001</t>
  </si>
  <si>
    <t>SF-03/PT/STOCK/05D/016/002</t>
  </si>
  <si>
    <t>SF-03/PT/STOCK/05D/016/003</t>
  </si>
  <si>
    <t>SF-03/PT/STOCK/05D/017</t>
  </si>
  <si>
    <t>SF-03/PT/STOCK/05D/017/001</t>
  </si>
  <si>
    <t>SF-03/PT/STOCK/05D/017/004</t>
  </si>
  <si>
    <t>SF-03/PT/STOCK/05D/018</t>
  </si>
  <si>
    <t>SF-03/PT/STOCK/05D/018/001</t>
  </si>
  <si>
    <t>SF-03/PT/STOCK/05D/018/001/002</t>
  </si>
  <si>
    <t>SF-03/PT/STOCK/05D/019</t>
  </si>
  <si>
    <t>SF-03/PT/STOCK/05D/019/001</t>
  </si>
  <si>
    <t>SF-03/PT/STOCK/05D/019/001/002</t>
  </si>
  <si>
    <t>SF-03/PT/STOCK/05D/020</t>
  </si>
  <si>
    <t>SF-03/PT/STOCK/05D/020/001</t>
  </si>
  <si>
    <t>SF-03/PT/STOCK/05D/020/001/002</t>
  </si>
  <si>
    <t>SF-03/PT/STOCK/05D/021</t>
  </si>
  <si>
    <t>SF-03/PT/STOCK/05D/021/001</t>
  </si>
  <si>
    <t>SF-03/PT/STOCK/05D/021/001/001</t>
  </si>
  <si>
    <t>SF-03/PT/STOCK/05D/021/001/002</t>
  </si>
  <si>
    <t>SF-03/PT/STOCK/05D/021/002</t>
  </si>
  <si>
    <t>SF-03/PT/STOCK/05D/021/003</t>
  </si>
  <si>
    <t>SF-03/PT/STOCK/05D/021/004</t>
  </si>
  <si>
    <t>SF-03/PT/STOCK/05I</t>
  </si>
  <si>
    <t>SF-03/PT/STOCK/05I/001</t>
  </si>
  <si>
    <t>SF-03/PT/STOCK/05I/001/001</t>
  </si>
  <si>
    <t>SF-03/PT/STOCK/05I/001/001/001</t>
  </si>
  <si>
    <t>SF-03/PT/STOCK/05I/002</t>
  </si>
  <si>
    <t>SF-03/PT/STOCK/05I/002/001</t>
  </si>
  <si>
    <t>SF-03/PT/STOCK/05I/002/003</t>
  </si>
  <si>
    <t>SF-03/PT/STOCK/05I/002/004</t>
  </si>
  <si>
    <t>SF-03/PT/STOCK/05I/003</t>
  </si>
  <si>
    <t>SF-03/PT/STOCK/05I/003/001</t>
  </si>
  <si>
    <t>SF-03/PT/STOCK/05I/003/001/001</t>
  </si>
  <si>
    <t>SF-03/PT/STOCK/05I/003/001/002</t>
  </si>
  <si>
    <t>SF-03/PT/STOCK/05I/003/004</t>
  </si>
  <si>
    <t>SF-03/PT/STOCK/05I/004</t>
  </si>
  <si>
    <t>SF-03/PT/STOCK/05I/004/001</t>
  </si>
  <si>
    <t>SF-03/PT/STOCK/05I/004/001/002</t>
  </si>
  <si>
    <t>SF-03/PT/STOCK/05I/005</t>
  </si>
  <si>
    <t>SF-03/PT/STOCK/05I/005/001</t>
  </si>
  <si>
    <t>SF-03/PT/STOCK/05I/005/001/001</t>
  </si>
  <si>
    <t>SF-03/PT/STOCK/05I/005/001/002</t>
  </si>
  <si>
    <t>SF-03/PT/STOCK/05I/006</t>
  </si>
  <si>
    <t>SF-03/PT/STOCK/05I/006/001</t>
  </si>
  <si>
    <t>SF-03/PT/STOCK/05I/006/004</t>
  </si>
  <si>
    <t>SF-03/PT/STOCK/05I/007</t>
  </si>
  <si>
    <t>SF-03/PT/STOCK/05I/007/001</t>
  </si>
  <si>
    <t>SF-03/PT/STOCK/05I/007/001/001</t>
  </si>
  <si>
    <t>SF-03/PT/STOCK/05I/007/001/002</t>
  </si>
  <si>
    <t>SF-03/PT/STOCK/05I/008</t>
  </si>
  <si>
    <t>SF-03/PT/STOCK/05I/008/001</t>
  </si>
  <si>
    <t>SF-03/PT/STOCK/05I/008/001/001</t>
  </si>
  <si>
    <t>SF-03/PT/STOCK/05I/008/001/002</t>
  </si>
  <si>
    <t>SF-03/PT/STOCK/05I/008/002</t>
  </si>
  <si>
    <t>SF-03/PT/STOCK/05I/009</t>
  </si>
  <si>
    <t>SF-03/PT/STOCK/05I/009/001</t>
  </si>
  <si>
    <t>SF-03/PT/STOCK/05I/010</t>
  </si>
  <si>
    <t>SF-03/PT/STOCK/05I/010/001</t>
  </si>
  <si>
    <t>SF-03/PT/STOCK/05I/010/001/001</t>
  </si>
  <si>
    <t>SF-03/PT/STOCK/05I/010/002</t>
  </si>
  <si>
    <t>SF-03/PT/STOCK/05I/011</t>
  </si>
  <si>
    <t>SF-03/PT/STOCK/05I/011/001</t>
  </si>
  <si>
    <t>SF-03/PT/STOCK/05I/012</t>
  </si>
  <si>
    <t>SF-03/PT/STOCK/05I/012/001</t>
  </si>
  <si>
    <t>SF-03/PT/STOCK/05I/013</t>
  </si>
  <si>
    <t>SF-03/PT/STOCK/05I/013/001</t>
  </si>
  <si>
    <t>SF-03/PT/STOCK/05I/014</t>
  </si>
  <si>
    <t>SF-03/PT/STOCK/05I/014/001</t>
  </si>
  <si>
    <t>SF-03/PT/STOCK/05I/015</t>
  </si>
  <si>
    <t>SF-03/PT/STOCK/05I/015/001</t>
  </si>
  <si>
    <t>SF-03/PT/STOCK/05I/016</t>
  </si>
  <si>
    <t>SF-03/PT/STOCK/05I/016/001</t>
  </si>
  <si>
    <t>SF-03/PT/STOCK/05I/017</t>
  </si>
  <si>
    <t>SF-03/PT/STOCK/05I/017/001</t>
  </si>
  <si>
    <t>SF-03/PT/STOCK/05I/018</t>
  </si>
  <si>
    <t>SF-03/PT/STOCK/05I/018/001</t>
  </si>
  <si>
    <t>SF-03/PT/STOCK/05I/019</t>
  </si>
  <si>
    <t>SF-03/PT/STOCK/05I/019/001</t>
  </si>
  <si>
    <t>SF-03/PT/STOCK/05I/020</t>
  </si>
  <si>
    <t>SF-03/PT/STOCK/05I/020/001</t>
  </si>
  <si>
    <t>SF-03/PT/STOCK/05I/021</t>
  </si>
  <si>
    <t>SF-03/PT/STOCK/05I/021/001</t>
  </si>
  <si>
    <t>SF-03/PT/STOCK/05I/021/001/001</t>
  </si>
  <si>
    <t>SF-03/PT/STOCK/05I/021/001/002</t>
  </si>
  <si>
    <t>SF-03/PT/STOCK/05I/021/002</t>
  </si>
  <si>
    <t>SF-03/PT/STOCK/05I/021/003</t>
  </si>
  <si>
    <t>SF-03/PT/STOCK/05I/021/004</t>
  </si>
  <si>
    <t>CTN-001-002</t>
  </si>
  <si>
    <t>CTN-001-003</t>
  </si>
  <si>
    <t>CTN-001-004</t>
  </si>
  <si>
    <t>DEV-001-001</t>
  </si>
  <si>
    <t>DIF-001-001</t>
  </si>
  <si>
    <t>SF-03/PT/VENCIDOS / OBSERVADOS</t>
  </si>
  <si>
    <t>SF-03/Posproducción2</t>
  </si>
  <si>
    <t>WH-QUALITY</t>
  </si>
  <si>
    <t>SF-03/Repuestos</t>
  </si>
  <si>
    <t>SF-03/No conforme</t>
  </si>
  <si>
    <t>SF-03/PT/STOCK/06D</t>
  </si>
  <si>
    <t>SF-03/PT/STOCK/06D/001</t>
  </si>
  <si>
    <t>SF-03/PT/STOCK/06D/001/001</t>
  </si>
  <si>
    <t>SF-03/PT/STOCK/06D/001/001/001</t>
  </si>
  <si>
    <t>SF-03/PT/STOCK/06D/001/001/002</t>
  </si>
  <si>
    <t>SF-03/PT/STOCK/06D/001/003</t>
  </si>
  <si>
    <t>SF-03/PT/STOCK/06D/001/004</t>
  </si>
  <si>
    <t>SF-03/PT/STOCK/06D/002</t>
  </si>
  <si>
    <t>SF-03/PT/STOCK/06D/002/001</t>
  </si>
  <si>
    <t>SF-03/PT/STOCK/06D/002/001/001</t>
  </si>
  <si>
    <t>SF-03/PT/STOCK/06D/002/001/002</t>
  </si>
  <si>
    <t>SF-03/PT/STOCK/06D/002/002</t>
  </si>
  <si>
    <t>SF-03/PT/STOCK/06D/002/004</t>
  </si>
  <si>
    <t>SF-03/PT/STOCK/06D/003</t>
  </si>
  <si>
    <t>SF-03/PT/STOCK/06D/003/001</t>
  </si>
  <si>
    <t>SF-03/PT/STOCK/06D/003/001/001</t>
  </si>
  <si>
    <t>SF-03/PT/STOCK/06D/003/001/002</t>
  </si>
  <si>
    <t>SF-03/PT/STOCK/06D/003/002</t>
  </si>
  <si>
    <t>SF-03/PT/STOCK/06D/003/003</t>
  </si>
  <si>
    <t>SF-03/PT/STOCK/06D/003/004</t>
  </si>
  <si>
    <t>SF-03/PT/STOCK/06D/004</t>
  </si>
  <si>
    <t>SF-03/PT/STOCK/06D/004/001</t>
  </si>
  <si>
    <t>SF-03/PT/STOCK/06D/004/001/001</t>
  </si>
  <si>
    <t>SF-03/PT/STOCK/06D/004/001/002</t>
  </si>
  <si>
    <t>SF-03/PT/STOCK/06D/004/002</t>
  </si>
  <si>
    <t>SF-03/PT/STOCK/06D/004/003</t>
  </si>
  <si>
    <t>SF-03/PT/STOCK/06D/004/004</t>
  </si>
  <si>
    <t>SF-03/PT/STOCK/06D/005</t>
  </si>
  <si>
    <t>SF-03/PT/STOCK/06D/005/001</t>
  </si>
  <si>
    <t>SF-03/PT/STOCK/06D/005/001/001</t>
  </si>
  <si>
    <t>SF-03/PT/STOCK/06D/005/001/002</t>
  </si>
  <si>
    <t>SF-03/PT/STOCK/06D/005/003</t>
  </si>
  <si>
    <t>SF-03/PT/STOCK/06D/005/004</t>
  </si>
  <si>
    <t>SF-03/PT/STOCK/06D/006</t>
  </si>
  <si>
    <t>SF-03/PT/STOCK/06D/006/001</t>
  </si>
  <si>
    <t>SF-03/PT/STOCK/06D/006/001/001</t>
  </si>
  <si>
    <t>SF-03/PT/STOCK/06D/006/002</t>
  </si>
  <si>
    <t>SF-03/PT/STOCK/06D/006/003</t>
  </si>
  <si>
    <t>SF-03/PT/STOCK/06D/007</t>
  </si>
  <si>
    <t>SF-03/PT/STOCK/06D/007/001</t>
  </si>
  <si>
    <t>SF-03/PT/STOCK/06D/007/001/002</t>
  </si>
  <si>
    <t>SF-03/PT/STOCK/06D/008</t>
  </si>
  <si>
    <t>SF-03/PT/STOCK/06D/008/001</t>
  </si>
  <si>
    <t>SF-03/PT/STOCK/06D/008/001/001</t>
  </si>
  <si>
    <t>SF-03/PT/STOCK/06D/008/001/002</t>
  </si>
  <si>
    <t>SF-03/PT/STOCK/06D/008/004</t>
  </si>
  <si>
    <t>SF-03/PT/STOCK/06D/009</t>
  </si>
  <si>
    <t>SF-03/PT/STOCK/06D/009/001</t>
  </si>
  <si>
    <t>SF-03/PT/STOCK/06D/009/001/001</t>
  </si>
  <si>
    <t>SF-03/PT/STOCK/06D/009/001/002</t>
  </si>
  <si>
    <t>SF-03/PT/STOCK/06D/009/003</t>
  </si>
  <si>
    <t>SF-03/PT/STOCK/06D/010</t>
  </si>
  <si>
    <t>SF-03/PT/STOCK/06D/010/001</t>
  </si>
  <si>
    <t>SF-03/PT/STOCK/06D/010/001/001</t>
  </si>
  <si>
    <t>SF-03/PT/STOCK/06D/010/001/002</t>
  </si>
  <si>
    <t>SF-03/PT/STOCK/06D/010/002</t>
  </si>
  <si>
    <t>SF-03/PT/STOCK/06D/011</t>
  </si>
  <si>
    <t>SF-03/PT/STOCK/06D/011/001</t>
  </si>
  <si>
    <t>SF-03/PT/STOCK/06D/011/001/002</t>
  </si>
  <si>
    <t>SF-03/PT/STOCK/06D/011/004</t>
  </si>
  <si>
    <t>SF-03/PT/STOCK/06D/012</t>
  </si>
  <si>
    <t>SF-03/PT/STOCK/06D/012/001</t>
  </si>
  <si>
    <t>SF-03/PT/STOCK/06D/012/001/002</t>
  </si>
  <si>
    <t>SF-03/PT/STOCK/06D/013</t>
  </si>
  <si>
    <t>SF-03/PT/STOCK/06D/013/001</t>
  </si>
  <si>
    <t>SF-03/PT/STOCK/06D/013/001/001</t>
  </si>
  <si>
    <t>SF-03/PT/STOCK/06D/013/001/002</t>
  </si>
  <si>
    <t>SF-03/PT/STOCK/06D/014</t>
  </si>
  <si>
    <t>SF-03/PT/STOCK/06D/014/001</t>
  </si>
  <si>
    <t>SF-03/PT/STOCK/06D/014/001/001</t>
  </si>
  <si>
    <t>SF-03/PT/STOCK/06D/014/002</t>
  </si>
  <si>
    <t>SF-03/PT/STOCK/06D/015</t>
  </si>
  <si>
    <t>SF-03/PT/STOCK/06D/015/001</t>
  </si>
  <si>
    <t>SF-03/PT/STOCK/06D/015/001/001</t>
  </si>
  <si>
    <t>SF-03/PT/STOCK/06D/015/001/002</t>
  </si>
  <si>
    <t>SF-03/PT/STOCK/06D/016</t>
  </si>
  <si>
    <t>SF-03/PT/STOCK/06D/016/001</t>
  </si>
  <si>
    <t>SF-03/PT/STOCK/06D/016/001/001</t>
  </si>
  <si>
    <t>SF-03/PT/STOCK/06D/016/001/002</t>
  </si>
  <si>
    <t>SF-03/PT/STOCK/06D/016/002</t>
  </si>
  <si>
    <t>SF-03/PT/STOCK/06D/016/004</t>
  </si>
  <si>
    <t>SF-03/PT/STOCK/06D/017</t>
  </si>
  <si>
    <t>SF-03/PT/STOCK/06D/017/001</t>
  </si>
  <si>
    <t>SF-03/PT/STOCK/06D/017/001/001</t>
  </si>
  <si>
    <t>SF-03/PT/STOCK/06D/017/001/002</t>
  </si>
  <si>
    <t>SF-03/PT/STOCK/06D/018</t>
  </si>
  <si>
    <t>SF-03/PT/STOCK/06D/018/001</t>
  </si>
  <si>
    <t>SF-03/PT/STOCK/06D/018/001/001</t>
  </si>
  <si>
    <t>SF-03/PT/STOCK/06D/018/001/002</t>
  </si>
  <si>
    <t>SF-03/PT/STOCK/06D/018/002</t>
  </si>
  <si>
    <t>SF-03/PT/STOCK/06D/018/003</t>
  </si>
  <si>
    <t>SF-03/PT/STOCK/06D/019</t>
  </si>
  <si>
    <t>SF-03/PT/STOCK/06D/019/001</t>
  </si>
  <si>
    <t>SF-03/PT/STOCK/06D/019/001/001</t>
  </si>
  <si>
    <t>SF-03/PT/STOCK/06D/019/001/002</t>
  </si>
  <si>
    <t>SF-03/PT/STOCK/06D/019/002</t>
  </si>
  <si>
    <t>SF-03/PT/STOCK/06D/019/004</t>
  </si>
  <si>
    <t>SF-03/PT/STOCK/06D/020</t>
  </si>
  <si>
    <t>SF-03/PT/STOCK/06D/020/001</t>
  </si>
  <si>
    <t>SF-03/PT/STOCK/06D/020/001/001</t>
  </si>
  <si>
    <t>SF-03/PT/STOCK/06D/020/001/002</t>
  </si>
  <si>
    <t>SF-03/PT/STOCK/06D/020/002</t>
  </si>
  <si>
    <t>SF-03/PT/STOCK/06D/020/003</t>
  </si>
  <si>
    <t>SF-03/PT/STOCK/06D/020/004</t>
  </si>
  <si>
    <t>SF-03/PT/STOCK/06D/021</t>
  </si>
  <si>
    <t>SF-03/PT/STOCK/06D/021/001</t>
  </si>
  <si>
    <t>SF-03/PT/STOCK/06D/021/001/001</t>
  </si>
  <si>
    <t>SF-03/PT/STOCK/06D/021/001/002</t>
  </si>
  <si>
    <t>SF-03/PT/STOCK/06D/021/002</t>
  </si>
  <si>
    <t>SF-03/PT/STOCK/06D/021/003</t>
  </si>
  <si>
    <t>SF-03/PT/STOCK/06D/021/004</t>
  </si>
  <si>
    <t>SF-03/PT/STOCK/ALM/001/001</t>
  </si>
  <si>
    <t>SF-03/PT/STOCK/CTN/001/001</t>
  </si>
  <si>
    <t>SF-03/PT/STOCK/CTN/001/002</t>
  </si>
  <si>
    <t>SF-03/PT/STOCK/CTN/001/003</t>
  </si>
  <si>
    <t>SF-03/PT/STOCK/CTN/001/004</t>
  </si>
  <si>
    <t>SF-03/PT/STOCK/DEV/001/001</t>
  </si>
  <si>
    <t>SF-03/PT/STOCK/FAL/001/001</t>
  </si>
  <si>
    <t>SF-03/PT/STOCK/MER/001/001</t>
  </si>
  <si>
    <t>SF-03/PT/STOCK/RCP/001/001</t>
  </si>
  <si>
    <t>SF-03/Quality Control</t>
  </si>
  <si>
    <t>SF-03/Salida</t>
  </si>
  <si>
    <t>Ubicación interna</t>
  </si>
  <si>
    <t>=B1497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</si>
</sst>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#,##0.000"/>
    <numFmt numFmtId="166" formatCode="dd/mm/yyyy\ hh:mm"/>
  </numFmts>
  <fonts count="4" x14ac:knownFonts="1">
    <font>
      <sz val="11"/>
      <color theme="1"/>
      <name val="Calibri"/>
    </font>
    <font>
      <b/>
      <sz val="11"/>
      <color rgb="FFFFFFFF"/>
      <name val="Calibri"/>
      <family val="2"/>
    </font>
    <font>
      <b/>
      <sz val="16"/>
      <color rgb="FFFFFFFF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F6D7A"/>
      </patternFill>
    </fill>
    <fill>
      <patternFill patternType="solid">
        <fgColor rgb="FF9E480E"/>
      </patternFill>
    </fill>
  </fills>
  <borders count="9">
    <border>
      <left/>
      <right/>
      <top/>
      <bottom/>
      <diagonal/>
    </border>
    <border>
      <left style="thin">
        <color rgb="FFB7C9CE"/>
      </left>
      <right/>
      <top style="thin">
        <color rgb="FFB7C9CE"/>
      </top>
      <bottom/>
      <diagonal/>
    </border>
    <border>
      <left/>
      <right/>
      <top style="thin">
        <color rgb="FFB7C9CE"/>
      </top>
      <bottom/>
      <diagonal/>
    </border>
    <border>
      <left/>
      <right style="thin">
        <color rgb="FFB7C9CE"/>
      </right>
      <top style="thin">
        <color rgb="FFB7C9CE"/>
      </top>
      <bottom/>
      <diagonal/>
    </border>
    <border>
      <left style="thin">
        <color rgb="FFB7C9CE"/>
      </left>
      <right/>
      <top/>
      <bottom/>
      <diagonal/>
    </border>
    <border>
      <left/>
      <right style="thin">
        <color rgb="FFB7C9CE"/>
      </right>
      <top/>
      <bottom/>
      <diagonal/>
    </border>
    <border>
      <left style="thin">
        <color rgb="FFB7C9CE"/>
      </left>
      <right/>
      <top/>
      <bottom style="thin">
        <color rgb="FFB7C9CE"/>
      </bottom>
      <diagonal/>
    </border>
    <border>
      <left/>
      <right/>
      <top/>
      <bottom style="thin">
        <color rgb="FFB7C9CE"/>
      </bottom>
      <diagonal/>
    </border>
    <border>
      <left/>
      <right style="thin">
        <color rgb="FFB7C9CE"/>
      </right>
      <top/>
      <bottom style="thin">
        <color rgb="FFB7C9CE"/>
      </bottom>
      <diagonal/>
    </border>
  </borders>
  <cellStyleXfs count="1">
    <xf numFmtId="0" fontId="0" fillId="0" borderId="0"/>
  </cellStyleXfs>
  <cellXfs count="29">
    <xf numFmtId="0" fontId="0" fillId="0" borderId="0" xfId="0"/>
    <xf numFmtId="4" fontId="0" fillId="0" borderId="0" xfId="0" applyNumberFormat="1" applyAlignment="1">
      <alignment wrapText="1"/>
    </xf>
    <xf numFmtId="49" fontId="0" fillId="0" borderId="0" xfId="0" applyNumberFormat="1"/>
    <xf numFmtId="165" fontId="0" fillId="0" borderId="0" xfId="0" applyNumberFormat="1" applyAlignment="1">
      <alignment wrapText="1"/>
    </xf>
    <xf numFmtId="0" fontId="1" fillId="2" borderId="0" xfId="0" applyFont="1" applyFill="1" applyAlignment="1">
      <alignment vertical="center" wrapText="1"/>
    </xf>
    <xf numFmtId="0" fontId="1" fillId="3" borderId="2" xfId="0" applyFont="1" applyFill="1" applyBorder="1" applyAlignment="1">
      <alignment wrapText="1"/>
    </xf>
    <xf numFmtId="0" fontId="1" fillId="3" borderId="3" xfId="0" applyFont="1" applyFill="1" applyBorder="1" applyAlignment="1">
      <alignment wrapText="1"/>
    </xf>
    <xf numFmtId="49" fontId="0" fillId="0" borderId="4" xfId="0" applyNumberFormat="1" applyBorder="1"/>
    <xf numFmtId="49" fontId="0" fillId="0" borderId="6" xfId="0" applyNumberFormat="1" applyBorder="1"/>
    <xf numFmtId="0" fontId="0" fillId="0" borderId="7" xfId="0" applyBorder="1"/>
    <xf numFmtId="166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  <xf numFmtId="0" fontId="1" fillId="4" borderId="0" xfId="0" applyFont="1" applyFill="1" applyAlignment="1">
      <alignment wrapText="1"/>
    </xf>
    <xf numFmtId="0" fontId="1" fillId="3" borderId="1" xfId="0" applyFont="1" applyFill="1" applyBorder="1"/>
    <xf numFmtId="0" fontId="1" fillId="3" borderId="3" xfId="0" applyFont="1" applyFill="1" applyBorder="1"/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wrapText="1"/>
    </xf>
    <xf numFmtId="0" fontId="0" fillId="0" borderId="8" xfId="0" applyBorder="1" applyAlignment="1">
      <alignment wrapText="1"/>
    </xf>
    <xf numFmtId="14" fontId="1" fillId="2" borderId="0" xfId="0" applyNumberFormat="1" applyFont="1" applyFill="1" applyAlignment="1">
      <alignment vertical="center" wrapText="1"/>
    </xf>
    <xf numFmtId="14" fontId="0" fillId="0" borderId="0" xfId="0" applyNumberFormat="1" applyAlignment="1">
      <alignment wrapText="1"/>
    </xf>
    <xf numFmtId="14" fontId="0" fillId="0" borderId="0" xfId="0" applyNumberFormat="1"/>
    <xf numFmtId="0" fontId="2" fillId="2" borderId="0" xfId="0" applyFont="1" applyFill="1" applyAlignment="1">
      <alignment horizontal="center" vertical="center"/>
    </xf>
    <xf numFmtId="0" fontId="1" fillId="3" borderId="1" xfId="0" applyNumberFormat="1" applyFont="1" applyFill="1" applyBorder="1" applyAlignment="1">
      <alignment wrapText="1"/>
    </xf>
    <xf numFmtId="0" fontId="0" fillId="0" borderId="0" xfId="0" applyNumberFormat="1" applyAlignment="1">
      <alignment wrapText="1"/>
    </xf>
    <xf numFmtId="0" fontId="3" fillId="0" borderId="0" xfId="0" applyNumberFormat="1" applyFont="1" applyAlignment="1">
      <alignment wrapText="1"/>
    </xf>
    <xf numFmtId="0" fontId="0" fillId="0" borderId="0" xfId="0" applyNumberFormat="1"/>
  </cellXfs>
  <cellStyles count="1">
    <cellStyle name="Normal" xfId="0" builtinId="0"/>
  </cellStyles>
  <dxfs count="4">
    <dxf>
      <font>
        <color rgb="FF595959"/>
      </font>
      <fill>
        <patternFill patternType="solid">
          <bgColor rgb="FFE7E6E6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1F4E78"/>
      </font>
      <fill>
        <patternFill patternType="solid">
          <bgColor rgb="FFDDEBF7"/>
        </patternFill>
      </fill>
    </dxf>
    <dxf>
      <font>
        <b/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96"/>
  <sheetViews>
    <sheetView showGridLines="0" tabSelected="1" topLeftCell="A1865" workbookViewId="0">
      <selection activeCell="E2" sqref="E2:E1896"/>
    </sheetView>
  </sheetViews>
  <sheetFormatPr baseColWidth="10" defaultColWidth="8.88671875" defaultRowHeight="14.4" x14ac:dyDescent="0.3"/>
  <cols>
    <col min="1" max="1" width="12.77734375" customWidth="1"/>
    <col min="2" max="2" width="36.6640625" customWidth="1"/>
    <col min="3" max="3" width="15" customWidth="1"/>
    <col min="4" max="4" width="13.33203125" style="23" customWidth="1"/>
    <col min="5" max="5" width="23.33203125" customWidth="1"/>
    <col min="6" max="6" width="15" customWidth="1"/>
    <col min="7" max="7" width="13.88671875" customWidth="1"/>
    <col min="8" max="9" width="18.88671875" customWidth="1"/>
    <col min="10" max="10" width="8.33203125" customWidth="1"/>
  </cols>
  <sheetData>
    <row r="1" spans="1:10" ht="34.049999999999997" customHeight="1" x14ac:dyDescent="0.3">
      <c r="A1" s="4" t="s">
        <v>0</v>
      </c>
      <c r="B1" s="4" t="s">
        <v>1</v>
      </c>
      <c r="C1" s="4" t="s">
        <v>2</v>
      </c>
      <c r="D1" s="21" t="s">
        <v>3</v>
      </c>
      <c r="E1" s="4" t="s">
        <v>4</v>
      </c>
      <c r="F1" s="4" t="s">
        <v>5</v>
      </c>
      <c r="G1" s="4" t="s">
        <v>6</v>
      </c>
      <c r="H1" s="4" t="s">
        <v>528</v>
      </c>
      <c r="I1" s="4" t="s">
        <v>529</v>
      </c>
      <c r="J1" s="4" t="s">
        <v>530</v>
      </c>
    </row>
    <row r="2" spans="1:10" ht="28.8" x14ac:dyDescent="0.3">
      <c r="A2" s="1" t="s">
        <v>7</v>
      </c>
      <c r="B2" s="1" t="s">
        <v>8</v>
      </c>
      <c r="C2" s="1" t="s">
        <v>9</v>
      </c>
      <c r="D2" s="22">
        <v>46387</v>
      </c>
      <c r="E2" s="1" t="s">
        <v>10</v>
      </c>
      <c r="F2" s="3">
        <v>80</v>
      </c>
      <c r="G2" s="1" t="s">
        <v>11</v>
      </c>
      <c r="H2" s="2"/>
      <c r="I2" t="str">
        <f t="shared" ref="I2:I65" si="0">IF(A2="","",A2&amp;"|"&amp;C2)</f>
        <v>EE10005|16/25</v>
      </c>
      <c r="J2" t="str">
        <f t="shared" ref="J2:J65" si="1">IF(A2&lt;&gt;"","SÍ","NO")</f>
        <v>SÍ</v>
      </c>
    </row>
    <row r="3" spans="1:10" ht="28.8" x14ac:dyDescent="0.3">
      <c r="A3" s="1" t="s">
        <v>12</v>
      </c>
      <c r="B3" s="1" t="s">
        <v>13</v>
      </c>
      <c r="C3" s="1"/>
      <c r="D3" s="22"/>
      <c r="E3" s="1" t="s">
        <v>10</v>
      </c>
      <c r="F3" s="3">
        <v>462.7654</v>
      </c>
      <c r="G3" s="1" t="s">
        <v>11</v>
      </c>
      <c r="H3" s="2"/>
      <c r="I3" t="str">
        <f t="shared" si="0"/>
        <v>EE10073|</v>
      </c>
      <c r="J3" t="str">
        <f t="shared" si="1"/>
        <v>SÍ</v>
      </c>
    </row>
    <row r="4" spans="1:10" ht="28.8" x14ac:dyDescent="0.3">
      <c r="A4" s="1" t="s">
        <v>14</v>
      </c>
      <c r="B4" s="1" t="s">
        <v>15</v>
      </c>
      <c r="C4" s="1"/>
      <c r="D4" s="22"/>
      <c r="E4" s="1" t="s">
        <v>10</v>
      </c>
      <c r="F4" s="3">
        <v>223</v>
      </c>
      <c r="G4" s="1" t="s">
        <v>11</v>
      </c>
      <c r="H4" s="2"/>
      <c r="I4" t="str">
        <f t="shared" si="0"/>
        <v>EE10072|</v>
      </c>
      <c r="J4" t="str">
        <f t="shared" si="1"/>
        <v>SÍ</v>
      </c>
    </row>
    <row r="5" spans="1:10" ht="28.8" x14ac:dyDescent="0.3">
      <c r="A5" s="1" t="s">
        <v>16</v>
      </c>
      <c r="B5" s="1" t="s">
        <v>17</v>
      </c>
      <c r="C5" s="1"/>
      <c r="D5" s="22"/>
      <c r="E5" s="1" t="s">
        <v>10</v>
      </c>
      <c r="F5" s="3">
        <v>16</v>
      </c>
      <c r="G5" s="1" t="s">
        <v>11</v>
      </c>
      <c r="H5" s="2"/>
      <c r="I5" t="str">
        <f t="shared" si="0"/>
        <v>EE10071|</v>
      </c>
      <c r="J5" t="str">
        <f t="shared" si="1"/>
        <v>SÍ</v>
      </c>
    </row>
    <row r="6" spans="1:10" ht="28.8" x14ac:dyDescent="0.3">
      <c r="A6" s="1" t="s">
        <v>18</v>
      </c>
      <c r="B6" s="1" t="s">
        <v>19</v>
      </c>
      <c r="C6" s="1"/>
      <c r="D6" s="22"/>
      <c r="E6" s="1" t="s">
        <v>10</v>
      </c>
      <c r="F6" s="3">
        <v>86.613600000000005</v>
      </c>
      <c r="G6" s="1" t="s">
        <v>11</v>
      </c>
      <c r="H6" s="2"/>
      <c r="I6" t="str">
        <f t="shared" si="0"/>
        <v>EE10076|</v>
      </c>
      <c r="J6" t="str">
        <f t="shared" si="1"/>
        <v>SÍ</v>
      </c>
    </row>
    <row r="7" spans="1:10" ht="28.8" x14ac:dyDescent="0.3">
      <c r="A7" s="1" t="s">
        <v>20</v>
      </c>
      <c r="B7" s="1" t="s">
        <v>21</v>
      </c>
      <c r="C7" s="1"/>
      <c r="D7" s="22"/>
      <c r="E7" s="1" t="s">
        <v>10</v>
      </c>
      <c r="F7" s="3">
        <v>156.65799999999999</v>
      </c>
      <c r="G7" s="1" t="s">
        <v>11</v>
      </c>
      <c r="H7" s="2"/>
      <c r="I7" t="str">
        <f t="shared" si="0"/>
        <v>EE10078|</v>
      </c>
      <c r="J7" t="str">
        <f t="shared" si="1"/>
        <v>SÍ</v>
      </c>
    </row>
    <row r="8" spans="1:10" ht="43.2" x14ac:dyDescent="0.3">
      <c r="A8" s="1" t="s">
        <v>22</v>
      </c>
      <c r="B8" s="1" t="s">
        <v>23</v>
      </c>
      <c r="C8" s="1"/>
      <c r="D8" s="22"/>
      <c r="E8" s="1" t="s">
        <v>10</v>
      </c>
      <c r="F8" s="3">
        <v>2.8077999999999999</v>
      </c>
      <c r="G8" s="1" t="s">
        <v>11</v>
      </c>
      <c r="H8" s="2"/>
      <c r="I8" t="str">
        <f t="shared" si="0"/>
        <v>EE10115|</v>
      </c>
      <c r="J8" t="str">
        <f t="shared" si="1"/>
        <v>SÍ</v>
      </c>
    </row>
    <row r="9" spans="1:10" ht="28.8" x14ac:dyDescent="0.3">
      <c r="A9" s="1" t="s">
        <v>24</v>
      </c>
      <c r="B9" s="1" t="s">
        <v>25</v>
      </c>
      <c r="C9" s="1"/>
      <c r="D9" s="22"/>
      <c r="E9" s="1" t="s">
        <v>10</v>
      </c>
      <c r="F9" s="3">
        <v>690000</v>
      </c>
      <c r="G9" s="1" t="s">
        <v>11</v>
      </c>
      <c r="H9" s="2"/>
      <c r="I9" t="str">
        <f t="shared" si="0"/>
        <v>EE10079|</v>
      </c>
      <c r="J9" t="str">
        <f t="shared" si="1"/>
        <v>SÍ</v>
      </c>
    </row>
    <row r="10" spans="1:10" ht="28.8" x14ac:dyDescent="0.3">
      <c r="A10" s="1" t="s">
        <v>26</v>
      </c>
      <c r="B10" s="1" t="s">
        <v>27</v>
      </c>
      <c r="C10" s="1"/>
      <c r="D10" s="22"/>
      <c r="E10" s="1" t="s">
        <v>10</v>
      </c>
      <c r="F10" s="3">
        <v>20000</v>
      </c>
      <c r="G10" s="1" t="s">
        <v>11</v>
      </c>
      <c r="H10" s="2"/>
      <c r="I10" t="str">
        <f t="shared" si="0"/>
        <v>EE10120|</v>
      </c>
      <c r="J10" t="str">
        <f t="shared" si="1"/>
        <v>SÍ</v>
      </c>
    </row>
    <row r="11" spans="1:10" ht="28.8" x14ac:dyDescent="0.3">
      <c r="A11" s="1" t="s">
        <v>28</v>
      </c>
      <c r="B11" s="1" t="s">
        <v>29</v>
      </c>
      <c r="C11" s="1" t="s">
        <v>30</v>
      </c>
      <c r="D11" s="22">
        <v>46387.734837962962</v>
      </c>
      <c r="E11" s="1" t="s">
        <v>10</v>
      </c>
      <c r="F11" s="3">
        <v>800</v>
      </c>
      <c r="G11" s="1" t="s">
        <v>11</v>
      </c>
      <c r="H11" s="2"/>
      <c r="I11" t="str">
        <f t="shared" si="0"/>
        <v>EE10010|INFORME 20</v>
      </c>
      <c r="J11" t="str">
        <f t="shared" si="1"/>
        <v>SÍ</v>
      </c>
    </row>
    <row r="12" spans="1:10" ht="28.8" x14ac:dyDescent="0.3">
      <c r="A12" s="1" t="s">
        <v>28</v>
      </c>
      <c r="B12" s="1" t="s">
        <v>29</v>
      </c>
      <c r="C12" s="1" t="s">
        <v>31</v>
      </c>
      <c r="D12" s="22">
        <v>46387.675659722219</v>
      </c>
      <c r="E12" s="1" t="s">
        <v>10</v>
      </c>
      <c r="F12" s="3">
        <v>600</v>
      </c>
      <c r="G12" s="1" t="s">
        <v>11</v>
      </c>
      <c r="H12" s="2"/>
      <c r="I12" t="str">
        <f t="shared" si="0"/>
        <v>EE10010|INFORME 31</v>
      </c>
      <c r="J12" t="str">
        <f t="shared" si="1"/>
        <v>SÍ</v>
      </c>
    </row>
    <row r="13" spans="1:10" ht="28.8" x14ac:dyDescent="0.3">
      <c r="A13" s="1" t="s">
        <v>32</v>
      </c>
      <c r="B13" s="1" t="s">
        <v>33</v>
      </c>
      <c r="C13" s="1" t="s">
        <v>34</v>
      </c>
      <c r="D13" s="22"/>
      <c r="E13" s="1" t="s">
        <v>10</v>
      </c>
      <c r="F13" s="3">
        <v>625</v>
      </c>
      <c r="G13" s="1" t="s">
        <v>11</v>
      </c>
      <c r="H13" s="2"/>
      <c r="I13" t="str">
        <f t="shared" si="0"/>
        <v>EE10008|INFORME 33</v>
      </c>
      <c r="J13" t="str">
        <f t="shared" si="1"/>
        <v>SÍ</v>
      </c>
    </row>
    <row r="14" spans="1:10" ht="43.2" x14ac:dyDescent="0.3">
      <c r="A14" s="1" t="s">
        <v>35</v>
      </c>
      <c r="B14" s="1" t="s">
        <v>36</v>
      </c>
      <c r="C14" s="1"/>
      <c r="D14" s="22"/>
      <c r="E14" s="1" t="s">
        <v>10</v>
      </c>
      <c r="F14" s="3">
        <v>25.806999999999999</v>
      </c>
      <c r="G14" s="1" t="s">
        <v>11</v>
      </c>
      <c r="H14" s="2"/>
      <c r="I14" t="str">
        <f t="shared" si="0"/>
        <v>EE10137|</v>
      </c>
      <c r="J14" t="str">
        <f t="shared" si="1"/>
        <v>SÍ</v>
      </c>
    </row>
    <row r="15" spans="1:10" ht="28.8" x14ac:dyDescent="0.3">
      <c r="A15" s="1" t="s">
        <v>37</v>
      </c>
      <c r="B15" s="1" t="s">
        <v>38</v>
      </c>
      <c r="C15" s="1" t="s">
        <v>39</v>
      </c>
      <c r="D15" s="22">
        <v>46203.69568287037</v>
      </c>
      <c r="E15" s="1" t="s">
        <v>10</v>
      </c>
      <c r="F15" s="3">
        <v>282.72000000000003</v>
      </c>
      <c r="G15" s="1" t="s">
        <v>40</v>
      </c>
      <c r="H15" s="2"/>
      <c r="I15" t="str">
        <f t="shared" si="0"/>
        <v>EE10140|INFORME 39</v>
      </c>
      <c r="J15" t="str">
        <f t="shared" si="1"/>
        <v>SÍ</v>
      </c>
    </row>
    <row r="16" spans="1:10" ht="28.8" x14ac:dyDescent="0.3">
      <c r="A16" s="1" t="s">
        <v>41</v>
      </c>
      <c r="B16" s="1" t="s">
        <v>42</v>
      </c>
      <c r="C16" s="1" t="s">
        <v>43</v>
      </c>
      <c r="D16" s="22">
        <v>45771.69604166667</v>
      </c>
      <c r="E16" s="1" t="s">
        <v>10</v>
      </c>
      <c r="F16" s="3">
        <v>438.2</v>
      </c>
      <c r="G16" s="1" t="s">
        <v>40</v>
      </c>
      <c r="H16" s="2"/>
      <c r="I16" t="str">
        <f t="shared" si="0"/>
        <v>EE10141|INFORME 21</v>
      </c>
      <c r="J16" t="str">
        <f t="shared" si="1"/>
        <v>SÍ</v>
      </c>
    </row>
    <row r="17" spans="1:10" ht="28.8" x14ac:dyDescent="0.3">
      <c r="A17" s="1" t="s">
        <v>44</v>
      </c>
      <c r="B17" s="1" t="s">
        <v>45</v>
      </c>
      <c r="C17" s="1"/>
      <c r="D17" s="22"/>
      <c r="E17" s="1" t="s">
        <v>10</v>
      </c>
      <c r="F17" s="3">
        <v>800.33600000000001</v>
      </c>
      <c r="G17" s="1" t="s">
        <v>11</v>
      </c>
      <c r="H17" s="2"/>
      <c r="I17" t="str">
        <f t="shared" si="0"/>
        <v>EE10074|</v>
      </c>
      <c r="J17" t="str">
        <f t="shared" si="1"/>
        <v>SÍ</v>
      </c>
    </row>
    <row r="18" spans="1:10" ht="43.2" x14ac:dyDescent="0.3">
      <c r="A18" s="1" t="s">
        <v>46</v>
      </c>
      <c r="B18" s="1" t="s">
        <v>47</v>
      </c>
      <c r="C18" s="1" t="s">
        <v>48</v>
      </c>
      <c r="D18" s="22">
        <v>46037.488425925927</v>
      </c>
      <c r="E18" s="1" t="s">
        <v>10</v>
      </c>
      <c r="F18" s="3">
        <v>1450</v>
      </c>
      <c r="G18" s="1" t="s">
        <v>11</v>
      </c>
      <c r="H18" s="2"/>
      <c r="I18" t="str">
        <f t="shared" si="0"/>
        <v>EE10154|LOTE 509</v>
      </c>
      <c r="J18" t="str">
        <f t="shared" si="1"/>
        <v>SÍ</v>
      </c>
    </row>
    <row r="19" spans="1:10" ht="28.8" x14ac:dyDescent="0.3">
      <c r="A19" s="1" t="s">
        <v>49</v>
      </c>
      <c r="B19" s="1" t="s">
        <v>50</v>
      </c>
      <c r="C19" s="1" t="s">
        <v>51</v>
      </c>
      <c r="D19" s="22"/>
      <c r="E19" s="1" t="s">
        <v>10</v>
      </c>
      <c r="F19" s="3">
        <v>300</v>
      </c>
      <c r="G19" s="1" t="s">
        <v>11</v>
      </c>
      <c r="H19" s="2"/>
      <c r="I19" t="str">
        <f t="shared" si="0"/>
        <v>EE10056|02/25</v>
      </c>
      <c r="J19" t="str">
        <f t="shared" si="1"/>
        <v>SÍ</v>
      </c>
    </row>
    <row r="20" spans="1:10" ht="28.8" x14ac:dyDescent="0.3">
      <c r="A20" s="1" t="s">
        <v>49</v>
      </c>
      <c r="B20" s="1" t="s">
        <v>50</v>
      </c>
      <c r="C20" s="1" t="s">
        <v>52</v>
      </c>
      <c r="D20" s="22"/>
      <c r="E20" s="1" t="s">
        <v>10</v>
      </c>
      <c r="F20" s="3">
        <v>5500</v>
      </c>
      <c r="G20" s="1" t="s">
        <v>11</v>
      </c>
      <c r="H20" s="2"/>
      <c r="I20" t="str">
        <f t="shared" si="0"/>
        <v>EE10056|01/25</v>
      </c>
      <c r="J20" t="str">
        <f t="shared" si="1"/>
        <v>SÍ</v>
      </c>
    </row>
    <row r="21" spans="1:10" ht="28.8" x14ac:dyDescent="0.3">
      <c r="A21" s="1" t="s">
        <v>53</v>
      </c>
      <c r="B21" s="1" t="s">
        <v>54</v>
      </c>
      <c r="C21" s="1" t="s">
        <v>55</v>
      </c>
      <c r="D21" s="22"/>
      <c r="E21" s="1" t="s">
        <v>10</v>
      </c>
      <c r="F21" s="3">
        <v>1085</v>
      </c>
      <c r="G21" s="1" t="s">
        <v>40</v>
      </c>
      <c r="H21" s="2"/>
      <c r="I21" t="str">
        <f t="shared" si="0"/>
        <v>EE10159|INFORME 02/25</v>
      </c>
      <c r="J21" t="str">
        <f t="shared" si="1"/>
        <v>SÍ</v>
      </c>
    </row>
    <row r="22" spans="1:10" ht="28.8" x14ac:dyDescent="0.3">
      <c r="A22" s="1" t="s">
        <v>56</v>
      </c>
      <c r="B22" s="1" t="s">
        <v>57</v>
      </c>
      <c r="C22" s="1"/>
      <c r="D22" s="22"/>
      <c r="E22" s="1" t="s">
        <v>10</v>
      </c>
      <c r="F22" s="3">
        <v>194.4</v>
      </c>
      <c r="G22" s="1" t="s">
        <v>11</v>
      </c>
      <c r="H22" s="2"/>
      <c r="I22" t="str">
        <f t="shared" si="0"/>
        <v>EE10165|</v>
      </c>
      <c r="J22" t="str">
        <f t="shared" si="1"/>
        <v>SÍ</v>
      </c>
    </row>
    <row r="23" spans="1:10" ht="43.2" x14ac:dyDescent="0.3">
      <c r="A23" s="1" t="s">
        <v>46</v>
      </c>
      <c r="B23" s="1" t="s">
        <v>47</v>
      </c>
      <c r="C23" s="1" t="s">
        <v>58</v>
      </c>
      <c r="D23" s="22"/>
      <c r="E23" s="1" t="s">
        <v>10</v>
      </c>
      <c r="F23" s="3">
        <v>3200</v>
      </c>
      <c r="G23" s="1" t="s">
        <v>11</v>
      </c>
      <c r="H23" s="2"/>
      <c r="I23" t="str">
        <f t="shared" si="0"/>
        <v>EE10154|LOTE 692</v>
      </c>
      <c r="J23" t="str">
        <f t="shared" si="1"/>
        <v>SÍ</v>
      </c>
    </row>
    <row r="24" spans="1:10" ht="28.8" x14ac:dyDescent="0.3">
      <c r="A24" s="1" t="s">
        <v>59</v>
      </c>
      <c r="B24" s="1" t="s">
        <v>60</v>
      </c>
      <c r="C24" s="1"/>
      <c r="D24" s="22"/>
      <c r="E24" s="1" t="s">
        <v>10</v>
      </c>
      <c r="F24" s="3">
        <v>45</v>
      </c>
      <c r="G24" s="1" t="s">
        <v>11</v>
      </c>
      <c r="H24" s="2"/>
      <c r="I24" t="str">
        <f t="shared" si="0"/>
        <v>EE10177|</v>
      </c>
      <c r="J24" t="str">
        <f t="shared" si="1"/>
        <v>SÍ</v>
      </c>
    </row>
    <row r="25" spans="1:10" ht="28.8" x14ac:dyDescent="0.3">
      <c r="A25" s="1" t="s">
        <v>61</v>
      </c>
      <c r="B25" s="1" t="s">
        <v>62</v>
      </c>
      <c r="C25" s="1"/>
      <c r="D25" s="22"/>
      <c r="E25" s="1" t="s">
        <v>10</v>
      </c>
      <c r="F25" s="3">
        <v>20350</v>
      </c>
      <c r="G25" s="1" t="s">
        <v>11</v>
      </c>
      <c r="H25" s="2"/>
      <c r="I25" t="str">
        <f t="shared" si="0"/>
        <v>EE10149-2|</v>
      </c>
      <c r="J25" t="str">
        <f t="shared" si="1"/>
        <v>SÍ</v>
      </c>
    </row>
    <row r="26" spans="1:10" ht="28.8" x14ac:dyDescent="0.3">
      <c r="A26" s="1" t="s">
        <v>63</v>
      </c>
      <c r="B26" s="1" t="s">
        <v>64</v>
      </c>
      <c r="C26" s="1" t="s">
        <v>55</v>
      </c>
      <c r="D26" s="22">
        <v>46137.619039351863</v>
      </c>
      <c r="E26" s="1" t="s">
        <v>10</v>
      </c>
      <c r="F26" s="3">
        <v>351.70240000000001</v>
      </c>
      <c r="G26" s="1" t="s">
        <v>40</v>
      </c>
      <c r="H26" s="2"/>
      <c r="I26" t="str">
        <f t="shared" si="0"/>
        <v>EE10146|INFORME 02/25</v>
      </c>
      <c r="J26" t="str">
        <f t="shared" si="1"/>
        <v>SÍ</v>
      </c>
    </row>
    <row r="27" spans="1:10" ht="28.8" x14ac:dyDescent="0.3">
      <c r="A27" s="1" t="s">
        <v>65</v>
      </c>
      <c r="B27" s="1" t="s">
        <v>66</v>
      </c>
      <c r="C27" s="1" t="s">
        <v>67</v>
      </c>
      <c r="D27" s="22">
        <v>46203.624201388891</v>
      </c>
      <c r="E27" s="1" t="s">
        <v>10</v>
      </c>
      <c r="F27" s="3">
        <v>53.75</v>
      </c>
      <c r="G27" s="1" t="s">
        <v>40</v>
      </c>
      <c r="H27" s="2"/>
      <c r="I27" t="str">
        <f t="shared" si="0"/>
        <v>EE10088-1|INFORME 05/25</v>
      </c>
      <c r="J27" t="str">
        <f t="shared" si="1"/>
        <v>SÍ</v>
      </c>
    </row>
    <row r="28" spans="1:10" ht="28.8" x14ac:dyDescent="0.3">
      <c r="A28" s="1" t="s">
        <v>304</v>
      </c>
      <c r="B28" s="1" t="s">
        <v>305</v>
      </c>
      <c r="C28" s="1" t="s">
        <v>67</v>
      </c>
      <c r="D28" s="22">
        <v>45835.69908564815</v>
      </c>
      <c r="E28" s="1" t="s">
        <v>1634</v>
      </c>
      <c r="F28" s="3">
        <v>52</v>
      </c>
      <c r="G28" s="1" t="s">
        <v>40</v>
      </c>
      <c r="H28" s="2"/>
      <c r="I28" t="str">
        <f t="shared" si="0"/>
        <v>EE10047|INFORME 05/25</v>
      </c>
      <c r="J28" t="str">
        <f t="shared" si="1"/>
        <v>SÍ</v>
      </c>
    </row>
    <row r="29" spans="1:10" ht="28.8" x14ac:dyDescent="0.3">
      <c r="A29" s="1" t="s">
        <v>68</v>
      </c>
      <c r="B29" s="1" t="s">
        <v>69</v>
      </c>
      <c r="C29" s="1" t="s">
        <v>70</v>
      </c>
      <c r="D29" s="22">
        <v>46387</v>
      </c>
      <c r="E29" s="1" t="s">
        <v>10</v>
      </c>
      <c r="F29" s="3">
        <v>2625</v>
      </c>
      <c r="G29" s="1" t="s">
        <v>11</v>
      </c>
      <c r="H29" s="2"/>
      <c r="I29" t="str">
        <f t="shared" si="0"/>
        <v>EE10004|LT-SF-AGR</v>
      </c>
      <c r="J29" t="str">
        <f t="shared" si="1"/>
        <v>SÍ</v>
      </c>
    </row>
    <row r="30" spans="1:10" ht="28.8" x14ac:dyDescent="0.3">
      <c r="A30" s="1" t="s">
        <v>71</v>
      </c>
      <c r="B30" s="1" t="s">
        <v>72</v>
      </c>
      <c r="C30" s="1" t="s">
        <v>73</v>
      </c>
      <c r="D30" s="22">
        <v>46387.791666666657</v>
      </c>
      <c r="E30" s="1" t="s">
        <v>10</v>
      </c>
      <c r="F30" s="3">
        <v>333</v>
      </c>
      <c r="G30" s="1" t="s">
        <v>11</v>
      </c>
      <c r="H30" s="2"/>
      <c r="I30" t="str">
        <f t="shared" si="0"/>
        <v>EE10092|INFORME 10</v>
      </c>
      <c r="J30" t="str">
        <f t="shared" si="1"/>
        <v>SÍ</v>
      </c>
    </row>
    <row r="31" spans="1:10" ht="28.8" x14ac:dyDescent="0.3">
      <c r="A31" s="1" t="s">
        <v>71</v>
      </c>
      <c r="B31" s="1" t="s">
        <v>72</v>
      </c>
      <c r="C31" s="1" t="s">
        <v>74</v>
      </c>
      <c r="D31" s="22">
        <v>46387.791666666657</v>
      </c>
      <c r="E31" s="1" t="s">
        <v>10</v>
      </c>
      <c r="F31" s="3">
        <v>2200</v>
      </c>
      <c r="G31" s="1" t="s">
        <v>11</v>
      </c>
      <c r="H31" s="2"/>
      <c r="I31" t="str">
        <f t="shared" si="0"/>
        <v>EE10092|INFORME 11</v>
      </c>
      <c r="J31" t="str">
        <f t="shared" si="1"/>
        <v>SÍ</v>
      </c>
    </row>
    <row r="32" spans="1:10" ht="28.8" x14ac:dyDescent="0.3">
      <c r="A32" s="1" t="s">
        <v>71</v>
      </c>
      <c r="B32" s="1" t="s">
        <v>72</v>
      </c>
      <c r="C32" s="1" t="s">
        <v>75</v>
      </c>
      <c r="D32" s="22">
        <v>46387.791666666657</v>
      </c>
      <c r="E32" s="1" t="s">
        <v>10</v>
      </c>
      <c r="F32" s="3">
        <v>2800</v>
      </c>
      <c r="G32" s="1" t="s">
        <v>11</v>
      </c>
      <c r="H32" s="2"/>
      <c r="I32" t="str">
        <f t="shared" si="0"/>
        <v>EE10092|INFORME 8</v>
      </c>
      <c r="J32" t="str">
        <f t="shared" si="1"/>
        <v>SÍ</v>
      </c>
    </row>
    <row r="33" spans="1:10" ht="28.8" x14ac:dyDescent="0.3">
      <c r="A33" s="1" t="s">
        <v>76</v>
      </c>
      <c r="B33" s="1" t="s">
        <v>77</v>
      </c>
      <c r="C33" s="1" t="s">
        <v>78</v>
      </c>
      <c r="D33" s="22">
        <v>46152.412476851852</v>
      </c>
      <c r="E33" s="1" t="s">
        <v>10</v>
      </c>
      <c r="F33" s="3">
        <v>188.87700000000001</v>
      </c>
      <c r="G33" s="1" t="s">
        <v>40</v>
      </c>
      <c r="H33" s="2"/>
      <c r="I33" t="str">
        <f t="shared" si="0"/>
        <v>EE10158|INFORME 04/25</v>
      </c>
      <c r="J33" t="str">
        <f t="shared" si="1"/>
        <v>SÍ</v>
      </c>
    </row>
    <row r="34" spans="1:10" ht="43.2" x14ac:dyDescent="0.3">
      <c r="A34" s="1" t="s">
        <v>79</v>
      </c>
      <c r="B34" s="1" t="s">
        <v>80</v>
      </c>
      <c r="C34" s="1" t="s">
        <v>81</v>
      </c>
      <c r="D34" s="22">
        <v>46387.520405092589</v>
      </c>
      <c r="E34" s="1" t="s">
        <v>10</v>
      </c>
      <c r="F34" s="3">
        <v>15000</v>
      </c>
      <c r="G34" s="1" t="s">
        <v>11</v>
      </c>
      <c r="H34" s="2"/>
      <c r="I34" t="str">
        <f t="shared" si="0"/>
        <v>EE10181|INFORME 21/25</v>
      </c>
      <c r="J34" t="str">
        <f t="shared" si="1"/>
        <v>SÍ</v>
      </c>
    </row>
    <row r="35" spans="1:10" ht="28.8" x14ac:dyDescent="0.3">
      <c r="A35" s="1" t="s">
        <v>76</v>
      </c>
      <c r="B35" s="1" t="s">
        <v>77</v>
      </c>
      <c r="C35" s="1" t="s">
        <v>82</v>
      </c>
      <c r="D35" s="22">
        <v>46162.962013888893</v>
      </c>
      <c r="E35" s="1" t="s">
        <v>10</v>
      </c>
      <c r="F35" s="3">
        <v>667.14</v>
      </c>
      <c r="G35" s="1" t="s">
        <v>40</v>
      </c>
      <c r="H35" s="2"/>
      <c r="I35" t="str">
        <f t="shared" si="0"/>
        <v>EE10158|INFORME 06/25</v>
      </c>
      <c r="J35" t="str">
        <f t="shared" si="1"/>
        <v>SÍ</v>
      </c>
    </row>
    <row r="36" spans="1:10" ht="28.8" x14ac:dyDescent="0.3">
      <c r="A36" s="1" t="s">
        <v>83</v>
      </c>
      <c r="B36" s="1" t="s">
        <v>84</v>
      </c>
      <c r="C36" s="1" t="s">
        <v>85</v>
      </c>
      <c r="D36" s="22">
        <v>46169.473749999997</v>
      </c>
      <c r="E36" s="1" t="s">
        <v>10</v>
      </c>
      <c r="F36" s="3">
        <v>337.29</v>
      </c>
      <c r="G36" s="1" t="s">
        <v>40</v>
      </c>
      <c r="H36" s="2"/>
      <c r="I36" t="str">
        <f t="shared" si="0"/>
        <v>EE10121|INFORME 10/25</v>
      </c>
      <c r="J36" t="str">
        <f t="shared" si="1"/>
        <v>SÍ</v>
      </c>
    </row>
    <row r="37" spans="1:10" ht="28.8" x14ac:dyDescent="0.3">
      <c r="A37" s="1" t="s">
        <v>86</v>
      </c>
      <c r="B37" s="1" t="s">
        <v>87</v>
      </c>
      <c r="C37" s="1"/>
      <c r="D37" s="22"/>
      <c r="E37" s="1" t="s">
        <v>10</v>
      </c>
      <c r="F37" s="3">
        <v>76</v>
      </c>
      <c r="G37" s="1" t="s">
        <v>11</v>
      </c>
      <c r="H37" s="2"/>
      <c r="I37" t="str">
        <f t="shared" si="0"/>
        <v>EE10097|</v>
      </c>
      <c r="J37" t="str">
        <f t="shared" si="1"/>
        <v>SÍ</v>
      </c>
    </row>
    <row r="38" spans="1:10" ht="28.8" x14ac:dyDescent="0.3">
      <c r="A38" s="1" t="s">
        <v>572</v>
      </c>
      <c r="B38" s="1" t="s">
        <v>741</v>
      </c>
      <c r="C38" s="1" t="s">
        <v>168</v>
      </c>
      <c r="D38" s="22">
        <v>45921.696030092593</v>
      </c>
      <c r="E38" s="1" t="s">
        <v>1634</v>
      </c>
      <c r="F38" s="3">
        <v>4</v>
      </c>
      <c r="G38" s="1" t="s">
        <v>40</v>
      </c>
      <c r="H38" s="2"/>
      <c r="I38" t="str">
        <f t="shared" si="0"/>
        <v>EE10025|INFORME 03/25</v>
      </c>
      <c r="J38" t="str">
        <f t="shared" si="1"/>
        <v>SÍ</v>
      </c>
    </row>
    <row r="39" spans="1:10" ht="28.8" x14ac:dyDescent="0.3">
      <c r="A39" s="1" t="s">
        <v>304</v>
      </c>
      <c r="B39" s="1" t="s">
        <v>305</v>
      </c>
      <c r="C39" s="1" t="s">
        <v>82</v>
      </c>
      <c r="D39" s="22">
        <v>45855.70039351852</v>
      </c>
      <c r="E39" s="1" t="s">
        <v>1634</v>
      </c>
      <c r="F39" s="3">
        <v>199.4</v>
      </c>
      <c r="G39" s="1" t="s">
        <v>40</v>
      </c>
      <c r="H39" s="2"/>
      <c r="I39" t="str">
        <f t="shared" si="0"/>
        <v>EE10047|INFORME 06/25</v>
      </c>
      <c r="J39" t="str">
        <f t="shared" si="1"/>
        <v>SÍ</v>
      </c>
    </row>
    <row r="40" spans="1:10" ht="28.8" x14ac:dyDescent="0.3">
      <c r="A40" s="1" t="s">
        <v>76</v>
      </c>
      <c r="B40" s="1" t="s">
        <v>77</v>
      </c>
      <c r="C40" s="1" t="s">
        <v>88</v>
      </c>
      <c r="D40" s="22">
        <v>46001.464756944442</v>
      </c>
      <c r="E40" s="1" t="s">
        <v>10</v>
      </c>
      <c r="F40" s="3">
        <v>861.73</v>
      </c>
      <c r="G40" s="1" t="s">
        <v>40</v>
      </c>
      <c r="H40" s="2"/>
      <c r="I40" t="str">
        <f t="shared" si="0"/>
        <v>EE10158|INFORME 07/25</v>
      </c>
      <c r="J40" t="str">
        <f t="shared" si="1"/>
        <v>SÍ</v>
      </c>
    </row>
    <row r="41" spans="1:10" ht="28.8" x14ac:dyDescent="0.3">
      <c r="A41" s="1" t="s">
        <v>89</v>
      </c>
      <c r="B41" s="1" t="s">
        <v>90</v>
      </c>
      <c r="C41" s="1" t="s">
        <v>91</v>
      </c>
      <c r="D41" s="22">
        <v>46752.472222222219</v>
      </c>
      <c r="E41" s="1" t="s">
        <v>10</v>
      </c>
      <c r="F41" s="3">
        <v>2500</v>
      </c>
      <c r="G41" s="1" t="s">
        <v>11</v>
      </c>
      <c r="H41" s="2"/>
      <c r="I41" t="str">
        <f t="shared" si="0"/>
        <v>EE10060|INFORME 01/25</v>
      </c>
      <c r="J41" t="str">
        <f t="shared" si="1"/>
        <v>SÍ</v>
      </c>
    </row>
    <row r="42" spans="1:10" ht="28.8" x14ac:dyDescent="0.3">
      <c r="A42" s="1" t="s">
        <v>92</v>
      </c>
      <c r="B42" s="1" t="s">
        <v>93</v>
      </c>
      <c r="C42" s="1" t="s">
        <v>55</v>
      </c>
      <c r="D42" s="22">
        <v>46752.472777777781</v>
      </c>
      <c r="E42" s="1" t="s">
        <v>10</v>
      </c>
      <c r="F42" s="3">
        <v>3000</v>
      </c>
      <c r="G42" s="1" t="s">
        <v>11</v>
      </c>
      <c r="H42" s="2"/>
      <c r="I42" t="str">
        <f t="shared" si="0"/>
        <v>EE10062|INFORME 02/25</v>
      </c>
      <c r="J42" t="str">
        <f t="shared" si="1"/>
        <v>SÍ</v>
      </c>
    </row>
    <row r="43" spans="1:10" ht="28.8" x14ac:dyDescent="0.3">
      <c r="A43" s="1" t="s">
        <v>94</v>
      </c>
      <c r="B43" s="1" t="s">
        <v>95</v>
      </c>
      <c r="C43" s="1" t="s">
        <v>91</v>
      </c>
      <c r="D43" s="22">
        <v>46387.512372685182</v>
      </c>
      <c r="E43" s="1" t="s">
        <v>10</v>
      </c>
      <c r="F43" s="3">
        <v>27100</v>
      </c>
      <c r="G43" s="1" t="s">
        <v>11</v>
      </c>
      <c r="H43" s="2"/>
      <c r="I43" t="str">
        <f t="shared" si="0"/>
        <v>EE10081|INFORME 01/25</v>
      </c>
      <c r="J43" t="str">
        <f t="shared" si="1"/>
        <v>SÍ</v>
      </c>
    </row>
    <row r="44" spans="1:10" ht="28.8" x14ac:dyDescent="0.3">
      <c r="A44" s="1" t="s">
        <v>96</v>
      </c>
      <c r="B44" s="1" t="s">
        <v>97</v>
      </c>
      <c r="C44" s="1" t="s">
        <v>98</v>
      </c>
      <c r="D44" s="22">
        <v>46177.963414351849</v>
      </c>
      <c r="E44" s="1" t="s">
        <v>10</v>
      </c>
      <c r="F44" s="3">
        <v>1128.92</v>
      </c>
      <c r="G44" s="1" t="s">
        <v>40</v>
      </c>
      <c r="H44" s="2"/>
      <c r="I44" t="str">
        <f t="shared" si="0"/>
        <v>EE10015|INFORME 13/25</v>
      </c>
      <c r="J44" t="str">
        <f t="shared" si="1"/>
        <v>SÍ</v>
      </c>
    </row>
    <row r="45" spans="1:10" ht="28.8" x14ac:dyDescent="0.3">
      <c r="A45" s="1" t="s">
        <v>83</v>
      </c>
      <c r="B45" s="1" t="s">
        <v>84</v>
      </c>
      <c r="C45" s="1" t="s">
        <v>99</v>
      </c>
      <c r="D45" s="22">
        <v>46186.963796296302</v>
      </c>
      <c r="E45" s="1" t="s">
        <v>10</v>
      </c>
      <c r="F45" s="3">
        <v>220.06</v>
      </c>
      <c r="G45" s="1" t="s">
        <v>40</v>
      </c>
      <c r="H45" s="2"/>
      <c r="I45" t="str">
        <f t="shared" si="0"/>
        <v>EE10121|INFORME 14/25</v>
      </c>
      <c r="J45" t="str">
        <f t="shared" si="1"/>
        <v>SÍ</v>
      </c>
    </row>
    <row r="46" spans="1:10" ht="28.8" x14ac:dyDescent="0.3">
      <c r="A46" s="1" t="s">
        <v>100</v>
      </c>
      <c r="B46" s="1" t="s">
        <v>101</v>
      </c>
      <c r="C46" s="1" t="s">
        <v>78</v>
      </c>
      <c r="D46" s="22">
        <v>46186.964305555557</v>
      </c>
      <c r="E46" s="1" t="s">
        <v>10</v>
      </c>
      <c r="F46" s="3">
        <v>181.43</v>
      </c>
      <c r="G46" s="1" t="s">
        <v>40</v>
      </c>
      <c r="H46" s="2"/>
      <c r="I46" t="str">
        <f t="shared" si="0"/>
        <v>EE10122|INFORME 04/25</v>
      </c>
      <c r="J46" t="str">
        <f t="shared" si="1"/>
        <v>SÍ</v>
      </c>
    </row>
    <row r="47" spans="1:10" ht="28.8" x14ac:dyDescent="0.3">
      <c r="A47" s="1" t="s">
        <v>102</v>
      </c>
      <c r="B47" s="1" t="s">
        <v>103</v>
      </c>
      <c r="C47" s="1" t="s">
        <v>104</v>
      </c>
      <c r="D47" s="22">
        <v>46752.970613425918</v>
      </c>
      <c r="E47" s="1" t="s">
        <v>10</v>
      </c>
      <c r="F47" s="3">
        <v>2381</v>
      </c>
      <c r="G47" s="1" t="s">
        <v>11</v>
      </c>
      <c r="H47" s="2"/>
      <c r="I47" t="str">
        <f t="shared" si="0"/>
        <v>EE10007|INFORME 17/25</v>
      </c>
      <c r="J47" t="str">
        <f t="shared" si="1"/>
        <v>SÍ</v>
      </c>
    </row>
    <row r="48" spans="1:10" ht="28.8" x14ac:dyDescent="0.3">
      <c r="A48" s="1" t="s">
        <v>105</v>
      </c>
      <c r="B48" s="1" t="s">
        <v>106</v>
      </c>
      <c r="C48" s="1" t="s">
        <v>55</v>
      </c>
      <c r="D48" s="22">
        <v>46222.60800925926</v>
      </c>
      <c r="E48" s="1" t="s">
        <v>10</v>
      </c>
      <c r="F48" s="3">
        <v>69.001999999999995</v>
      </c>
      <c r="G48" s="1" t="s">
        <v>40</v>
      </c>
      <c r="H48" s="2"/>
      <c r="I48" t="str">
        <f t="shared" si="0"/>
        <v>EE10128|INFORME 02/25</v>
      </c>
      <c r="J48" t="str">
        <f t="shared" si="1"/>
        <v>SÍ</v>
      </c>
    </row>
    <row r="49" spans="1:10" ht="28.8" x14ac:dyDescent="0.3">
      <c r="A49" s="1" t="s">
        <v>107</v>
      </c>
      <c r="B49" s="1" t="s">
        <v>108</v>
      </c>
      <c r="C49" s="1" t="s">
        <v>67</v>
      </c>
      <c r="D49" s="22">
        <v>46014.561979166669</v>
      </c>
      <c r="E49" s="1" t="s">
        <v>10</v>
      </c>
      <c r="F49" s="3">
        <v>703</v>
      </c>
      <c r="G49" s="1" t="s">
        <v>40</v>
      </c>
      <c r="H49" s="2"/>
      <c r="I49" t="str">
        <f t="shared" si="0"/>
        <v>EE10022|INFORME 05/25</v>
      </c>
      <c r="J49" t="str">
        <f t="shared" si="1"/>
        <v>SÍ</v>
      </c>
    </row>
    <row r="50" spans="1:10" ht="28.8" x14ac:dyDescent="0.3">
      <c r="A50" s="1" t="s">
        <v>109</v>
      </c>
      <c r="B50" s="1" t="s">
        <v>110</v>
      </c>
      <c r="C50" s="1" t="s">
        <v>98</v>
      </c>
      <c r="D50" s="22"/>
      <c r="E50" s="1" t="s">
        <v>10</v>
      </c>
      <c r="F50" s="3">
        <v>285.39999999999998</v>
      </c>
      <c r="G50" s="1" t="s">
        <v>40</v>
      </c>
      <c r="H50" s="2"/>
      <c r="I50" t="str">
        <f t="shared" si="0"/>
        <v>EE10029-1|INFORME 13/25</v>
      </c>
      <c r="J50" t="str">
        <f t="shared" si="1"/>
        <v>SÍ</v>
      </c>
    </row>
    <row r="51" spans="1:10" ht="28.8" x14ac:dyDescent="0.3">
      <c r="A51" s="1" t="s">
        <v>100</v>
      </c>
      <c r="B51" s="1" t="s">
        <v>101</v>
      </c>
      <c r="C51" s="1" t="s">
        <v>82</v>
      </c>
      <c r="D51" s="22">
        <v>46016.456180555557</v>
      </c>
      <c r="E51" s="1" t="s">
        <v>10</v>
      </c>
      <c r="F51" s="3">
        <v>712.73500000000001</v>
      </c>
      <c r="G51" s="1" t="s">
        <v>40</v>
      </c>
      <c r="H51" s="2"/>
      <c r="I51" t="str">
        <f t="shared" si="0"/>
        <v>EE10122|INFORME 06/25</v>
      </c>
      <c r="J51" t="str">
        <f t="shared" si="1"/>
        <v>SÍ</v>
      </c>
    </row>
    <row r="52" spans="1:10" ht="28.8" x14ac:dyDescent="0.3">
      <c r="A52" s="1" t="s">
        <v>96</v>
      </c>
      <c r="B52" s="1" t="s">
        <v>97</v>
      </c>
      <c r="C52" s="1" t="s">
        <v>111</v>
      </c>
      <c r="D52" s="22">
        <v>46201.563090277778</v>
      </c>
      <c r="E52" s="1" t="s">
        <v>10</v>
      </c>
      <c r="F52" s="3">
        <v>1188.5999999999999</v>
      </c>
      <c r="G52" s="1" t="s">
        <v>40</v>
      </c>
      <c r="H52" s="2"/>
      <c r="I52" t="str">
        <f t="shared" si="0"/>
        <v>EE10015|INFORME 15/25</v>
      </c>
      <c r="J52" t="str">
        <f t="shared" si="1"/>
        <v>SÍ</v>
      </c>
    </row>
    <row r="53" spans="1:10" ht="28.8" x14ac:dyDescent="0.3">
      <c r="A53" s="1" t="s">
        <v>112</v>
      </c>
      <c r="B53" s="1" t="s">
        <v>113</v>
      </c>
      <c r="C53" s="1"/>
      <c r="D53" s="22"/>
      <c r="E53" s="1" t="s">
        <v>10</v>
      </c>
      <c r="F53" s="3">
        <v>42</v>
      </c>
      <c r="G53" s="1" t="s">
        <v>11</v>
      </c>
      <c r="H53" s="2"/>
      <c r="I53" t="str">
        <f t="shared" si="0"/>
        <v>EE10098|</v>
      </c>
      <c r="J53" t="str">
        <f t="shared" si="1"/>
        <v>SÍ</v>
      </c>
    </row>
    <row r="54" spans="1:10" ht="28.8" x14ac:dyDescent="0.3">
      <c r="A54" s="1" t="s">
        <v>65</v>
      </c>
      <c r="B54" s="1" t="s">
        <v>66</v>
      </c>
      <c r="C54" s="1" t="s">
        <v>99</v>
      </c>
      <c r="D54" s="22">
        <v>46295.682627314818</v>
      </c>
      <c r="E54" s="1" t="s">
        <v>10</v>
      </c>
      <c r="F54" s="3">
        <v>34.26</v>
      </c>
      <c r="G54" s="1" t="s">
        <v>40</v>
      </c>
      <c r="H54" s="2"/>
      <c r="I54" t="str">
        <f t="shared" si="0"/>
        <v>EE10088-1|INFORME 14/25</v>
      </c>
      <c r="J54" t="str">
        <f t="shared" si="1"/>
        <v>SÍ</v>
      </c>
    </row>
    <row r="55" spans="1:10" ht="28.8" x14ac:dyDescent="0.3">
      <c r="A55" s="1" t="s">
        <v>114</v>
      </c>
      <c r="B55" s="1" t="s">
        <v>115</v>
      </c>
      <c r="C55" s="1" t="s">
        <v>116</v>
      </c>
      <c r="D55" s="22">
        <v>46199.682916666658</v>
      </c>
      <c r="E55" s="1" t="s">
        <v>10</v>
      </c>
      <c r="F55" s="3">
        <v>71.48</v>
      </c>
      <c r="G55" s="1" t="s">
        <v>40</v>
      </c>
      <c r="H55" s="2"/>
      <c r="I55" t="str">
        <f t="shared" si="0"/>
        <v>EE10087-1|INFORME 16/25</v>
      </c>
      <c r="J55" t="str">
        <f t="shared" si="1"/>
        <v>SÍ</v>
      </c>
    </row>
    <row r="56" spans="1:10" ht="28.8" x14ac:dyDescent="0.3">
      <c r="A56" s="1" t="s">
        <v>65</v>
      </c>
      <c r="B56" s="1" t="s">
        <v>66</v>
      </c>
      <c r="C56" s="1" t="s">
        <v>111</v>
      </c>
      <c r="D56" s="22">
        <v>46199.684421296297</v>
      </c>
      <c r="E56" s="1" t="s">
        <v>10</v>
      </c>
      <c r="F56" s="3">
        <v>334.88</v>
      </c>
      <c r="G56" s="1" t="s">
        <v>40</v>
      </c>
      <c r="H56" s="2"/>
      <c r="I56" t="str">
        <f t="shared" si="0"/>
        <v>EE10088-1|INFORME 15/25</v>
      </c>
      <c r="J56" t="str">
        <f t="shared" si="1"/>
        <v>SÍ</v>
      </c>
    </row>
    <row r="57" spans="1:10" ht="28.8" x14ac:dyDescent="0.3">
      <c r="A57" s="1" t="s">
        <v>114</v>
      </c>
      <c r="B57" s="1" t="s">
        <v>115</v>
      </c>
      <c r="C57" s="1" t="s">
        <v>104</v>
      </c>
      <c r="D57" s="22">
        <v>46199.684675925928</v>
      </c>
      <c r="E57" s="1" t="s">
        <v>10</v>
      </c>
      <c r="F57" s="3">
        <v>339.16</v>
      </c>
      <c r="G57" s="1" t="s">
        <v>40</v>
      </c>
      <c r="H57" s="2"/>
      <c r="I57" t="str">
        <f t="shared" si="0"/>
        <v>EE10087-1|INFORME 17/25</v>
      </c>
      <c r="J57" t="str">
        <f t="shared" si="1"/>
        <v>SÍ</v>
      </c>
    </row>
    <row r="58" spans="1:10" ht="28.8" x14ac:dyDescent="0.3">
      <c r="A58" s="1" t="s">
        <v>117</v>
      </c>
      <c r="B58" s="1" t="s">
        <v>118</v>
      </c>
      <c r="C58" s="1" t="s">
        <v>119</v>
      </c>
      <c r="D58" s="22">
        <v>46199.685624999998</v>
      </c>
      <c r="E58" s="1" t="s">
        <v>10</v>
      </c>
      <c r="F58" s="3">
        <v>385.05200000000002</v>
      </c>
      <c r="G58" s="1" t="s">
        <v>40</v>
      </c>
      <c r="H58" s="2"/>
      <c r="I58" t="str">
        <f t="shared" si="0"/>
        <v>EE10188|INFORME 08/25</v>
      </c>
      <c r="J58" t="str">
        <f t="shared" si="1"/>
        <v>SÍ</v>
      </c>
    </row>
    <row r="59" spans="1:10" ht="28.8" x14ac:dyDescent="0.3">
      <c r="A59" s="1" t="s">
        <v>120</v>
      </c>
      <c r="B59" s="1" t="s">
        <v>121</v>
      </c>
      <c r="C59" s="1" t="s">
        <v>55</v>
      </c>
      <c r="D59" s="22">
        <v>46247.692650462966</v>
      </c>
      <c r="E59" s="1" t="s">
        <v>10</v>
      </c>
      <c r="F59" s="3">
        <v>140.12</v>
      </c>
      <c r="G59" s="1" t="s">
        <v>40</v>
      </c>
      <c r="H59" s="2"/>
      <c r="I59" t="str">
        <f t="shared" si="0"/>
        <v>EE10131|INFORME 02/25</v>
      </c>
      <c r="J59" t="str">
        <f t="shared" si="1"/>
        <v>SÍ</v>
      </c>
    </row>
    <row r="60" spans="1:10" ht="28.8" x14ac:dyDescent="0.3">
      <c r="A60" s="1" t="s">
        <v>96</v>
      </c>
      <c r="B60" s="1" t="s">
        <v>97</v>
      </c>
      <c r="C60" s="1" t="s">
        <v>122</v>
      </c>
      <c r="D60" s="22">
        <v>46203.582881944443</v>
      </c>
      <c r="E60" s="1" t="s">
        <v>10</v>
      </c>
      <c r="F60" s="3">
        <v>1096.9000000000001</v>
      </c>
      <c r="G60" s="1" t="s">
        <v>40</v>
      </c>
      <c r="H60" s="2"/>
      <c r="I60" t="str">
        <f t="shared" si="0"/>
        <v>EE10015|INFORME 18/25</v>
      </c>
      <c r="J60" t="str">
        <f t="shared" si="1"/>
        <v>SÍ</v>
      </c>
    </row>
    <row r="61" spans="1:10" ht="28.8" x14ac:dyDescent="0.3">
      <c r="A61" s="1" t="s">
        <v>123</v>
      </c>
      <c r="B61" s="1" t="s">
        <v>124</v>
      </c>
      <c r="C61" s="1" t="s">
        <v>88</v>
      </c>
      <c r="D61" s="22">
        <v>46201.567418981482</v>
      </c>
      <c r="E61" s="1" t="s">
        <v>10</v>
      </c>
      <c r="F61" s="3">
        <v>44</v>
      </c>
      <c r="G61" s="1" t="s">
        <v>40</v>
      </c>
      <c r="H61" s="2"/>
      <c r="I61" t="str">
        <f t="shared" si="0"/>
        <v>EE10186|INFORME 07/25</v>
      </c>
      <c r="J61" t="str">
        <f t="shared" si="1"/>
        <v>SÍ</v>
      </c>
    </row>
    <row r="62" spans="1:10" ht="28.8" x14ac:dyDescent="0.3">
      <c r="A62" s="1" t="s">
        <v>123</v>
      </c>
      <c r="B62" s="1" t="s">
        <v>124</v>
      </c>
      <c r="C62" s="1" t="s">
        <v>119</v>
      </c>
      <c r="D62" s="22">
        <v>46201.682280092587</v>
      </c>
      <c r="E62" s="1" t="s">
        <v>10</v>
      </c>
      <c r="F62" s="3">
        <v>350</v>
      </c>
      <c r="G62" s="1" t="s">
        <v>40</v>
      </c>
      <c r="H62" s="2"/>
      <c r="I62" t="str">
        <f t="shared" si="0"/>
        <v>EE10186|INFORME 08/25</v>
      </c>
      <c r="J62" t="str">
        <f t="shared" si="1"/>
        <v>SÍ</v>
      </c>
    </row>
    <row r="63" spans="1:10" ht="28.8" x14ac:dyDescent="0.3">
      <c r="A63" s="1" t="s">
        <v>125</v>
      </c>
      <c r="B63" s="1" t="s">
        <v>126</v>
      </c>
      <c r="C63" s="1" t="s">
        <v>85</v>
      </c>
      <c r="D63" s="22">
        <v>46201.682534722233</v>
      </c>
      <c r="E63" s="1" t="s">
        <v>10</v>
      </c>
      <c r="F63" s="3">
        <v>204.91</v>
      </c>
      <c r="G63" s="1" t="s">
        <v>40</v>
      </c>
      <c r="H63" s="2"/>
      <c r="I63" t="str">
        <f t="shared" si="0"/>
        <v>EE10187|INFORME 10/25</v>
      </c>
      <c r="J63" t="str">
        <f t="shared" si="1"/>
        <v>SÍ</v>
      </c>
    </row>
    <row r="64" spans="1:10" ht="28.8" x14ac:dyDescent="0.3">
      <c r="A64" s="1" t="s">
        <v>100</v>
      </c>
      <c r="B64" s="1" t="s">
        <v>101</v>
      </c>
      <c r="C64" s="1" t="s">
        <v>127</v>
      </c>
      <c r="D64" s="22">
        <v>46210.925266203703</v>
      </c>
      <c r="E64" s="1" t="s">
        <v>10</v>
      </c>
      <c r="F64" s="3">
        <v>528.30999999999995</v>
      </c>
      <c r="G64" s="1" t="s">
        <v>40</v>
      </c>
      <c r="H64" s="2"/>
      <c r="I64" t="str">
        <f t="shared" si="0"/>
        <v>EE10122|INFORME 09/25</v>
      </c>
      <c r="J64" t="str">
        <f t="shared" si="1"/>
        <v>SÍ</v>
      </c>
    </row>
    <row r="65" spans="1:10" ht="28.8" x14ac:dyDescent="0.3">
      <c r="A65" s="1" t="s">
        <v>128</v>
      </c>
      <c r="B65" s="1" t="s">
        <v>129</v>
      </c>
      <c r="C65" s="1" t="s">
        <v>116</v>
      </c>
      <c r="D65" s="22">
        <v>46221.926793981482</v>
      </c>
      <c r="E65" s="1" t="s">
        <v>10</v>
      </c>
      <c r="F65" s="3">
        <v>323</v>
      </c>
      <c r="G65" s="1" t="s">
        <v>40</v>
      </c>
      <c r="H65" s="2"/>
      <c r="I65" t="str">
        <f t="shared" si="0"/>
        <v>EE10198|INFORME 16/25</v>
      </c>
      <c r="J65" t="str">
        <f t="shared" si="1"/>
        <v>SÍ</v>
      </c>
    </row>
    <row r="66" spans="1:10" ht="43.2" x14ac:dyDescent="0.3">
      <c r="A66" s="1" t="s">
        <v>130</v>
      </c>
      <c r="B66" s="1" t="s">
        <v>131</v>
      </c>
      <c r="C66" s="1"/>
      <c r="D66" s="22"/>
      <c r="E66" s="1" t="s">
        <v>10</v>
      </c>
      <c r="F66" s="3">
        <v>35.051600000000001</v>
      </c>
      <c r="G66" s="1" t="s">
        <v>11</v>
      </c>
      <c r="H66" s="2"/>
      <c r="I66" t="str">
        <f t="shared" ref="I66:I129" si="2">IF(A66="","",A66&amp;"|"&amp;C66)</f>
        <v>EE10075|</v>
      </c>
      <c r="J66" t="str">
        <f t="shared" ref="J66:J129" si="3">IF(A66&lt;&gt;"","SÍ","NO")</f>
        <v>SÍ</v>
      </c>
    </row>
    <row r="67" spans="1:10" ht="28.8" x14ac:dyDescent="0.3">
      <c r="A67" s="1" t="s">
        <v>188</v>
      </c>
      <c r="B67" s="1" t="s">
        <v>189</v>
      </c>
      <c r="C67" s="1" t="s">
        <v>91</v>
      </c>
      <c r="D67" s="22">
        <v>46167.98609953704</v>
      </c>
      <c r="E67" s="1" t="s">
        <v>1634</v>
      </c>
      <c r="F67" s="3">
        <v>57.51</v>
      </c>
      <c r="G67" s="1" t="s">
        <v>40</v>
      </c>
      <c r="H67" s="2"/>
      <c r="I67" t="str">
        <f t="shared" si="2"/>
        <v>EE10149|INFORME 01/25</v>
      </c>
      <c r="J67" t="str">
        <f t="shared" si="3"/>
        <v>SÍ</v>
      </c>
    </row>
    <row r="68" spans="1:10" ht="28.8" x14ac:dyDescent="0.3">
      <c r="A68" s="1" t="s">
        <v>132</v>
      </c>
      <c r="B68" s="1" t="s">
        <v>133</v>
      </c>
      <c r="C68" s="1"/>
      <c r="D68" s="22"/>
      <c r="E68" s="1" t="s">
        <v>10</v>
      </c>
      <c r="F68" s="3">
        <v>23650</v>
      </c>
      <c r="G68" s="1" t="s">
        <v>11</v>
      </c>
      <c r="H68" s="2"/>
      <c r="I68" t="str">
        <f t="shared" si="2"/>
        <v>EE10204|</v>
      </c>
      <c r="J68" t="str">
        <f t="shared" si="3"/>
        <v>SÍ</v>
      </c>
    </row>
    <row r="69" spans="1:10" ht="28.8" x14ac:dyDescent="0.3">
      <c r="A69" s="1" t="s">
        <v>134</v>
      </c>
      <c r="B69" s="1" t="s">
        <v>135</v>
      </c>
      <c r="C69" s="1"/>
      <c r="D69" s="22"/>
      <c r="E69" s="1" t="s">
        <v>10</v>
      </c>
      <c r="F69" s="3">
        <v>12240</v>
      </c>
      <c r="G69" s="1" t="s">
        <v>11</v>
      </c>
      <c r="H69" s="2"/>
      <c r="I69" t="str">
        <f t="shared" si="2"/>
        <v>EE10205|</v>
      </c>
      <c r="J69" t="str">
        <f t="shared" si="3"/>
        <v>SÍ</v>
      </c>
    </row>
    <row r="70" spans="1:10" ht="28.8" x14ac:dyDescent="0.3">
      <c r="A70" s="1" t="s">
        <v>136</v>
      </c>
      <c r="B70" s="1" t="s">
        <v>137</v>
      </c>
      <c r="C70" s="1"/>
      <c r="D70" s="22"/>
      <c r="E70" s="1" t="s">
        <v>10</v>
      </c>
      <c r="F70" s="3">
        <v>19000</v>
      </c>
      <c r="G70" s="1" t="s">
        <v>11</v>
      </c>
      <c r="H70" s="2"/>
      <c r="I70" t="str">
        <f t="shared" si="2"/>
        <v>EE10203|</v>
      </c>
      <c r="J70" t="str">
        <f t="shared" si="3"/>
        <v>SÍ</v>
      </c>
    </row>
    <row r="71" spans="1:10" ht="28.8" x14ac:dyDescent="0.3">
      <c r="A71" s="1" t="s">
        <v>138</v>
      </c>
      <c r="B71" s="1" t="s">
        <v>139</v>
      </c>
      <c r="C71" s="1"/>
      <c r="D71" s="22"/>
      <c r="E71" s="1" t="s">
        <v>10</v>
      </c>
      <c r="F71" s="3">
        <v>23000</v>
      </c>
      <c r="G71" s="1" t="s">
        <v>11</v>
      </c>
      <c r="H71" s="2"/>
      <c r="I71" t="str">
        <f t="shared" si="2"/>
        <v>EE10202|</v>
      </c>
      <c r="J71" t="str">
        <f t="shared" si="3"/>
        <v>SÍ</v>
      </c>
    </row>
    <row r="72" spans="1:10" ht="28.8" x14ac:dyDescent="0.3">
      <c r="A72" s="1" t="s">
        <v>140</v>
      </c>
      <c r="B72" s="1" t="s">
        <v>141</v>
      </c>
      <c r="C72" s="1" t="s">
        <v>91</v>
      </c>
      <c r="D72" s="22">
        <v>46261.414189814823</v>
      </c>
      <c r="E72" s="1" t="s">
        <v>10</v>
      </c>
      <c r="F72" s="3">
        <v>8800</v>
      </c>
      <c r="G72" s="1" t="s">
        <v>11</v>
      </c>
      <c r="H72" s="2"/>
      <c r="I72" t="str">
        <f t="shared" si="2"/>
        <v>EE10196|INFORME 01/25</v>
      </c>
      <c r="J72" t="str">
        <f t="shared" si="3"/>
        <v>SÍ</v>
      </c>
    </row>
    <row r="73" spans="1:10" ht="28.8" x14ac:dyDescent="0.3">
      <c r="A73" s="1" t="s">
        <v>142</v>
      </c>
      <c r="B73" s="1" t="s">
        <v>143</v>
      </c>
      <c r="C73" s="1" t="s">
        <v>67</v>
      </c>
      <c r="D73" s="22">
        <v>46265.371238425927</v>
      </c>
      <c r="E73" s="1" t="s">
        <v>10</v>
      </c>
      <c r="F73" s="3">
        <v>29.620200000000001</v>
      </c>
      <c r="G73" s="1" t="s">
        <v>40</v>
      </c>
      <c r="H73" s="2"/>
      <c r="I73" t="str">
        <f t="shared" si="2"/>
        <v>EE10044|INFORME 05/25</v>
      </c>
      <c r="J73" t="str">
        <f t="shared" si="3"/>
        <v>SÍ</v>
      </c>
    </row>
    <row r="74" spans="1:10" ht="28.8" x14ac:dyDescent="0.3">
      <c r="A74" s="1" t="s">
        <v>96</v>
      </c>
      <c r="B74" s="1" t="s">
        <v>97</v>
      </c>
      <c r="C74" s="1" t="s">
        <v>144</v>
      </c>
      <c r="D74" s="22">
        <v>46217.800046296303</v>
      </c>
      <c r="E74" s="1" t="s">
        <v>10</v>
      </c>
      <c r="F74" s="3">
        <v>398.92</v>
      </c>
      <c r="G74" s="1" t="s">
        <v>40</v>
      </c>
      <c r="H74" s="2"/>
      <c r="I74" t="str">
        <f t="shared" si="2"/>
        <v>EE10015|INFORME 19/25</v>
      </c>
      <c r="J74" t="str">
        <f t="shared" si="3"/>
        <v>SÍ</v>
      </c>
    </row>
    <row r="75" spans="1:10" ht="28.8" x14ac:dyDescent="0.3">
      <c r="A75" s="1" t="s">
        <v>145</v>
      </c>
      <c r="B75" s="1" t="s">
        <v>146</v>
      </c>
      <c r="C75" s="1" t="s">
        <v>91</v>
      </c>
      <c r="D75" s="22">
        <v>46248.805254629631</v>
      </c>
      <c r="E75" s="1" t="s">
        <v>10</v>
      </c>
      <c r="F75" s="3">
        <v>472.78399999999999</v>
      </c>
      <c r="G75" s="1" t="s">
        <v>40</v>
      </c>
      <c r="H75" s="2"/>
      <c r="I75" t="str">
        <f t="shared" si="2"/>
        <v>EE10045|INFORME 01/25</v>
      </c>
      <c r="J75" t="str">
        <f t="shared" si="3"/>
        <v>SÍ</v>
      </c>
    </row>
    <row r="76" spans="1:10" ht="28.8" x14ac:dyDescent="0.3">
      <c r="A76" s="1" t="s">
        <v>105</v>
      </c>
      <c r="B76" s="1" t="s">
        <v>106</v>
      </c>
      <c r="C76" s="1" t="s">
        <v>55</v>
      </c>
      <c r="D76" s="22">
        <v>46222.60800925926</v>
      </c>
      <c r="E76" s="1" t="s">
        <v>1634</v>
      </c>
      <c r="F76" s="3">
        <v>11.4</v>
      </c>
      <c r="G76" s="1" t="s">
        <v>40</v>
      </c>
      <c r="H76" s="2"/>
      <c r="I76" t="str">
        <f t="shared" si="2"/>
        <v>EE10128|INFORME 02/25</v>
      </c>
      <c r="J76" t="str">
        <f t="shared" si="3"/>
        <v>SÍ</v>
      </c>
    </row>
    <row r="77" spans="1:10" ht="28.8" x14ac:dyDescent="0.3">
      <c r="A77" s="1" t="s">
        <v>147</v>
      </c>
      <c r="B77" s="1" t="s">
        <v>148</v>
      </c>
      <c r="C77" s="1" t="s">
        <v>116</v>
      </c>
      <c r="D77" s="22">
        <v>46254.994131944448</v>
      </c>
      <c r="E77" s="1" t="s">
        <v>10</v>
      </c>
      <c r="F77" s="3">
        <v>1.369</v>
      </c>
      <c r="G77" s="1" t="s">
        <v>40</v>
      </c>
      <c r="H77" s="2"/>
      <c r="I77" t="str">
        <f t="shared" si="2"/>
        <v>EE10153|INFORME 16/25</v>
      </c>
      <c r="J77" t="str">
        <f t="shared" si="3"/>
        <v>SÍ</v>
      </c>
    </row>
    <row r="78" spans="1:10" ht="28.8" x14ac:dyDescent="0.3">
      <c r="A78" s="1" t="s">
        <v>149</v>
      </c>
      <c r="B78" s="1" t="s">
        <v>150</v>
      </c>
      <c r="C78" s="1" t="s">
        <v>127</v>
      </c>
      <c r="D78" s="22">
        <v>46255.99863425926</v>
      </c>
      <c r="E78" s="1" t="s">
        <v>10</v>
      </c>
      <c r="F78" s="3">
        <v>1483.25</v>
      </c>
      <c r="G78" s="1" t="s">
        <v>40</v>
      </c>
      <c r="H78" s="2"/>
      <c r="I78" t="str">
        <f t="shared" si="2"/>
        <v>EE10152|INFORME 09/25</v>
      </c>
      <c r="J78" t="str">
        <f t="shared" si="3"/>
        <v>SÍ</v>
      </c>
    </row>
    <row r="79" spans="1:10" ht="28.8" x14ac:dyDescent="0.3">
      <c r="A79" s="1" t="s">
        <v>76</v>
      </c>
      <c r="B79" s="1" t="s">
        <v>77</v>
      </c>
      <c r="C79" s="1" t="s">
        <v>119</v>
      </c>
      <c r="D79" s="22">
        <v>46157.470543981479</v>
      </c>
      <c r="E79" s="1" t="s">
        <v>10</v>
      </c>
      <c r="F79" s="3">
        <v>494.2</v>
      </c>
      <c r="G79" s="1" t="s">
        <v>40</v>
      </c>
      <c r="H79" s="2"/>
      <c r="I79" t="str">
        <f t="shared" si="2"/>
        <v>EE10158|INFORME 08/25</v>
      </c>
      <c r="J79" t="str">
        <f t="shared" si="3"/>
        <v>SÍ</v>
      </c>
    </row>
    <row r="80" spans="1:10" ht="28.8" x14ac:dyDescent="0.3">
      <c r="A80" s="1" t="s">
        <v>96</v>
      </c>
      <c r="B80" s="1" t="s">
        <v>97</v>
      </c>
      <c r="C80" s="1" t="s">
        <v>119</v>
      </c>
      <c r="D80" s="22">
        <v>46166.630219907413</v>
      </c>
      <c r="E80" s="1" t="s">
        <v>10</v>
      </c>
      <c r="F80" s="3">
        <v>236.61</v>
      </c>
      <c r="G80" s="1" t="s">
        <v>40</v>
      </c>
      <c r="H80" s="2"/>
      <c r="I80" t="str">
        <f t="shared" si="2"/>
        <v>EE10015|INFORME 08/25</v>
      </c>
      <c r="J80" t="str">
        <f t="shared" si="3"/>
        <v>SÍ</v>
      </c>
    </row>
    <row r="81" spans="1:10" ht="28.8" x14ac:dyDescent="0.3">
      <c r="A81" s="1" t="s">
        <v>151</v>
      </c>
      <c r="B81" s="1" t="s">
        <v>152</v>
      </c>
      <c r="C81" s="1" t="s">
        <v>88</v>
      </c>
      <c r="D81" s="22">
        <v>46262.640706018523</v>
      </c>
      <c r="E81" s="1" t="s">
        <v>10</v>
      </c>
      <c r="F81" s="3">
        <v>117.2068</v>
      </c>
      <c r="G81" s="1" t="s">
        <v>40</v>
      </c>
      <c r="H81" s="2"/>
      <c r="I81" t="str">
        <f t="shared" si="2"/>
        <v>EE10106|INFORME 07/25</v>
      </c>
      <c r="J81" t="str">
        <f t="shared" si="3"/>
        <v>SÍ</v>
      </c>
    </row>
    <row r="82" spans="1:10" ht="28.8" x14ac:dyDescent="0.3">
      <c r="A82" s="1" t="s">
        <v>149</v>
      </c>
      <c r="B82" s="1" t="s">
        <v>150</v>
      </c>
      <c r="C82" s="1" t="s">
        <v>85</v>
      </c>
      <c r="D82" s="22">
        <v>46271.410937499997</v>
      </c>
      <c r="E82" s="1" t="s">
        <v>10</v>
      </c>
      <c r="F82" s="3">
        <v>804.97</v>
      </c>
      <c r="G82" s="1" t="s">
        <v>40</v>
      </c>
      <c r="H82" s="2"/>
      <c r="I82" t="str">
        <f t="shared" si="2"/>
        <v>EE10152|INFORME 10/25</v>
      </c>
      <c r="J82" t="str">
        <f t="shared" si="3"/>
        <v>SÍ</v>
      </c>
    </row>
    <row r="83" spans="1:10" ht="28.8" x14ac:dyDescent="0.3">
      <c r="A83" s="1" t="s">
        <v>76</v>
      </c>
      <c r="B83" s="1" t="s">
        <v>77</v>
      </c>
      <c r="C83" s="1" t="s">
        <v>127</v>
      </c>
      <c r="D83" s="22">
        <v>46273.483715277784</v>
      </c>
      <c r="E83" s="1" t="s">
        <v>10</v>
      </c>
      <c r="F83" s="3">
        <v>1015.94</v>
      </c>
      <c r="G83" s="1" t="s">
        <v>40</v>
      </c>
      <c r="H83" s="2"/>
      <c r="I83" t="str">
        <f t="shared" si="2"/>
        <v>EE10158|INFORME 09/25</v>
      </c>
      <c r="J83" t="str">
        <f t="shared" si="3"/>
        <v>SÍ</v>
      </c>
    </row>
    <row r="84" spans="1:10" ht="28.8" x14ac:dyDescent="0.3">
      <c r="A84" s="1" t="s">
        <v>153</v>
      </c>
      <c r="B84" s="1" t="s">
        <v>154</v>
      </c>
      <c r="C84" s="1" t="s">
        <v>82</v>
      </c>
      <c r="D84" s="22">
        <v>46278.473611111112</v>
      </c>
      <c r="E84" s="1" t="s">
        <v>10</v>
      </c>
      <c r="F84" s="3">
        <v>230.42240000000001</v>
      </c>
      <c r="G84" s="1" t="s">
        <v>40</v>
      </c>
      <c r="H84" s="2"/>
      <c r="I84" t="str">
        <f t="shared" si="2"/>
        <v>EE10049|INFORME 06/25</v>
      </c>
      <c r="J84" t="str">
        <f t="shared" si="3"/>
        <v>SÍ</v>
      </c>
    </row>
    <row r="85" spans="1:10" ht="28.8" x14ac:dyDescent="0.3">
      <c r="A85" s="1" t="s">
        <v>155</v>
      </c>
      <c r="B85" s="1" t="s">
        <v>156</v>
      </c>
      <c r="C85" s="1" t="s">
        <v>157</v>
      </c>
      <c r="D85" s="22">
        <v>46295.590578703697</v>
      </c>
      <c r="E85" s="1" t="s">
        <v>10</v>
      </c>
      <c r="F85" s="3">
        <v>6300</v>
      </c>
      <c r="G85" s="1" t="s">
        <v>11</v>
      </c>
      <c r="H85" s="2"/>
      <c r="I85" t="str">
        <f t="shared" si="2"/>
        <v>EE10225|INFORME 100/25</v>
      </c>
      <c r="J85" t="str">
        <f t="shared" si="3"/>
        <v>SÍ</v>
      </c>
    </row>
    <row r="86" spans="1:10" ht="28.8" x14ac:dyDescent="0.3">
      <c r="A86" s="1" t="s">
        <v>158</v>
      </c>
      <c r="B86" s="1" t="s">
        <v>159</v>
      </c>
      <c r="C86" s="1" t="s">
        <v>122</v>
      </c>
      <c r="D86" s="22">
        <v>46286.916689814818</v>
      </c>
      <c r="E86" s="1" t="s">
        <v>10</v>
      </c>
      <c r="F86" s="3">
        <v>920</v>
      </c>
      <c r="G86" s="1" t="s">
        <v>40</v>
      </c>
      <c r="H86" s="2"/>
      <c r="I86" t="str">
        <f t="shared" si="2"/>
        <v>EE10217|INFORME 18/25</v>
      </c>
      <c r="J86" t="str">
        <f t="shared" si="3"/>
        <v>SÍ</v>
      </c>
    </row>
    <row r="87" spans="1:10" ht="28.8" x14ac:dyDescent="0.3">
      <c r="A87" s="1" t="s">
        <v>160</v>
      </c>
      <c r="B87" s="1" t="s">
        <v>161</v>
      </c>
      <c r="C87" s="1" t="s">
        <v>98</v>
      </c>
      <c r="D87" s="22">
        <v>46286.916539351849</v>
      </c>
      <c r="E87" s="1" t="s">
        <v>10</v>
      </c>
      <c r="F87" s="3">
        <v>965</v>
      </c>
      <c r="G87" s="1" t="s">
        <v>40</v>
      </c>
      <c r="H87" s="2"/>
      <c r="I87" t="str">
        <f t="shared" si="2"/>
        <v>EE10215|INFORME 13/25</v>
      </c>
      <c r="J87" t="str">
        <f t="shared" si="3"/>
        <v>SÍ</v>
      </c>
    </row>
    <row r="88" spans="1:10" ht="28.8" x14ac:dyDescent="0.3">
      <c r="A88" s="1" t="s">
        <v>162</v>
      </c>
      <c r="B88" s="1" t="s">
        <v>163</v>
      </c>
      <c r="C88" s="1" t="s">
        <v>119</v>
      </c>
      <c r="D88" s="22">
        <v>46289.751875000002</v>
      </c>
      <c r="E88" s="1" t="s">
        <v>10</v>
      </c>
      <c r="F88" s="3">
        <v>352.54939999999999</v>
      </c>
      <c r="G88" s="1" t="s">
        <v>40</v>
      </c>
      <c r="H88" s="2"/>
      <c r="I88" t="str">
        <f t="shared" si="2"/>
        <v>EE10105|INFORME 08/25</v>
      </c>
      <c r="J88" t="str">
        <f t="shared" si="3"/>
        <v>SÍ</v>
      </c>
    </row>
    <row r="89" spans="1:10" ht="28.8" x14ac:dyDescent="0.3">
      <c r="A89" s="1" t="s">
        <v>164</v>
      </c>
      <c r="B89" s="1" t="s">
        <v>165</v>
      </c>
      <c r="C89" s="1" t="s">
        <v>91</v>
      </c>
      <c r="D89" s="22">
        <v>46291.432569444441</v>
      </c>
      <c r="E89" s="1" t="s">
        <v>10</v>
      </c>
      <c r="F89" s="3">
        <v>115.79</v>
      </c>
      <c r="G89" s="1" t="s">
        <v>40</v>
      </c>
      <c r="H89" s="2"/>
      <c r="I89" t="str">
        <f t="shared" si="2"/>
        <v>EE10222|INFORME 01/25</v>
      </c>
      <c r="J89" t="str">
        <f t="shared" si="3"/>
        <v>SÍ</v>
      </c>
    </row>
    <row r="90" spans="1:10" ht="28.8" x14ac:dyDescent="0.3">
      <c r="A90" s="1" t="s">
        <v>166</v>
      </c>
      <c r="B90" s="1" t="s">
        <v>167</v>
      </c>
      <c r="C90" s="1" t="s">
        <v>168</v>
      </c>
      <c r="D90" s="22">
        <v>46291.436018518521</v>
      </c>
      <c r="E90" s="1" t="s">
        <v>10</v>
      </c>
      <c r="F90" s="3">
        <v>202.58099999999999</v>
      </c>
      <c r="G90" s="1" t="s">
        <v>40</v>
      </c>
      <c r="H90" s="2"/>
      <c r="I90" t="str">
        <f t="shared" si="2"/>
        <v>EE10183|INFORME 03/25</v>
      </c>
      <c r="J90" t="str">
        <f t="shared" si="3"/>
        <v>SÍ</v>
      </c>
    </row>
    <row r="91" spans="1:10" ht="28.8" x14ac:dyDescent="0.3">
      <c r="A91" s="1" t="s">
        <v>169</v>
      </c>
      <c r="B91" s="1" t="s">
        <v>170</v>
      </c>
      <c r="C91" s="1" t="s">
        <v>171</v>
      </c>
      <c r="D91" s="22">
        <v>46276.659687500003</v>
      </c>
      <c r="E91" s="1" t="s">
        <v>10</v>
      </c>
      <c r="F91" s="3">
        <v>478.68</v>
      </c>
      <c r="G91" s="1" t="s">
        <v>40</v>
      </c>
      <c r="H91" s="2"/>
      <c r="I91" t="str">
        <f t="shared" si="2"/>
        <v>EE10139|INFORME 11/25</v>
      </c>
      <c r="J91" t="str">
        <f t="shared" si="3"/>
        <v>SÍ</v>
      </c>
    </row>
    <row r="92" spans="1:10" ht="28.8" x14ac:dyDescent="0.3">
      <c r="A92" s="1" t="s">
        <v>120</v>
      </c>
      <c r="B92" s="1" t="s">
        <v>121</v>
      </c>
      <c r="C92" s="1" t="s">
        <v>168</v>
      </c>
      <c r="D92" s="22">
        <v>46278.661689814813</v>
      </c>
      <c r="E92" s="1" t="s">
        <v>10</v>
      </c>
      <c r="F92" s="3">
        <v>1986.72</v>
      </c>
      <c r="G92" s="1" t="s">
        <v>40</v>
      </c>
      <c r="H92" s="2"/>
      <c r="I92" t="str">
        <f t="shared" si="2"/>
        <v>EE10131|INFORME 03/25</v>
      </c>
      <c r="J92" t="str">
        <f t="shared" si="3"/>
        <v>SÍ</v>
      </c>
    </row>
    <row r="93" spans="1:10" ht="28.8" x14ac:dyDescent="0.3">
      <c r="A93" s="1" t="s">
        <v>172</v>
      </c>
      <c r="B93" s="1" t="s">
        <v>173</v>
      </c>
      <c r="C93" s="1" t="s">
        <v>174</v>
      </c>
      <c r="D93" s="22">
        <v>46274.663113425922</v>
      </c>
      <c r="E93" s="1" t="s">
        <v>10</v>
      </c>
      <c r="F93" s="3">
        <v>73</v>
      </c>
      <c r="G93" s="1" t="s">
        <v>40</v>
      </c>
      <c r="H93" s="2"/>
      <c r="I93" t="str">
        <f t="shared" si="2"/>
        <v>MP10055|INFORME 24/25</v>
      </c>
      <c r="J93" t="str">
        <f t="shared" si="3"/>
        <v>SÍ</v>
      </c>
    </row>
    <row r="94" spans="1:10" ht="28.8" x14ac:dyDescent="0.3">
      <c r="A94" s="1" t="s">
        <v>175</v>
      </c>
      <c r="B94" s="1" t="s">
        <v>176</v>
      </c>
      <c r="C94" s="1" t="s">
        <v>67</v>
      </c>
      <c r="D94" s="22">
        <v>46295.670254629629</v>
      </c>
      <c r="E94" s="1" t="s">
        <v>10</v>
      </c>
      <c r="F94" s="3">
        <v>505</v>
      </c>
      <c r="G94" s="1" t="s">
        <v>11</v>
      </c>
      <c r="H94" s="2"/>
      <c r="I94" t="str">
        <f t="shared" si="2"/>
        <v>EE10150|INFORME 05/25</v>
      </c>
      <c r="J94" t="str">
        <f t="shared" si="3"/>
        <v>SÍ</v>
      </c>
    </row>
    <row r="95" spans="1:10" ht="28.8" x14ac:dyDescent="0.3">
      <c r="A95" s="1" t="s">
        <v>105</v>
      </c>
      <c r="B95" s="1" t="s">
        <v>106</v>
      </c>
      <c r="C95" s="1" t="s">
        <v>168</v>
      </c>
      <c r="D95" s="22">
        <v>46275.701215277782</v>
      </c>
      <c r="E95" s="1" t="s">
        <v>10</v>
      </c>
      <c r="F95" s="3">
        <v>1224.82</v>
      </c>
      <c r="G95" s="1" t="s">
        <v>40</v>
      </c>
      <c r="H95" s="2"/>
      <c r="I95" t="str">
        <f t="shared" si="2"/>
        <v>EE10128|INFORME 03/25</v>
      </c>
      <c r="J95" t="str">
        <f t="shared" si="3"/>
        <v>SÍ</v>
      </c>
    </row>
    <row r="96" spans="1:10" ht="28.8" x14ac:dyDescent="0.3">
      <c r="A96" s="1" t="s">
        <v>180</v>
      </c>
      <c r="B96" s="1" t="s">
        <v>181</v>
      </c>
      <c r="C96" s="1" t="s">
        <v>168</v>
      </c>
      <c r="D96" s="22">
        <v>46285.525810185187</v>
      </c>
      <c r="E96" s="1" t="s">
        <v>10</v>
      </c>
      <c r="F96" s="3">
        <v>162.554</v>
      </c>
      <c r="G96" s="1" t="s">
        <v>40</v>
      </c>
      <c r="H96" s="2"/>
      <c r="I96" t="str">
        <f t="shared" si="2"/>
        <v>EE10136|INFORME 03/25</v>
      </c>
      <c r="J96" t="str">
        <f t="shared" si="3"/>
        <v>SÍ</v>
      </c>
    </row>
    <row r="97" spans="1:10" ht="28.8" x14ac:dyDescent="0.3">
      <c r="A97" s="1" t="s">
        <v>182</v>
      </c>
      <c r="B97" s="1" t="s">
        <v>183</v>
      </c>
      <c r="C97" s="1" t="s">
        <v>82</v>
      </c>
      <c r="D97" s="22">
        <v>46283.460787037038</v>
      </c>
      <c r="E97" s="1" t="s">
        <v>10</v>
      </c>
      <c r="F97" s="3">
        <v>292.88240000000002</v>
      </c>
      <c r="G97" s="1" t="s">
        <v>40</v>
      </c>
      <c r="H97" s="2"/>
      <c r="I97" t="str">
        <f t="shared" si="2"/>
        <v>EE10116|INFORME 06/25</v>
      </c>
      <c r="J97" t="str">
        <f t="shared" si="3"/>
        <v>SÍ</v>
      </c>
    </row>
    <row r="98" spans="1:10" ht="28.8" x14ac:dyDescent="0.3">
      <c r="A98" s="1" t="s">
        <v>184</v>
      </c>
      <c r="B98" s="1" t="s">
        <v>185</v>
      </c>
      <c r="C98" s="1" t="s">
        <v>119</v>
      </c>
      <c r="D98" s="22">
        <v>46289.464201388888</v>
      </c>
      <c r="E98" s="1" t="s">
        <v>10</v>
      </c>
      <c r="F98" s="3">
        <v>831.40300000000002</v>
      </c>
      <c r="G98" s="1" t="s">
        <v>40</v>
      </c>
      <c r="H98" s="2"/>
      <c r="I98" t="str">
        <f t="shared" si="2"/>
        <v>EE10124|INFORME 08/25</v>
      </c>
      <c r="J98" t="str">
        <f t="shared" si="3"/>
        <v>SÍ</v>
      </c>
    </row>
    <row r="99" spans="1:10" ht="28.8" x14ac:dyDescent="0.3">
      <c r="A99" s="1" t="s">
        <v>186</v>
      </c>
      <c r="B99" s="1" t="s">
        <v>187</v>
      </c>
      <c r="C99" s="1" t="s">
        <v>127</v>
      </c>
      <c r="D99" s="22">
        <v>46309.823680555557</v>
      </c>
      <c r="E99" s="1" t="s">
        <v>10</v>
      </c>
      <c r="F99" s="3">
        <v>136</v>
      </c>
      <c r="G99" s="1" t="s">
        <v>40</v>
      </c>
      <c r="H99" s="2"/>
      <c r="I99" t="str">
        <f t="shared" si="2"/>
        <v>EE10214|INFORME 09/25</v>
      </c>
      <c r="J99" t="str">
        <f t="shared" si="3"/>
        <v>SÍ</v>
      </c>
    </row>
    <row r="100" spans="1:10" ht="28.8" x14ac:dyDescent="0.3">
      <c r="A100" s="1" t="s">
        <v>188</v>
      </c>
      <c r="B100" s="1" t="s">
        <v>189</v>
      </c>
      <c r="C100" s="1" t="s">
        <v>55</v>
      </c>
      <c r="D100" s="22">
        <v>46263.031168981477</v>
      </c>
      <c r="E100" s="1" t="s">
        <v>10</v>
      </c>
      <c r="F100" s="3">
        <v>318.18200000000002</v>
      </c>
      <c r="G100" s="1" t="s">
        <v>40</v>
      </c>
      <c r="H100" s="2"/>
      <c r="I100" t="str">
        <f t="shared" si="2"/>
        <v>EE10149|INFORME 02/25</v>
      </c>
      <c r="J100" t="str">
        <f t="shared" si="3"/>
        <v>SÍ</v>
      </c>
    </row>
    <row r="101" spans="1:10" ht="28.8" x14ac:dyDescent="0.3">
      <c r="A101" s="1" t="s">
        <v>190</v>
      </c>
      <c r="B101" s="1" t="s">
        <v>191</v>
      </c>
      <c r="C101" s="1"/>
      <c r="D101" s="22"/>
      <c r="E101" s="1" t="s">
        <v>10</v>
      </c>
      <c r="F101" s="3">
        <v>647</v>
      </c>
      <c r="G101" s="1" t="s">
        <v>11</v>
      </c>
      <c r="H101" s="2"/>
      <c r="I101" t="str">
        <f t="shared" si="2"/>
        <v>EE10099|</v>
      </c>
      <c r="J101" t="str">
        <f t="shared" si="3"/>
        <v>SÍ</v>
      </c>
    </row>
    <row r="102" spans="1:10" ht="28.8" x14ac:dyDescent="0.3">
      <c r="A102" s="1" t="s">
        <v>192</v>
      </c>
      <c r="B102" s="1" t="s">
        <v>193</v>
      </c>
      <c r="C102" s="1" t="s">
        <v>91</v>
      </c>
      <c r="D102" s="22">
        <v>46311.382928240739</v>
      </c>
      <c r="E102" s="1" t="s">
        <v>10</v>
      </c>
      <c r="F102" s="3">
        <v>33.702599999999997</v>
      </c>
      <c r="G102" s="1" t="s">
        <v>40</v>
      </c>
      <c r="H102" s="2"/>
      <c r="I102" t="str">
        <f t="shared" si="2"/>
        <v>EE10127|INFORME 01/25</v>
      </c>
      <c r="J102" t="str">
        <f t="shared" si="3"/>
        <v>SÍ</v>
      </c>
    </row>
    <row r="103" spans="1:10" ht="28.8" x14ac:dyDescent="0.3">
      <c r="A103" s="1" t="s">
        <v>194</v>
      </c>
      <c r="B103" s="1" t="s">
        <v>195</v>
      </c>
      <c r="C103" s="1" t="s">
        <v>98</v>
      </c>
      <c r="D103" s="22">
        <v>46323.752175925933</v>
      </c>
      <c r="E103" s="1" t="s">
        <v>10</v>
      </c>
      <c r="F103" s="3">
        <v>106</v>
      </c>
      <c r="G103" s="1" t="s">
        <v>40</v>
      </c>
      <c r="H103" s="2"/>
      <c r="I103" t="str">
        <f t="shared" si="2"/>
        <v>EE10184|INFORME 13/25</v>
      </c>
      <c r="J103" t="str">
        <f t="shared" si="3"/>
        <v>SÍ</v>
      </c>
    </row>
    <row r="104" spans="1:10" ht="28.8" x14ac:dyDescent="0.3">
      <c r="A104" s="1" t="s">
        <v>125</v>
      </c>
      <c r="B104" s="1" t="s">
        <v>126</v>
      </c>
      <c r="C104" s="1" t="s">
        <v>127</v>
      </c>
      <c r="D104" s="22">
        <v>46201.567754629628</v>
      </c>
      <c r="E104" s="1" t="s">
        <v>10</v>
      </c>
      <c r="F104" s="3">
        <v>9.48</v>
      </c>
      <c r="G104" s="1" t="s">
        <v>40</v>
      </c>
      <c r="H104" s="2"/>
      <c r="I104" t="str">
        <f t="shared" si="2"/>
        <v>EE10187|INFORME 09/25</v>
      </c>
      <c r="J104" t="str">
        <f t="shared" si="3"/>
        <v>SÍ</v>
      </c>
    </row>
    <row r="105" spans="1:10" ht="28.8" x14ac:dyDescent="0.3">
      <c r="A105" s="1" t="s">
        <v>196</v>
      </c>
      <c r="B105" s="1" t="s">
        <v>197</v>
      </c>
      <c r="C105" s="1" t="s">
        <v>82</v>
      </c>
      <c r="D105" s="22">
        <v>46326.55777777778</v>
      </c>
      <c r="E105" s="1" t="s">
        <v>10</v>
      </c>
      <c r="F105" s="3">
        <v>345.70679999999999</v>
      </c>
      <c r="G105" s="1" t="s">
        <v>40</v>
      </c>
      <c r="H105" s="2"/>
      <c r="I105" t="str">
        <f t="shared" si="2"/>
        <v>EE10043|INFORME 06/25</v>
      </c>
      <c r="J105" t="str">
        <f t="shared" si="3"/>
        <v>SÍ</v>
      </c>
    </row>
    <row r="106" spans="1:10" ht="28.8" x14ac:dyDescent="0.3">
      <c r="A106" s="1" t="s">
        <v>198</v>
      </c>
      <c r="B106" s="1" t="s">
        <v>199</v>
      </c>
      <c r="C106" s="1" t="s">
        <v>168</v>
      </c>
      <c r="D106" s="22">
        <v>46326.557453703703</v>
      </c>
      <c r="E106" s="1" t="s">
        <v>10</v>
      </c>
      <c r="F106" s="3">
        <v>338.642</v>
      </c>
      <c r="G106" s="1" t="s">
        <v>40</v>
      </c>
      <c r="H106" s="2"/>
      <c r="I106" t="str">
        <f t="shared" si="2"/>
        <v>EE10040|INFORME 03/25</v>
      </c>
      <c r="J106" t="str">
        <f t="shared" si="3"/>
        <v>SÍ</v>
      </c>
    </row>
    <row r="107" spans="1:10" ht="43.2" x14ac:dyDescent="0.3">
      <c r="A107" s="1" t="s">
        <v>200</v>
      </c>
      <c r="B107" s="1" t="s">
        <v>201</v>
      </c>
      <c r="C107" s="1" t="s">
        <v>202</v>
      </c>
      <c r="D107" s="22">
        <v>46356.856828703712</v>
      </c>
      <c r="E107" s="1" t="s">
        <v>10</v>
      </c>
      <c r="F107" s="3">
        <v>25076</v>
      </c>
      <c r="G107" s="1" t="s">
        <v>11</v>
      </c>
      <c r="H107" s="2"/>
      <c r="I107" t="str">
        <f t="shared" si="2"/>
        <v>EE10149-1|INFORME 20/25</v>
      </c>
      <c r="J107" t="str">
        <f t="shared" si="3"/>
        <v>SÍ</v>
      </c>
    </row>
    <row r="108" spans="1:10" ht="28.8" x14ac:dyDescent="0.3">
      <c r="A108" s="1" t="s">
        <v>203</v>
      </c>
      <c r="B108" s="1" t="s">
        <v>204</v>
      </c>
      <c r="C108" s="1" t="s">
        <v>55</v>
      </c>
      <c r="D108" s="22">
        <v>46323.676724537043</v>
      </c>
      <c r="E108" s="1" t="s">
        <v>10</v>
      </c>
      <c r="F108" s="3">
        <v>568.44000000000005</v>
      </c>
      <c r="G108" s="1" t="s">
        <v>40</v>
      </c>
      <c r="H108" s="2"/>
      <c r="I108" t="str">
        <f t="shared" si="2"/>
        <v>EE10223|INFORME 02/25</v>
      </c>
      <c r="J108" t="str">
        <f t="shared" si="3"/>
        <v>SÍ</v>
      </c>
    </row>
    <row r="109" spans="1:10" ht="28.8" x14ac:dyDescent="0.3">
      <c r="A109" s="1" t="s">
        <v>205</v>
      </c>
      <c r="B109" s="1" t="s">
        <v>206</v>
      </c>
      <c r="C109" s="1" t="s">
        <v>98</v>
      </c>
      <c r="D109" s="22">
        <v>46330.411122685182</v>
      </c>
      <c r="E109" s="1" t="s">
        <v>10</v>
      </c>
      <c r="F109" s="3">
        <v>428.27</v>
      </c>
      <c r="G109" s="1" t="s">
        <v>40</v>
      </c>
      <c r="H109" s="2"/>
      <c r="I109" t="str">
        <f t="shared" si="2"/>
        <v>EE10117|INFORME 13/25</v>
      </c>
      <c r="J109" t="str">
        <f t="shared" si="3"/>
        <v>SÍ</v>
      </c>
    </row>
    <row r="110" spans="1:10" ht="28.8" x14ac:dyDescent="0.3">
      <c r="A110" s="1" t="s">
        <v>207</v>
      </c>
      <c r="B110" s="1" t="s">
        <v>208</v>
      </c>
      <c r="C110" s="1" t="s">
        <v>209</v>
      </c>
      <c r="D110" s="22">
        <v>46295.59033564815</v>
      </c>
      <c r="E110" s="1" t="s">
        <v>10</v>
      </c>
      <c r="F110" s="3">
        <v>2875</v>
      </c>
      <c r="G110" s="1" t="s">
        <v>11</v>
      </c>
      <c r="H110" s="2"/>
      <c r="I110" t="str">
        <f t="shared" si="2"/>
        <v>EE10224|INFORME 99/25</v>
      </c>
      <c r="J110" t="str">
        <f t="shared" si="3"/>
        <v>SÍ</v>
      </c>
    </row>
    <row r="111" spans="1:10" ht="28.8" x14ac:dyDescent="0.3">
      <c r="A111" s="1" t="s">
        <v>210</v>
      </c>
      <c r="B111" s="1" t="s">
        <v>211</v>
      </c>
      <c r="C111" s="1" t="s">
        <v>212</v>
      </c>
      <c r="D111" s="22">
        <v>46699.581805555557</v>
      </c>
      <c r="E111" s="1" t="s">
        <v>10</v>
      </c>
      <c r="F111" s="3">
        <v>3550</v>
      </c>
      <c r="G111" s="1" t="s">
        <v>11</v>
      </c>
      <c r="H111" s="2"/>
      <c r="I111" t="str">
        <f t="shared" si="2"/>
        <v>EE10242|INFORME 116/25</v>
      </c>
      <c r="J111" t="str">
        <f t="shared" si="3"/>
        <v>SÍ</v>
      </c>
    </row>
    <row r="112" spans="1:10" ht="28.8" x14ac:dyDescent="0.3">
      <c r="A112" s="1" t="s">
        <v>213</v>
      </c>
      <c r="B112" s="1" t="s">
        <v>214</v>
      </c>
      <c r="C112" s="1" t="s">
        <v>215</v>
      </c>
      <c r="D112" s="22">
        <v>46699.581956018519</v>
      </c>
      <c r="E112" s="1" t="s">
        <v>10</v>
      </c>
      <c r="F112" s="3">
        <v>4500</v>
      </c>
      <c r="G112" s="1" t="s">
        <v>11</v>
      </c>
      <c r="H112" s="2"/>
      <c r="I112" t="str">
        <f t="shared" si="2"/>
        <v>EE10197|INFORME 117/25</v>
      </c>
      <c r="J112" t="str">
        <f t="shared" si="3"/>
        <v>SÍ</v>
      </c>
    </row>
    <row r="113" spans="1:10" ht="28.8" x14ac:dyDescent="0.3">
      <c r="A113" s="1" t="s">
        <v>188</v>
      </c>
      <c r="B113" s="1" t="s">
        <v>189</v>
      </c>
      <c r="C113" s="1" t="s">
        <v>55</v>
      </c>
      <c r="D113" s="22">
        <v>46263.031168981477</v>
      </c>
      <c r="E113" s="1" t="s">
        <v>1634</v>
      </c>
      <c r="F113" s="3">
        <v>37.729999999999997</v>
      </c>
      <c r="G113" s="1" t="s">
        <v>40</v>
      </c>
      <c r="H113" s="2"/>
      <c r="I113" t="str">
        <f t="shared" si="2"/>
        <v>EE10149|INFORME 02/25</v>
      </c>
      <c r="J113" t="str">
        <f t="shared" si="3"/>
        <v>SÍ</v>
      </c>
    </row>
    <row r="114" spans="1:10" ht="28.8" x14ac:dyDescent="0.3">
      <c r="A114" s="1" t="s">
        <v>304</v>
      </c>
      <c r="B114" s="1" t="s">
        <v>305</v>
      </c>
      <c r="C114" s="1" t="s">
        <v>104</v>
      </c>
      <c r="D114" s="22">
        <v>46332.701064814813</v>
      </c>
      <c r="E114" s="1" t="s">
        <v>1634</v>
      </c>
      <c r="F114" s="3">
        <v>21.6</v>
      </c>
      <c r="G114" s="1" t="s">
        <v>40</v>
      </c>
      <c r="H114" s="2"/>
      <c r="I114" t="str">
        <f t="shared" si="2"/>
        <v>EE10047|INFORME 17/25</v>
      </c>
      <c r="J114" t="str">
        <f t="shared" si="3"/>
        <v>SÍ</v>
      </c>
    </row>
    <row r="115" spans="1:10" ht="28.8" x14ac:dyDescent="0.3">
      <c r="A115" s="1" t="s">
        <v>188</v>
      </c>
      <c r="B115" s="1" t="s">
        <v>189</v>
      </c>
      <c r="C115" s="1" t="s">
        <v>78</v>
      </c>
      <c r="D115" s="22">
        <v>46197.475451388891</v>
      </c>
      <c r="E115" s="1" t="s">
        <v>10</v>
      </c>
      <c r="F115" s="3">
        <v>1534.38</v>
      </c>
      <c r="G115" s="1" t="s">
        <v>40</v>
      </c>
      <c r="H115" s="2"/>
      <c r="I115" t="str">
        <f t="shared" si="2"/>
        <v>EE10149|INFORME 04/25</v>
      </c>
      <c r="J115" t="str">
        <f t="shared" si="3"/>
        <v>SÍ</v>
      </c>
    </row>
    <row r="116" spans="1:10" ht="28.8" x14ac:dyDescent="0.3">
      <c r="A116" s="1" t="s">
        <v>216</v>
      </c>
      <c r="B116" s="1" t="s">
        <v>217</v>
      </c>
      <c r="C116" s="1" t="s">
        <v>88</v>
      </c>
      <c r="D116" s="22">
        <v>46339.611493055563</v>
      </c>
      <c r="E116" s="1" t="s">
        <v>10</v>
      </c>
      <c r="F116" s="3">
        <v>38.286000000000001</v>
      </c>
      <c r="G116" s="1" t="s">
        <v>40</v>
      </c>
      <c r="H116" s="2"/>
      <c r="I116" t="str">
        <f t="shared" si="2"/>
        <v>EE10145|INFORME 07/25</v>
      </c>
      <c r="J116" t="str">
        <f t="shared" si="3"/>
        <v>SÍ</v>
      </c>
    </row>
    <row r="117" spans="1:10" x14ac:dyDescent="0.3">
      <c r="A117" s="1" t="s">
        <v>218</v>
      </c>
      <c r="B117" s="1" t="s">
        <v>219</v>
      </c>
      <c r="C117" s="1" t="s">
        <v>67</v>
      </c>
      <c r="D117" s="22">
        <v>46618.760555555556</v>
      </c>
      <c r="E117" s="1" t="s">
        <v>10</v>
      </c>
      <c r="F117" s="3">
        <v>476.892</v>
      </c>
      <c r="G117" s="1" t="s">
        <v>40</v>
      </c>
      <c r="H117" s="2"/>
      <c r="I117" t="str">
        <f t="shared" si="2"/>
        <v>MP10018|INFORME 05/25</v>
      </c>
      <c r="J117" t="str">
        <f t="shared" si="3"/>
        <v>SÍ</v>
      </c>
    </row>
    <row r="118" spans="1:10" ht="28.8" x14ac:dyDescent="0.3">
      <c r="A118" s="1" t="s">
        <v>220</v>
      </c>
      <c r="B118" s="1" t="s">
        <v>221</v>
      </c>
      <c r="C118" s="1" t="s">
        <v>222</v>
      </c>
      <c r="D118" s="22">
        <v>46346.783888888887</v>
      </c>
      <c r="E118" s="1" t="s">
        <v>10</v>
      </c>
      <c r="F118" s="3">
        <v>3000</v>
      </c>
      <c r="G118" s="1" t="s">
        <v>11</v>
      </c>
      <c r="H118" s="2"/>
      <c r="I118" t="str">
        <f t="shared" si="2"/>
        <v>EE10245|INFORME 119/25</v>
      </c>
      <c r="J118" t="str">
        <f t="shared" si="3"/>
        <v>SÍ</v>
      </c>
    </row>
    <row r="119" spans="1:10" ht="28.8" x14ac:dyDescent="0.3">
      <c r="A119" s="1" t="s">
        <v>223</v>
      </c>
      <c r="B119" s="1" t="s">
        <v>224</v>
      </c>
      <c r="C119" s="1" t="s">
        <v>225</v>
      </c>
      <c r="D119" s="22">
        <v>46260.535520833328</v>
      </c>
      <c r="E119" s="1" t="s">
        <v>10</v>
      </c>
      <c r="F119" s="3">
        <v>2000</v>
      </c>
      <c r="G119" s="1" t="s">
        <v>11</v>
      </c>
      <c r="H119" s="2"/>
      <c r="I119" t="str">
        <f t="shared" si="2"/>
        <v>EE10006|INFORME 42</v>
      </c>
      <c r="J119" t="str">
        <f t="shared" si="3"/>
        <v>SÍ</v>
      </c>
    </row>
    <row r="120" spans="1:10" ht="28.8" x14ac:dyDescent="0.3">
      <c r="A120" s="1" t="s">
        <v>226</v>
      </c>
      <c r="B120" s="1" t="s">
        <v>227</v>
      </c>
      <c r="C120" s="1" t="s">
        <v>70</v>
      </c>
      <c r="D120" s="22"/>
      <c r="E120" s="1" t="s">
        <v>10</v>
      </c>
      <c r="F120" s="3">
        <v>16</v>
      </c>
      <c r="G120" s="1" t="s">
        <v>228</v>
      </c>
      <c r="H120" s="2"/>
      <c r="I120" t="str">
        <f t="shared" si="2"/>
        <v>EE10161|LT-SF-AGR</v>
      </c>
      <c r="J120" t="str">
        <f t="shared" si="3"/>
        <v>SÍ</v>
      </c>
    </row>
    <row r="121" spans="1:10" ht="28.8" x14ac:dyDescent="0.3">
      <c r="A121" s="1" t="s">
        <v>229</v>
      </c>
      <c r="B121" s="1" t="s">
        <v>230</v>
      </c>
      <c r="C121" s="1" t="s">
        <v>168</v>
      </c>
      <c r="D121" s="22"/>
      <c r="E121" s="1" t="s">
        <v>10</v>
      </c>
      <c r="F121" s="3">
        <v>0.03</v>
      </c>
      <c r="G121" s="1" t="s">
        <v>40</v>
      </c>
      <c r="H121" s="2"/>
      <c r="I121" t="str">
        <f t="shared" si="2"/>
        <v>EE10053|INFORME 03/25</v>
      </c>
      <c r="J121" t="str">
        <f t="shared" si="3"/>
        <v>SÍ</v>
      </c>
    </row>
    <row r="122" spans="1:10" ht="28.8" x14ac:dyDescent="0.3">
      <c r="A122" s="1" t="s">
        <v>231</v>
      </c>
      <c r="B122" s="1" t="s">
        <v>232</v>
      </c>
      <c r="C122" s="1" t="s">
        <v>127</v>
      </c>
      <c r="D122" s="22">
        <v>46286.912106481483</v>
      </c>
      <c r="E122" s="1" t="s">
        <v>10</v>
      </c>
      <c r="F122" s="3">
        <v>630.11670000000004</v>
      </c>
      <c r="G122" s="1" t="s">
        <v>40</v>
      </c>
      <c r="H122" s="2"/>
      <c r="I122" t="str">
        <f t="shared" si="2"/>
        <v>MP10048|INFORME 09/25</v>
      </c>
      <c r="J122" t="str">
        <f t="shared" si="3"/>
        <v>SÍ</v>
      </c>
    </row>
    <row r="123" spans="1:10" ht="28.8" x14ac:dyDescent="0.3">
      <c r="A123" s="1" t="s">
        <v>233</v>
      </c>
      <c r="B123" s="1" t="s">
        <v>234</v>
      </c>
      <c r="C123" s="1"/>
      <c r="D123" s="22"/>
      <c r="E123" s="1" t="s">
        <v>10</v>
      </c>
      <c r="F123" s="3">
        <v>276</v>
      </c>
      <c r="G123" s="1" t="s">
        <v>11</v>
      </c>
      <c r="H123" s="2"/>
      <c r="I123" t="str">
        <f t="shared" si="2"/>
        <v>EE10077|</v>
      </c>
      <c r="J123" t="str">
        <f t="shared" si="3"/>
        <v>SÍ</v>
      </c>
    </row>
    <row r="124" spans="1:10" ht="28.8" x14ac:dyDescent="0.3">
      <c r="A124" s="1" t="s">
        <v>188</v>
      </c>
      <c r="B124" s="1" t="s">
        <v>189</v>
      </c>
      <c r="C124" s="1" t="s">
        <v>82</v>
      </c>
      <c r="D124" s="22">
        <v>46333.388425925928</v>
      </c>
      <c r="E124" s="1" t="s">
        <v>10</v>
      </c>
      <c r="F124" s="3">
        <v>1556.97</v>
      </c>
      <c r="G124" s="1" t="s">
        <v>40</v>
      </c>
      <c r="H124" s="2"/>
      <c r="I124" t="str">
        <f t="shared" si="2"/>
        <v>EE10149|INFORME 06/25</v>
      </c>
      <c r="J124" t="str">
        <f t="shared" si="3"/>
        <v>SÍ</v>
      </c>
    </row>
    <row r="125" spans="1:10" ht="28.8" x14ac:dyDescent="0.3">
      <c r="A125" s="1" t="s">
        <v>7</v>
      </c>
      <c r="B125" s="1" t="s">
        <v>8</v>
      </c>
      <c r="C125" s="1" t="s">
        <v>116</v>
      </c>
      <c r="D125" s="22">
        <v>46752.991597222222</v>
      </c>
      <c r="E125" s="1" t="s">
        <v>10</v>
      </c>
      <c r="F125" s="3">
        <v>3070</v>
      </c>
      <c r="G125" s="1" t="s">
        <v>11</v>
      </c>
      <c r="H125" s="2"/>
      <c r="I125" t="str">
        <f t="shared" si="2"/>
        <v>EE10005|INFORME 16/25</v>
      </c>
      <c r="J125" t="str">
        <f t="shared" si="3"/>
        <v>SÍ</v>
      </c>
    </row>
    <row r="126" spans="1:10" ht="28.8" x14ac:dyDescent="0.3">
      <c r="A126" s="1" t="s">
        <v>235</v>
      </c>
      <c r="B126" s="1" t="s">
        <v>236</v>
      </c>
      <c r="C126" s="1" t="s">
        <v>237</v>
      </c>
      <c r="D126" s="22">
        <v>46305.841331018521</v>
      </c>
      <c r="E126" s="1" t="s">
        <v>10</v>
      </c>
      <c r="F126" s="3">
        <v>341</v>
      </c>
      <c r="G126" s="1" t="s">
        <v>11</v>
      </c>
      <c r="H126" s="2"/>
      <c r="I126" t="str">
        <f t="shared" si="2"/>
        <v>EE10239|INFORME 114/25</v>
      </c>
      <c r="J126" t="str">
        <f t="shared" si="3"/>
        <v>SÍ</v>
      </c>
    </row>
    <row r="127" spans="1:10" ht="43.2" x14ac:dyDescent="0.3">
      <c r="A127" s="1" t="s">
        <v>238</v>
      </c>
      <c r="B127" s="1" t="s">
        <v>239</v>
      </c>
      <c r="C127" s="1" t="s">
        <v>240</v>
      </c>
      <c r="D127" s="22">
        <v>46387.655439814807</v>
      </c>
      <c r="E127" s="1" t="s">
        <v>10</v>
      </c>
      <c r="F127" s="3">
        <v>16400</v>
      </c>
      <c r="G127" s="1" t="s">
        <v>11</v>
      </c>
      <c r="H127" s="2"/>
      <c r="I127" t="str">
        <f t="shared" si="2"/>
        <v>EE10227|INFORME 01</v>
      </c>
      <c r="J127" t="str">
        <f t="shared" si="3"/>
        <v>SÍ</v>
      </c>
    </row>
    <row r="128" spans="1:10" ht="28.8" x14ac:dyDescent="0.3">
      <c r="A128" s="1" t="s">
        <v>241</v>
      </c>
      <c r="B128" s="1" t="s">
        <v>242</v>
      </c>
      <c r="C128" s="1" t="s">
        <v>91</v>
      </c>
      <c r="D128" s="22">
        <v>46355.695983796293</v>
      </c>
      <c r="E128" s="1" t="s">
        <v>10</v>
      </c>
      <c r="F128" s="3">
        <v>19.087</v>
      </c>
      <c r="G128" s="1" t="s">
        <v>40</v>
      </c>
      <c r="H128" s="2"/>
      <c r="I128" t="str">
        <f t="shared" si="2"/>
        <v>EE10228|INFORME 01/25</v>
      </c>
      <c r="J128" t="str">
        <f t="shared" si="3"/>
        <v>SÍ</v>
      </c>
    </row>
    <row r="129" spans="1:10" ht="28.8" x14ac:dyDescent="0.3">
      <c r="A129" s="1" t="s">
        <v>243</v>
      </c>
      <c r="B129" s="1" t="s">
        <v>244</v>
      </c>
      <c r="C129" s="1" t="s">
        <v>91</v>
      </c>
      <c r="D129" s="22">
        <v>46355.697604166657</v>
      </c>
      <c r="E129" s="1" t="s">
        <v>10</v>
      </c>
      <c r="F129" s="3">
        <v>119.5</v>
      </c>
      <c r="G129" s="1" t="s">
        <v>40</v>
      </c>
      <c r="H129" s="2"/>
      <c r="I129" t="str">
        <f t="shared" si="2"/>
        <v>EE10231|INFORME 01/25</v>
      </c>
      <c r="J129" t="str">
        <f t="shared" si="3"/>
        <v>SÍ</v>
      </c>
    </row>
    <row r="130" spans="1:10" ht="28.8" x14ac:dyDescent="0.3">
      <c r="A130" s="1" t="s">
        <v>375</v>
      </c>
      <c r="B130" s="1" t="s">
        <v>376</v>
      </c>
      <c r="C130" s="1" t="s">
        <v>55</v>
      </c>
      <c r="D130" s="22">
        <v>46351.667442129627</v>
      </c>
      <c r="E130" s="1" t="s">
        <v>1634</v>
      </c>
      <c r="F130" s="3">
        <v>51</v>
      </c>
      <c r="G130" s="1" t="s">
        <v>11</v>
      </c>
      <c r="H130" s="2"/>
      <c r="I130" t="str">
        <f t="shared" ref="I130:I193" si="4">IF(A130="","",A130&amp;"|"&amp;C130)</f>
        <v>EE10012|INFORME 02/25</v>
      </c>
      <c r="J130" t="str">
        <f t="shared" ref="J130:J193" si="5">IF(A130&lt;&gt;"","SÍ","NO")</f>
        <v>SÍ</v>
      </c>
    </row>
    <row r="131" spans="1:10" ht="28.8" x14ac:dyDescent="0.3">
      <c r="A131" s="1" t="s">
        <v>245</v>
      </c>
      <c r="B131" s="1" t="s">
        <v>246</v>
      </c>
      <c r="C131" s="1" t="s">
        <v>91</v>
      </c>
      <c r="D131" s="22">
        <v>46373.700590277767</v>
      </c>
      <c r="E131" s="1" t="s">
        <v>10</v>
      </c>
      <c r="F131" s="3">
        <v>4000</v>
      </c>
      <c r="G131" s="1" t="s">
        <v>11</v>
      </c>
      <c r="H131" s="2"/>
      <c r="I131" t="str">
        <f t="shared" si="4"/>
        <v>EE10248|INFORME 01/25</v>
      </c>
      <c r="J131" t="str">
        <f t="shared" si="5"/>
        <v>SÍ</v>
      </c>
    </row>
    <row r="132" spans="1:10" ht="28.8" x14ac:dyDescent="0.3">
      <c r="A132" s="1" t="s">
        <v>247</v>
      </c>
      <c r="B132" s="1" t="s">
        <v>248</v>
      </c>
      <c r="C132" s="1" t="s">
        <v>174</v>
      </c>
      <c r="D132" s="22">
        <v>46367.227164351847</v>
      </c>
      <c r="E132" s="1" t="s">
        <v>10</v>
      </c>
      <c r="F132" s="3">
        <v>23.65</v>
      </c>
      <c r="G132" s="1" t="s">
        <v>40</v>
      </c>
      <c r="H132" s="2"/>
      <c r="I132" t="str">
        <f t="shared" si="4"/>
        <v>EE10232|INFORME 24/25</v>
      </c>
      <c r="J132" t="str">
        <f t="shared" si="5"/>
        <v>SÍ</v>
      </c>
    </row>
    <row r="133" spans="1:10" ht="28.8" x14ac:dyDescent="0.3">
      <c r="A133" s="1" t="s">
        <v>249</v>
      </c>
      <c r="B133" s="1" t="s">
        <v>250</v>
      </c>
      <c r="C133" s="1" t="s">
        <v>99</v>
      </c>
      <c r="D133" s="22">
        <v>46376.699247685188</v>
      </c>
      <c r="E133" s="1" t="s">
        <v>10</v>
      </c>
      <c r="F133" s="3">
        <v>283</v>
      </c>
      <c r="G133" s="1" t="s">
        <v>40</v>
      </c>
      <c r="H133" s="2"/>
      <c r="I133" t="str">
        <f t="shared" si="4"/>
        <v>EE10185|INFORME 14/25</v>
      </c>
      <c r="J133" t="str">
        <f t="shared" si="5"/>
        <v>SÍ</v>
      </c>
    </row>
    <row r="134" spans="1:10" ht="28.8" x14ac:dyDescent="0.3">
      <c r="A134" s="1" t="s">
        <v>251</v>
      </c>
      <c r="B134" s="1" t="s">
        <v>252</v>
      </c>
      <c r="C134" s="1" t="s">
        <v>253</v>
      </c>
      <c r="D134" s="22">
        <v>46367.702199074083</v>
      </c>
      <c r="E134" s="1" t="s">
        <v>10</v>
      </c>
      <c r="F134" s="3">
        <v>423.55</v>
      </c>
      <c r="G134" s="1" t="s">
        <v>40</v>
      </c>
      <c r="H134" s="2"/>
      <c r="I134" t="str">
        <f t="shared" si="4"/>
        <v>EE10166|INFORME 25/25</v>
      </c>
      <c r="J134" t="str">
        <f t="shared" si="5"/>
        <v>SÍ</v>
      </c>
    </row>
    <row r="135" spans="1:10" ht="28.8" x14ac:dyDescent="0.3">
      <c r="A135" s="1" t="s">
        <v>254</v>
      </c>
      <c r="B135" s="1" t="s">
        <v>255</v>
      </c>
      <c r="C135" s="1" t="s">
        <v>171</v>
      </c>
      <c r="D135" s="22">
        <v>46374.475601851853</v>
      </c>
      <c r="E135" s="1" t="s">
        <v>10</v>
      </c>
      <c r="F135" s="3">
        <v>5000</v>
      </c>
      <c r="G135" s="1" t="s">
        <v>11</v>
      </c>
      <c r="H135" s="2"/>
      <c r="I135" t="str">
        <f t="shared" si="4"/>
        <v>EE10096|INFORME 11/25</v>
      </c>
      <c r="J135" t="str">
        <f t="shared" si="5"/>
        <v>SÍ</v>
      </c>
    </row>
    <row r="136" spans="1:10" ht="28.8" x14ac:dyDescent="0.3">
      <c r="A136" s="1" t="s">
        <v>18</v>
      </c>
      <c r="B136" s="1" t="s">
        <v>19</v>
      </c>
      <c r="C136" s="1"/>
      <c r="D136" s="22"/>
      <c r="E136" s="1" t="s">
        <v>1635</v>
      </c>
      <c r="F136" s="3">
        <v>0.186</v>
      </c>
      <c r="G136" s="1" t="s">
        <v>11</v>
      </c>
      <c r="H136" s="2"/>
      <c r="I136" t="str">
        <f t="shared" si="4"/>
        <v>EE10076|</v>
      </c>
      <c r="J136" t="str">
        <f t="shared" si="5"/>
        <v>SÍ</v>
      </c>
    </row>
    <row r="137" spans="1:10" ht="28.8" x14ac:dyDescent="0.3">
      <c r="A137" s="1" t="s">
        <v>308</v>
      </c>
      <c r="B137" s="1" t="s">
        <v>309</v>
      </c>
      <c r="C137" s="1" t="s">
        <v>910</v>
      </c>
      <c r="D137" s="22">
        <v>45930.415324074071</v>
      </c>
      <c r="E137" s="1" t="s">
        <v>1634</v>
      </c>
      <c r="F137" s="3">
        <v>2026</v>
      </c>
      <c r="G137" s="1" t="s">
        <v>11</v>
      </c>
      <c r="H137" s="2"/>
      <c r="I137" t="str">
        <f t="shared" si="4"/>
        <v>EE10058|INFORME 2</v>
      </c>
      <c r="J137" t="str">
        <f t="shared" si="5"/>
        <v>SÍ</v>
      </c>
    </row>
    <row r="138" spans="1:10" ht="28.8" x14ac:dyDescent="0.3">
      <c r="A138" s="1" t="s">
        <v>308</v>
      </c>
      <c r="B138" s="1" t="s">
        <v>309</v>
      </c>
      <c r="C138" s="1" t="s">
        <v>82</v>
      </c>
      <c r="D138" s="22"/>
      <c r="E138" s="1" t="s">
        <v>1634</v>
      </c>
      <c r="F138" s="3">
        <v>61</v>
      </c>
      <c r="G138" s="1" t="s">
        <v>11</v>
      </c>
      <c r="H138" s="2"/>
      <c r="I138" t="str">
        <f t="shared" si="4"/>
        <v>EE10058|INFORME 06/25</v>
      </c>
      <c r="J138" t="str">
        <f t="shared" si="5"/>
        <v>SÍ</v>
      </c>
    </row>
    <row r="139" spans="1:10" ht="28.8" x14ac:dyDescent="0.3">
      <c r="A139" s="1" t="s">
        <v>205</v>
      </c>
      <c r="B139" s="1" t="s">
        <v>206</v>
      </c>
      <c r="C139" s="1" t="s">
        <v>78</v>
      </c>
      <c r="D139" s="22">
        <v>45959.747986111113</v>
      </c>
      <c r="E139" s="1" t="s">
        <v>10</v>
      </c>
      <c r="F139" s="3">
        <v>702.76</v>
      </c>
      <c r="G139" s="1" t="s">
        <v>40</v>
      </c>
      <c r="H139" s="2"/>
      <c r="I139" t="str">
        <f t="shared" si="4"/>
        <v>EE10117|INFORME 04/25</v>
      </c>
      <c r="J139" t="str">
        <f t="shared" si="5"/>
        <v>SÍ</v>
      </c>
    </row>
    <row r="140" spans="1:10" ht="28.8" x14ac:dyDescent="0.3">
      <c r="A140" s="1" t="s">
        <v>256</v>
      </c>
      <c r="B140" s="1" t="s">
        <v>257</v>
      </c>
      <c r="C140" s="1" t="s">
        <v>258</v>
      </c>
      <c r="D140" s="22">
        <v>46401.358958333331</v>
      </c>
      <c r="E140" s="1" t="s">
        <v>10</v>
      </c>
      <c r="F140" s="3">
        <v>7.5119999999999996</v>
      </c>
      <c r="G140" s="1" t="s">
        <v>40</v>
      </c>
      <c r="H140" s="2"/>
      <c r="I140" t="str">
        <f t="shared" si="4"/>
        <v>EE10212|INFORME 01/26</v>
      </c>
      <c r="J140" t="str">
        <f t="shared" si="5"/>
        <v>SÍ</v>
      </c>
    </row>
    <row r="141" spans="1:10" ht="28.8" x14ac:dyDescent="0.3">
      <c r="A141" s="1" t="s">
        <v>259</v>
      </c>
      <c r="B141" s="1" t="s">
        <v>260</v>
      </c>
      <c r="C141" s="1" t="s">
        <v>261</v>
      </c>
      <c r="D141" s="22"/>
      <c r="E141" s="1" t="s">
        <v>10</v>
      </c>
      <c r="F141" s="3">
        <v>9100</v>
      </c>
      <c r="G141" s="1" t="s">
        <v>11</v>
      </c>
      <c r="H141" s="2"/>
      <c r="I141" t="str">
        <f t="shared" si="4"/>
        <v>EE10057|INFORME  01/26</v>
      </c>
      <c r="J141" t="str">
        <f t="shared" si="5"/>
        <v>SÍ</v>
      </c>
    </row>
    <row r="142" spans="1:10" ht="28.8" x14ac:dyDescent="0.3">
      <c r="A142" s="1" t="s">
        <v>264</v>
      </c>
      <c r="B142" s="1" t="s">
        <v>265</v>
      </c>
      <c r="C142" s="1" t="s">
        <v>258</v>
      </c>
      <c r="D142" s="22">
        <v>46388.499236111107</v>
      </c>
      <c r="E142" s="1" t="s">
        <v>10</v>
      </c>
      <c r="F142" s="3">
        <v>900</v>
      </c>
      <c r="G142" s="1" t="s">
        <v>11</v>
      </c>
      <c r="H142" s="2"/>
      <c r="I142" t="str">
        <f t="shared" si="4"/>
        <v>EE10255|INFORME 01/26</v>
      </c>
      <c r="J142" t="str">
        <f t="shared" si="5"/>
        <v>SÍ</v>
      </c>
    </row>
    <row r="143" spans="1:10" ht="28.8" x14ac:dyDescent="0.3">
      <c r="A143" s="1" t="s">
        <v>266</v>
      </c>
      <c r="B143" s="1" t="s">
        <v>267</v>
      </c>
      <c r="C143" s="1" t="s">
        <v>258</v>
      </c>
      <c r="D143" s="22">
        <v>46388.499502314808</v>
      </c>
      <c r="E143" s="1" t="s">
        <v>10</v>
      </c>
      <c r="F143" s="3">
        <v>900</v>
      </c>
      <c r="G143" s="1" t="s">
        <v>11</v>
      </c>
      <c r="H143" s="2"/>
      <c r="I143" t="str">
        <f t="shared" si="4"/>
        <v>EE10254|INFORME 01/26</v>
      </c>
      <c r="J143" t="str">
        <f t="shared" si="5"/>
        <v>SÍ</v>
      </c>
    </row>
    <row r="144" spans="1:10" ht="28.8" x14ac:dyDescent="0.3">
      <c r="A144" s="1" t="s">
        <v>268</v>
      </c>
      <c r="B144" s="1" t="s">
        <v>269</v>
      </c>
      <c r="C144" s="1" t="s">
        <v>67</v>
      </c>
      <c r="D144" s="22">
        <v>46227.92324074074</v>
      </c>
      <c r="E144" s="1" t="s">
        <v>10</v>
      </c>
      <c r="F144" s="3">
        <v>2.7</v>
      </c>
      <c r="G144" s="1" t="s">
        <v>40</v>
      </c>
      <c r="H144" s="2"/>
      <c r="I144" t="str">
        <f t="shared" si="4"/>
        <v>EE10156|INFORME 05/25</v>
      </c>
      <c r="J144" t="str">
        <f t="shared" si="5"/>
        <v>SÍ</v>
      </c>
    </row>
    <row r="145" spans="1:10" ht="28.8" x14ac:dyDescent="0.3">
      <c r="A145" s="1" t="s">
        <v>264</v>
      </c>
      <c r="B145" s="1" t="s">
        <v>265</v>
      </c>
      <c r="C145" s="1" t="s">
        <v>270</v>
      </c>
      <c r="D145" s="22">
        <v>46415.568171296298</v>
      </c>
      <c r="E145" s="1" t="s">
        <v>10</v>
      </c>
      <c r="F145" s="3">
        <v>80</v>
      </c>
      <c r="G145" s="1" t="s">
        <v>11</v>
      </c>
      <c r="H145" s="2"/>
      <c r="I145" t="str">
        <f t="shared" si="4"/>
        <v>EE10255|INFORME 02/26</v>
      </c>
      <c r="J145" t="str">
        <f t="shared" si="5"/>
        <v>SÍ</v>
      </c>
    </row>
    <row r="146" spans="1:10" ht="28.8" x14ac:dyDescent="0.3">
      <c r="A146" s="1" t="s">
        <v>266</v>
      </c>
      <c r="B146" s="1" t="s">
        <v>267</v>
      </c>
      <c r="C146" s="1" t="s">
        <v>270</v>
      </c>
      <c r="D146" s="22">
        <v>46413.567939814813</v>
      </c>
      <c r="E146" s="1" t="s">
        <v>10</v>
      </c>
      <c r="F146" s="3">
        <v>78</v>
      </c>
      <c r="G146" s="1" t="s">
        <v>11</v>
      </c>
      <c r="H146" s="2"/>
      <c r="I146" t="str">
        <f t="shared" si="4"/>
        <v>EE10254|INFORME 02/26</v>
      </c>
      <c r="J146" t="str">
        <f t="shared" si="5"/>
        <v>SÍ</v>
      </c>
    </row>
    <row r="147" spans="1:10" ht="28.8" x14ac:dyDescent="0.3">
      <c r="A147" s="1" t="s">
        <v>271</v>
      </c>
      <c r="B147" s="1" t="s">
        <v>272</v>
      </c>
      <c r="C147" s="1" t="s">
        <v>258</v>
      </c>
      <c r="D147" s="22"/>
      <c r="E147" s="1" t="s">
        <v>10</v>
      </c>
      <c r="F147" s="3">
        <v>150</v>
      </c>
      <c r="G147" s="1" t="s">
        <v>11</v>
      </c>
      <c r="H147" s="2"/>
      <c r="I147" t="str">
        <f t="shared" si="4"/>
        <v>EE10093|INFORME 01/26</v>
      </c>
      <c r="J147" t="str">
        <f t="shared" si="5"/>
        <v>SÍ</v>
      </c>
    </row>
    <row r="148" spans="1:10" ht="28.8" x14ac:dyDescent="0.3">
      <c r="A148" s="1" t="s">
        <v>273</v>
      </c>
      <c r="B148" s="1" t="s">
        <v>274</v>
      </c>
      <c r="C148" s="1" t="s">
        <v>258</v>
      </c>
      <c r="D148" s="22">
        <v>46752.500543981478</v>
      </c>
      <c r="E148" s="1" t="s">
        <v>10</v>
      </c>
      <c r="F148" s="3">
        <v>272</v>
      </c>
      <c r="G148" s="1" t="s">
        <v>11</v>
      </c>
      <c r="H148" s="2"/>
      <c r="I148" t="str">
        <f t="shared" si="4"/>
        <v>EE10256|INFORME 01/26</v>
      </c>
      <c r="J148" t="str">
        <f t="shared" si="5"/>
        <v>SÍ</v>
      </c>
    </row>
    <row r="149" spans="1:10" ht="28.8" x14ac:dyDescent="0.3">
      <c r="A149" s="1" t="s">
        <v>205</v>
      </c>
      <c r="B149" s="1" t="s">
        <v>206</v>
      </c>
      <c r="C149" s="1" t="s">
        <v>275</v>
      </c>
      <c r="D149" s="22">
        <v>46366.791666666657</v>
      </c>
      <c r="E149" s="1" t="s">
        <v>10</v>
      </c>
      <c r="F149" s="3">
        <v>150.94</v>
      </c>
      <c r="G149" s="1" t="s">
        <v>40</v>
      </c>
      <c r="H149" s="2"/>
      <c r="I149" t="str">
        <f t="shared" si="4"/>
        <v>EE10117|INFORM 04/25</v>
      </c>
      <c r="J149" t="str">
        <f t="shared" si="5"/>
        <v>SÍ</v>
      </c>
    </row>
    <row r="150" spans="1:10" ht="28.8" x14ac:dyDescent="0.3">
      <c r="A150" s="1" t="s">
        <v>276</v>
      </c>
      <c r="B150" s="1" t="s">
        <v>277</v>
      </c>
      <c r="C150" s="1" t="s">
        <v>258</v>
      </c>
      <c r="D150" s="22">
        <v>46417.674907407411</v>
      </c>
      <c r="E150" s="1" t="s">
        <v>10</v>
      </c>
      <c r="F150" s="3">
        <v>900</v>
      </c>
      <c r="G150" s="1" t="s">
        <v>11</v>
      </c>
      <c r="H150" s="2"/>
      <c r="I150" t="str">
        <f t="shared" si="4"/>
        <v>EE10253|INFORME 01/26</v>
      </c>
      <c r="J150" t="str">
        <f t="shared" si="5"/>
        <v>SÍ</v>
      </c>
    </row>
    <row r="151" spans="1:10" ht="28.8" x14ac:dyDescent="0.3">
      <c r="A151" s="1" t="s">
        <v>464</v>
      </c>
      <c r="B151" s="1" t="s">
        <v>465</v>
      </c>
      <c r="C151" s="1" t="s">
        <v>911</v>
      </c>
      <c r="D151" s="22">
        <v>46366.15861111111</v>
      </c>
      <c r="E151" s="1" t="s">
        <v>1634</v>
      </c>
      <c r="F151" s="3">
        <v>225</v>
      </c>
      <c r="G151" s="1" t="s">
        <v>11</v>
      </c>
      <c r="H151" s="2"/>
      <c r="I151" t="str">
        <f t="shared" si="4"/>
        <v>EE10001|INFORME 31/25</v>
      </c>
      <c r="J151" t="str">
        <f t="shared" si="5"/>
        <v>SÍ</v>
      </c>
    </row>
    <row r="152" spans="1:10" ht="28.8" x14ac:dyDescent="0.3">
      <c r="A152" s="1" t="s">
        <v>278</v>
      </c>
      <c r="B152" s="1" t="s">
        <v>279</v>
      </c>
      <c r="C152" s="1" t="s">
        <v>258</v>
      </c>
      <c r="D152" s="22">
        <v>46425.535219907397</v>
      </c>
      <c r="E152" s="1" t="s">
        <v>10</v>
      </c>
      <c r="F152" s="3">
        <v>25.777000000000001</v>
      </c>
      <c r="G152" s="1" t="s">
        <v>40</v>
      </c>
      <c r="H152" s="2"/>
      <c r="I152" t="str">
        <f t="shared" si="4"/>
        <v>EE10229|INFORME 01/26</v>
      </c>
      <c r="J152" t="str">
        <f t="shared" si="5"/>
        <v>SÍ</v>
      </c>
    </row>
    <row r="153" spans="1:10" ht="28.8" x14ac:dyDescent="0.3">
      <c r="A153" s="1" t="s">
        <v>109</v>
      </c>
      <c r="B153" s="1" t="s">
        <v>110</v>
      </c>
      <c r="C153" s="1" t="s">
        <v>258</v>
      </c>
      <c r="D153" s="22">
        <v>46427.418645833342</v>
      </c>
      <c r="E153" s="1" t="s">
        <v>10</v>
      </c>
      <c r="F153" s="3">
        <v>1071</v>
      </c>
      <c r="G153" s="1" t="s">
        <v>40</v>
      </c>
      <c r="H153" s="2"/>
      <c r="I153" t="str">
        <f t="shared" si="4"/>
        <v>EE10029-1|INFORME 01/26</v>
      </c>
      <c r="J153" t="str">
        <f t="shared" si="5"/>
        <v>SÍ</v>
      </c>
    </row>
    <row r="154" spans="1:10" ht="28.8" x14ac:dyDescent="0.3">
      <c r="A154" s="1" t="s">
        <v>280</v>
      </c>
      <c r="B154" s="1" t="s">
        <v>281</v>
      </c>
      <c r="C154" s="1" t="s">
        <v>258</v>
      </c>
      <c r="D154" s="22">
        <v>46427.418877314813</v>
      </c>
      <c r="E154" s="1" t="s">
        <v>10</v>
      </c>
      <c r="F154" s="3">
        <v>526.02</v>
      </c>
      <c r="G154" s="1" t="s">
        <v>40</v>
      </c>
      <c r="H154" s="2"/>
      <c r="I154" t="str">
        <f t="shared" si="4"/>
        <v>EE10142|INFORME 01/26</v>
      </c>
      <c r="J154" t="str">
        <f t="shared" si="5"/>
        <v>SÍ</v>
      </c>
    </row>
    <row r="155" spans="1:10" ht="28.8" x14ac:dyDescent="0.3">
      <c r="A155" s="1" t="s">
        <v>282</v>
      </c>
      <c r="B155" s="1" t="s">
        <v>283</v>
      </c>
      <c r="C155" s="1" t="s">
        <v>99</v>
      </c>
      <c r="D155" s="22">
        <v>46290.442812499998</v>
      </c>
      <c r="E155" s="1" t="s">
        <v>10</v>
      </c>
      <c r="F155" s="3">
        <v>25.94</v>
      </c>
      <c r="G155" s="1" t="s">
        <v>40</v>
      </c>
      <c r="H155" s="2"/>
      <c r="I155" t="str">
        <f t="shared" si="4"/>
        <v>EE10050|INFORME 14/25</v>
      </c>
      <c r="J155" t="str">
        <f t="shared" si="5"/>
        <v>SÍ</v>
      </c>
    </row>
    <row r="156" spans="1:10" ht="28.8" x14ac:dyDescent="0.3">
      <c r="A156" s="1" t="s">
        <v>284</v>
      </c>
      <c r="B156" s="1" t="s">
        <v>285</v>
      </c>
      <c r="C156" s="1" t="s">
        <v>258</v>
      </c>
      <c r="D156" s="22">
        <v>46436.462453703702</v>
      </c>
      <c r="E156" s="1" t="s">
        <v>10</v>
      </c>
      <c r="F156" s="3">
        <v>427.15269999999998</v>
      </c>
      <c r="G156" s="1" t="s">
        <v>40</v>
      </c>
      <c r="H156" s="2"/>
      <c r="I156" t="str">
        <f t="shared" si="4"/>
        <v>EE10171|INFORME 01/26</v>
      </c>
      <c r="J156" t="str">
        <f t="shared" si="5"/>
        <v>SÍ</v>
      </c>
    </row>
    <row r="157" spans="1:10" ht="28.8" x14ac:dyDescent="0.3">
      <c r="A157" s="1" t="s">
        <v>286</v>
      </c>
      <c r="B157" s="1" t="s">
        <v>287</v>
      </c>
      <c r="C157" s="1" t="s">
        <v>288</v>
      </c>
      <c r="D157" s="22">
        <v>46371.482141203713</v>
      </c>
      <c r="E157" s="1" t="s">
        <v>10</v>
      </c>
      <c r="F157" s="3">
        <v>0.224</v>
      </c>
      <c r="G157" s="1" t="s">
        <v>11</v>
      </c>
      <c r="H157" s="2"/>
      <c r="I157" t="str">
        <f t="shared" si="4"/>
        <v>EE10249|INFORME 03/26</v>
      </c>
      <c r="J157" t="str">
        <f t="shared" si="5"/>
        <v>SÍ</v>
      </c>
    </row>
    <row r="158" spans="1:10" ht="28.8" x14ac:dyDescent="0.3">
      <c r="A158" s="1" t="s">
        <v>289</v>
      </c>
      <c r="B158" s="1" t="s">
        <v>290</v>
      </c>
      <c r="C158" s="1" t="s">
        <v>270</v>
      </c>
      <c r="D158" s="22">
        <v>46267.48269675926</v>
      </c>
      <c r="E158" s="1" t="s">
        <v>10</v>
      </c>
      <c r="F158" s="3">
        <v>0.30620000000000003</v>
      </c>
      <c r="G158" s="1" t="s">
        <v>11</v>
      </c>
      <c r="H158" s="2"/>
      <c r="I158" t="str">
        <f t="shared" si="4"/>
        <v>EE10250|INFORME 02/26</v>
      </c>
      <c r="J158" t="str">
        <f t="shared" si="5"/>
        <v>SÍ</v>
      </c>
    </row>
    <row r="159" spans="1:10" ht="28.8" x14ac:dyDescent="0.3">
      <c r="A159" s="1" t="s">
        <v>289</v>
      </c>
      <c r="B159" s="1" t="s">
        <v>290</v>
      </c>
      <c r="C159" s="1" t="s">
        <v>291</v>
      </c>
      <c r="D159" s="22">
        <v>46343.483182870368</v>
      </c>
      <c r="E159" s="1" t="s">
        <v>10</v>
      </c>
      <c r="F159" s="3">
        <v>168.4581</v>
      </c>
      <c r="G159" s="1" t="s">
        <v>11</v>
      </c>
      <c r="H159" s="2"/>
      <c r="I159" t="str">
        <f t="shared" si="4"/>
        <v>EE10250|INFORME 04/26</v>
      </c>
      <c r="J159" t="str">
        <f t="shared" si="5"/>
        <v>SÍ</v>
      </c>
    </row>
    <row r="160" spans="1:10" ht="28.8" x14ac:dyDescent="0.3">
      <c r="A160" s="1" t="s">
        <v>256</v>
      </c>
      <c r="B160" s="1" t="s">
        <v>257</v>
      </c>
      <c r="C160" s="1" t="s">
        <v>270</v>
      </c>
      <c r="D160" s="22">
        <v>46429.743101851847</v>
      </c>
      <c r="E160" s="1" t="s">
        <v>10</v>
      </c>
      <c r="F160" s="3">
        <v>536.04</v>
      </c>
      <c r="G160" s="1" t="s">
        <v>40</v>
      </c>
      <c r="H160" s="2"/>
      <c r="I160" t="str">
        <f t="shared" si="4"/>
        <v>EE10212|INFORME 02/26</v>
      </c>
      <c r="J160" t="str">
        <f t="shared" si="5"/>
        <v>SÍ</v>
      </c>
    </row>
    <row r="161" spans="1:10" ht="28.8" x14ac:dyDescent="0.3">
      <c r="A161" s="1" t="s">
        <v>292</v>
      </c>
      <c r="B161" s="1" t="s">
        <v>293</v>
      </c>
      <c r="C161" s="1" t="s">
        <v>270</v>
      </c>
      <c r="D161" s="22">
        <v>46429.743368055562</v>
      </c>
      <c r="E161" s="1" t="s">
        <v>10</v>
      </c>
      <c r="F161" s="3">
        <v>362.11</v>
      </c>
      <c r="G161" s="1" t="s">
        <v>40</v>
      </c>
      <c r="H161" s="2"/>
      <c r="I161" t="str">
        <f t="shared" si="4"/>
        <v>EE10211|INFORME 02/26</v>
      </c>
      <c r="J161" t="str">
        <f t="shared" si="5"/>
        <v>SÍ</v>
      </c>
    </row>
    <row r="162" spans="1:10" ht="28.8" x14ac:dyDescent="0.3">
      <c r="A162" s="1" t="s">
        <v>294</v>
      </c>
      <c r="B162" s="1" t="s">
        <v>295</v>
      </c>
      <c r="C162" s="1" t="s">
        <v>270</v>
      </c>
      <c r="D162" s="22">
        <v>46429.743449074071</v>
      </c>
      <c r="E162" s="1" t="s">
        <v>10</v>
      </c>
      <c r="F162" s="3">
        <v>427.20600000000002</v>
      </c>
      <c r="G162" s="1" t="s">
        <v>40</v>
      </c>
      <c r="H162" s="2"/>
      <c r="I162" t="str">
        <f t="shared" si="4"/>
        <v>EE10209|INFORME 02/26</v>
      </c>
      <c r="J162" t="str">
        <f t="shared" si="5"/>
        <v>SÍ</v>
      </c>
    </row>
    <row r="163" spans="1:10" ht="28.8" x14ac:dyDescent="0.3">
      <c r="A163" s="1" t="s">
        <v>296</v>
      </c>
      <c r="B163" s="1" t="s">
        <v>297</v>
      </c>
      <c r="C163" s="1" t="s">
        <v>298</v>
      </c>
      <c r="D163" s="22">
        <v>46450.747546296298</v>
      </c>
      <c r="E163" s="1" t="s">
        <v>10</v>
      </c>
      <c r="F163" s="3">
        <v>23740</v>
      </c>
      <c r="G163" s="1" t="s">
        <v>11</v>
      </c>
      <c r="H163" s="2"/>
      <c r="I163" t="str">
        <f t="shared" si="4"/>
        <v>EE10199|INFORME 05/26</v>
      </c>
      <c r="J163" t="str">
        <f t="shared" si="5"/>
        <v>SÍ</v>
      </c>
    </row>
    <row r="164" spans="1:10" ht="28.8" x14ac:dyDescent="0.3">
      <c r="A164" s="1" t="s">
        <v>299</v>
      </c>
      <c r="B164" s="1" t="s">
        <v>300</v>
      </c>
      <c r="C164" s="1" t="s">
        <v>301</v>
      </c>
      <c r="D164" s="22">
        <v>46752.564189814817</v>
      </c>
      <c r="E164" s="1" t="s">
        <v>10</v>
      </c>
      <c r="F164" s="3">
        <v>21000</v>
      </c>
      <c r="G164" s="1" t="s">
        <v>11</v>
      </c>
      <c r="H164" s="2"/>
      <c r="I164" t="str">
        <f t="shared" si="4"/>
        <v>EE10201|AS2603</v>
      </c>
      <c r="J164" t="str">
        <f t="shared" si="5"/>
        <v>SÍ</v>
      </c>
    </row>
    <row r="165" spans="1:10" ht="28.8" x14ac:dyDescent="0.3">
      <c r="A165" s="1" t="s">
        <v>296</v>
      </c>
      <c r="B165" s="1" t="s">
        <v>297</v>
      </c>
      <c r="C165" s="1" t="s">
        <v>258</v>
      </c>
      <c r="D165" s="22">
        <v>46441.420358796298</v>
      </c>
      <c r="E165" s="1" t="s">
        <v>10</v>
      </c>
      <c r="F165" s="3">
        <v>9736</v>
      </c>
      <c r="G165" s="1" t="s">
        <v>11</v>
      </c>
      <c r="H165" s="2"/>
      <c r="I165" t="str">
        <f t="shared" si="4"/>
        <v>EE10199|INFORME 01/26</v>
      </c>
      <c r="J165" t="str">
        <f t="shared" si="5"/>
        <v>SÍ</v>
      </c>
    </row>
    <row r="166" spans="1:10" ht="28.8" x14ac:dyDescent="0.3">
      <c r="A166" s="1" t="s">
        <v>302</v>
      </c>
      <c r="B166" s="1" t="s">
        <v>303</v>
      </c>
      <c r="C166" s="1" t="s">
        <v>258</v>
      </c>
      <c r="D166" s="22">
        <v>46449.460462962961</v>
      </c>
      <c r="E166" s="1" t="s">
        <v>10</v>
      </c>
      <c r="F166" s="3">
        <v>4000</v>
      </c>
      <c r="G166" s="1" t="s">
        <v>11</v>
      </c>
      <c r="H166" s="2"/>
      <c r="I166" t="str">
        <f t="shared" si="4"/>
        <v>EE10260|INFORME 01/26</v>
      </c>
      <c r="J166" t="str">
        <f t="shared" si="5"/>
        <v>SÍ</v>
      </c>
    </row>
    <row r="167" spans="1:10" ht="28.8" x14ac:dyDescent="0.3">
      <c r="A167" s="1" t="s">
        <v>16</v>
      </c>
      <c r="B167" s="1" t="s">
        <v>17</v>
      </c>
      <c r="C167" s="1"/>
      <c r="D167" s="22"/>
      <c r="E167" s="1" t="s">
        <v>1635</v>
      </c>
      <c r="F167" s="3">
        <v>0.48699999999999999</v>
      </c>
      <c r="G167" s="1" t="s">
        <v>11</v>
      </c>
      <c r="H167" s="2"/>
      <c r="I167" t="str">
        <f t="shared" si="4"/>
        <v>EE10071|</v>
      </c>
      <c r="J167" t="str">
        <f t="shared" si="5"/>
        <v>SÍ</v>
      </c>
    </row>
    <row r="168" spans="1:10" ht="28.8" x14ac:dyDescent="0.3">
      <c r="A168" s="1" t="s">
        <v>573</v>
      </c>
      <c r="B168" s="1" t="s">
        <v>742</v>
      </c>
      <c r="C168" s="1" t="s">
        <v>912</v>
      </c>
      <c r="D168" s="22">
        <v>46265.236319444448</v>
      </c>
      <c r="E168" s="1" t="s">
        <v>1636</v>
      </c>
      <c r="F168" s="3">
        <v>1</v>
      </c>
      <c r="G168" s="1" t="s">
        <v>2166</v>
      </c>
      <c r="H168" s="2"/>
      <c r="I168" t="str">
        <f t="shared" si="4"/>
        <v>TC0103PE|SP-30425</v>
      </c>
      <c r="J168" t="str">
        <f t="shared" si="5"/>
        <v>SÍ</v>
      </c>
    </row>
    <row r="169" spans="1:10" ht="28.8" x14ac:dyDescent="0.3">
      <c r="A169" s="1" t="s">
        <v>574</v>
      </c>
      <c r="B169" s="1" t="s">
        <v>743</v>
      </c>
      <c r="C169" s="1" t="s">
        <v>913</v>
      </c>
      <c r="D169" s="22">
        <v>46191.233391203707</v>
      </c>
      <c r="E169" s="1" t="s">
        <v>1636</v>
      </c>
      <c r="F169" s="3">
        <v>10</v>
      </c>
      <c r="G169" s="1" t="s">
        <v>2166</v>
      </c>
      <c r="H169" s="2"/>
      <c r="I169" t="str">
        <f t="shared" si="4"/>
        <v>TC0054PE|SP-23325</v>
      </c>
      <c r="J169" t="str">
        <f t="shared" si="5"/>
        <v>SÍ</v>
      </c>
    </row>
    <row r="170" spans="1:10" ht="28.8" x14ac:dyDescent="0.3">
      <c r="A170" s="1" t="s">
        <v>574</v>
      </c>
      <c r="B170" s="1" t="s">
        <v>743</v>
      </c>
      <c r="C170" s="1" t="s">
        <v>914</v>
      </c>
      <c r="D170" s="22">
        <v>46191.233148148152</v>
      </c>
      <c r="E170" s="1" t="s">
        <v>1636</v>
      </c>
      <c r="F170" s="3">
        <v>4</v>
      </c>
      <c r="G170" s="1" t="s">
        <v>2166</v>
      </c>
      <c r="H170" s="2"/>
      <c r="I170" t="str">
        <f t="shared" si="4"/>
        <v>TC0054PE|SP-23425</v>
      </c>
      <c r="J170" t="str">
        <f t="shared" si="5"/>
        <v>SÍ</v>
      </c>
    </row>
    <row r="171" spans="1:10" ht="28.8" x14ac:dyDescent="0.3">
      <c r="A171" s="1" t="s">
        <v>575</v>
      </c>
      <c r="B171" s="1" t="s">
        <v>744</v>
      </c>
      <c r="C171" s="1" t="s">
        <v>915</v>
      </c>
      <c r="D171" s="22">
        <v>46111</v>
      </c>
      <c r="E171" s="1" t="s">
        <v>1636</v>
      </c>
      <c r="F171" s="3">
        <v>9</v>
      </c>
      <c r="G171" s="1" t="s">
        <v>2166</v>
      </c>
      <c r="H171" s="2"/>
      <c r="I171" t="str">
        <f t="shared" si="4"/>
        <v>TC0068PE|AP-15025</v>
      </c>
      <c r="J171" t="str">
        <f t="shared" si="5"/>
        <v>SÍ</v>
      </c>
    </row>
    <row r="172" spans="1:10" ht="28.8" x14ac:dyDescent="0.3">
      <c r="A172" s="1" t="s">
        <v>576</v>
      </c>
      <c r="B172" s="1" t="s">
        <v>745</v>
      </c>
      <c r="C172" s="1" t="s">
        <v>916</v>
      </c>
      <c r="D172" s="22">
        <v>46136</v>
      </c>
      <c r="E172" s="1" t="s">
        <v>1636</v>
      </c>
      <c r="F172" s="3">
        <v>1</v>
      </c>
      <c r="G172" s="1" t="s">
        <v>2167</v>
      </c>
      <c r="H172" s="2"/>
      <c r="I172" t="str">
        <f t="shared" si="4"/>
        <v>TC0003MX|SN-17525</v>
      </c>
      <c r="J172" t="str">
        <f t="shared" si="5"/>
        <v>SÍ</v>
      </c>
    </row>
    <row r="173" spans="1:10" ht="28.8" x14ac:dyDescent="0.3">
      <c r="A173" s="1" t="s">
        <v>577</v>
      </c>
      <c r="B173" s="1" t="s">
        <v>746</v>
      </c>
      <c r="C173" s="1" t="s">
        <v>917</v>
      </c>
      <c r="D173" s="22">
        <v>46250.258576388893</v>
      </c>
      <c r="E173" s="1" t="s">
        <v>1636</v>
      </c>
      <c r="F173" s="3">
        <v>2</v>
      </c>
      <c r="G173" s="1" t="s">
        <v>2168</v>
      </c>
      <c r="H173" s="2"/>
      <c r="I173" t="str">
        <f t="shared" si="4"/>
        <v>TC0232PE|PC-29425</v>
      </c>
      <c r="J173" t="str">
        <f t="shared" si="5"/>
        <v>SÍ</v>
      </c>
    </row>
    <row r="174" spans="1:10" ht="28.8" x14ac:dyDescent="0.3">
      <c r="A174" s="1" t="s">
        <v>304</v>
      </c>
      <c r="B174" s="1" t="s">
        <v>305</v>
      </c>
      <c r="C174" s="1" t="s">
        <v>291</v>
      </c>
      <c r="D174" s="22">
        <v>46419.757395833331</v>
      </c>
      <c r="E174" s="1" t="s">
        <v>10</v>
      </c>
      <c r="F174" s="3">
        <v>2E-3</v>
      </c>
      <c r="G174" s="1" t="s">
        <v>40</v>
      </c>
      <c r="H174" s="2"/>
      <c r="I174" t="str">
        <f t="shared" si="4"/>
        <v>EE10047|INFORME 04/26</v>
      </c>
      <c r="J174" t="str">
        <f t="shared" si="5"/>
        <v>SÍ</v>
      </c>
    </row>
    <row r="175" spans="1:10" ht="28.8" x14ac:dyDescent="0.3">
      <c r="A175" s="1" t="s">
        <v>306</v>
      </c>
      <c r="B175" s="1" t="s">
        <v>307</v>
      </c>
      <c r="C175" s="1"/>
      <c r="D175" s="22"/>
      <c r="E175" s="1" t="s">
        <v>10</v>
      </c>
      <c r="F175" s="3">
        <v>320</v>
      </c>
      <c r="G175" s="1" t="s">
        <v>11</v>
      </c>
      <c r="H175" s="2"/>
      <c r="I175" t="str">
        <f t="shared" si="4"/>
        <v>EE10265|</v>
      </c>
      <c r="J175" t="str">
        <f t="shared" si="5"/>
        <v>SÍ</v>
      </c>
    </row>
    <row r="176" spans="1:10" ht="28.8" x14ac:dyDescent="0.3">
      <c r="A176" s="1" t="s">
        <v>308</v>
      </c>
      <c r="B176" s="1" t="s">
        <v>309</v>
      </c>
      <c r="C176" s="1" t="s">
        <v>258</v>
      </c>
      <c r="D176" s="22"/>
      <c r="E176" s="1" t="s">
        <v>10</v>
      </c>
      <c r="F176" s="3">
        <v>4550</v>
      </c>
      <c r="G176" s="1" t="s">
        <v>11</v>
      </c>
      <c r="H176" s="2"/>
      <c r="I176" t="str">
        <f t="shared" si="4"/>
        <v>EE10058|INFORME 01/26</v>
      </c>
      <c r="J176" t="str">
        <f t="shared" si="5"/>
        <v>SÍ</v>
      </c>
    </row>
    <row r="177" spans="1:10" ht="28.8" x14ac:dyDescent="0.3">
      <c r="A177" s="1" t="s">
        <v>310</v>
      </c>
      <c r="B177" s="1" t="s">
        <v>311</v>
      </c>
      <c r="C177" s="1" t="s">
        <v>312</v>
      </c>
      <c r="D177" s="22">
        <v>46465.359317129631</v>
      </c>
      <c r="E177" s="1" t="s">
        <v>10</v>
      </c>
      <c r="F177" s="3">
        <v>13560</v>
      </c>
      <c r="G177" s="1" t="s">
        <v>11</v>
      </c>
      <c r="H177" s="2"/>
      <c r="I177" t="str">
        <f t="shared" si="4"/>
        <v>EE10262|INFORME 09/26</v>
      </c>
      <c r="J177" t="str">
        <f t="shared" si="5"/>
        <v>SÍ</v>
      </c>
    </row>
    <row r="178" spans="1:10" ht="28.8" x14ac:dyDescent="0.3">
      <c r="A178" s="1" t="s">
        <v>313</v>
      </c>
      <c r="B178" s="1" t="s">
        <v>314</v>
      </c>
      <c r="C178" s="1" t="s">
        <v>312</v>
      </c>
      <c r="D178" s="22">
        <v>46465.359490740739</v>
      </c>
      <c r="E178" s="1" t="s">
        <v>10</v>
      </c>
      <c r="F178" s="3">
        <v>1030</v>
      </c>
      <c r="G178" s="1" t="s">
        <v>11</v>
      </c>
      <c r="H178" s="2"/>
      <c r="I178" t="str">
        <f t="shared" si="4"/>
        <v>EE10263|INFORME 09/26</v>
      </c>
      <c r="J178" t="str">
        <f t="shared" si="5"/>
        <v>SÍ</v>
      </c>
    </row>
    <row r="179" spans="1:10" ht="28.8" x14ac:dyDescent="0.3">
      <c r="A179" s="1" t="s">
        <v>315</v>
      </c>
      <c r="B179" s="1" t="s">
        <v>316</v>
      </c>
      <c r="C179" s="1" t="s">
        <v>312</v>
      </c>
      <c r="D179" s="22">
        <v>46465.359583333331</v>
      </c>
      <c r="E179" s="1" t="s">
        <v>10</v>
      </c>
      <c r="F179" s="3">
        <v>15000</v>
      </c>
      <c r="G179" s="1" t="s">
        <v>11</v>
      </c>
      <c r="H179" s="2"/>
      <c r="I179" t="str">
        <f t="shared" si="4"/>
        <v>EE10264|INFORME 09/26</v>
      </c>
      <c r="J179" t="str">
        <f t="shared" si="5"/>
        <v>SÍ</v>
      </c>
    </row>
    <row r="180" spans="1:10" ht="28.8" x14ac:dyDescent="0.3">
      <c r="A180" s="1" t="s">
        <v>296</v>
      </c>
      <c r="B180" s="1" t="s">
        <v>297</v>
      </c>
      <c r="C180" s="1" t="s">
        <v>317</v>
      </c>
      <c r="D180" s="22">
        <v>46465.4690162037</v>
      </c>
      <c r="E180" s="1" t="s">
        <v>10</v>
      </c>
      <c r="F180" s="3">
        <v>10000</v>
      </c>
      <c r="G180" s="1" t="s">
        <v>11</v>
      </c>
      <c r="H180" s="2"/>
      <c r="I180" t="str">
        <f t="shared" si="4"/>
        <v>EE10199|INFORME 08/26</v>
      </c>
      <c r="J180" t="str">
        <f t="shared" si="5"/>
        <v>SÍ</v>
      </c>
    </row>
    <row r="181" spans="1:10" ht="28.8" x14ac:dyDescent="0.3">
      <c r="A181" s="1" t="s">
        <v>318</v>
      </c>
      <c r="B181" s="1" t="s">
        <v>319</v>
      </c>
      <c r="C181" s="1" t="s">
        <v>258</v>
      </c>
      <c r="D181" s="22">
        <v>46485.912986111107</v>
      </c>
      <c r="E181" s="1" t="s">
        <v>10</v>
      </c>
      <c r="F181" s="3">
        <v>388.32799999999997</v>
      </c>
      <c r="G181" s="1" t="s">
        <v>40</v>
      </c>
      <c r="H181" s="2"/>
      <c r="I181" t="str">
        <f t="shared" si="4"/>
        <v>EE10021-1|INFORME 01/26</v>
      </c>
      <c r="J181" t="str">
        <f t="shared" si="5"/>
        <v>SÍ</v>
      </c>
    </row>
    <row r="182" spans="1:10" ht="28.8" x14ac:dyDescent="0.3">
      <c r="A182" s="1" t="s">
        <v>320</v>
      </c>
      <c r="B182" s="1" t="s">
        <v>321</v>
      </c>
      <c r="C182" s="1" t="s">
        <v>258</v>
      </c>
      <c r="D182" s="22">
        <v>46483.933541666673</v>
      </c>
      <c r="E182" s="1" t="s">
        <v>10</v>
      </c>
      <c r="F182" s="3">
        <v>327.43799999999999</v>
      </c>
      <c r="G182" s="1" t="s">
        <v>40</v>
      </c>
      <c r="H182" s="2"/>
      <c r="I182" t="str">
        <f t="shared" si="4"/>
        <v>EE10041|INFORME 01/26</v>
      </c>
      <c r="J182" t="str">
        <f t="shared" si="5"/>
        <v>SÍ</v>
      </c>
    </row>
    <row r="183" spans="1:10" ht="28.8" x14ac:dyDescent="0.3">
      <c r="A183" s="1" t="s">
        <v>241</v>
      </c>
      <c r="B183" s="1" t="s">
        <v>242</v>
      </c>
      <c r="C183" s="1" t="s">
        <v>258</v>
      </c>
      <c r="D183" s="22">
        <v>46485.936898148153</v>
      </c>
      <c r="E183" s="1" t="s">
        <v>10</v>
      </c>
      <c r="F183" s="3">
        <v>526.79</v>
      </c>
      <c r="G183" s="1" t="s">
        <v>40</v>
      </c>
      <c r="H183" s="2"/>
      <c r="I183" t="str">
        <f t="shared" si="4"/>
        <v>EE10228|INFORME 01/26</v>
      </c>
      <c r="J183" t="str">
        <f t="shared" si="5"/>
        <v>SÍ</v>
      </c>
    </row>
    <row r="184" spans="1:10" ht="28.8" x14ac:dyDescent="0.3">
      <c r="A184" s="1" t="s">
        <v>243</v>
      </c>
      <c r="B184" s="1" t="s">
        <v>244</v>
      </c>
      <c r="C184" s="1" t="s">
        <v>258</v>
      </c>
      <c r="D184" s="22">
        <v>46485.937164351853</v>
      </c>
      <c r="E184" s="1" t="s">
        <v>10</v>
      </c>
      <c r="F184" s="3">
        <v>560.34</v>
      </c>
      <c r="G184" s="1" t="s">
        <v>40</v>
      </c>
      <c r="H184" s="2"/>
      <c r="I184" t="str">
        <f t="shared" si="4"/>
        <v>EE10231|INFORME 01/26</v>
      </c>
      <c r="J184" t="str">
        <f t="shared" si="5"/>
        <v>SÍ</v>
      </c>
    </row>
    <row r="185" spans="1:10" ht="28.8" x14ac:dyDescent="0.3">
      <c r="A185" s="1" t="s">
        <v>322</v>
      </c>
      <c r="B185" s="1" t="s">
        <v>323</v>
      </c>
      <c r="C185" s="1" t="s">
        <v>258</v>
      </c>
      <c r="D185" s="22">
        <v>46485.943402777782</v>
      </c>
      <c r="E185" s="1" t="s">
        <v>10</v>
      </c>
      <c r="F185" s="3">
        <v>357.89</v>
      </c>
      <c r="G185" s="1" t="s">
        <v>40</v>
      </c>
      <c r="H185" s="2"/>
      <c r="I185" t="str">
        <f t="shared" si="4"/>
        <v>EE10235|INFORME 01/26</v>
      </c>
      <c r="J185" t="str">
        <f t="shared" si="5"/>
        <v>SÍ</v>
      </c>
    </row>
    <row r="186" spans="1:10" ht="28.8" x14ac:dyDescent="0.3">
      <c r="A186" s="1" t="s">
        <v>324</v>
      </c>
      <c r="B186" s="1" t="s">
        <v>325</v>
      </c>
      <c r="C186" s="1" t="s">
        <v>258</v>
      </c>
      <c r="D186" s="22">
        <v>46485.943680555552</v>
      </c>
      <c r="E186" s="1" t="s">
        <v>10</v>
      </c>
      <c r="F186" s="3">
        <v>459.78</v>
      </c>
      <c r="G186" s="1" t="s">
        <v>40</v>
      </c>
      <c r="H186" s="2"/>
      <c r="I186" t="str">
        <f t="shared" si="4"/>
        <v>EE10238|INFORME 01/26</v>
      </c>
      <c r="J186" t="str">
        <f t="shared" si="5"/>
        <v>SÍ</v>
      </c>
    </row>
    <row r="187" spans="1:10" ht="28.8" x14ac:dyDescent="0.3">
      <c r="A187" s="1" t="s">
        <v>326</v>
      </c>
      <c r="B187" s="1" t="s">
        <v>327</v>
      </c>
      <c r="C187" s="1" t="s">
        <v>258</v>
      </c>
      <c r="D187" s="22">
        <v>46485.944016203714</v>
      </c>
      <c r="E187" s="1" t="s">
        <v>10</v>
      </c>
      <c r="F187" s="3">
        <v>389.54</v>
      </c>
      <c r="G187" s="1" t="s">
        <v>40</v>
      </c>
      <c r="H187" s="2"/>
      <c r="I187" t="str">
        <f t="shared" si="4"/>
        <v>EE10236|INFORME 01/26</v>
      </c>
      <c r="J187" t="str">
        <f t="shared" si="5"/>
        <v>SÍ</v>
      </c>
    </row>
    <row r="188" spans="1:10" ht="28.8" x14ac:dyDescent="0.3">
      <c r="A188" s="1" t="s">
        <v>578</v>
      </c>
      <c r="B188" s="1" t="s">
        <v>747</v>
      </c>
      <c r="C188" s="1" t="s">
        <v>918</v>
      </c>
      <c r="D188" s="22">
        <v>46429.140925925924</v>
      </c>
      <c r="E188" s="1" t="s">
        <v>1637</v>
      </c>
      <c r="F188" s="3">
        <v>14.75</v>
      </c>
      <c r="G188" s="1" t="s">
        <v>2168</v>
      </c>
      <c r="H188" s="2"/>
      <c r="I188" t="str">
        <f t="shared" si="4"/>
        <v>TC0091PE|SN-10126-E3</v>
      </c>
      <c r="J188" t="str">
        <f t="shared" si="5"/>
        <v>SÍ</v>
      </c>
    </row>
    <row r="189" spans="1:10" ht="28.8" x14ac:dyDescent="0.3">
      <c r="A189" s="1" t="s">
        <v>578</v>
      </c>
      <c r="B189" s="1" t="s">
        <v>747</v>
      </c>
      <c r="C189" s="1" t="s">
        <v>919</v>
      </c>
      <c r="D189" s="22">
        <v>46429.140798611108</v>
      </c>
      <c r="E189" s="1" t="s">
        <v>1637</v>
      </c>
      <c r="F189" s="3">
        <v>21</v>
      </c>
      <c r="G189" s="1" t="s">
        <v>2168</v>
      </c>
      <c r="H189" s="2"/>
      <c r="I189" t="str">
        <f t="shared" si="4"/>
        <v>TC0091PE|SN-10126-E4</v>
      </c>
      <c r="J189" t="str">
        <f t="shared" si="5"/>
        <v>SÍ</v>
      </c>
    </row>
    <row r="190" spans="1:10" ht="28.8" x14ac:dyDescent="0.3">
      <c r="A190" s="1" t="s">
        <v>578</v>
      </c>
      <c r="B190" s="1" t="s">
        <v>747</v>
      </c>
      <c r="C190" s="1" t="s">
        <v>920</v>
      </c>
      <c r="D190" s="22">
        <v>46433.109756944446</v>
      </c>
      <c r="E190" s="1" t="s">
        <v>1637</v>
      </c>
      <c r="F190" s="3">
        <v>2</v>
      </c>
      <c r="G190" s="1" t="s">
        <v>2168</v>
      </c>
      <c r="H190" s="2"/>
      <c r="I190" t="str">
        <f t="shared" si="4"/>
        <v>TC0091PE|SN-10526-E2</v>
      </c>
      <c r="J190" t="str">
        <f t="shared" si="5"/>
        <v>SÍ</v>
      </c>
    </row>
    <row r="191" spans="1:10" ht="28.8" x14ac:dyDescent="0.3">
      <c r="A191" s="1" t="s">
        <v>578</v>
      </c>
      <c r="B191" s="1" t="s">
        <v>747</v>
      </c>
      <c r="C191" s="1" t="s">
        <v>921</v>
      </c>
      <c r="D191" s="22">
        <v>46427.486064814817</v>
      </c>
      <c r="E191" s="1" t="s">
        <v>1637</v>
      </c>
      <c r="F191" s="3">
        <v>8</v>
      </c>
      <c r="G191" s="1" t="s">
        <v>2168</v>
      </c>
      <c r="H191" s="2"/>
      <c r="I191" t="str">
        <f t="shared" si="4"/>
        <v>TC0091PE|SN-10526-E1</v>
      </c>
      <c r="J191" t="str">
        <f t="shared" si="5"/>
        <v>SÍ</v>
      </c>
    </row>
    <row r="192" spans="1:10" ht="28.8" x14ac:dyDescent="0.3">
      <c r="A192" s="1" t="s">
        <v>578</v>
      </c>
      <c r="B192" s="1" t="s">
        <v>747</v>
      </c>
      <c r="C192" s="1" t="s">
        <v>922</v>
      </c>
      <c r="D192" s="22">
        <v>46434.06459490741</v>
      </c>
      <c r="E192" s="1" t="s">
        <v>1637</v>
      </c>
      <c r="F192" s="3">
        <v>10</v>
      </c>
      <c r="G192" s="1" t="s">
        <v>2168</v>
      </c>
      <c r="H192" s="2"/>
      <c r="I192" t="str">
        <f t="shared" si="4"/>
        <v>TC0091PE|SN-10626-E1</v>
      </c>
      <c r="J192" t="str">
        <f t="shared" si="5"/>
        <v>SÍ</v>
      </c>
    </row>
    <row r="193" spans="1:10" ht="28.8" x14ac:dyDescent="0.3">
      <c r="A193" s="1" t="s">
        <v>578</v>
      </c>
      <c r="B193" s="1" t="s">
        <v>747</v>
      </c>
      <c r="C193" s="1" t="s">
        <v>923</v>
      </c>
      <c r="D193" s="22">
        <v>46428.065532407411</v>
      </c>
      <c r="E193" s="1" t="s">
        <v>1637</v>
      </c>
      <c r="F193" s="3">
        <v>6</v>
      </c>
      <c r="G193" s="1" t="s">
        <v>2168</v>
      </c>
      <c r="H193" s="2"/>
      <c r="I193" t="str">
        <f t="shared" si="4"/>
        <v>TC0091PE|SN-10626-E3</v>
      </c>
      <c r="J193" t="str">
        <f t="shared" si="5"/>
        <v>SÍ</v>
      </c>
    </row>
    <row r="194" spans="1:10" ht="28.8" x14ac:dyDescent="0.3">
      <c r="A194" s="1" t="s">
        <v>578</v>
      </c>
      <c r="B194" s="1" t="s">
        <v>747</v>
      </c>
      <c r="C194" s="1" t="s">
        <v>924</v>
      </c>
      <c r="D194" s="22">
        <v>46435.110879629632</v>
      </c>
      <c r="E194" s="1" t="s">
        <v>1637</v>
      </c>
      <c r="F194" s="3">
        <v>15</v>
      </c>
      <c r="G194" s="1" t="s">
        <v>2168</v>
      </c>
      <c r="H194" s="2"/>
      <c r="I194" t="str">
        <f t="shared" ref="I194:I257" si="6">IF(A194="","",A194&amp;"|"&amp;C194)</f>
        <v>TC0091PE|SN-10726-E1</v>
      </c>
      <c r="J194" t="str">
        <f t="shared" ref="J194:J257" si="7">IF(A194&lt;&gt;"","SÍ","NO")</f>
        <v>SÍ</v>
      </c>
    </row>
    <row r="195" spans="1:10" ht="28.8" x14ac:dyDescent="0.3">
      <c r="A195" s="1" t="s">
        <v>578</v>
      </c>
      <c r="B195" s="1" t="s">
        <v>747</v>
      </c>
      <c r="C195" s="1" t="s">
        <v>925</v>
      </c>
      <c r="D195" s="22">
        <v>46435.109895833331</v>
      </c>
      <c r="E195" s="1" t="s">
        <v>1637</v>
      </c>
      <c r="F195" s="3">
        <v>14</v>
      </c>
      <c r="G195" s="1" t="s">
        <v>2168</v>
      </c>
      <c r="H195" s="2"/>
      <c r="I195" t="str">
        <f t="shared" si="6"/>
        <v>TC0091PE|SN-10726-E2</v>
      </c>
      <c r="J195" t="str">
        <f t="shared" si="7"/>
        <v>SÍ</v>
      </c>
    </row>
    <row r="196" spans="1:10" ht="28.8" x14ac:dyDescent="0.3">
      <c r="A196" s="1" t="s">
        <v>107</v>
      </c>
      <c r="B196" s="1" t="s">
        <v>108</v>
      </c>
      <c r="C196" s="1" t="s">
        <v>328</v>
      </c>
      <c r="D196" s="22">
        <v>45838.502951388888</v>
      </c>
      <c r="E196" s="1" t="s">
        <v>10</v>
      </c>
      <c r="F196" s="3">
        <v>0.4</v>
      </c>
      <c r="G196" s="1" t="s">
        <v>40</v>
      </c>
      <c r="H196" s="2"/>
      <c r="I196" t="str">
        <f t="shared" si="6"/>
        <v>EE10022|INFORME 12</v>
      </c>
      <c r="J196" t="str">
        <f t="shared" si="7"/>
        <v>SÍ</v>
      </c>
    </row>
    <row r="197" spans="1:10" ht="28.8" x14ac:dyDescent="0.3">
      <c r="A197" s="1" t="s">
        <v>578</v>
      </c>
      <c r="B197" s="1" t="s">
        <v>747</v>
      </c>
      <c r="C197" s="1" t="s">
        <v>926</v>
      </c>
      <c r="D197" s="22">
        <v>46436.283379629633</v>
      </c>
      <c r="E197" s="1" t="s">
        <v>1637</v>
      </c>
      <c r="F197" s="3">
        <v>5</v>
      </c>
      <c r="G197" s="1" t="s">
        <v>2168</v>
      </c>
      <c r="H197" s="2"/>
      <c r="I197" t="str">
        <f t="shared" si="6"/>
        <v>TC0091PE|SN-10826-E2</v>
      </c>
      <c r="J197" t="str">
        <f t="shared" si="7"/>
        <v>SÍ</v>
      </c>
    </row>
    <row r="198" spans="1:10" ht="28.8" x14ac:dyDescent="0.3">
      <c r="A198" s="1" t="s">
        <v>578</v>
      </c>
      <c r="B198" s="1" t="s">
        <v>747</v>
      </c>
      <c r="C198" s="1" t="s">
        <v>927</v>
      </c>
      <c r="D198" s="22">
        <v>46430.49355324074</v>
      </c>
      <c r="E198" s="1" t="s">
        <v>1637</v>
      </c>
      <c r="F198" s="3">
        <v>10</v>
      </c>
      <c r="G198" s="1" t="s">
        <v>2168</v>
      </c>
      <c r="H198" s="2"/>
      <c r="I198" t="str">
        <f t="shared" si="6"/>
        <v>TC0091PE|SN-10826-E3</v>
      </c>
      <c r="J198" t="str">
        <f t="shared" si="7"/>
        <v>SÍ</v>
      </c>
    </row>
    <row r="199" spans="1:10" ht="28.8" x14ac:dyDescent="0.3">
      <c r="A199" s="1" t="s">
        <v>578</v>
      </c>
      <c r="B199" s="1" t="s">
        <v>747</v>
      </c>
      <c r="C199" s="1" t="s">
        <v>928</v>
      </c>
      <c r="D199" s="22">
        <v>46437.241909722223</v>
      </c>
      <c r="E199" s="1" t="s">
        <v>1637</v>
      </c>
      <c r="F199" s="3">
        <v>4</v>
      </c>
      <c r="G199" s="1" t="s">
        <v>2168</v>
      </c>
      <c r="H199" s="2"/>
      <c r="I199" t="str">
        <f t="shared" si="6"/>
        <v>TC0091PE|SN-10926-E2</v>
      </c>
      <c r="J199" t="str">
        <f t="shared" si="7"/>
        <v>SÍ</v>
      </c>
    </row>
    <row r="200" spans="1:10" ht="28.8" x14ac:dyDescent="0.3">
      <c r="A200" s="1" t="s">
        <v>578</v>
      </c>
      <c r="B200" s="1" t="s">
        <v>747</v>
      </c>
      <c r="C200" s="1" t="s">
        <v>929</v>
      </c>
      <c r="D200" s="22">
        <v>46439.238854166673</v>
      </c>
      <c r="E200" s="1" t="s">
        <v>1637</v>
      </c>
      <c r="F200" s="3">
        <v>17</v>
      </c>
      <c r="G200" s="1" t="s">
        <v>2168</v>
      </c>
      <c r="H200" s="2"/>
      <c r="I200" t="str">
        <f t="shared" si="6"/>
        <v>TC0091PE|SN-11126-E2</v>
      </c>
      <c r="J200" t="str">
        <f t="shared" si="7"/>
        <v>SÍ</v>
      </c>
    </row>
    <row r="201" spans="1:10" ht="28.8" x14ac:dyDescent="0.3">
      <c r="A201" s="1" t="s">
        <v>578</v>
      </c>
      <c r="B201" s="1" t="s">
        <v>747</v>
      </c>
      <c r="C201" s="1" t="s">
        <v>930</v>
      </c>
      <c r="D201" s="22">
        <v>46439.242395833331</v>
      </c>
      <c r="E201" s="1" t="s">
        <v>1637</v>
      </c>
      <c r="F201" s="3">
        <v>2</v>
      </c>
      <c r="G201" s="1" t="s">
        <v>2168</v>
      </c>
      <c r="H201" s="2"/>
      <c r="I201" t="str">
        <f t="shared" si="6"/>
        <v>TC0091PE|SN-11126-E3</v>
      </c>
      <c r="J201" t="str">
        <f t="shared" si="7"/>
        <v>SÍ</v>
      </c>
    </row>
    <row r="202" spans="1:10" ht="28.8" x14ac:dyDescent="0.3">
      <c r="A202" s="1" t="s">
        <v>578</v>
      </c>
      <c r="B202" s="1" t="s">
        <v>747</v>
      </c>
      <c r="C202" s="1" t="s">
        <v>931</v>
      </c>
      <c r="D202" s="22">
        <v>46434.197881944441</v>
      </c>
      <c r="E202" s="1" t="s">
        <v>1637</v>
      </c>
      <c r="F202" s="3">
        <v>1</v>
      </c>
      <c r="G202" s="1" t="s">
        <v>2168</v>
      </c>
      <c r="H202" s="2"/>
      <c r="I202" t="str">
        <f t="shared" si="6"/>
        <v>TC0091PE|SN-11226-E3</v>
      </c>
      <c r="J202" t="str">
        <f t="shared" si="7"/>
        <v>SÍ</v>
      </c>
    </row>
    <row r="203" spans="1:10" ht="28.8" x14ac:dyDescent="0.3">
      <c r="A203" s="1" t="s">
        <v>578</v>
      </c>
      <c r="B203" s="1" t="s">
        <v>747</v>
      </c>
      <c r="C203" s="1" t="s">
        <v>932</v>
      </c>
      <c r="D203" s="22">
        <v>46434.201840277783</v>
      </c>
      <c r="E203" s="1" t="s">
        <v>1637</v>
      </c>
      <c r="F203" s="3">
        <v>3</v>
      </c>
      <c r="G203" s="1" t="s">
        <v>2168</v>
      </c>
      <c r="H203" s="2"/>
      <c r="I203" t="str">
        <f t="shared" si="6"/>
        <v>TC0091PE|SN-11226-E4</v>
      </c>
      <c r="J203" t="str">
        <f t="shared" si="7"/>
        <v>SÍ</v>
      </c>
    </row>
    <row r="204" spans="1:10" ht="28.8" x14ac:dyDescent="0.3">
      <c r="A204" s="1" t="s">
        <v>278</v>
      </c>
      <c r="B204" s="1" t="s">
        <v>279</v>
      </c>
      <c r="C204" s="1" t="s">
        <v>270</v>
      </c>
      <c r="D204" s="22">
        <v>46500.663888888892</v>
      </c>
      <c r="E204" s="1" t="s">
        <v>10</v>
      </c>
      <c r="F204" s="3">
        <v>456.17399999999998</v>
      </c>
      <c r="G204" s="1" t="s">
        <v>40</v>
      </c>
      <c r="H204" s="2"/>
      <c r="I204" t="str">
        <f t="shared" si="6"/>
        <v>EE10229|INFORME 02/26</v>
      </c>
      <c r="J204" t="str">
        <f t="shared" si="7"/>
        <v>SÍ</v>
      </c>
    </row>
    <row r="205" spans="1:10" ht="28.8" x14ac:dyDescent="0.3">
      <c r="A205" s="1" t="s">
        <v>329</v>
      </c>
      <c r="B205" s="1" t="s">
        <v>330</v>
      </c>
      <c r="C205" s="1" t="s">
        <v>258</v>
      </c>
      <c r="D205" s="22">
        <v>46503.667870370373</v>
      </c>
      <c r="E205" s="1" t="s">
        <v>10</v>
      </c>
      <c r="F205" s="3">
        <v>210.02</v>
      </c>
      <c r="G205" s="1" t="s">
        <v>40</v>
      </c>
      <c r="H205" s="2"/>
      <c r="I205" t="str">
        <f t="shared" si="6"/>
        <v>EE10032|INFORME 01/26</v>
      </c>
      <c r="J205" t="str">
        <f t="shared" si="7"/>
        <v>SÍ</v>
      </c>
    </row>
    <row r="206" spans="1:10" ht="28.8" x14ac:dyDescent="0.3">
      <c r="A206" s="1" t="s">
        <v>331</v>
      </c>
      <c r="B206" s="1" t="s">
        <v>332</v>
      </c>
      <c r="C206" s="1" t="s">
        <v>258</v>
      </c>
      <c r="D206" s="22">
        <v>46500.668124999997</v>
      </c>
      <c r="E206" s="1" t="s">
        <v>10</v>
      </c>
      <c r="F206" s="3">
        <v>33.658999999999999</v>
      </c>
      <c r="G206" s="1" t="s">
        <v>40</v>
      </c>
      <c r="H206" s="2"/>
      <c r="I206" t="str">
        <f t="shared" si="6"/>
        <v>EE10035|INFORME 01/26</v>
      </c>
      <c r="J206" t="str">
        <f t="shared" si="7"/>
        <v>SÍ</v>
      </c>
    </row>
    <row r="207" spans="1:10" ht="28.8" x14ac:dyDescent="0.3">
      <c r="A207" s="1" t="s">
        <v>578</v>
      </c>
      <c r="B207" s="1" t="s">
        <v>747</v>
      </c>
      <c r="C207" s="1" t="s">
        <v>933</v>
      </c>
      <c r="D207" s="22">
        <v>46438.483912037038</v>
      </c>
      <c r="E207" s="1" t="s">
        <v>1637</v>
      </c>
      <c r="F207" s="3">
        <v>36</v>
      </c>
      <c r="G207" s="1" t="s">
        <v>2168</v>
      </c>
      <c r="H207" s="2"/>
      <c r="I207" t="str">
        <f t="shared" si="6"/>
        <v>TC0091PE|SN-11626-E7</v>
      </c>
      <c r="J207" t="str">
        <f t="shared" si="7"/>
        <v>SÍ</v>
      </c>
    </row>
    <row r="208" spans="1:10" ht="28.8" x14ac:dyDescent="0.3">
      <c r="A208" s="1" t="s">
        <v>333</v>
      </c>
      <c r="B208" s="1" t="s">
        <v>334</v>
      </c>
      <c r="C208" s="1" t="s">
        <v>270</v>
      </c>
      <c r="D208" s="22">
        <v>46490.011574074073</v>
      </c>
      <c r="E208" s="1" t="s">
        <v>10</v>
      </c>
      <c r="F208" s="3">
        <v>30.808</v>
      </c>
      <c r="G208" s="1" t="s">
        <v>40</v>
      </c>
      <c r="H208" s="2"/>
      <c r="I208" t="str">
        <f t="shared" si="6"/>
        <v>MP10019-1|INFORME 02/26</v>
      </c>
      <c r="J208" t="str">
        <f t="shared" si="7"/>
        <v>SÍ</v>
      </c>
    </row>
    <row r="209" spans="1:10" ht="28.8" x14ac:dyDescent="0.3">
      <c r="A209" s="1" t="s">
        <v>579</v>
      </c>
      <c r="B209" s="1" t="s">
        <v>748</v>
      </c>
      <c r="C209" s="1" t="s">
        <v>934</v>
      </c>
      <c r="D209" s="22">
        <v>46486.219918981478</v>
      </c>
      <c r="E209" s="1" t="s">
        <v>1638</v>
      </c>
      <c r="F209" s="3">
        <v>25.5486</v>
      </c>
      <c r="G209" s="1" t="s">
        <v>2167</v>
      </c>
      <c r="H209" s="2"/>
      <c r="I209" t="str">
        <f t="shared" si="6"/>
        <v>TQ0035PE|QN-09926-E5</v>
      </c>
      <c r="J209" t="str">
        <f t="shared" si="7"/>
        <v>SÍ</v>
      </c>
    </row>
    <row r="210" spans="1:10" ht="28.8" x14ac:dyDescent="0.3">
      <c r="A210" s="1" t="s">
        <v>580</v>
      </c>
      <c r="B210" s="1" t="s">
        <v>749</v>
      </c>
      <c r="C210" s="1" t="s">
        <v>935</v>
      </c>
      <c r="D210" s="22">
        <v>46436.080393518518</v>
      </c>
      <c r="E210" s="1" t="s">
        <v>1638</v>
      </c>
      <c r="F210" s="3">
        <v>19</v>
      </c>
      <c r="G210" s="1" t="s">
        <v>2166</v>
      </c>
      <c r="H210" s="2"/>
      <c r="I210" t="str">
        <f t="shared" si="6"/>
        <v>TC0004PE|SC-10826-E7</v>
      </c>
      <c r="J210" t="str">
        <f t="shared" si="7"/>
        <v>SÍ</v>
      </c>
    </row>
    <row r="211" spans="1:10" ht="28.8" x14ac:dyDescent="0.3">
      <c r="A211" s="1" t="s">
        <v>581</v>
      </c>
      <c r="B211" s="1" t="s">
        <v>750</v>
      </c>
      <c r="C211" s="1" t="s">
        <v>936</v>
      </c>
      <c r="D211" s="22">
        <v>46429.874675925923</v>
      </c>
      <c r="E211" s="1" t="s">
        <v>1638</v>
      </c>
      <c r="F211" s="3">
        <v>19</v>
      </c>
      <c r="G211" s="1" t="s">
        <v>2168</v>
      </c>
      <c r="H211" s="2"/>
      <c r="I211" t="str">
        <f t="shared" si="6"/>
        <v>TC0008MX|PJ-07026-E4</v>
      </c>
      <c r="J211" t="str">
        <f t="shared" si="7"/>
        <v>SÍ</v>
      </c>
    </row>
    <row r="212" spans="1:10" ht="28.8" x14ac:dyDescent="0.3">
      <c r="A212" s="1" t="s">
        <v>582</v>
      </c>
      <c r="B212" s="1" t="s">
        <v>751</v>
      </c>
      <c r="C212" s="1" t="s">
        <v>937</v>
      </c>
      <c r="D212" s="22">
        <v>46332</v>
      </c>
      <c r="E212" s="1" t="s">
        <v>1638</v>
      </c>
      <c r="F212" s="3">
        <v>15</v>
      </c>
      <c r="G212" s="1" t="s">
        <v>2166</v>
      </c>
      <c r="H212" s="2"/>
      <c r="I212" t="str">
        <f t="shared" si="6"/>
        <v>TC0006PE|SN-00626-E7T1</v>
      </c>
      <c r="J212" t="str">
        <f t="shared" si="7"/>
        <v>SÍ</v>
      </c>
    </row>
    <row r="213" spans="1:10" ht="28.8" x14ac:dyDescent="0.3">
      <c r="A213" s="1" t="s">
        <v>578</v>
      </c>
      <c r="B213" s="1" t="s">
        <v>747</v>
      </c>
      <c r="C213" s="1" t="s">
        <v>938</v>
      </c>
      <c r="D213" s="22">
        <v>46360.037905092591</v>
      </c>
      <c r="E213" s="1" t="s">
        <v>1638</v>
      </c>
      <c r="F213" s="3">
        <v>7.45</v>
      </c>
      <c r="G213" s="1" t="s">
        <v>2168</v>
      </c>
      <c r="H213" s="2"/>
      <c r="I213" t="str">
        <f t="shared" si="6"/>
        <v>TC0091PE|SN-03526-E4</v>
      </c>
      <c r="J213" t="str">
        <f t="shared" si="7"/>
        <v>SÍ</v>
      </c>
    </row>
    <row r="214" spans="1:10" ht="28.8" x14ac:dyDescent="0.3">
      <c r="A214" s="1" t="s">
        <v>579</v>
      </c>
      <c r="B214" s="1" t="s">
        <v>748</v>
      </c>
      <c r="C214" s="1" t="s">
        <v>939</v>
      </c>
      <c r="D214" s="22">
        <v>46488.187997685192</v>
      </c>
      <c r="E214" s="1" t="s">
        <v>1638</v>
      </c>
      <c r="F214" s="3">
        <v>7.5556000000000001</v>
      </c>
      <c r="G214" s="1" t="s">
        <v>2167</v>
      </c>
      <c r="H214" s="2"/>
      <c r="I214" t="str">
        <f t="shared" si="6"/>
        <v>TQ0035PE|QN-10126-E5</v>
      </c>
      <c r="J214" t="str">
        <f t="shared" si="7"/>
        <v>SÍ</v>
      </c>
    </row>
    <row r="215" spans="1:10" ht="28.8" x14ac:dyDescent="0.3">
      <c r="A215" s="1" t="s">
        <v>582</v>
      </c>
      <c r="B215" s="1" t="s">
        <v>751</v>
      </c>
      <c r="C215" s="1" t="s">
        <v>940</v>
      </c>
      <c r="D215" s="22">
        <v>46425.732974537037</v>
      </c>
      <c r="E215" s="1" t="s">
        <v>1638</v>
      </c>
      <c r="F215" s="3">
        <v>7</v>
      </c>
      <c r="G215" s="1" t="s">
        <v>2166</v>
      </c>
      <c r="H215" s="2"/>
      <c r="I215" t="str">
        <f t="shared" si="6"/>
        <v>TC0006PE|SN-10326-E3</v>
      </c>
      <c r="J215" t="str">
        <f t="shared" si="7"/>
        <v>SÍ</v>
      </c>
    </row>
    <row r="216" spans="1:10" ht="43.2" x14ac:dyDescent="0.3">
      <c r="A216" s="1" t="s">
        <v>583</v>
      </c>
      <c r="B216" s="1" t="s">
        <v>752</v>
      </c>
      <c r="C216" s="1" t="s">
        <v>941</v>
      </c>
      <c r="D216" s="22">
        <v>46419</v>
      </c>
      <c r="E216" s="1" t="s">
        <v>1638</v>
      </c>
      <c r="F216" s="3">
        <v>6</v>
      </c>
      <c r="G216" s="1" t="s">
        <v>2166</v>
      </c>
      <c r="H216" s="2"/>
      <c r="I216" t="str">
        <f t="shared" si="6"/>
        <v>TC0016PE|SN-09126-E5</v>
      </c>
      <c r="J216" t="str">
        <f t="shared" si="7"/>
        <v>SÍ</v>
      </c>
    </row>
    <row r="217" spans="1:10" ht="28.8" x14ac:dyDescent="0.3">
      <c r="A217" s="1" t="s">
        <v>584</v>
      </c>
      <c r="B217" s="1" t="s">
        <v>753</v>
      </c>
      <c r="C217" s="1" t="s">
        <v>942</v>
      </c>
      <c r="D217" s="22">
        <v>46442.918865740743</v>
      </c>
      <c r="E217" s="1" t="s">
        <v>1638</v>
      </c>
      <c r="F217" s="3">
        <v>6</v>
      </c>
      <c r="G217" s="1" t="s">
        <v>2169</v>
      </c>
      <c r="H217" s="2"/>
      <c r="I217" t="str">
        <f t="shared" si="6"/>
        <v>TQ0038PE|QB-05526-E10</v>
      </c>
      <c r="J217" t="str">
        <f t="shared" si="7"/>
        <v>SÍ</v>
      </c>
    </row>
    <row r="218" spans="1:10" ht="28.8" x14ac:dyDescent="0.3">
      <c r="A218" s="1" t="s">
        <v>579</v>
      </c>
      <c r="B218" s="1" t="s">
        <v>748</v>
      </c>
      <c r="C218" s="1" t="s">
        <v>943</v>
      </c>
      <c r="D218" s="22">
        <v>46249.290613425917</v>
      </c>
      <c r="E218" s="1" t="s">
        <v>1638</v>
      </c>
      <c r="F218" s="3">
        <v>4.7222</v>
      </c>
      <c r="G218" s="1" t="s">
        <v>2167</v>
      </c>
      <c r="H218" s="2"/>
      <c r="I218" t="str">
        <f t="shared" si="6"/>
        <v>TQ0035PE|QN-09826-E5</v>
      </c>
      <c r="J218" t="str">
        <f t="shared" si="7"/>
        <v>SÍ</v>
      </c>
    </row>
    <row r="219" spans="1:10" ht="28.8" x14ac:dyDescent="0.3">
      <c r="A219" s="1" t="s">
        <v>585</v>
      </c>
      <c r="B219" s="1" t="s">
        <v>754</v>
      </c>
      <c r="C219" s="1" t="s">
        <v>944</v>
      </c>
      <c r="D219" s="22">
        <v>46327.410393518519</v>
      </c>
      <c r="E219" s="1" t="s">
        <v>1638</v>
      </c>
      <c r="F219" s="3">
        <v>1</v>
      </c>
      <c r="G219" s="1" t="s">
        <v>2169</v>
      </c>
      <c r="H219" s="2"/>
      <c r="I219" t="str">
        <f t="shared" si="6"/>
        <v>TQ0037PE|QN-31025</v>
      </c>
      <c r="J219" t="str">
        <f t="shared" si="7"/>
        <v>SÍ</v>
      </c>
    </row>
    <row r="220" spans="1:10" ht="28.8" x14ac:dyDescent="0.3">
      <c r="A220" s="1" t="s">
        <v>584</v>
      </c>
      <c r="B220" s="1" t="s">
        <v>753</v>
      </c>
      <c r="C220" s="1" t="s">
        <v>945</v>
      </c>
      <c r="D220" s="22">
        <v>46488.010358796288</v>
      </c>
      <c r="E220" s="1" t="s">
        <v>1638</v>
      </c>
      <c r="F220" s="3">
        <v>3</v>
      </c>
      <c r="G220" s="1" t="s">
        <v>2169</v>
      </c>
      <c r="H220" s="2"/>
      <c r="I220" t="str">
        <f t="shared" si="6"/>
        <v>TQ0038PE|QB-10126-E5</v>
      </c>
      <c r="J220" t="str">
        <f t="shared" si="7"/>
        <v>SÍ</v>
      </c>
    </row>
    <row r="221" spans="1:10" ht="28.8" x14ac:dyDescent="0.3">
      <c r="A221" s="1" t="s">
        <v>586</v>
      </c>
      <c r="B221" s="1" t="s">
        <v>755</v>
      </c>
      <c r="C221" s="1" t="s">
        <v>946</v>
      </c>
      <c r="D221" s="22">
        <v>46432.174756944441</v>
      </c>
      <c r="E221" s="1" t="s">
        <v>1638</v>
      </c>
      <c r="F221" s="3">
        <v>1</v>
      </c>
      <c r="G221" s="1" t="s">
        <v>2169</v>
      </c>
      <c r="H221" s="2"/>
      <c r="I221" t="str">
        <f t="shared" si="6"/>
        <v>TC0082PE|SN-10426-E2</v>
      </c>
      <c r="J221" t="str">
        <f t="shared" si="7"/>
        <v>SÍ</v>
      </c>
    </row>
    <row r="222" spans="1:10" ht="43.2" x14ac:dyDescent="0.3">
      <c r="A222" s="1" t="s">
        <v>583</v>
      </c>
      <c r="B222" s="1" t="s">
        <v>752</v>
      </c>
      <c r="C222" s="1" t="s">
        <v>947</v>
      </c>
      <c r="D222" s="22">
        <v>46418.345706018517</v>
      </c>
      <c r="E222" s="1" t="s">
        <v>1638</v>
      </c>
      <c r="F222" s="3">
        <v>1</v>
      </c>
      <c r="G222" s="1" t="s">
        <v>2166</v>
      </c>
      <c r="H222" s="2"/>
      <c r="I222" t="str">
        <f t="shared" si="6"/>
        <v>TC0016PE|SN-09226-E7</v>
      </c>
      <c r="J222" t="str">
        <f t="shared" si="7"/>
        <v>SÍ</v>
      </c>
    </row>
    <row r="223" spans="1:10" ht="28.8" x14ac:dyDescent="0.3">
      <c r="A223" s="1" t="s">
        <v>587</v>
      </c>
      <c r="B223" s="1" t="s">
        <v>756</v>
      </c>
      <c r="C223" s="1" t="s">
        <v>948</v>
      </c>
      <c r="D223" s="22">
        <v>46362.141400462962</v>
      </c>
      <c r="E223" s="1" t="s">
        <v>1638</v>
      </c>
      <c r="F223" s="3">
        <v>2</v>
      </c>
      <c r="G223" s="1" t="s">
        <v>2168</v>
      </c>
      <c r="H223" s="2"/>
      <c r="I223" t="str">
        <f t="shared" si="6"/>
        <v>TC0099PE|SP-03726-E1</v>
      </c>
      <c r="J223" t="str">
        <f t="shared" si="7"/>
        <v>SÍ</v>
      </c>
    </row>
    <row r="224" spans="1:10" ht="28.8" x14ac:dyDescent="0.3">
      <c r="A224" s="1" t="s">
        <v>588</v>
      </c>
      <c r="B224" s="1" t="s">
        <v>757</v>
      </c>
      <c r="C224" s="1" t="s">
        <v>949</v>
      </c>
      <c r="D224" s="22">
        <v>46416.878055555557</v>
      </c>
      <c r="E224" s="1" t="s">
        <v>1638</v>
      </c>
      <c r="F224" s="3">
        <v>2</v>
      </c>
      <c r="G224" s="1" t="s">
        <v>2169</v>
      </c>
      <c r="H224" s="2"/>
      <c r="I224" t="str">
        <f t="shared" si="6"/>
        <v>TC0086PE|SC-08826-E8</v>
      </c>
      <c r="J224" t="str">
        <f t="shared" si="7"/>
        <v>SÍ</v>
      </c>
    </row>
    <row r="225" spans="1:10" ht="28.8" x14ac:dyDescent="0.3">
      <c r="A225" s="1" t="s">
        <v>588</v>
      </c>
      <c r="B225" s="1" t="s">
        <v>757</v>
      </c>
      <c r="C225" s="1" t="s">
        <v>950</v>
      </c>
      <c r="D225" s="22">
        <v>46418.187719907408</v>
      </c>
      <c r="E225" s="1" t="s">
        <v>1638</v>
      </c>
      <c r="F225" s="3">
        <v>2</v>
      </c>
      <c r="G225" s="1" t="s">
        <v>2169</v>
      </c>
      <c r="H225" s="2"/>
      <c r="I225" t="str">
        <f t="shared" si="6"/>
        <v>TC0086PE|SC-09026-E8</v>
      </c>
      <c r="J225" t="str">
        <f t="shared" si="7"/>
        <v>SÍ</v>
      </c>
    </row>
    <row r="226" spans="1:10" ht="28.8" x14ac:dyDescent="0.3">
      <c r="A226" s="1" t="s">
        <v>589</v>
      </c>
      <c r="B226" s="1" t="s">
        <v>758</v>
      </c>
      <c r="C226" s="1" t="s">
        <v>951</v>
      </c>
      <c r="D226" s="22">
        <v>46485.731446759259</v>
      </c>
      <c r="E226" s="1" t="s">
        <v>1638</v>
      </c>
      <c r="F226" s="3">
        <v>1</v>
      </c>
      <c r="G226" s="1" t="s">
        <v>2167</v>
      </c>
      <c r="H226" s="2"/>
      <c r="I226" t="str">
        <f t="shared" si="6"/>
        <v>TQ0034PE|QB-10226-E1</v>
      </c>
      <c r="J226" t="str">
        <f t="shared" si="7"/>
        <v>SÍ</v>
      </c>
    </row>
    <row r="227" spans="1:10" ht="28.8" x14ac:dyDescent="0.3">
      <c r="A227" s="1" t="s">
        <v>587</v>
      </c>
      <c r="B227" s="1" t="s">
        <v>756</v>
      </c>
      <c r="C227" s="1" t="s">
        <v>952</v>
      </c>
      <c r="D227" s="22">
        <v>46356.25608796296</v>
      </c>
      <c r="E227" s="1" t="s">
        <v>1638</v>
      </c>
      <c r="F227" s="3">
        <v>1</v>
      </c>
      <c r="G227" s="1" t="s">
        <v>2168</v>
      </c>
      <c r="H227" s="2"/>
      <c r="I227" t="str">
        <f t="shared" si="6"/>
        <v>TC0099PE|SP-03126-E7</v>
      </c>
      <c r="J227" t="str">
        <f t="shared" si="7"/>
        <v>SÍ</v>
      </c>
    </row>
    <row r="228" spans="1:10" ht="28.8" x14ac:dyDescent="0.3">
      <c r="A228" s="1" t="s">
        <v>578</v>
      </c>
      <c r="B228" s="1" t="s">
        <v>747</v>
      </c>
      <c r="C228" s="1" t="s">
        <v>953</v>
      </c>
      <c r="D228" s="22">
        <v>46368.226817129631</v>
      </c>
      <c r="E228" s="1" t="s">
        <v>1638</v>
      </c>
      <c r="F228" s="3">
        <v>0.4</v>
      </c>
      <c r="G228" s="1" t="s">
        <v>2168</v>
      </c>
      <c r="H228" s="2"/>
      <c r="I228" t="str">
        <f t="shared" si="6"/>
        <v>TC0091PE|SN-04626-E3</v>
      </c>
      <c r="J228" t="str">
        <f t="shared" si="7"/>
        <v>SÍ</v>
      </c>
    </row>
    <row r="229" spans="1:10" ht="28.8" x14ac:dyDescent="0.3">
      <c r="A229" s="1" t="s">
        <v>335</v>
      </c>
      <c r="B229" s="1" t="s">
        <v>336</v>
      </c>
      <c r="C229" s="1" t="s">
        <v>258</v>
      </c>
      <c r="D229" s="22">
        <v>46752.536840277768</v>
      </c>
      <c r="E229" s="1" t="s">
        <v>10</v>
      </c>
      <c r="F229" s="3">
        <v>500</v>
      </c>
      <c r="G229" s="1" t="s">
        <v>11</v>
      </c>
      <c r="H229" s="2"/>
      <c r="I229" t="str">
        <f t="shared" si="6"/>
        <v>EE10282|INFORME 01/26</v>
      </c>
      <c r="J229" t="str">
        <f t="shared" si="7"/>
        <v>SÍ</v>
      </c>
    </row>
    <row r="230" spans="1:10" ht="28.8" x14ac:dyDescent="0.3">
      <c r="A230" s="1" t="s">
        <v>337</v>
      </c>
      <c r="B230" s="1" t="s">
        <v>338</v>
      </c>
      <c r="C230" s="1" t="s">
        <v>258</v>
      </c>
      <c r="D230" s="22">
        <v>46752.536886574067</v>
      </c>
      <c r="E230" s="1" t="s">
        <v>10</v>
      </c>
      <c r="F230" s="3">
        <v>460</v>
      </c>
      <c r="G230" s="1" t="s">
        <v>11</v>
      </c>
      <c r="H230" s="2"/>
      <c r="I230" t="str">
        <f t="shared" si="6"/>
        <v>EE10284|INFORME 01/26</v>
      </c>
      <c r="J230" t="str">
        <f t="shared" si="7"/>
        <v>SÍ</v>
      </c>
    </row>
    <row r="231" spans="1:10" ht="28.8" x14ac:dyDescent="0.3">
      <c r="A231" s="1" t="s">
        <v>339</v>
      </c>
      <c r="B231" s="1" t="s">
        <v>340</v>
      </c>
      <c r="C231" s="1" t="s">
        <v>258</v>
      </c>
      <c r="D231" s="22">
        <v>46752.539363425924</v>
      </c>
      <c r="E231" s="1" t="s">
        <v>10</v>
      </c>
      <c r="F231" s="3">
        <v>400</v>
      </c>
      <c r="G231" s="1" t="s">
        <v>11</v>
      </c>
      <c r="H231" s="2"/>
      <c r="I231" t="str">
        <f t="shared" si="6"/>
        <v>EE10283|INFORME 01/26</v>
      </c>
      <c r="J231" t="str">
        <f t="shared" si="7"/>
        <v>SÍ</v>
      </c>
    </row>
    <row r="232" spans="1:10" ht="28.8" x14ac:dyDescent="0.3">
      <c r="A232" s="1" t="s">
        <v>578</v>
      </c>
      <c r="B232" s="1" t="s">
        <v>747</v>
      </c>
      <c r="C232" s="1" t="s">
        <v>954</v>
      </c>
      <c r="D232" s="22">
        <v>46426.478460648148</v>
      </c>
      <c r="E232" s="1" t="s">
        <v>1638</v>
      </c>
      <c r="F232" s="3">
        <v>21</v>
      </c>
      <c r="G232" s="1" t="s">
        <v>2168</v>
      </c>
      <c r="H232" s="2"/>
      <c r="I232" t="str">
        <f t="shared" si="6"/>
        <v>TC0091PE|SN-10426-E1</v>
      </c>
      <c r="J232" t="str">
        <f t="shared" si="7"/>
        <v>SÍ</v>
      </c>
    </row>
    <row r="233" spans="1:10" ht="28.8" x14ac:dyDescent="0.3">
      <c r="A233" s="1" t="s">
        <v>578</v>
      </c>
      <c r="B233" s="1" t="s">
        <v>747</v>
      </c>
      <c r="C233" s="1" t="s">
        <v>955</v>
      </c>
      <c r="D233" s="22">
        <v>46360.195173611108</v>
      </c>
      <c r="E233" s="1" t="s">
        <v>1638</v>
      </c>
      <c r="F233" s="3">
        <v>45.6</v>
      </c>
      <c r="G233" s="1" t="s">
        <v>2168</v>
      </c>
      <c r="H233" s="2"/>
      <c r="I233" t="str">
        <f t="shared" si="6"/>
        <v>TC0091PE|SN-03526-E2</v>
      </c>
      <c r="J233" t="str">
        <f t="shared" si="7"/>
        <v>SÍ</v>
      </c>
    </row>
    <row r="234" spans="1:10" ht="28.8" x14ac:dyDescent="0.3">
      <c r="A234" s="1" t="s">
        <v>589</v>
      </c>
      <c r="B234" s="1" t="s">
        <v>758</v>
      </c>
      <c r="C234" s="1" t="s">
        <v>956</v>
      </c>
      <c r="D234" s="22">
        <v>46485.887928240743</v>
      </c>
      <c r="E234" s="1" t="s">
        <v>1638</v>
      </c>
      <c r="F234" s="3">
        <v>33.1235</v>
      </c>
      <c r="G234" s="1" t="s">
        <v>2167</v>
      </c>
      <c r="H234" s="2"/>
      <c r="I234" t="str">
        <f t="shared" si="6"/>
        <v>TQ0034PE|QB-09826-E10</v>
      </c>
      <c r="J234" t="str">
        <f t="shared" si="7"/>
        <v>SÍ</v>
      </c>
    </row>
    <row r="235" spans="1:10" ht="28.8" x14ac:dyDescent="0.3">
      <c r="A235" s="1" t="s">
        <v>578</v>
      </c>
      <c r="B235" s="1" t="s">
        <v>747</v>
      </c>
      <c r="C235" s="1" t="s">
        <v>957</v>
      </c>
      <c r="D235" s="22">
        <v>46359.103564814817</v>
      </c>
      <c r="E235" s="1" t="s">
        <v>1638</v>
      </c>
      <c r="F235" s="3">
        <v>38.590000000000003</v>
      </c>
      <c r="G235" s="1" t="s">
        <v>2168</v>
      </c>
      <c r="H235" s="2"/>
      <c r="I235" t="str">
        <f t="shared" si="6"/>
        <v>TC0091PE|SN-03426-E4</v>
      </c>
      <c r="J235" t="str">
        <f t="shared" si="7"/>
        <v>SÍ</v>
      </c>
    </row>
    <row r="236" spans="1:10" ht="28.8" x14ac:dyDescent="0.3">
      <c r="A236" s="1" t="s">
        <v>579</v>
      </c>
      <c r="B236" s="1" t="s">
        <v>748</v>
      </c>
      <c r="C236" s="1" t="s">
        <v>958</v>
      </c>
      <c r="D236" s="22">
        <v>46482.639953703707</v>
      </c>
      <c r="E236" s="1" t="s">
        <v>1638</v>
      </c>
      <c r="F236" s="3">
        <v>34</v>
      </c>
      <c r="G236" s="1" t="s">
        <v>2167</v>
      </c>
      <c r="H236" s="2"/>
      <c r="I236" t="str">
        <f t="shared" si="6"/>
        <v>TQ0035PE|QN-10026-E5</v>
      </c>
      <c r="J236" t="str">
        <f t="shared" si="7"/>
        <v>SÍ</v>
      </c>
    </row>
    <row r="237" spans="1:10" ht="28.8" x14ac:dyDescent="0.3">
      <c r="A237" s="1" t="s">
        <v>341</v>
      </c>
      <c r="B237" s="1" t="s">
        <v>342</v>
      </c>
      <c r="C237" s="1" t="s">
        <v>258</v>
      </c>
      <c r="D237" s="22">
        <v>46752.539305555547</v>
      </c>
      <c r="E237" s="1" t="s">
        <v>10</v>
      </c>
      <c r="F237" s="3">
        <v>500</v>
      </c>
      <c r="G237" s="1" t="s">
        <v>11</v>
      </c>
      <c r="H237" s="2"/>
      <c r="I237" t="str">
        <f t="shared" si="6"/>
        <v>EE10280|INFORME 01/26</v>
      </c>
      <c r="J237" t="str">
        <f t="shared" si="7"/>
        <v>SÍ</v>
      </c>
    </row>
    <row r="238" spans="1:10" ht="43.2" x14ac:dyDescent="0.3">
      <c r="A238" s="1" t="s">
        <v>130</v>
      </c>
      <c r="B238" s="1" t="s">
        <v>131</v>
      </c>
      <c r="C238" s="1"/>
      <c r="D238" s="22"/>
      <c r="E238" s="1" t="s">
        <v>1635</v>
      </c>
      <c r="F238" s="3">
        <v>9.609</v>
      </c>
      <c r="G238" s="1" t="s">
        <v>11</v>
      </c>
      <c r="H238" s="2"/>
      <c r="I238" t="str">
        <f t="shared" si="6"/>
        <v>EE10075|</v>
      </c>
      <c r="J238" t="str">
        <f t="shared" si="7"/>
        <v>SÍ</v>
      </c>
    </row>
    <row r="239" spans="1:10" ht="28.8" x14ac:dyDescent="0.3">
      <c r="A239" s="1" t="s">
        <v>578</v>
      </c>
      <c r="B239" s="1" t="s">
        <v>747</v>
      </c>
      <c r="C239" s="1" t="s">
        <v>959</v>
      </c>
      <c r="D239" s="22">
        <v>46447.720416666663</v>
      </c>
      <c r="E239" s="1" t="s">
        <v>1637</v>
      </c>
      <c r="F239" s="3">
        <v>37</v>
      </c>
      <c r="G239" s="1" t="s">
        <v>2168</v>
      </c>
      <c r="H239" s="2"/>
      <c r="I239" t="str">
        <f t="shared" si="6"/>
        <v>TC0091PE|SN-12526-E1</v>
      </c>
      <c r="J239" t="str">
        <f t="shared" si="7"/>
        <v>SÍ</v>
      </c>
    </row>
    <row r="240" spans="1:10" ht="28.8" x14ac:dyDescent="0.3">
      <c r="A240" s="1" t="s">
        <v>304</v>
      </c>
      <c r="B240" s="1" t="s">
        <v>305</v>
      </c>
      <c r="C240" s="1" t="s">
        <v>343</v>
      </c>
      <c r="D240" s="22">
        <v>46337.515219907407</v>
      </c>
      <c r="E240" s="1" t="s">
        <v>10</v>
      </c>
      <c r="F240" s="3">
        <v>0.32</v>
      </c>
      <c r="G240" s="1" t="s">
        <v>40</v>
      </c>
      <c r="H240" s="2"/>
      <c r="I240" t="str">
        <f t="shared" si="6"/>
        <v>EE10047|INFORME 07/26</v>
      </c>
      <c r="J240" t="str">
        <f t="shared" si="7"/>
        <v>SÍ</v>
      </c>
    </row>
    <row r="241" spans="1:10" ht="28.8" x14ac:dyDescent="0.3">
      <c r="A241" s="1" t="s">
        <v>578</v>
      </c>
      <c r="B241" s="1" t="s">
        <v>747</v>
      </c>
      <c r="C241" s="1" t="s">
        <v>960</v>
      </c>
      <c r="D241" s="22">
        <v>46452.092465277783</v>
      </c>
      <c r="E241" s="1" t="s">
        <v>1637</v>
      </c>
      <c r="F241" s="3">
        <v>2</v>
      </c>
      <c r="G241" s="1" t="s">
        <v>2168</v>
      </c>
      <c r="H241" s="2"/>
      <c r="I241" t="str">
        <f t="shared" si="6"/>
        <v>TC0091PE|SN-12626-E1</v>
      </c>
      <c r="J241" t="str">
        <f t="shared" si="7"/>
        <v>SÍ</v>
      </c>
    </row>
    <row r="242" spans="1:10" ht="28.8" x14ac:dyDescent="0.3">
      <c r="A242" s="1" t="s">
        <v>578</v>
      </c>
      <c r="B242" s="1" t="s">
        <v>747</v>
      </c>
      <c r="C242" s="1" t="s">
        <v>961</v>
      </c>
      <c r="D242" s="22">
        <v>46452.10229166667</v>
      </c>
      <c r="E242" s="1" t="s">
        <v>1637</v>
      </c>
      <c r="F242" s="3">
        <v>3</v>
      </c>
      <c r="G242" s="1" t="s">
        <v>2168</v>
      </c>
      <c r="H242" s="2"/>
      <c r="I242" t="str">
        <f t="shared" si="6"/>
        <v>TC0091PE|SN-12626-E5</v>
      </c>
      <c r="J242" t="str">
        <f t="shared" si="7"/>
        <v>SÍ</v>
      </c>
    </row>
    <row r="243" spans="1:10" ht="28.8" x14ac:dyDescent="0.3">
      <c r="A243" s="1" t="s">
        <v>590</v>
      </c>
      <c r="B243" s="1" t="s">
        <v>759</v>
      </c>
      <c r="C243" s="1" t="s">
        <v>962</v>
      </c>
      <c r="D243" s="22">
        <v>46269</v>
      </c>
      <c r="E243" s="1" t="s">
        <v>1638</v>
      </c>
      <c r="F243" s="3">
        <v>1</v>
      </c>
      <c r="G243" s="1" t="s">
        <v>2166</v>
      </c>
      <c r="H243" s="2"/>
      <c r="I243" t="str">
        <f t="shared" si="6"/>
        <v>TC0233PE|PJ-27725</v>
      </c>
      <c r="J243" t="str">
        <f t="shared" si="7"/>
        <v>SÍ</v>
      </c>
    </row>
    <row r="244" spans="1:10" ht="28.8" x14ac:dyDescent="0.3">
      <c r="A244" s="1" t="s">
        <v>591</v>
      </c>
      <c r="B244" s="1" t="s">
        <v>760</v>
      </c>
      <c r="C244" s="1" t="s">
        <v>963</v>
      </c>
      <c r="D244" s="22">
        <v>46408.517870370371</v>
      </c>
      <c r="E244" s="1" t="s">
        <v>1638</v>
      </c>
      <c r="F244" s="3">
        <v>1</v>
      </c>
      <c r="G244" s="1" t="s">
        <v>2169</v>
      </c>
      <c r="H244" s="2"/>
      <c r="I244" t="str">
        <f t="shared" si="6"/>
        <v>TC0087PE|SP-08626-E7</v>
      </c>
      <c r="J244" t="str">
        <f t="shared" si="7"/>
        <v>SÍ</v>
      </c>
    </row>
    <row r="245" spans="1:10" ht="28.8" x14ac:dyDescent="0.3">
      <c r="A245" s="1" t="s">
        <v>586</v>
      </c>
      <c r="B245" s="1" t="s">
        <v>755</v>
      </c>
      <c r="C245" s="1" t="s">
        <v>964</v>
      </c>
      <c r="D245" s="22">
        <v>46452.280092592591</v>
      </c>
      <c r="E245" s="1" t="s">
        <v>1638</v>
      </c>
      <c r="F245" s="3">
        <v>13</v>
      </c>
      <c r="G245" s="1" t="s">
        <v>2169</v>
      </c>
      <c r="H245" s="2"/>
      <c r="I245" t="str">
        <f t="shared" si="6"/>
        <v>TC0082PE|SN-12626-E2</v>
      </c>
      <c r="J245" t="str">
        <f t="shared" si="7"/>
        <v>SÍ</v>
      </c>
    </row>
    <row r="246" spans="1:10" ht="28.8" x14ac:dyDescent="0.3">
      <c r="A246" s="1" t="s">
        <v>588</v>
      </c>
      <c r="B246" s="1" t="s">
        <v>757</v>
      </c>
      <c r="C246" s="1" t="s">
        <v>965</v>
      </c>
      <c r="D246" s="22">
        <v>46411.775439814817</v>
      </c>
      <c r="E246" s="1" t="s">
        <v>1638</v>
      </c>
      <c r="F246" s="3">
        <v>1</v>
      </c>
      <c r="G246" s="1" t="s">
        <v>2169</v>
      </c>
      <c r="H246" s="2"/>
      <c r="I246" t="str">
        <f t="shared" si="6"/>
        <v>TC0086PE|SC-08926-E8</v>
      </c>
      <c r="J246" t="str">
        <f t="shared" si="7"/>
        <v>SÍ</v>
      </c>
    </row>
    <row r="247" spans="1:10" ht="28.8" x14ac:dyDescent="0.3">
      <c r="A247" s="1" t="s">
        <v>578</v>
      </c>
      <c r="B247" s="1" t="s">
        <v>747</v>
      </c>
      <c r="C247" s="1" t="s">
        <v>966</v>
      </c>
      <c r="D247" s="22">
        <v>46449.931585648148</v>
      </c>
      <c r="E247" s="1" t="s">
        <v>1637</v>
      </c>
      <c r="F247" s="3">
        <v>39</v>
      </c>
      <c r="G247" s="1" t="s">
        <v>2168</v>
      </c>
      <c r="H247" s="2"/>
      <c r="I247" t="str">
        <f t="shared" si="6"/>
        <v>TC0091PE|SN-12726-E3</v>
      </c>
      <c r="J247" t="str">
        <f t="shared" si="7"/>
        <v>SÍ</v>
      </c>
    </row>
    <row r="248" spans="1:10" ht="28.8" x14ac:dyDescent="0.3">
      <c r="A248" s="1" t="s">
        <v>578</v>
      </c>
      <c r="B248" s="1" t="s">
        <v>747</v>
      </c>
      <c r="C248" s="1" t="s">
        <v>967</v>
      </c>
      <c r="D248" s="22">
        <v>46450.197615740741</v>
      </c>
      <c r="E248" s="1" t="s">
        <v>1637</v>
      </c>
      <c r="F248" s="3">
        <v>3</v>
      </c>
      <c r="G248" s="1" t="s">
        <v>2168</v>
      </c>
      <c r="H248" s="2"/>
      <c r="I248" t="str">
        <f t="shared" si="6"/>
        <v>TC0091PE|SN-12726-E1</v>
      </c>
      <c r="J248" t="str">
        <f t="shared" si="7"/>
        <v>SÍ</v>
      </c>
    </row>
    <row r="249" spans="1:10" ht="28.8" x14ac:dyDescent="0.3">
      <c r="A249" s="1" t="s">
        <v>572</v>
      </c>
      <c r="B249" s="1" t="s">
        <v>741</v>
      </c>
      <c r="C249" s="1" t="s">
        <v>270</v>
      </c>
      <c r="D249" s="22">
        <v>46298.727199074077</v>
      </c>
      <c r="E249" s="1" t="s">
        <v>1634</v>
      </c>
      <c r="F249" s="3">
        <v>88</v>
      </c>
      <c r="G249" s="1" t="s">
        <v>40</v>
      </c>
      <c r="H249" s="2"/>
      <c r="I249" t="str">
        <f t="shared" si="6"/>
        <v>EE10025|INFORME 02/26</v>
      </c>
      <c r="J249" t="str">
        <f t="shared" si="7"/>
        <v>SÍ</v>
      </c>
    </row>
    <row r="250" spans="1:10" ht="28.8" x14ac:dyDescent="0.3">
      <c r="A250" s="1" t="s">
        <v>151</v>
      </c>
      <c r="B250" s="1" t="s">
        <v>152</v>
      </c>
      <c r="C250" s="1" t="s">
        <v>258</v>
      </c>
      <c r="D250" s="22">
        <v>46519.580706018518</v>
      </c>
      <c r="E250" s="1" t="s">
        <v>10</v>
      </c>
      <c r="F250" s="3">
        <v>544.75</v>
      </c>
      <c r="G250" s="1" t="s">
        <v>40</v>
      </c>
      <c r="H250" s="2"/>
      <c r="I250" t="str">
        <f t="shared" si="6"/>
        <v>EE10106|INFORME 01/26</v>
      </c>
      <c r="J250" t="str">
        <f t="shared" si="7"/>
        <v>SÍ</v>
      </c>
    </row>
    <row r="251" spans="1:10" ht="28.8" x14ac:dyDescent="0.3">
      <c r="A251" s="1" t="s">
        <v>578</v>
      </c>
      <c r="B251" s="1" t="s">
        <v>747</v>
      </c>
      <c r="C251" s="1" t="s">
        <v>930</v>
      </c>
      <c r="D251" s="22">
        <v>46439.242395833331</v>
      </c>
      <c r="E251" s="1" t="s">
        <v>1638</v>
      </c>
      <c r="F251" s="3">
        <v>0.91849999999999998</v>
      </c>
      <c r="G251" s="1" t="s">
        <v>2168</v>
      </c>
      <c r="H251" s="2"/>
      <c r="I251" t="str">
        <f t="shared" si="6"/>
        <v>TC0091PE|SN-11126-E3</v>
      </c>
      <c r="J251" t="str">
        <f t="shared" si="7"/>
        <v>SÍ</v>
      </c>
    </row>
    <row r="252" spans="1:10" ht="28.8" x14ac:dyDescent="0.3">
      <c r="A252" s="1" t="s">
        <v>582</v>
      </c>
      <c r="B252" s="1" t="s">
        <v>751</v>
      </c>
      <c r="C252" s="1" t="s">
        <v>968</v>
      </c>
      <c r="D252" s="22">
        <v>46447.61378472222</v>
      </c>
      <c r="E252" s="1" t="s">
        <v>1638</v>
      </c>
      <c r="F252" s="3">
        <v>1.9443999999999999</v>
      </c>
      <c r="G252" s="1" t="s">
        <v>2166</v>
      </c>
      <c r="H252" s="2"/>
      <c r="I252" t="str">
        <f t="shared" si="6"/>
        <v>TC0006PE|SN-12526-E3</v>
      </c>
      <c r="J252" t="str">
        <f t="shared" si="7"/>
        <v>SÍ</v>
      </c>
    </row>
    <row r="253" spans="1:10" ht="28.8" x14ac:dyDescent="0.3">
      <c r="A253" s="1" t="s">
        <v>592</v>
      </c>
      <c r="B253" s="1" t="s">
        <v>761</v>
      </c>
      <c r="C253" s="1" t="s">
        <v>963</v>
      </c>
      <c r="D253" s="22">
        <v>46408.896585648137</v>
      </c>
      <c r="E253" s="1" t="s">
        <v>1638</v>
      </c>
      <c r="F253" s="3">
        <v>1.65</v>
      </c>
      <c r="G253" s="1" t="s">
        <v>2168</v>
      </c>
      <c r="H253" s="2"/>
      <c r="I253" t="str">
        <f t="shared" si="6"/>
        <v>TC0113PE|SP-08626-E7</v>
      </c>
      <c r="J253" t="str">
        <f t="shared" si="7"/>
        <v>SÍ</v>
      </c>
    </row>
    <row r="254" spans="1:10" ht="43.2" x14ac:dyDescent="0.3">
      <c r="A254" s="1" t="s">
        <v>593</v>
      </c>
      <c r="B254" s="1" t="s">
        <v>762</v>
      </c>
      <c r="C254" s="1" t="s">
        <v>969</v>
      </c>
      <c r="D254" s="22">
        <v>46223.094085648147</v>
      </c>
      <c r="E254" s="1" t="s">
        <v>1638</v>
      </c>
      <c r="F254" s="3">
        <v>1</v>
      </c>
      <c r="G254" s="1" t="s">
        <v>2168</v>
      </c>
      <c r="H254" s="2"/>
      <c r="I254" t="str">
        <f t="shared" si="6"/>
        <v>TC0123PE|SC-26325</v>
      </c>
      <c r="J254" t="str">
        <f t="shared" si="7"/>
        <v>SÍ</v>
      </c>
    </row>
    <row r="255" spans="1:10" ht="43.2" x14ac:dyDescent="0.3">
      <c r="A255" s="1" t="s">
        <v>594</v>
      </c>
      <c r="B255" s="1" t="s">
        <v>763</v>
      </c>
      <c r="C255" s="1" t="s">
        <v>970</v>
      </c>
      <c r="D255" s="22">
        <v>46429.44771990741</v>
      </c>
      <c r="E255" s="1" t="s">
        <v>1638</v>
      </c>
      <c r="F255" s="3">
        <v>1</v>
      </c>
      <c r="G255" s="1" t="s">
        <v>2166</v>
      </c>
      <c r="H255" s="2"/>
      <c r="I255" t="str">
        <f t="shared" si="6"/>
        <v>TC0029PE|SC-10726-E8</v>
      </c>
      <c r="J255" t="str">
        <f t="shared" si="7"/>
        <v>SÍ</v>
      </c>
    </row>
    <row r="256" spans="1:10" ht="28.8" x14ac:dyDescent="0.3">
      <c r="A256" s="1" t="s">
        <v>589</v>
      </c>
      <c r="B256" s="1" t="s">
        <v>758</v>
      </c>
      <c r="C256" s="1" t="s">
        <v>971</v>
      </c>
      <c r="D256" s="22">
        <v>46515.752280092587</v>
      </c>
      <c r="E256" s="1" t="s">
        <v>1638</v>
      </c>
      <c r="F256" s="3">
        <v>41.5</v>
      </c>
      <c r="G256" s="1" t="s">
        <v>2167</v>
      </c>
      <c r="H256" s="2"/>
      <c r="I256" t="str">
        <f t="shared" si="6"/>
        <v>TQ0034PE|QB-12826-E10</v>
      </c>
      <c r="J256" t="str">
        <f t="shared" si="7"/>
        <v>SÍ</v>
      </c>
    </row>
    <row r="257" spans="1:10" ht="28.8" x14ac:dyDescent="0.3">
      <c r="A257" s="1" t="s">
        <v>578</v>
      </c>
      <c r="B257" s="1" t="s">
        <v>747</v>
      </c>
      <c r="C257" s="1" t="s">
        <v>959</v>
      </c>
      <c r="D257" s="22">
        <v>46447.720416666663</v>
      </c>
      <c r="E257" s="1" t="s">
        <v>1638</v>
      </c>
      <c r="F257" s="3">
        <v>77</v>
      </c>
      <c r="G257" s="1" t="s">
        <v>2168</v>
      </c>
      <c r="H257" s="2"/>
      <c r="I257" t="str">
        <f t="shared" si="6"/>
        <v>TC0091PE|SN-12526-E1</v>
      </c>
      <c r="J257" t="str">
        <f t="shared" si="7"/>
        <v>SÍ</v>
      </c>
    </row>
    <row r="258" spans="1:10" ht="43.2" x14ac:dyDescent="0.3">
      <c r="A258" s="1" t="s">
        <v>583</v>
      </c>
      <c r="B258" s="1" t="s">
        <v>752</v>
      </c>
      <c r="C258" s="1" t="s">
        <v>972</v>
      </c>
      <c r="D258" s="22">
        <v>46425.951203703713</v>
      </c>
      <c r="E258" s="1" t="s">
        <v>1638</v>
      </c>
      <c r="F258" s="3">
        <v>1</v>
      </c>
      <c r="G258" s="1" t="s">
        <v>2166</v>
      </c>
      <c r="H258" s="2"/>
      <c r="I258" t="str">
        <f t="shared" ref="I258:I321" si="8">IF(A258="","",A258&amp;"|"&amp;C258)</f>
        <v>TC0016PE|SN-09726-E1</v>
      </c>
      <c r="J258" t="str">
        <f t="shared" ref="J258:J321" si="9">IF(A258&lt;&gt;"","SÍ","NO")</f>
        <v>SÍ</v>
      </c>
    </row>
    <row r="259" spans="1:10" ht="28.8" x14ac:dyDescent="0.3">
      <c r="A259" s="1" t="s">
        <v>595</v>
      </c>
      <c r="B259" s="1" t="s">
        <v>764</v>
      </c>
      <c r="C259" s="1" t="s">
        <v>973</v>
      </c>
      <c r="D259" s="22">
        <v>46434.200775462959</v>
      </c>
      <c r="E259" s="1" t="s">
        <v>1638</v>
      </c>
      <c r="F259" s="3">
        <v>15</v>
      </c>
      <c r="G259" s="1" t="s">
        <v>2168</v>
      </c>
      <c r="H259" s="2"/>
      <c r="I259" t="str">
        <f t="shared" si="8"/>
        <v>TC0058PE|SC-11226-E7</v>
      </c>
      <c r="J259" t="str">
        <f t="shared" si="9"/>
        <v>SÍ</v>
      </c>
    </row>
    <row r="260" spans="1:10" ht="28.8" x14ac:dyDescent="0.3">
      <c r="A260" s="1" t="s">
        <v>588</v>
      </c>
      <c r="B260" s="1" t="s">
        <v>757</v>
      </c>
      <c r="C260" s="1" t="s">
        <v>974</v>
      </c>
      <c r="D260" s="22">
        <v>46456.732777777783</v>
      </c>
      <c r="E260" s="1" t="s">
        <v>1638</v>
      </c>
      <c r="F260" s="3">
        <v>18</v>
      </c>
      <c r="G260" s="1" t="s">
        <v>2169</v>
      </c>
      <c r="H260" s="2"/>
      <c r="I260" t="str">
        <f t="shared" si="8"/>
        <v>TC0086PE|SC-13026-E5</v>
      </c>
      <c r="J260" t="str">
        <f t="shared" si="9"/>
        <v>SÍ</v>
      </c>
    </row>
    <row r="261" spans="1:10" ht="28.8" x14ac:dyDescent="0.3">
      <c r="A261" s="1" t="s">
        <v>579</v>
      </c>
      <c r="B261" s="1" t="s">
        <v>748</v>
      </c>
      <c r="C261" s="1" t="s">
        <v>975</v>
      </c>
      <c r="D261" s="22">
        <v>46509.719756944447</v>
      </c>
      <c r="E261" s="1" t="s">
        <v>1638</v>
      </c>
      <c r="F261" s="3">
        <v>42.5</v>
      </c>
      <c r="G261" s="1" t="s">
        <v>2167</v>
      </c>
      <c r="H261" s="2"/>
      <c r="I261" t="str">
        <f t="shared" si="8"/>
        <v>TQ0035PE|QN-12726-E10</v>
      </c>
      <c r="J261" t="str">
        <f t="shared" si="9"/>
        <v>SÍ</v>
      </c>
    </row>
    <row r="262" spans="1:10" ht="43.2" x14ac:dyDescent="0.3">
      <c r="A262" s="1" t="s">
        <v>583</v>
      </c>
      <c r="B262" s="1" t="s">
        <v>752</v>
      </c>
      <c r="C262" s="1" t="s">
        <v>976</v>
      </c>
      <c r="D262" s="22">
        <v>46449.926550925928</v>
      </c>
      <c r="E262" s="1" t="s">
        <v>1638</v>
      </c>
      <c r="F262" s="3">
        <v>1</v>
      </c>
      <c r="G262" s="1" t="s">
        <v>2166</v>
      </c>
      <c r="H262" s="2"/>
      <c r="I262" t="str">
        <f t="shared" si="8"/>
        <v>TC0016PE|SN-12726-E2</v>
      </c>
      <c r="J262" t="str">
        <f t="shared" si="9"/>
        <v>SÍ</v>
      </c>
    </row>
    <row r="263" spans="1:10" ht="28.8" x14ac:dyDescent="0.3">
      <c r="A263" s="1" t="s">
        <v>346</v>
      </c>
      <c r="B263" s="1" t="s">
        <v>347</v>
      </c>
      <c r="C263" s="1" t="s">
        <v>270</v>
      </c>
      <c r="D263" s="22">
        <v>46499.592499999999</v>
      </c>
      <c r="E263" s="1" t="s">
        <v>10</v>
      </c>
      <c r="F263" s="3">
        <v>117</v>
      </c>
      <c r="G263" s="1" t="s">
        <v>40</v>
      </c>
      <c r="H263" s="2"/>
      <c r="I263" t="str">
        <f t="shared" si="8"/>
        <v>MP10020|INFORME 02/26</v>
      </c>
      <c r="J263" t="str">
        <f t="shared" si="9"/>
        <v>SÍ</v>
      </c>
    </row>
    <row r="264" spans="1:10" ht="28.8" x14ac:dyDescent="0.3">
      <c r="A264" s="1" t="s">
        <v>591</v>
      </c>
      <c r="B264" s="1" t="s">
        <v>760</v>
      </c>
      <c r="C264" s="1" t="s">
        <v>977</v>
      </c>
      <c r="D264" s="22">
        <v>46441.450046296297</v>
      </c>
      <c r="E264" s="1" t="s">
        <v>1638</v>
      </c>
      <c r="F264" s="3">
        <v>5</v>
      </c>
      <c r="G264" s="1" t="s">
        <v>2169</v>
      </c>
      <c r="H264" s="2"/>
      <c r="I264" t="str">
        <f t="shared" si="8"/>
        <v>TC0087PE|SP-11926-E7</v>
      </c>
      <c r="J264" t="str">
        <f t="shared" si="9"/>
        <v>SÍ</v>
      </c>
    </row>
    <row r="265" spans="1:10" ht="28.8" x14ac:dyDescent="0.3">
      <c r="A265" s="1" t="s">
        <v>582</v>
      </c>
      <c r="B265" s="1" t="s">
        <v>751</v>
      </c>
      <c r="C265" s="1" t="s">
        <v>978</v>
      </c>
      <c r="D265" s="22">
        <v>46426.341793981483</v>
      </c>
      <c r="E265" s="1" t="s">
        <v>1638</v>
      </c>
      <c r="F265" s="3">
        <v>1</v>
      </c>
      <c r="G265" s="1" t="s">
        <v>2166</v>
      </c>
      <c r="H265" s="2"/>
      <c r="I265" t="str">
        <f t="shared" si="8"/>
        <v>TC0006PE|SN-10426-E4</v>
      </c>
      <c r="J265" t="str">
        <f t="shared" si="9"/>
        <v>SÍ</v>
      </c>
    </row>
    <row r="266" spans="1:10" ht="28.8" x14ac:dyDescent="0.3">
      <c r="A266" s="1" t="s">
        <v>580</v>
      </c>
      <c r="B266" s="1" t="s">
        <v>749</v>
      </c>
      <c r="C266" s="1" t="s">
        <v>979</v>
      </c>
      <c r="D266" s="22">
        <v>46430.493194444447</v>
      </c>
      <c r="E266" s="1" t="s">
        <v>1638</v>
      </c>
      <c r="F266" s="3">
        <v>1</v>
      </c>
      <c r="G266" s="1" t="s">
        <v>2166</v>
      </c>
      <c r="H266" s="2"/>
      <c r="I266" t="str">
        <f t="shared" si="8"/>
        <v>TC0004PE|SP-10826-E7</v>
      </c>
      <c r="J266" t="str">
        <f t="shared" si="9"/>
        <v>SÍ</v>
      </c>
    </row>
    <row r="267" spans="1:10" ht="28.8" x14ac:dyDescent="0.3">
      <c r="A267" s="1" t="s">
        <v>588</v>
      </c>
      <c r="B267" s="1" t="s">
        <v>757</v>
      </c>
      <c r="C267" s="1" t="s">
        <v>980</v>
      </c>
      <c r="D267" s="22">
        <v>46459.276805555557</v>
      </c>
      <c r="E267" s="1" t="s">
        <v>1638</v>
      </c>
      <c r="F267" s="3">
        <v>1</v>
      </c>
      <c r="G267" s="1" t="s">
        <v>2169</v>
      </c>
      <c r="H267" s="2"/>
      <c r="I267" t="str">
        <f t="shared" si="8"/>
        <v>TC0086PE|SC-13726-E8</v>
      </c>
      <c r="J267" t="str">
        <f t="shared" si="9"/>
        <v>SÍ</v>
      </c>
    </row>
    <row r="268" spans="1:10" ht="28.8" x14ac:dyDescent="0.3">
      <c r="A268" s="1" t="s">
        <v>588</v>
      </c>
      <c r="B268" s="1" t="s">
        <v>757</v>
      </c>
      <c r="C268" s="1" t="s">
        <v>981</v>
      </c>
      <c r="D268" s="22">
        <v>46460.984201388892</v>
      </c>
      <c r="E268" s="1" t="s">
        <v>1638</v>
      </c>
      <c r="F268" s="3">
        <v>1</v>
      </c>
      <c r="G268" s="1" t="s">
        <v>2169</v>
      </c>
      <c r="H268" s="2"/>
      <c r="I268" t="str">
        <f t="shared" si="8"/>
        <v>TC0086PE|SC-13826-E7</v>
      </c>
      <c r="J268" t="str">
        <f t="shared" si="9"/>
        <v>SÍ</v>
      </c>
    </row>
    <row r="269" spans="1:10" ht="28.8" x14ac:dyDescent="0.3">
      <c r="A269" s="1" t="s">
        <v>348</v>
      </c>
      <c r="B269" s="1" t="s">
        <v>349</v>
      </c>
      <c r="C269" s="1" t="s">
        <v>258</v>
      </c>
      <c r="D269" s="22">
        <v>46341.520405092589</v>
      </c>
      <c r="E269" s="1" t="s">
        <v>10</v>
      </c>
      <c r="F269" s="3">
        <v>105.14</v>
      </c>
      <c r="G269" s="1" t="s">
        <v>40</v>
      </c>
      <c r="H269" s="2"/>
      <c r="I269" t="str">
        <f t="shared" si="8"/>
        <v>EE10300|INFORME 01/26</v>
      </c>
      <c r="J269" t="str">
        <f t="shared" si="9"/>
        <v>SÍ</v>
      </c>
    </row>
    <row r="270" spans="1:10" ht="28.8" x14ac:dyDescent="0.3">
      <c r="A270" s="1" t="s">
        <v>350</v>
      </c>
      <c r="B270" s="1" t="s">
        <v>351</v>
      </c>
      <c r="C270" s="1" t="s">
        <v>258</v>
      </c>
      <c r="D270" s="22">
        <v>46341.524618055562</v>
      </c>
      <c r="E270" s="1" t="s">
        <v>10</v>
      </c>
      <c r="F270" s="3">
        <v>1135.45</v>
      </c>
      <c r="G270" s="1" t="s">
        <v>40</v>
      </c>
      <c r="H270" s="2"/>
      <c r="I270" t="str">
        <f t="shared" si="8"/>
        <v>EE10297|INFORME 01/26</v>
      </c>
      <c r="J270" t="str">
        <f t="shared" si="9"/>
        <v>SÍ</v>
      </c>
    </row>
    <row r="271" spans="1:10" ht="28.8" x14ac:dyDescent="0.3">
      <c r="A271" s="1" t="s">
        <v>352</v>
      </c>
      <c r="B271" s="1" t="s">
        <v>353</v>
      </c>
      <c r="C271" s="1" t="s">
        <v>258</v>
      </c>
      <c r="D271" s="22">
        <v>46341.526516203703</v>
      </c>
      <c r="E271" s="1" t="s">
        <v>10</v>
      </c>
      <c r="F271" s="3">
        <v>604.94000000000005</v>
      </c>
      <c r="G271" s="1" t="s">
        <v>40</v>
      </c>
      <c r="H271" s="2"/>
      <c r="I271" t="str">
        <f t="shared" si="8"/>
        <v>EE10299|INFORME 01/26</v>
      </c>
      <c r="J271" t="str">
        <f t="shared" si="9"/>
        <v>SÍ</v>
      </c>
    </row>
    <row r="272" spans="1:10" ht="28.8" x14ac:dyDescent="0.3">
      <c r="A272" s="1" t="s">
        <v>320</v>
      </c>
      <c r="B272" s="1" t="s">
        <v>321</v>
      </c>
      <c r="C272" s="1" t="s">
        <v>91</v>
      </c>
      <c r="D272" s="22">
        <v>46248.805</v>
      </c>
      <c r="E272" s="1" t="s">
        <v>10</v>
      </c>
      <c r="F272" s="3">
        <v>2.8643999999999998</v>
      </c>
      <c r="G272" s="1" t="s">
        <v>40</v>
      </c>
      <c r="H272" s="2"/>
      <c r="I272" t="str">
        <f t="shared" si="8"/>
        <v>EE10041|INFORME 01/25</v>
      </c>
      <c r="J272" t="str">
        <f t="shared" si="9"/>
        <v>SÍ</v>
      </c>
    </row>
    <row r="273" spans="1:10" ht="43.2" x14ac:dyDescent="0.3">
      <c r="A273" s="1" t="s">
        <v>583</v>
      </c>
      <c r="B273" s="1" t="s">
        <v>752</v>
      </c>
      <c r="C273" s="1" t="s">
        <v>982</v>
      </c>
      <c r="D273" s="22">
        <v>46419.729780092603</v>
      </c>
      <c r="E273" s="1" t="s">
        <v>1638</v>
      </c>
      <c r="F273" s="3">
        <v>4.9722</v>
      </c>
      <c r="G273" s="1" t="s">
        <v>2166</v>
      </c>
      <c r="H273" s="2"/>
      <c r="I273" t="str">
        <f t="shared" si="8"/>
        <v>TC0016PE|SN-09726-E3</v>
      </c>
      <c r="J273" t="str">
        <f t="shared" si="9"/>
        <v>SÍ</v>
      </c>
    </row>
    <row r="274" spans="1:10" ht="28.8" x14ac:dyDescent="0.3">
      <c r="A274" s="1" t="s">
        <v>588</v>
      </c>
      <c r="B274" s="1" t="s">
        <v>757</v>
      </c>
      <c r="C274" s="1" t="s">
        <v>983</v>
      </c>
      <c r="D274" s="22">
        <v>46458.73778935185</v>
      </c>
      <c r="E274" s="1" t="s">
        <v>1638</v>
      </c>
      <c r="F274" s="3">
        <v>2</v>
      </c>
      <c r="G274" s="1" t="s">
        <v>2169</v>
      </c>
      <c r="H274" s="2"/>
      <c r="I274" t="str">
        <f t="shared" si="8"/>
        <v>TC0086PE|SC-13626-E8</v>
      </c>
      <c r="J274" t="str">
        <f t="shared" si="9"/>
        <v>SÍ</v>
      </c>
    </row>
    <row r="275" spans="1:10" ht="28.8" x14ac:dyDescent="0.3">
      <c r="A275" s="1" t="s">
        <v>586</v>
      </c>
      <c r="B275" s="1" t="s">
        <v>755</v>
      </c>
      <c r="C275" s="1" t="s">
        <v>984</v>
      </c>
      <c r="D275" s="22">
        <v>46461.894687499997</v>
      </c>
      <c r="E275" s="1" t="s">
        <v>1638</v>
      </c>
      <c r="F275" s="3">
        <v>4</v>
      </c>
      <c r="G275" s="1" t="s">
        <v>2169</v>
      </c>
      <c r="H275" s="2"/>
      <c r="I275" t="str">
        <f t="shared" si="8"/>
        <v>TC0082PE|SN-13926-E8</v>
      </c>
      <c r="J275" t="str">
        <f t="shared" si="9"/>
        <v>SÍ</v>
      </c>
    </row>
    <row r="276" spans="1:10" ht="28.8" x14ac:dyDescent="0.3">
      <c r="A276" s="1" t="s">
        <v>596</v>
      </c>
      <c r="B276" s="1" t="s">
        <v>765</v>
      </c>
      <c r="C276" s="1" t="s">
        <v>985</v>
      </c>
      <c r="D276" s="22">
        <v>46454.429305555554</v>
      </c>
      <c r="E276" s="1" t="s">
        <v>1638</v>
      </c>
      <c r="F276" s="3">
        <v>12</v>
      </c>
      <c r="G276" s="1" t="s">
        <v>2166</v>
      </c>
      <c r="H276" s="2"/>
      <c r="I276" t="str">
        <f t="shared" si="8"/>
        <v>TC0015PE|SN-13026-E5</v>
      </c>
      <c r="J276" t="str">
        <f t="shared" si="9"/>
        <v>SÍ</v>
      </c>
    </row>
    <row r="277" spans="1:10" ht="43.2" x14ac:dyDescent="0.3">
      <c r="A277" s="1" t="s">
        <v>583</v>
      </c>
      <c r="B277" s="1" t="s">
        <v>752</v>
      </c>
      <c r="C277" s="1" t="s">
        <v>986</v>
      </c>
      <c r="D277" s="22">
        <v>46450.232303240737</v>
      </c>
      <c r="E277" s="1" t="s">
        <v>1638</v>
      </c>
      <c r="F277" s="3">
        <v>52</v>
      </c>
      <c r="G277" s="1" t="s">
        <v>2166</v>
      </c>
      <c r="H277" s="2"/>
      <c r="I277" t="str">
        <f t="shared" si="8"/>
        <v>TC0016PE|SN-12826-E2</v>
      </c>
      <c r="J277" t="str">
        <f t="shared" si="9"/>
        <v>SÍ</v>
      </c>
    </row>
    <row r="278" spans="1:10" ht="43.2" x14ac:dyDescent="0.3">
      <c r="A278" s="1" t="s">
        <v>583</v>
      </c>
      <c r="B278" s="1" t="s">
        <v>752</v>
      </c>
      <c r="C278" s="1" t="s">
        <v>987</v>
      </c>
      <c r="D278" s="22">
        <v>46448.607673611114</v>
      </c>
      <c r="E278" s="1" t="s">
        <v>1638</v>
      </c>
      <c r="F278" s="3">
        <v>30</v>
      </c>
      <c r="G278" s="1" t="s">
        <v>2166</v>
      </c>
      <c r="H278" s="2"/>
      <c r="I278" t="str">
        <f t="shared" si="8"/>
        <v>TC0016PE|SN-12626-E3</v>
      </c>
      <c r="J278" t="str">
        <f t="shared" si="9"/>
        <v>SÍ</v>
      </c>
    </row>
    <row r="279" spans="1:10" ht="43.2" x14ac:dyDescent="0.3">
      <c r="A279" s="1" t="s">
        <v>594</v>
      </c>
      <c r="B279" s="1" t="s">
        <v>763</v>
      </c>
      <c r="C279" s="1" t="s">
        <v>983</v>
      </c>
      <c r="D279" s="22">
        <v>46458.571122685193</v>
      </c>
      <c r="E279" s="1" t="s">
        <v>1638</v>
      </c>
      <c r="F279" s="3">
        <v>2</v>
      </c>
      <c r="G279" s="1" t="s">
        <v>2166</v>
      </c>
      <c r="H279" s="2"/>
      <c r="I279" t="str">
        <f t="shared" si="8"/>
        <v>TC0029PE|SC-13626-E8</v>
      </c>
      <c r="J279" t="str">
        <f t="shared" si="9"/>
        <v>SÍ</v>
      </c>
    </row>
    <row r="280" spans="1:10" ht="28.8" x14ac:dyDescent="0.3">
      <c r="A280" s="1" t="s">
        <v>586</v>
      </c>
      <c r="B280" s="1" t="s">
        <v>755</v>
      </c>
      <c r="C280" s="1" t="s">
        <v>988</v>
      </c>
      <c r="D280" s="22">
        <v>46462.40452546296</v>
      </c>
      <c r="E280" s="1" t="s">
        <v>1638</v>
      </c>
      <c r="F280" s="3">
        <v>7</v>
      </c>
      <c r="G280" s="1" t="s">
        <v>2169</v>
      </c>
      <c r="H280" s="2"/>
      <c r="I280" t="str">
        <f t="shared" si="8"/>
        <v>TC0082PE|SN-14026-E8</v>
      </c>
      <c r="J280" t="str">
        <f t="shared" si="9"/>
        <v>SÍ</v>
      </c>
    </row>
    <row r="281" spans="1:10" ht="43.2" x14ac:dyDescent="0.3">
      <c r="A281" s="1" t="s">
        <v>354</v>
      </c>
      <c r="B281" s="1" t="s">
        <v>355</v>
      </c>
      <c r="C281" s="1" t="s">
        <v>343</v>
      </c>
      <c r="D281" s="22">
        <v>46515.428807870368</v>
      </c>
      <c r="E281" s="1" t="s">
        <v>10</v>
      </c>
      <c r="F281" s="3">
        <v>2880</v>
      </c>
      <c r="G281" s="1" t="s">
        <v>11</v>
      </c>
      <c r="H281" s="2"/>
      <c r="I281" t="str">
        <f t="shared" si="8"/>
        <v>EE10058-1|INFORME 07/26</v>
      </c>
      <c r="J281" t="str">
        <f t="shared" si="9"/>
        <v>SÍ</v>
      </c>
    </row>
    <row r="282" spans="1:10" ht="28.8" x14ac:dyDescent="0.3">
      <c r="A282" s="1" t="s">
        <v>356</v>
      </c>
      <c r="B282" s="1" t="s">
        <v>357</v>
      </c>
      <c r="C282" s="1" t="s">
        <v>270</v>
      </c>
      <c r="D282" s="22">
        <v>46533.916180555563</v>
      </c>
      <c r="E282" s="1" t="s">
        <v>10</v>
      </c>
      <c r="F282" s="3">
        <v>394</v>
      </c>
      <c r="G282" s="1" t="s">
        <v>11</v>
      </c>
      <c r="H282" s="2"/>
      <c r="I282" t="str">
        <f t="shared" si="8"/>
        <v>EE10213|INFORME 02/26</v>
      </c>
      <c r="J282" t="str">
        <f t="shared" si="9"/>
        <v>SÍ</v>
      </c>
    </row>
    <row r="283" spans="1:10" ht="28.8" x14ac:dyDescent="0.3">
      <c r="A283" s="1" t="s">
        <v>273</v>
      </c>
      <c r="B283" s="1" t="s">
        <v>274</v>
      </c>
      <c r="C283" s="1" t="s">
        <v>270</v>
      </c>
      <c r="D283" s="22">
        <v>46538.483969907407</v>
      </c>
      <c r="E283" s="1" t="s">
        <v>10</v>
      </c>
      <c r="F283" s="3">
        <v>696</v>
      </c>
      <c r="G283" s="1" t="s">
        <v>11</v>
      </c>
      <c r="H283" s="2"/>
      <c r="I283" t="str">
        <f t="shared" si="8"/>
        <v>EE10256|INFORME 02/26</v>
      </c>
      <c r="J283" t="str">
        <f t="shared" si="9"/>
        <v>SÍ</v>
      </c>
    </row>
    <row r="284" spans="1:10" ht="28.8" x14ac:dyDescent="0.3">
      <c r="A284" s="1" t="s">
        <v>358</v>
      </c>
      <c r="B284" s="1" t="s">
        <v>359</v>
      </c>
      <c r="C284" s="1" t="s">
        <v>258</v>
      </c>
      <c r="D284" s="22">
        <v>46538.479768518519</v>
      </c>
      <c r="E284" s="1" t="s">
        <v>10</v>
      </c>
      <c r="F284" s="3">
        <v>235</v>
      </c>
      <c r="G284" s="1" t="s">
        <v>11</v>
      </c>
      <c r="H284" s="2"/>
      <c r="I284" t="str">
        <f t="shared" si="8"/>
        <v>EE10302|INFORME 01/26</v>
      </c>
      <c r="J284" t="str">
        <f t="shared" si="9"/>
        <v>SÍ</v>
      </c>
    </row>
    <row r="285" spans="1:10" ht="28.8" x14ac:dyDescent="0.3">
      <c r="A285" s="1" t="s">
        <v>360</v>
      </c>
      <c r="B285" s="1" t="s">
        <v>361</v>
      </c>
      <c r="C285" s="1" t="s">
        <v>365</v>
      </c>
      <c r="D285" s="22">
        <v>46265.946539351848</v>
      </c>
      <c r="E285" s="1" t="s">
        <v>10</v>
      </c>
      <c r="F285" s="3">
        <v>3069.3292000000001</v>
      </c>
      <c r="G285" s="1" t="s">
        <v>40</v>
      </c>
      <c r="H285" s="2"/>
      <c r="I285" t="str">
        <f t="shared" si="8"/>
        <v>MP10002|INFORME 118/26</v>
      </c>
      <c r="J285" t="str">
        <f t="shared" si="9"/>
        <v>SÍ</v>
      </c>
    </row>
    <row r="286" spans="1:10" ht="28.8" x14ac:dyDescent="0.3">
      <c r="A286" s="1" t="s">
        <v>24</v>
      </c>
      <c r="B286" s="1" t="s">
        <v>25</v>
      </c>
      <c r="C286" s="1"/>
      <c r="D286" s="22"/>
      <c r="E286" s="1" t="s">
        <v>1635</v>
      </c>
      <c r="F286" s="3">
        <v>87341</v>
      </c>
      <c r="G286" s="1" t="s">
        <v>11</v>
      </c>
      <c r="H286" s="2"/>
      <c r="I286" t="str">
        <f t="shared" si="8"/>
        <v>EE10079|</v>
      </c>
      <c r="J286" t="str">
        <f t="shared" si="9"/>
        <v>SÍ</v>
      </c>
    </row>
    <row r="287" spans="1:10" ht="28.8" x14ac:dyDescent="0.3">
      <c r="A287" s="1" t="s">
        <v>286</v>
      </c>
      <c r="B287" s="1" t="s">
        <v>287</v>
      </c>
      <c r="C287" s="1" t="s">
        <v>291</v>
      </c>
      <c r="D287" s="22">
        <v>46536.400451388887</v>
      </c>
      <c r="E287" s="1" t="s">
        <v>10</v>
      </c>
      <c r="F287" s="3">
        <v>101.30459999999999</v>
      </c>
      <c r="G287" s="1" t="s">
        <v>11</v>
      </c>
      <c r="H287" s="2"/>
      <c r="I287" t="str">
        <f t="shared" si="8"/>
        <v>EE10249|INFORME 04/26</v>
      </c>
      <c r="J287" t="str">
        <f t="shared" si="9"/>
        <v>SÍ</v>
      </c>
    </row>
    <row r="288" spans="1:10" ht="28.8" x14ac:dyDescent="0.3">
      <c r="A288" s="1" t="s">
        <v>366</v>
      </c>
      <c r="B288" s="1" t="s">
        <v>367</v>
      </c>
      <c r="C288" s="1" t="s">
        <v>291</v>
      </c>
      <c r="D288" s="22">
        <v>46498.436979166669</v>
      </c>
      <c r="E288" s="1" t="s">
        <v>10</v>
      </c>
      <c r="F288" s="3">
        <v>20.04</v>
      </c>
      <c r="G288" s="1" t="s">
        <v>40</v>
      </c>
      <c r="H288" s="2"/>
      <c r="I288" t="str">
        <f t="shared" si="8"/>
        <v>MP10062|INFORME 04/26</v>
      </c>
      <c r="J288" t="str">
        <f t="shared" si="9"/>
        <v>SÍ</v>
      </c>
    </row>
    <row r="289" spans="1:10" ht="28.8" x14ac:dyDescent="0.3">
      <c r="A289" s="1" t="s">
        <v>273</v>
      </c>
      <c r="B289" s="1" t="s">
        <v>274</v>
      </c>
      <c r="C289" s="1" t="s">
        <v>288</v>
      </c>
      <c r="D289" s="22">
        <v>46565.562094907407</v>
      </c>
      <c r="E289" s="1" t="s">
        <v>10</v>
      </c>
      <c r="F289" s="3">
        <v>900</v>
      </c>
      <c r="G289" s="1" t="s">
        <v>11</v>
      </c>
      <c r="H289" s="2"/>
      <c r="I289" t="str">
        <f t="shared" si="8"/>
        <v>EE10256|INFORME 03/26</v>
      </c>
      <c r="J289" t="str">
        <f t="shared" si="9"/>
        <v>SÍ</v>
      </c>
    </row>
    <row r="290" spans="1:10" ht="28.8" x14ac:dyDescent="0.3">
      <c r="A290" s="1" t="s">
        <v>273</v>
      </c>
      <c r="B290" s="1" t="s">
        <v>274</v>
      </c>
      <c r="C290" s="1" t="s">
        <v>291</v>
      </c>
      <c r="D290" s="22">
        <v>46542.565196759257</v>
      </c>
      <c r="E290" s="1" t="s">
        <v>10</v>
      </c>
      <c r="F290" s="3">
        <v>3400</v>
      </c>
      <c r="G290" s="1" t="s">
        <v>11</v>
      </c>
      <c r="H290" s="2"/>
      <c r="I290" t="str">
        <f t="shared" si="8"/>
        <v>EE10256|INFORME 04/26</v>
      </c>
      <c r="J290" t="str">
        <f t="shared" si="9"/>
        <v>SÍ</v>
      </c>
    </row>
    <row r="291" spans="1:10" ht="28.8" x14ac:dyDescent="0.3">
      <c r="A291" s="1" t="s">
        <v>368</v>
      </c>
      <c r="B291" s="1" t="s">
        <v>369</v>
      </c>
      <c r="C291" s="1" t="s">
        <v>258</v>
      </c>
      <c r="D291" s="22">
        <v>46254.501076388893</v>
      </c>
      <c r="E291" s="1" t="s">
        <v>10</v>
      </c>
      <c r="F291" s="3">
        <v>1000</v>
      </c>
      <c r="G291" s="1" t="s">
        <v>11</v>
      </c>
      <c r="H291" s="2"/>
      <c r="I291" t="str">
        <f t="shared" si="8"/>
        <v>EE10251|INFORME 01/26</v>
      </c>
      <c r="J291" t="str">
        <f t="shared" si="9"/>
        <v>SÍ</v>
      </c>
    </row>
    <row r="292" spans="1:10" ht="28.8" x14ac:dyDescent="0.3">
      <c r="A292" s="1" t="s">
        <v>271</v>
      </c>
      <c r="B292" s="1" t="s">
        <v>272</v>
      </c>
      <c r="C292" s="1" t="s">
        <v>270</v>
      </c>
      <c r="D292" s="22"/>
      <c r="E292" s="1" t="s">
        <v>10</v>
      </c>
      <c r="F292" s="3">
        <v>3400</v>
      </c>
      <c r="G292" s="1" t="s">
        <v>11</v>
      </c>
      <c r="H292" s="2"/>
      <c r="I292" t="str">
        <f t="shared" si="8"/>
        <v>EE10093|INFORME 02/26</v>
      </c>
      <c r="J292" t="str">
        <f t="shared" si="9"/>
        <v>SÍ</v>
      </c>
    </row>
    <row r="293" spans="1:10" ht="28.8" x14ac:dyDescent="0.3">
      <c r="A293" s="1" t="s">
        <v>370</v>
      </c>
      <c r="B293" s="1" t="s">
        <v>371</v>
      </c>
      <c r="C293" s="1" t="s">
        <v>258</v>
      </c>
      <c r="D293" s="22">
        <v>46542.566006944442</v>
      </c>
      <c r="E293" s="1" t="s">
        <v>10</v>
      </c>
      <c r="F293" s="3">
        <v>1000</v>
      </c>
      <c r="G293" s="1" t="s">
        <v>11</v>
      </c>
      <c r="H293" s="2"/>
      <c r="I293" t="str">
        <f t="shared" si="8"/>
        <v>EE10304|INFORME 01/26</v>
      </c>
      <c r="J293" t="str">
        <f t="shared" si="9"/>
        <v>SÍ</v>
      </c>
    </row>
    <row r="294" spans="1:10" ht="28.8" x14ac:dyDescent="0.3">
      <c r="A294" s="1" t="s">
        <v>360</v>
      </c>
      <c r="B294" s="1" t="s">
        <v>361</v>
      </c>
      <c r="C294" s="1" t="s">
        <v>372</v>
      </c>
      <c r="D294" s="22">
        <v>46231.62259259259</v>
      </c>
      <c r="E294" s="1" t="s">
        <v>10</v>
      </c>
      <c r="F294" s="3">
        <v>1217.1931999999999</v>
      </c>
      <c r="G294" s="1" t="s">
        <v>40</v>
      </c>
      <c r="H294" s="2"/>
      <c r="I294" t="str">
        <f t="shared" si="8"/>
        <v>MP10002|INFORME 102/26</v>
      </c>
      <c r="J294" t="str">
        <f t="shared" si="9"/>
        <v>SÍ</v>
      </c>
    </row>
    <row r="295" spans="1:10" ht="28.8" x14ac:dyDescent="0.3">
      <c r="A295" s="1" t="s">
        <v>373</v>
      </c>
      <c r="B295" s="1" t="s">
        <v>374</v>
      </c>
      <c r="C295" s="1" t="s">
        <v>270</v>
      </c>
      <c r="D295" s="22">
        <v>46543.728750000002</v>
      </c>
      <c r="E295" s="1" t="s">
        <v>10</v>
      </c>
      <c r="F295" s="3">
        <v>2.0009999999999999</v>
      </c>
      <c r="G295" s="1" t="s">
        <v>11</v>
      </c>
      <c r="H295" s="2"/>
      <c r="I295" t="str">
        <f t="shared" si="8"/>
        <v>EE10200|INFORME 02/26</v>
      </c>
      <c r="J295" t="str">
        <f t="shared" si="9"/>
        <v>SÍ</v>
      </c>
    </row>
    <row r="296" spans="1:10" ht="28.8" x14ac:dyDescent="0.3">
      <c r="A296" s="1" t="s">
        <v>375</v>
      </c>
      <c r="B296" s="1" t="s">
        <v>376</v>
      </c>
      <c r="C296" s="1" t="s">
        <v>312</v>
      </c>
      <c r="D296" s="22">
        <v>46542.732071759259</v>
      </c>
      <c r="E296" s="1" t="s">
        <v>10</v>
      </c>
      <c r="F296" s="3">
        <v>853</v>
      </c>
      <c r="G296" s="1" t="s">
        <v>11</v>
      </c>
      <c r="H296" s="2"/>
      <c r="I296" t="str">
        <f t="shared" si="8"/>
        <v>EE10012|INFORME 09/26</v>
      </c>
      <c r="J296" t="str">
        <f t="shared" si="9"/>
        <v>SÍ</v>
      </c>
    </row>
    <row r="297" spans="1:10" ht="28.8" x14ac:dyDescent="0.3">
      <c r="A297" s="1" t="s">
        <v>597</v>
      </c>
      <c r="B297" s="1" t="s">
        <v>766</v>
      </c>
      <c r="C297" s="1" t="s">
        <v>989</v>
      </c>
      <c r="D297" s="22">
        <v>46148</v>
      </c>
      <c r="E297" s="1" t="s">
        <v>1636</v>
      </c>
      <c r="F297" s="3">
        <v>9</v>
      </c>
      <c r="G297" s="1" t="s">
        <v>2170</v>
      </c>
      <c r="H297" s="2"/>
      <c r="I297" t="str">
        <f t="shared" si="8"/>
        <v>RT0055PE|RO-24925</v>
      </c>
      <c r="J297" t="str">
        <f t="shared" si="9"/>
        <v>SÍ</v>
      </c>
    </row>
    <row r="298" spans="1:10" ht="28.8" x14ac:dyDescent="0.3">
      <c r="A298" s="1" t="s">
        <v>598</v>
      </c>
      <c r="B298" s="1" t="s">
        <v>767</v>
      </c>
      <c r="C298" s="1" t="s">
        <v>990</v>
      </c>
      <c r="D298" s="22">
        <v>46276.126875000002</v>
      </c>
      <c r="E298" s="1" t="s">
        <v>1636</v>
      </c>
      <c r="F298" s="3">
        <v>1</v>
      </c>
      <c r="G298" s="1" t="s">
        <v>2171</v>
      </c>
      <c r="H298" s="2"/>
      <c r="I298" t="str">
        <f t="shared" si="8"/>
        <v>RT0063PE|OP-01126-E3</v>
      </c>
      <c r="J298" t="str">
        <f t="shared" si="9"/>
        <v>SÍ</v>
      </c>
    </row>
    <row r="299" spans="1:10" ht="28.8" x14ac:dyDescent="0.3">
      <c r="A299" s="1" t="s">
        <v>582</v>
      </c>
      <c r="B299" s="1" t="s">
        <v>751</v>
      </c>
      <c r="C299" s="1" t="s">
        <v>991</v>
      </c>
      <c r="D299" s="22">
        <v>46433.147962962961</v>
      </c>
      <c r="E299" s="1" t="s">
        <v>1636</v>
      </c>
      <c r="F299" s="3">
        <v>59</v>
      </c>
      <c r="G299" s="1" t="s">
        <v>2166</v>
      </c>
      <c r="H299" s="2"/>
      <c r="I299" t="str">
        <f t="shared" si="8"/>
        <v>TC0006PE|SN-10526-E3</v>
      </c>
      <c r="J299" t="str">
        <f t="shared" si="9"/>
        <v>SÍ</v>
      </c>
    </row>
    <row r="300" spans="1:10" ht="43.2" x14ac:dyDescent="0.3">
      <c r="A300" s="1" t="s">
        <v>599</v>
      </c>
      <c r="B300" s="1" t="s">
        <v>768</v>
      </c>
      <c r="C300" s="1" t="s">
        <v>992</v>
      </c>
      <c r="D300" s="22">
        <v>46243</v>
      </c>
      <c r="E300" s="1" t="s">
        <v>1636</v>
      </c>
      <c r="F300" s="3">
        <v>5</v>
      </c>
      <c r="G300" s="1" t="s">
        <v>2168</v>
      </c>
      <c r="H300" s="2"/>
      <c r="I300" t="str">
        <f t="shared" si="8"/>
        <v>TC0114PE|SN-22125</v>
      </c>
      <c r="J300" t="str">
        <f t="shared" si="9"/>
        <v>SÍ</v>
      </c>
    </row>
    <row r="301" spans="1:10" ht="43.2" x14ac:dyDescent="0.3">
      <c r="A301" s="1" t="s">
        <v>599</v>
      </c>
      <c r="B301" s="1" t="s">
        <v>768</v>
      </c>
      <c r="C301" s="1" t="s">
        <v>993</v>
      </c>
      <c r="D301" s="22">
        <v>46463.994745370372</v>
      </c>
      <c r="E301" s="1" t="s">
        <v>1636</v>
      </c>
      <c r="F301" s="3">
        <v>2</v>
      </c>
      <c r="G301" s="1" t="s">
        <v>2168</v>
      </c>
      <c r="H301" s="2"/>
      <c r="I301" t="str">
        <f t="shared" si="8"/>
        <v>TC0114PE|SN-14126-E7</v>
      </c>
      <c r="J301" t="str">
        <f t="shared" si="9"/>
        <v>SÍ</v>
      </c>
    </row>
    <row r="302" spans="1:10" ht="28.8" x14ac:dyDescent="0.3">
      <c r="A302" s="1" t="s">
        <v>453</v>
      </c>
      <c r="B302" s="1" t="s">
        <v>454</v>
      </c>
      <c r="C302" s="1" t="s">
        <v>270</v>
      </c>
      <c r="D302" s="22">
        <v>46358.397164351853</v>
      </c>
      <c r="E302" s="1" t="s">
        <v>1634</v>
      </c>
      <c r="F302" s="3">
        <v>17</v>
      </c>
      <c r="G302" s="1" t="s">
        <v>40</v>
      </c>
      <c r="H302" s="2"/>
      <c r="I302" t="str">
        <f t="shared" si="8"/>
        <v>EE10298|INFORME 02/26</v>
      </c>
      <c r="J302" t="str">
        <f t="shared" si="9"/>
        <v>SÍ</v>
      </c>
    </row>
    <row r="303" spans="1:10" ht="28.8" x14ac:dyDescent="0.3">
      <c r="A303" s="1" t="s">
        <v>377</v>
      </c>
      <c r="B303" s="1" t="s">
        <v>378</v>
      </c>
      <c r="C303" s="1" t="s">
        <v>270</v>
      </c>
      <c r="D303" s="22">
        <v>46548.681793981479</v>
      </c>
      <c r="E303" s="1" t="s">
        <v>10</v>
      </c>
      <c r="F303" s="3">
        <v>600</v>
      </c>
      <c r="G303" s="1" t="s">
        <v>11</v>
      </c>
      <c r="H303" s="2"/>
      <c r="I303" t="str">
        <f t="shared" si="8"/>
        <v>EE10287|INFORME 02/26</v>
      </c>
      <c r="J303" t="str">
        <f t="shared" si="9"/>
        <v>SÍ</v>
      </c>
    </row>
    <row r="304" spans="1:10" ht="28.8" x14ac:dyDescent="0.3">
      <c r="A304" s="1" t="s">
        <v>578</v>
      </c>
      <c r="B304" s="1" t="s">
        <v>747</v>
      </c>
      <c r="C304" s="1" t="s">
        <v>994</v>
      </c>
      <c r="D304" s="22">
        <v>46487.143692129634</v>
      </c>
      <c r="E304" s="1" t="s">
        <v>1637</v>
      </c>
      <c r="F304" s="3">
        <v>58</v>
      </c>
      <c r="G304" s="1" t="s">
        <v>2168</v>
      </c>
      <c r="H304" s="2"/>
      <c r="I304" t="str">
        <f t="shared" si="8"/>
        <v>TC0091PE|SN-16126-E5</v>
      </c>
      <c r="J304" t="str">
        <f t="shared" si="9"/>
        <v>SÍ</v>
      </c>
    </row>
    <row r="305" spans="1:10" ht="28.8" x14ac:dyDescent="0.3">
      <c r="A305" s="1" t="s">
        <v>578</v>
      </c>
      <c r="B305" s="1" t="s">
        <v>747</v>
      </c>
      <c r="C305" s="1" t="s">
        <v>995</v>
      </c>
      <c r="D305" s="22">
        <v>46487.961805555547</v>
      </c>
      <c r="E305" s="1" t="s">
        <v>1637</v>
      </c>
      <c r="F305" s="3">
        <v>39</v>
      </c>
      <c r="G305" s="1" t="s">
        <v>2168</v>
      </c>
      <c r="H305" s="2"/>
      <c r="I305" t="str">
        <f t="shared" si="8"/>
        <v>TC0091PE|SN-16126-E2</v>
      </c>
      <c r="J305" t="str">
        <f t="shared" si="9"/>
        <v>SÍ</v>
      </c>
    </row>
    <row r="306" spans="1:10" ht="28.8" x14ac:dyDescent="0.3">
      <c r="A306" s="1" t="s">
        <v>573</v>
      </c>
      <c r="B306" s="1" t="s">
        <v>742</v>
      </c>
      <c r="C306" s="1" t="s">
        <v>996</v>
      </c>
      <c r="D306" s="22">
        <v>46264.58011574074</v>
      </c>
      <c r="E306" s="1" t="s">
        <v>1636</v>
      </c>
      <c r="F306" s="3">
        <v>1</v>
      </c>
      <c r="G306" s="1" t="s">
        <v>2166</v>
      </c>
      <c r="H306" s="2"/>
      <c r="I306" t="str">
        <f t="shared" si="8"/>
        <v>TC0103PE|SP-30525</v>
      </c>
      <c r="J306" t="str">
        <f t="shared" si="9"/>
        <v>SÍ</v>
      </c>
    </row>
    <row r="307" spans="1:10" ht="43.2" x14ac:dyDescent="0.3">
      <c r="A307" s="1" t="s">
        <v>600</v>
      </c>
      <c r="B307" s="1" t="s">
        <v>769</v>
      </c>
      <c r="C307" s="1" t="s">
        <v>997</v>
      </c>
      <c r="D307" s="22">
        <v>46143</v>
      </c>
      <c r="E307" s="1" t="s">
        <v>1636</v>
      </c>
      <c r="F307" s="3">
        <v>1</v>
      </c>
      <c r="G307" s="1" t="s">
        <v>2172</v>
      </c>
      <c r="H307" s="2"/>
      <c r="I307" t="str">
        <f t="shared" si="8"/>
        <v>TC0119PE|PACK-19025</v>
      </c>
      <c r="J307" t="str">
        <f t="shared" si="9"/>
        <v>SÍ</v>
      </c>
    </row>
    <row r="308" spans="1:10" ht="43.2" x14ac:dyDescent="0.3">
      <c r="A308" s="1" t="s">
        <v>601</v>
      </c>
      <c r="B308" s="1" t="s">
        <v>770</v>
      </c>
      <c r="C308" s="1" t="s">
        <v>998</v>
      </c>
      <c r="D308" s="22">
        <v>46146</v>
      </c>
      <c r="E308" s="1" t="s">
        <v>1636</v>
      </c>
      <c r="F308" s="3">
        <v>2</v>
      </c>
      <c r="G308" s="1" t="s">
        <v>2169</v>
      </c>
      <c r="H308" s="2"/>
      <c r="I308" t="str">
        <f t="shared" si="8"/>
        <v>TC0227PE|SC-18525</v>
      </c>
      <c r="J308" t="str">
        <f t="shared" si="9"/>
        <v>SÍ</v>
      </c>
    </row>
    <row r="309" spans="1:10" ht="28.8" x14ac:dyDescent="0.3">
      <c r="A309" s="1" t="s">
        <v>590</v>
      </c>
      <c r="B309" s="1" t="s">
        <v>759</v>
      </c>
      <c r="C309" s="1" t="s">
        <v>999</v>
      </c>
      <c r="D309" s="22">
        <v>46270.11922453704</v>
      </c>
      <c r="E309" s="1" t="s">
        <v>1636</v>
      </c>
      <c r="F309" s="3">
        <v>2</v>
      </c>
      <c r="G309" s="1" t="s">
        <v>2166</v>
      </c>
      <c r="H309" s="2"/>
      <c r="I309" t="str">
        <f t="shared" si="8"/>
        <v>TC0233PE|PJ-27825</v>
      </c>
      <c r="J309" t="str">
        <f t="shared" si="9"/>
        <v>SÍ</v>
      </c>
    </row>
    <row r="310" spans="1:10" ht="28.8" x14ac:dyDescent="0.3">
      <c r="A310" s="1" t="s">
        <v>578</v>
      </c>
      <c r="B310" s="1" t="s">
        <v>747</v>
      </c>
      <c r="C310" s="1" t="s">
        <v>1000</v>
      </c>
      <c r="D310" s="22">
        <v>46487.187928240739</v>
      </c>
      <c r="E310" s="1" t="s">
        <v>1637</v>
      </c>
      <c r="F310" s="3">
        <v>15</v>
      </c>
      <c r="G310" s="1" t="s">
        <v>2168</v>
      </c>
      <c r="H310" s="2"/>
      <c r="I310" t="str">
        <f t="shared" si="8"/>
        <v>TC0091PE|SN-16226-E2</v>
      </c>
      <c r="J310" t="str">
        <f t="shared" si="9"/>
        <v>SÍ</v>
      </c>
    </row>
    <row r="311" spans="1:10" ht="28.8" x14ac:dyDescent="0.3">
      <c r="A311" s="1" t="s">
        <v>578</v>
      </c>
      <c r="B311" s="1" t="s">
        <v>747</v>
      </c>
      <c r="C311" s="1" t="s">
        <v>1001</v>
      </c>
      <c r="D311" s="22">
        <v>46488.196759259263</v>
      </c>
      <c r="E311" s="1" t="s">
        <v>1637</v>
      </c>
      <c r="F311" s="3">
        <v>55</v>
      </c>
      <c r="G311" s="1" t="s">
        <v>2168</v>
      </c>
      <c r="H311" s="2"/>
      <c r="I311" t="str">
        <f t="shared" si="8"/>
        <v>TC0091PE|SN-16226-E5</v>
      </c>
      <c r="J311" t="str">
        <f t="shared" si="9"/>
        <v>SÍ</v>
      </c>
    </row>
    <row r="312" spans="1:10" ht="28.8" x14ac:dyDescent="0.3">
      <c r="A312" s="1" t="s">
        <v>373</v>
      </c>
      <c r="B312" s="1" t="s">
        <v>374</v>
      </c>
      <c r="C312" s="1" t="s">
        <v>270</v>
      </c>
      <c r="D312" s="22">
        <v>46543.728750000002</v>
      </c>
      <c r="E312" s="1" t="s">
        <v>1635</v>
      </c>
      <c r="F312" s="3">
        <v>11.72</v>
      </c>
      <c r="G312" s="1" t="s">
        <v>11</v>
      </c>
      <c r="H312" s="2"/>
      <c r="I312" t="str">
        <f t="shared" si="8"/>
        <v>EE10200|INFORME 02/26</v>
      </c>
      <c r="J312" t="str">
        <f t="shared" si="9"/>
        <v>SÍ</v>
      </c>
    </row>
    <row r="313" spans="1:10" ht="28.8" x14ac:dyDescent="0.3">
      <c r="A313" s="1" t="s">
        <v>578</v>
      </c>
      <c r="B313" s="1" t="s">
        <v>747</v>
      </c>
      <c r="C313" s="1" t="s">
        <v>1002</v>
      </c>
      <c r="D313" s="22">
        <v>46488</v>
      </c>
      <c r="E313" s="1" t="s">
        <v>1637</v>
      </c>
      <c r="F313" s="3">
        <v>39</v>
      </c>
      <c r="G313" s="1" t="s">
        <v>2168</v>
      </c>
      <c r="H313" s="2"/>
      <c r="I313" t="str">
        <f t="shared" si="8"/>
        <v>TC0091PE|SN-16226-E1</v>
      </c>
      <c r="J313" t="str">
        <f t="shared" si="9"/>
        <v>SÍ</v>
      </c>
    </row>
    <row r="314" spans="1:10" ht="28.8" x14ac:dyDescent="0.3">
      <c r="A314" s="1" t="s">
        <v>578</v>
      </c>
      <c r="B314" s="1" t="s">
        <v>747</v>
      </c>
      <c r="C314" s="1" t="s">
        <v>1003</v>
      </c>
      <c r="D314" s="22">
        <v>46489.204525462963</v>
      </c>
      <c r="E314" s="1" t="s">
        <v>1637</v>
      </c>
      <c r="F314" s="3">
        <v>9</v>
      </c>
      <c r="G314" s="1" t="s">
        <v>2168</v>
      </c>
      <c r="H314" s="2"/>
      <c r="I314" t="str">
        <f t="shared" si="8"/>
        <v>TC0091PE|SN-16326-E2</v>
      </c>
      <c r="J314" t="str">
        <f t="shared" si="9"/>
        <v>SÍ</v>
      </c>
    </row>
    <row r="315" spans="1:10" ht="28.8" x14ac:dyDescent="0.3">
      <c r="A315" s="1" t="s">
        <v>578</v>
      </c>
      <c r="B315" s="1" t="s">
        <v>747</v>
      </c>
      <c r="C315" s="1" t="s">
        <v>1004</v>
      </c>
      <c r="D315" s="22">
        <v>46488.182858796303</v>
      </c>
      <c r="E315" s="1" t="s">
        <v>1637</v>
      </c>
      <c r="F315" s="3">
        <v>15</v>
      </c>
      <c r="G315" s="1" t="s">
        <v>2168</v>
      </c>
      <c r="H315" s="2"/>
      <c r="I315" t="str">
        <f t="shared" si="8"/>
        <v>TC0091PE|SN-16226-E3</v>
      </c>
      <c r="J315" t="str">
        <f t="shared" si="9"/>
        <v>SÍ</v>
      </c>
    </row>
    <row r="316" spans="1:10" ht="28.8" x14ac:dyDescent="0.3">
      <c r="A316" s="1" t="s">
        <v>578</v>
      </c>
      <c r="B316" s="1" t="s">
        <v>747</v>
      </c>
      <c r="C316" s="1" t="s">
        <v>1005</v>
      </c>
      <c r="D316" s="22">
        <v>46488.212071759262</v>
      </c>
      <c r="E316" s="1" t="s">
        <v>1637</v>
      </c>
      <c r="F316" s="3">
        <v>2</v>
      </c>
      <c r="G316" s="1" t="s">
        <v>2168</v>
      </c>
      <c r="H316" s="2"/>
      <c r="I316" t="str">
        <f t="shared" si="8"/>
        <v>TC0091PE|SN-16326-E3</v>
      </c>
      <c r="J316" t="str">
        <f t="shared" si="9"/>
        <v>SÍ</v>
      </c>
    </row>
    <row r="317" spans="1:10" ht="28.8" x14ac:dyDescent="0.3">
      <c r="A317" s="1" t="s">
        <v>578</v>
      </c>
      <c r="B317" s="1" t="s">
        <v>747</v>
      </c>
      <c r="C317" s="1" t="s">
        <v>1006</v>
      </c>
      <c r="D317" s="22">
        <v>46489.215787037043</v>
      </c>
      <c r="E317" s="1" t="s">
        <v>1637</v>
      </c>
      <c r="F317" s="3">
        <v>24</v>
      </c>
      <c r="G317" s="1" t="s">
        <v>2168</v>
      </c>
      <c r="H317" s="2"/>
      <c r="I317" t="str">
        <f t="shared" si="8"/>
        <v>TC0091PE|SN-16326-E4</v>
      </c>
      <c r="J317" t="str">
        <f t="shared" si="9"/>
        <v>SÍ</v>
      </c>
    </row>
    <row r="318" spans="1:10" ht="28.8" x14ac:dyDescent="0.3">
      <c r="A318" s="1" t="s">
        <v>578</v>
      </c>
      <c r="B318" s="1" t="s">
        <v>747</v>
      </c>
      <c r="C318" s="1" t="s">
        <v>1007</v>
      </c>
      <c r="D318" s="22">
        <v>46489.219027777777</v>
      </c>
      <c r="E318" s="1" t="s">
        <v>1637</v>
      </c>
      <c r="F318" s="3">
        <v>46</v>
      </c>
      <c r="G318" s="1" t="s">
        <v>2168</v>
      </c>
      <c r="H318" s="2"/>
      <c r="I318" t="str">
        <f t="shared" si="8"/>
        <v>TC0091PE|SN-16326-E5</v>
      </c>
      <c r="J318" t="str">
        <f t="shared" si="9"/>
        <v>SÍ</v>
      </c>
    </row>
    <row r="319" spans="1:10" ht="28.8" x14ac:dyDescent="0.3">
      <c r="A319" s="1" t="s">
        <v>375</v>
      </c>
      <c r="B319" s="1" t="s">
        <v>376</v>
      </c>
      <c r="C319" s="1" t="s">
        <v>312</v>
      </c>
      <c r="D319" s="22">
        <v>46542.732071759259</v>
      </c>
      <c r="E319" s="1" t="s">
        <v>1634</v>
      </c>
      <c r="F319" s="3">
        <v>38</v>
      </c>
      <c r="G319" s="1" t="s">
        <v>11</v>
      </c>
      <c r="H319" s="2"/>
      <c r="I319" t="str">
        <f t="shared" si="8"/>
        <v>EE10012|INFORME 09/26</v>
      </c>
      <c r="J319" t="str">
        <f t="shared" si="9"/>
        <v>SÍ</v>
      </c>
    </row>
    <row r="320" spans="1:10" ht="28.8" x14ac:dyDescent="0.3">
      <c r="A320" s="1" t="s">
        <v>578</v>
      </c>
      <c r="B320" s="1" t="s">
        <v>747</v>
      </c>
      <c r="C320" s="1" t="s">
        <v>1008</v>
      </c>
      <c r="D320" s="22">
        <v>46490.983275462961</v>
      </c>
      <c r="E320" s="1" t="s">
        <v>1637</v>
      </c>
      <c r="F320" s="3">
        <v>51</v>
      </c>
      <c r="G320" s="1" t="s">
        <v>2168</v>
      </c>
      <c r="H320" s="2"/>
      <c r="I320" t="str">
        <f t="shared" si="8"/>
        <v>TC0091PE|SN-16426-E2</v>
      </c>
      <c r="J320" t="str">
        <f t="shared" si="9"/>
        <v>SÍ</v>
      </c>
    </row>
    <row r="321" spans="1:10" ht="28.8" x14ac:dyDescent="0.3">
      <c r="A321" s="1" t="s">
        <v>578</v>
      </c>
      <c r="B321" s="1" t="s">
        <v>747</v>
      </c>
      <c r="C321" s="1" t="s">
        <v>1009</v>
      </c>
      <c r="D321" s="22">
        <v>46490.985231481478</v>
      </c>
      <c r="E321" s="1" t="s">
        <v>1637</v>
      </c>
      <c r="F321" s="3">
        <v>1</v>
      </c>
      <c r="G321" s="1" t="s">
        <v>2168</v>
      </c>
      <c r="H321" s="2"/>
      <c r="I321" t="str">
        <f t="shared" si="8"/>
        <v>TC0091PE|SN-16426-E3</v>
      </c>
      <c r="J321" t="str">
        <f t="shared" si="9"/>
        <v>SÍ</v>
      </c>
    </row>
    <row r="322" spans="1:10" ht="28.8" x14ac:dyDescent="0.3">
      <c r="A322" s="1" t="s">
        <v>578</v>
      </c>
      <c r="B322" s="1" t="s">
        <v>747</v>
      </c>
      <c r="C322" s="1" t="s">
        <v>1010</v>
      </c>
      <c r="D322" s="22">
        <v>46490.990300925929</v>
      </c>
      <c r="E322" s="1" t="s">
        <v>1637</v>
      </c>
      <c r="F322" s="3">
        <v>59</v>
      </c>
      <c r="G322" s="1" t="s">
        <v>2168</v>
      </c>
      <c r="H322" s="2"/>
      <c r="I322" t="str">
        <f t="shared" ref="I322:I337" si="10">IF(A322="","",A322&amp;"|"&amp;C322)</f>
        <v>TC0091PE|SN-16426-E5</v>
      </c>
      <c r="J322" t="str">
        <f t="shared" ref="J322:J337" si="11">IF(A322&lt;&gt;"","SÍ","NO")</f>
        <v>SÍ</v>
      </c>
    </row>
    <row r="323" spans="1:10" ht="28.8" x14ac:dyDescent="0.3">
      <c r="A323" s="1" t="s">
        <v>335</v>
      </c>
      <c r="B323" s="1" t="s">
        <v>336</v>
      </c>
      <c r="C323" s="1" t="s">
        <v>270</v>
      </c>
      <c r="D323" s="22">
        <v>46539.5547337963</v>
      </c>
      <c r="E323" s="1" t="s">
        <v>10</v>
      </c>
      <c r="F323" s="3">
        <v>380</v>
      </c>
      <c r="G323" s="1" t="s">
        <v>11</v>
      </c>
      <c r="H323" s="2"/>
      <c r="I323" t="str">
        <f t="shared" si="10"/>
        <v>EE10282|INFORME 02/26</v>
      </c>
      <c r="J323" t="str">
        <f t="shared" si="11"/>
        <v>SÍ</v>
      </c>
    </row>
    <row r="324" spans="1:10" ht="28.8" x14ac:dyDescent="0.3">
      <c r="A324" s="1" t="s">
        <v>337</v>
      </c>
      <c r="B324" s="1" t="s">
        <v>338</v>
      </c>
      <c r="C324" s="1" t="s">
        <v>270</v>
      </c>
      <c r="D324" s="22">
        <v>46539.554467592592</v>
      </c>
      <c r="E324" s="1" t="s">
        <v>10</v>
      </c>
      <c r="F324" s="3">
        <v>200</v>
      </c>
      <c r="G324" s="1" t="s">
        <v>11</v>
      </c>
      <c r="H324" s="2"/>
      <c r="I324" t="str">
        <f t="shared" si="10"/>
        <v>EE10284|INFORME 02/26</v>
      </c>
      <c r="J324" t="str">
        <f t="shared" si="11"/>
        <v>SÍ</v>
      </c>
    </row>
    <row r="325" spans="1:10" ht="28.8" x14ac:dyDescent="0.3">
      <c r="A325" s="1" t="s">
        <v>341</v>
      </c>
      <c r="B325" s="1" t="s">
        <v>342</v>
      </c>
      <c r="C325" s="1" t="s">
        <v>270</v>
      </c>
      <c r="D325" s="22">
        <v>46539.554178240738</v>
      </c>
      <c r="E325" s="1" t="s">
        <v>10</v>
      </c>
      <c r="F325" s="3">
        <v>449</v>
      </c>
      <c r="G325" s="1" t="s">
        <v>11</v>
      </c>
      <c r="H325" s="2"/>
      <c r="I325" t="str">
        <f t="shared" si="10"/>
        <v>EE10280|INFORME 02/26</v>
      </c>
      <c r="J325" t="str">
        <f t="shared" si="11"/>
        <v>SÍ</v>
      </c>
    </row>
    <row r="326" spans="1:10" ht="28.8" x14ac:dyDescent="0.3">
      <c r="A326" s="1" t="s">
        <v>377</v>
      </c>
      <c r="B326" s="1" t="s">
        <v>378</v>
      </c>
      <c r="C326" s="1" t="s">
        <v>258</v>
      </c>
      <c r="D326" s="22">
        <v>46539.555289351847</v>
      </c>
      <c r="E326" s="1" t="s">
        <v>10</v>
      </c>
      <c r="F326" s="3">
        <v>557</v>
      </c>
      <c r="G326" s="1" t="s">
        <v>11</v>
      </c>
      <c r="H326" s="2"/>
      <c r="I326" t="str">
        <f t="shared" si="10"/>
        <v>EE10287|INFORME 01/26</v>
      </c>
      <c r="J326" t="str">
        <f t="shared" si="11"/>
        <v>SÍ</v>
      </c>
    </row>
    <row r="327" spans="1:10" ht="28.8" x14ac:dyDescent="0.3">
      <c r="A327" s="1" t="s">
        <v>379</v>
      </c>
      <c r="B327" s="1" t="s">
        <v>380</v>
      </c>
      <c r="C327" s="1" t="s">
        <v>258</v>
      </c>
      <c r="D327" s="22">
        <v>46539.553969907407</v>
      </c>
      <c r="E327" s="1" t="s">
        <v>10</v>
      </c>
      <c r="F327" s="3">
        <v>600</v>
      </c>
      <c r="G327" s="1" t="s">
        <v>11</v>
      </c>
      <c r="H327" s="2"/>
      <c r="I327" t="str">
        <f t="shared" si="10"/>
        <v>EE10281|INFORME 01/26</v>
      </c>
      <c r="J327" t="str">
        <f t="shared" si="11"/>
        <v>SÍ</v>
      </c>
    </row>
    <row r="328" spans="1:10" ht="28.8" x14ac:dyDescent="0.3">
      <c r="A328" s="1" t="s">
        <v>381</v>
      </c>
      <c r="B328" s="1" t="s">
        <v>382</v>
      </c>
      <c r="C328" s="1" t="s">
        <v>258</v>
      </c>
      <c r="D328" s="22">
        <v>46539.55505787037</v>
      </c>
      <c r="E328" s="1" t="s">
        <v>10</v>
      </c>
      <c r="F328" s="3">
        <v>200</v>
      </c>
      <c r="G328" s="1" t="s">
        <v>11</v>
      </c>
      <c r="H328" s="2"/>
      <c r="I328" t="str">
        <f t="shared" si="10"/>
        <v>EE10285|INFORME 01/26</v>
      </c>
      <c r="J328" t="str">
        <f t="shared" si="11"/>
        <v>SÍ</v>
      </c>
    </row>
    <row r="329" spans="1:10" ht="28.8" x14ac:dyDescent="0.3">
      <c r="A329" s="1" t="s">
        <v>383</v>
      </c>
      <c r="B329" s="1" t="s">
        <v>384</v>
      </c>
      <c r="C329" s="1" t="s">
        <v>258</v>
      </c>
      <c r="D329" s="22">
        <v>46752.555474537039</v>
      </c>
      <c r="E329" s="1" t="s">
        <v>10</v>
      </c>
      <c r="F329" s="3">
        <v>120</v>
      </c>
      <c r="G329" s="1" t="s">
        <v>11</v>
      </c>
      <c r="H329" s="2"/>
      <c r="I329" t="str">
        <f t="shared" si="10"/>
        <v>EE10286|INFORME 01/26</v>
      </c>
      <c r="J329" t="str">
        <f t="shared" si="11"/>
        <v>SÍ</v>
      </c>
    </row>
    <row r="330" spans="1:10" ht="28.8" x14ac:dyDescent="0.3">
      <c r="A330" s="1" t="s">
        <v>385</v>
      </c>
      <c r="B330" s="1" t="s">
        <v>386</v>
      </c>
      <c r="C330" s="1" t="s">
        <v>258</v>
      </c>
      <c r="D330" s="22">
        <v>46538.479687500003</v>
      </c>
      <c r="E330" s="1" t="s">
        <v>10</v>
      </c>
      <c r="F330" s="3">
        <v>173</v>
      </c>
      <c r="G330" s="1" t="s">
        <v>11</v>
      </c>
      <c r="H330" s="2"/>
      <c r="I330" t="str">
        <f t="shared" si="10"/>
        <v>EE10303|INFORME 01/26</v>
      </c>
      <c r="J330" t="str">
        <f t="shared" si="11"/>
        <v>SÍ</v>
      </c>
    </row>
    <row r="331" spans="1:10" ht="28.8" x14ac:dyDescent="0.3">
      <c r="A331" s="1" t="s">
        <v>387</v>
      </c>
      <c r="B331" s="1" t="s">
        <v>388</v>
      </c>
      <c r="C331" s="1" t="s">
        <v>258</v>
      </c>
      <c r="D331" s="22">
        <v>46539.55572916667</v>
      </c>
      <c r="E331" s="1" t="s">
        <v>10</v>
      </c>
      <c r="F331" s="3">
        <v>142</v>
      </c>
      <c r="G331" s="1" t="s">
        <v>11</v>
      </c>
      <c r="H331" s="2"/>
      <c r="I331" t="str">
        <f t="shared" si="10"/>
        <v>EE10290|INFORME 01/26</v>
      </c>
      <c r="J331" t="str">
        <f t="shared" si="11"/>
        <v>SÍ</v>
      </c>
    </row>
    <row r="332" spans="1:10" ht="28.8" x14ac:dyDescent="0.3">
      <c r="A332" s="1" t="s">
        <v>389</v>
      </c>
      <c r="B332" s="1" t="s">
        <v>390</v>
      </c>
      <c r="C332" s="1" t="s">
        <v>258</v>
      </c>
      <c r="D332" s="22">
        <v>46550.416018518517</v>
      </c>
      <c r="E332" s="1" t="s">
        <v>10</v>
      </c>
      <c r="F332" s="3">
        <v>360.34629999999999</v>
      </c>
      <c r="G332" s="1" t="s">
        <v>40</v>
      </c>
      <c r="H332" s="2"/>
      <c r="I332" t="str">
        <f t="shared" si="10"/>
        <v>EE10036|INFORME 01/26</v>
      </c>
      <c r="J332" t="str">
        <f t="shared" si="11"/>
        <v>SÍ</v>
      </c>
    </row>
    <row r="333" spans="1:10" ht="28.8" x14ac:dyDescent="0.3">
      <c r="A333" s="1" t="s">
        <v>391</v>
      </c>
      <c r="B333" s="1" t="s">
        <v>392</v>
      </c>
      <c r="C333" s="1" t="s">
        <v>317</v>
      </c>
      <c r="D333" s="22">
        <v>46542.60833333333</v>
      </c>
      <c r="E333" s="1" t="s">
        <v>10</v>
      </c>
      <c r="F333" s="3">
        <v>220.18199999999999</v>
      </c>
      <c r="G333" s="1" t="s">
        <v>40</v>
      </c>
      <c r="H333" s="2"/>
      <c r="I333" t="str">
        <f t="shared" si="10"/>
        <v>MP10036|INFORME 08/26</v>
      </c>
      <c r="J333" t="str">
        <f t="shared" si="11"/>
        <v>SÍ</v>
      </c>
    </row>
    <row r="334" spans="1:10" ht="28.8" x14ac:dyDescent="0.3">
      <c r="A334" s="1" t="s">
        <v>360</v>
      </c>
      <c r="B334" s="1" t="s">
        <v>361</v>
      </c>
      <c r="C334" s="1" t="s">
        <v>393</v>
      </c>
      <c r="D334" s="22">
        <v>46249.481666666667</v>
      </c>
      <c r="E334" s="1" t="s">
        <v>10</v>
      </c>
      <c r="F334" s="3">
        <v>1441.3287</v>
      </c>
      <c r="G334" s="1" t="s">
        <v>40</v>
      </c>
      <c r="H334" s="2"/>
      <c r="I334" t="str">
        <f t="shared" si="10"/>
        <v>MP10002|INFORME 140/26</v>
      </c>
      <c r="J334" t="str">
        <f t="shared" si="11"/>
        <v>SÍ</v>
      </c>
    </row>
    <row r="335" spans="1:10" ht="28.8" x14ac:dyDescent="0.3">
      <c r="A335" s="1" t="s">
        <v>360</v>
      </c>
      <c r="B335" s="1" t="s">
        <v>361</v>
      </c>
      <c r="C335" s="1" t="s">
        <v>394</v>
      </c>
      <c r="D335" s="22">
        <v>46249.492106481477</v>
      </c>
      <c r="E335" s="1" t="s">
        <v>10</v>
      </c>
      <c r="F335" s="3">
        <v>4665.8999999999996</v>
      </c>
      <c r="G335" s="1" t="s">
        <v>40</v>
      </c>
      <c r="H335" s="2"/>
      <c r="I335" t="str">
        <f t="shared" si="10"/>
        <v>MP10002|INFORME 141/26</v>
      </c>
      <c r="J335" t="str">
        <f t="shared" si="11"/>
        <v>SÍ</v>
      </c>
    </row>
    <row r="336" spans="1:10" ht="28.8" x14ac:dyDescent="0.3">
      <c r="A336" s="1" t="s">
        <v>360</v>
      </c>
      <c r="B336" s="1" t="s">
        <v>361</v>
      </c>
      <c r="C336" s="1" t="s">
        <v>395</v>
      </c>
      <c r="D336" s="22">
        <v>46253.676365740743</v>
      </c>
      <c r="E336" s="1" t="s">
        <v>10</v>
      </c>
      <c r="F336" s="3">
        <v>8277.7999999999993</v>
      </c>
      <c r="G336" s="1" t="s">
        <v>40</v>
      </c>
      <c r="H336" s="2"/>
      <c r="I336" t="str">
        <f t="shared" si="10"/>
        <v>MP10002|INFORME 147/26</v>
      </c>
      <c r="J336" t="str">
        <f t="shared" si="11"/>
        <v>SÍ</v>
      </c>
    </row>
    <row r="337" spans="1:10" x14ac:dyDescent="0.3">
      <c r="A337" s="1" t="s">
        <v>396</v>
      </c>
      <c r="B337" s="1" t="s">
        <v>397</v>
      </c>
      <c r="C337" s="1" t="s">
        <v>288</v>
      </c>
      <c r="D337" s="22">
        <v>46844.368831018517</v>
      </c>
      <c r="E337" s="1" t="s">
        <v>10</v>
      </c>
      <c r="F337" s="3">
        <v>32.255000000000003</v>
      </c>
      <c r="G337" s="1" t="s">
        <v>40</v>
      </c>
      <c r="H337" s="2"/>
      <c r="I337" t="str">
        <f t="shared" si="10"/>
        <v>MP10030|INFORME 03/26</v>
      </c>
      <c r="J337" t="str">
        <f t="shared" si="11"/>
        <v>SÍ</v>
      </c>
    </row>
    <row r="338" spans="1:10" x14ac:dyDescent="0.3">
      <c r="A338" t="s">
        <v>360</v>
      </c>
      <c r="B338" t="s">
        <v>361</v>
      </c>
      <c r="C338" t="s">
        <v>398</v>
      </c>
      <c r="D338" s="23">
        <v>46257.964826388888</v>
      </c>
      <c r="E338" t="s">
        <v>10</v>
      </c>
      <c r="F338">
        <v>12837.9</v>
      </c>
      <c r="G338" t="s">
        <v>40</v>
      </c>
      <c r="I338" t="str">
        <f t="shared" ref="I338:I401" si="12">IF(A338="","",A338&amp;"|"&amp;C338)</f>
        <v>MP10002|INFORME 148/26</v>
      </c>
      <c r="J338" t="str">
        <f t="shared" ref="J338:J401" si="13">IF(A338&lt;&gt;"","SÍ","NO")</f>
        <v>SÍ</v>
      </c>
    </row>
    <row r="339" spans="1:10" x14ac:dyDescent="0.3">
      <c r="A339" t="s">
        <v>360</v>
      </c>
      <c r="B339" t="s">
        <v>361</v>
      </c>
      <c r="C339" t="s">
        <v>399</v>
      </c>
      <c r="D339" s="23">
        <v>46257.968182870369</v>
      </c>
      <c r="E339" t="s">
        <v>10</v>
      </c>
      <c r="F339">
        <v>17396.5</v>
      </c>
      <c r="G339" t="s">
        <v>40</v>
      </c>
      <c r="I339" t="str">
        <f t="shared" si="12"/>
        <v>MP10002|INFORME 152/26</v>
      </c>
      <c r="J339" t="str">
        <f t="shared" si="13"/>
        <v>SÍ</v>
      </c>
    </row>
    <row r="340" spans="1:10" x14ac:dyDescent="0.3">
      <c r="A340" t="s">
        <v>360</v>
      </c>
      <c r="B340" t="s">
        <v>361</v>
      </c>
      <c r="C340" t="s">
        <v>400</v>
      </c>
      <c r="D340" s="23">
        <v>46258.446192129632</v>
      </c>
      <c r="E340" t="s">
        <v>10</v>
      </c>
      <c r="F340">
        <v>6005</v>
      </c>
      <c r="G340" t="s">
        <v>40</v>
      </c>
      <c r="I340" t="str">
        <f t="shared" si="12"/>
        <v>MP10002|INFORME 156/26</v>
      </c>
      <c r="J340" t="str">
        <f t="shared" si="13"/>
        <v>SÍ</v>
      </c>
    </row>
    <row r="341" spans="1:10" x14ac:dyDescent="0.3">
      <c r="A341" t="s">
        <v>360</v>
      </c>
      <c r="B341" t="s">
        <v>361</v>
      </c>
      <c r="C341" t="s">
        <v>401</v>
      </c>
      <c r="D341" s="23">
        <v>46258.449629629627</v>
      </c>
      <c r="E341" t="s">
        <v>10</v>
      </c>
      <c r="F341">
        <v>14523.2</v>
      </c>
      <c r="G341" t="s">
        <v>40</v>
      </c>
      <c r="I341" t="str">
        <f t="shared" si="12"/>
        <v>MP10002|INFORME 157/26</v>
      </c>
      <c r="J341" t="str">
        <f t="shared" si="13"/>
        <v>SÍ</v>
      </c>
    </row>
    <row r="342" spans="1:10" x14ac:dyDescent="0.3">
      <c r="A342" t="s">
        <v>578</v>
      </c>
      <c r="B342" t="s">
        <v>747</v>
      </c>
      <c r="C342" t="s">
        <v>1011</v>
      </c>
      <c r="D342" s="23">
        <v>46501</v>
      </c>
      <c r="E342" t="s">
        <v>1637</v>
      </c>
      <c r="F342">
        <v>14</v>
      </c>
      <c r="G342" t="s">
        <v>2168</v>
      </c>
      <c r="I342" t="str">
        <f t="shared" si="12"/>
        <v>TC0091PE|SN-17526-E8</v>
      </c>
      <c r="J342" t="str">
        <f t="shared" si="13"/>
        <v>SÍ</v>
      </c>
    </row>
    <row r="343" spans="1:10" x14ac:dyDescent="0.3">
      <c r="A343" t="s">
        <v>602</v>
      </c>
      <c r="B343" t="s">
        <v>771</v>
      </c>
      <c r="C343" t="s">
        <v>1012</v>
      </c>
      <c r="D343" s="23">
        <v>46441.556666666656</v>
      </c>
      <c r="E343" t="s">
        <v>1637</v>
      </c>
      <c r="F343">
        <v>90</v>
      </c>
      <c r="G343" t="s">
        <v>2173</v>
      </c>
      <c r="I343" t="str">
        <f t="shared" si="12"/>
        <v>RT0110PE|RJ-17426-E1</v>
      </c>
      <c r="J343" t="str">
        <f t="shared" si="13"/>
        <v>SÍ</v>
      </c>
    </row>
    <row r="344" spans="1:10" x14ac:dyDescent="0.3">
      <c r="A344" t="s">
        <v>578</v>
      </c>
      <c r="B344" t="s">
        <v>747</v>
      </c>
      <c r="C344" t="s">
        <v>1013</v>
      </c>
      <c r="D344" s="23">
        <v>46498</v>
      </c>
      <c r="E344" t="s">
        <v>1637</v>
      </c>
      <c r="F344">
        <v>5</v>
      </c>
      <c r="G344" t="s">
        <v>2168</v>
      </c>
      <c r="I344" t="str">
        <f t="shared" si="12"/>
        <v>TC0091PE|SN-17226-E7</v>
      </c>
      <c r="J344" t="str">
        <f t="shared" si="13"/>
        <v>SÍ</v>
      </c>
    </row>
    <row r="345" spans="1:10" x14ac:dyDescent="0.3">
      <c r="A345" t="s">
        <v>402</v>
      </c>
      <c r="B345" t="s">
        <v>403</v>
      </c>
      <c r="C345" t="s">
        <v>258</v>
      </c>
      <c r="D345" s="23">
        <v>46555.56459490741</v>
      </c>
      <c r="E345" t="s">
        <v>10</v>
      </c>
      <c r="F345">
        <v>4000</v>
      </c>
      <c r="G345" t="s">
        <v>11</v>
      </c>
      <c r="I345" t="str">
        <f t="shared" si="12"/>
        <v>EE10278|INFORME 01/26</v>
      </c>
      <c r="J345" t="str">
        <f t="shared" si="13"/>
        <v>SÍ</v>
      </c>
    </row>
    <row r="346" spans="1:10" x14ac:dyDescent="0.3">
      <c r="A346" t="s">
        <v>360</v>
      </c>
      <c r="B346" t="s">
        <v>361</v>
      </c>
      <c r="C346" t="s">
        <v>406</v>
      </c>
      <c r="D346" s="23">
        <v>46259.709363425929</v>
      </c>
      <c r="E346" t="s">
        <v>10</v>
      </c>
      <c r="F346">
        <v>7372.2</v>
      </c>
      <c r="G346" t="s">
        <v>40</v>
      </c>
      <c r="I346" t="str">
        <f t="shared" si="12"/>
        <v>MP10002|INFORME 162/26</v>
      </c>
      <c r="J346" t="str">
        <f t="shared" si="13"/>
        <v>SÍ</v>
      </c>
    </row>
    <row r="347" spans="1:10" x14ac:dyDescent="0.3">
      <c r="A347" t="s">
        <v>360</v>
      </c>
      <c r="B347" t="s">
        <v>361</v>
      </c>
      <c r="C347" t="s">
        <v>407</v>
      </c>
      <c r="D347" s="23">
        <v>46257.714918981481</v>
      </c>
      <c r="E347" t="s">
        <v>10</v>
      </c>
      <c r="F347">
        <v>6734.3</v>
      </c>
      <c r="G347" t="s">
        <v>40</v>
      </c>
      <c r="I347" t="str">
        <f t="shared" si="12"/>
        <v>MP10002|INFORME 161/26</v>
      </c>
      <c r="J347" t="str">
        <f t="shared" si="13"/>
        <v>SÍ</v>
      </c>
    </row>
    <row r="348" spans="1:10" x14ac:dyDescent="0.3">
      <c r="A348" t="s">
        <v>360</v>
      </c>
      <c r="B348" t="s">
        <v>361</v>
      </c>
      <c r="C348" t="s">
        <v>408</v>
      </c>
      <c r="D348" s="23">
        <v>46260.720520833333</v>
      </c>
      <c r="E348" t="s">
        <v>10</v>
      </c>
      <c r="F348">
        <v>6346.6440000000002</v>
      </c>
      <c r="G348" t="s">
        <v>40</v>
      </c>
      <c r="I348" t="str">
        <f t="shared" si="12"/>
        <v>MP10002|INFORME 160/26</v>
      </c>
      <c r="J348" t="str">
        <f t="shared" si="13"/>
        <v>SÍ</v>
      </c>
    </row>
    <row r="349" spans="1:10" x14ac:dyDescent="0.3">
      <c r="A349" t="s">
        <v>578</v>
      </c>
      <c r="B349" t="s">
        <v>747</v>
      </c>
      <c r="C349" t="s">
        <v>1014</v>
      </c>
      <c r="D349" s="23">
        <v>46497</v>
      </c>
      <c r="E349" t="s">
        <v>1637</v>
      </c>
      <c r="F349">
        <v>42</v>
      </c>
      <c r="G349" t="s">
        <v>2168</v>
      </c>
      <c r="I349" t="str">
        <f t="shared" si="12"/>
        <v>TC0091PE|SN-17126-E7</v>
      </c>
      <c r="J349" t="str">
        <f t="shared" si="13"/>
        <v>SÍ</v>
      </c>
    </row>
    <row r="350" spans="1:10" x14ac:dyDescent="0.3">
      <c r="A350" t="s">
        <v>578</v>
      </c>
      <c r="B350" t="s">
        <v>747</v>
      </c>
      <c r="C350" t="s">
        <v>1015</v>
      </c>
      <c r="D350" s="23">
        <v>46497</v>
      </c>
      <c r="E350" t="s">
        <v>1637</v>
      </c>
      <c r="F350">
        <v>9</v>
      </c>
      <c r="G350" t="s">
        <v>2168</v>
      </c>
      <c r="I350" t="str">
        <f t="shared" si="12"/>
        <v>TC0091PE|SN-17126-E8</v>
      </c>
      <c r="J350" t="str">
        <f t="shared" si="13"/>
        <v>SÍ</v>
      </c>
    </row>
    <row r="351" spans="1:10" x14ac:dyDescent="0.3">
      <c r="A351" t="s">
        <v>578</v>
      </c>
      <c r="B351" t="s">
        <v>747</v>
      </c>
      <c r="C351" t="s">
        <v>1016</v>
      </c>
      <c r="D351" s="23">
        <v>46492.573333333326</v>
      </c>
      <c r="E351" t="s">
        <v>1637</v>
      </c>
      <c r="F351">
        <v>40</v>
      </c>
      <c r="G351" t="s">
        <v>2168</v>
      </c>
      <c r="I351" t="str">
        <f t="shared" si="12"/>
        <v>TC0091PE|SN-17026-E7</v>
      </c>
      <c r="J351" t="str">
        <f t="shared" si="13"/>
        <v>SÍ</v>
      </c>
    </row>
    <row r="352" spans="1:10" x14ac:dyDescent="0.3">
      <c r="A352" t="s">
        <v>578</v>
      </c>
      <c r="B352" t="s">
        <v>747</v>
      </c>
      <c r="C352" t="s">
        <v>1017</v>
      </c>
      <c r="D352" s="23">
        <v>46496</v>
      </c>
      <c r="E352" t="s">
        <v>1637</v>
      </c>
      <c r="F352">
        <v>30</v>
      </c>
      <c r="G352" t="s">
        <v>2168</v>
      </c>
      <c r="I352" t="str">
        <f t="shared" si="12"/>
        <v>TC0091PE|SN-17026-E8</v>
      </c>
      <c r="J352" t="str">
        <f t="shared" si="13"/>
        <v>SÍ</v>
      </c>
    </row>
    <row r="353" spans="1:10" x14ac:dyDescent="0.3">
      <c r="A353" t="s">
        <v>578</v>
      </c>
      <c r="B353" t="s">
        <v>747</v>
      </c>
      <c r="C353" t="s">
        <v>1015</v>
      </c>
      <c r="D353" s="23">
        <v>46497</v>
      </c>
      <c r="E353" t="s">
        <v>1638</v>
      </c>
      <c r="F353">
        <v>120</v>
      </c>
      <c r="G353" t="s">
        <v>2168</v>
      </c>
      <c r="I353" t="str">
        <f t="shared" si="12"/>
        <v>TC0091PE|SN-17126-E8</v>
      </c>
      <c r="J353" t="str">
        <f t="shared" si="13"/>
        <v>SÍ</v>
      </c>
    </row>
    <row r="354" spans="1:10" x14ac:dyDescent="0.3">
      <c r="A354" t="s">
        <v>578</v>
      </c>
      <c r="B354" t="s">
        <v>747</v>
      </c>
      <c r="C354" t="s">
        <v>1018</v>
      </c>
      <c r="D354" s="23">
        <v>46502</v>
      </c>
      <c r="E354" t="s">
        <v>1637</v>
      </c>
      <c r="F354">
        <v>80</v>
      </c>
      <c r="G354" t="s">
        <v>2168</v>
      </c>
      <c r="I354" t="str">
        <f t="shared" si="12"/>
        <v>TC0091PE|SN-17626-E7</v>
      </c>
      <c r="J354" t="str">
        <f t="shared" si="13"/>
        <v>SÍ</v>
      </c>
    </row>
    <row r="355" spans="1:10" x14ac:dyDescent="0.3">
      <c r="A355" t="s">
        <v>430</v>
      </c>
      <c r="B355" t="s">
        <v>431</v>
      </c>
      <c r="C355" t="s">
        <v>291</v>
      </c>
      <c r="D355" s="23">
        <v>46880.676574074067</v>
      </c>
      <c r="E355" t="s">
        <v>1634</v>
      </c>
      <c r="F355">
        <v>219</v>
      </c>
      <c r="G355" t="s">
        <v>40</v>
      </c>
      <c r="I355" t="str">
        <f t="shared" si="12"/>
        <v>MP10017|INFORME 04/26</v>
      </c>
      <c r="J355" t="str">
        <f t="shared" si="13"/>
        <v>SÍ</v>
      </c>
    </row>
    <row r="356" spans="1:10" x14ac:dyDescent="0.3">
      <c r="A356" t="s">
        <v>169</v>
      </c>
      <c r="B356" t="s">
        <v>170</v>
      </c>
      <c r="C356" t="s">
        <v>258</v>
      </c>
      <c r="D356" s="23">
        <v>46557.644444444442</v>
      </c>
      <c r="E356" t="s">
        <v>10</v>
      </c>
      <c r="F356">
        <v>823.59</v>
      </c>
      <c r="G356" t="s">
        <v>40</v>
      </c>
      <c r="I356" t="str">
        <f t="shared" si="12"/>
        <v>EE10139|INFORME 01/26</v>
      </c>
      <c r="J356" t="str">
        <f t="shared" si="13"/>
        <v>SÍ</v>
      </c>
    </row>
    <row r="357" spans="1:10" x14ac:dyDescent="0.3">
      <c r="A357" t="s">
        <v>184</v>
      </c>
      <c r="B357" t="s">
        <v>185</v>
      </c>
      <c r="C357" t="s">
        <v>258</v>
      </c>
      <c r="D357" s="23">
        <v>46558.452615740738</v>
      </c>
      <c r="E357" t="s">
        <v>10</v>
      </c>
      <c r="F357">
        <v>1022.98</v>
      </c>
      <c r="G357" t="s">
        <v>40</v>
      </c>
      <c r="I357" t="str">
        <f t="shared" si="12"/>
        <v>EE10124|INFORME 01/26</v>
      </c>
      <c r="J357" t="str">
        <f t="shared" si="13"/>
        <v>SÍ</v>
      </c>
    </row>
    <row r="358" spans="1:10" x14ac:dyDescent="0.3">
      <c r="A358" t="s">
        <v>216</v>
      </c>
      <c r="B358" t="s">
        <v>217</v>
      </c>
      <c r="C358" t="s">
        <v>258</v>
      </c>
      <c r="D358" s="23">
        <v>46556.457638888889</v>
      </c>
      <c r="E358" t="s">
        <v>10</v>
      </c>
      <c r="F358">
        <v>432.88</v>
      </c>
      <c r="G358" t="s">
        <v>40</v>
      </c>
      <c r="I358" t="str">
        <f t="shared" si="12"/>
        <v>EE10145|INFORME 01/26</v>
      </c>
      <c r="J358" t="str">
        <f t="shared" si="13"/>
        <v>SÍ</v>
      </c>
    </row>
    <row r="359" spans="1:10" x14ac:dyDescent="0.3">
      <c r="A359" t="s">
        <v>203</v>
      </c>
      <c r="B359" t="s">
        <v>204</v>
      </c>
      <c r="C359" t="s">
        <v>258</v>
      </c>
      <c r="D359" s="23">
        <v>46555.461863425917</v>
      </c>
      <c r="E359" t="s">
        <v>10</v>
      </c>
      <c r="F359">
        <v>737.96</v>
      </c>
      <c r="G359" t="s">
        <v>40</v>
      </c>
      <c r="I359" t="str">
        <f t="shared" si="12"/>
        <v>EE10223|INFORME 01/26</v>
      </c>
      <c r="J359" t="str">
        <f t="shared" si="13"/>
        <v>SÍ</v>
      </c>
    </row>
    <row r="360" spans="1:10" x14ac:dyDescent="0.3">
      <c r="A360" t="s">
        <v>205</v>
      </c>
      <c r="B360" t="s">
        <v>206</v>
      </c>
      <c r="C360" t="s">
        <v>258</v>
      </c>
      <c r="D360" s="23">
        <v>46557.475937499999</v>
      </c>
      <c r="E360" t="s">
        <v>10</v>
      </c>
      <c r="F360">
        <v>1065.93</v>
      </c>
      <c r="G360" t="s">
        <v>40</v>
      </c>
      <c r="I360" t="str">
        <f t="shared" si="12"/>
        <v>EE10117|INFORME 01/26</v>
      </c>
      <c r="J360" t="str">
        <f t="shared" si="13"/>
        <v>SÍ</v>
      </c>
    </row>
    <row r="361" spans="1:10" x14ac:dyDescent="0.3">
      <c r="A361" t="s">
        <v>409</v>
      </c>
      <c r="B361" t="s">
        <v>410</v>
      </c>
      <c r="C361" t="s">
        <v>258</v>
      </c>
      <c r="D361" s="23">
        <v>46557.478194444448</v>
      </c>
      <c r="E361" t="s">
        <v>10</v>
      </c>
      <c r="F361">
        <v>444.524</v>
      </c>
      <c r="G361" t="s">
        <v>40</v>
      </c>
      <c r="I361" t="str">
        <f t="shared" si="12"/>
        <v>EE10103|INFORME 01/26</v>
      </c>
      <c r="J361" t="str">
        <f t="shared" si="13"/>
        <v>SÍ</v>
      </c>
    </row>
    <row r="362" spans="1:10" x14ac:dyDescent="0.3">
      <c r="A362" t="s">
        <v>603</v>
      </c>
      <c r="B362" t="s">
        <v>772</v>
      </c>
      <c r="C362" t="s">
        <v>258</v>
      </c>
      <c r="D362" s="23">
        <v>46519.585833333331</v>
      </c>
      <c r="E362" t="s">
        <v>1634</v>
      </c>
      <c r="F362">
        <v>25</v>
      </c>
      <c r="G362" t="s">
        <v>40</v>
      </c>
      <c r="I362" t="str">
        <f t="shared" si="12"/>
        <v>MP10070|INFORME 01/26</v>
      </c>
      <c r="J362" t="str">
        <f t="shared" si="13"/>
        <v>SÍ</v>
      </c>
    </row>
    <row r="363" spans="1:10" x14ac:dyDescent="0.3">
      <c r="A363" t="s">
        <v>604</v>
      </c>
      <c r="B363" t="s">
        <v>773</v>
      </c>
      <c r="C363" t="s">
        <v>258</v>
      </c>
      <c r="E363" t="s">
        <v>1634</v>
      </c>
      <c r="F363">
        <v>25</v>
      </c>
      <c r="G363" t="s">
        <v>40</v>
      </c>
      <c r="I363" t="str">
        <f t="shared" si="12"/>
        <v>MP10071|INFORME 01/26</v>
      </c>
      <c r="J363" t="str">
        <f t="shared" si="13"/>
        <v>SÍ</v>
      </c>
    </row>
    <row r="364" spans="1:10" x14ac:dyDescent="0.3">
      <c r="A364" t="s">
        <v>605</v>
      </c>
      <c r="B364" t="s">
        <v>774</v>
      </c>
      <c r="C364" t="s">
        <v>258</v>
      </c>
      <c r="D364" s="23">
        <v>46538.454131944447</v>
      </c>
      <c r="E364" t="s">
        <v>1634</v>
      </c>
      <c r="F364">
        <v>2000</v>
      </c>
      <c r="G364" t="s">
        <v>11</v>
      </c>
      <c r="I364" t="str">
        <f t="shared" si="12"/>
        <v>EE10301|INFORME 01/26</v>
      </c>
      <c r="J364" t="str">
        <f t="shared" si="13"/>
        <v>SÍ</v>
      </c>
    </row>
    <row r="365" spans="1:10" x14ac:dyDescent="0.3">
      <c r="A365" t="s">
        <v>360</v>
      </c>
      <c r="B365" t="s">
        <v>361</v>
      </c>
      <c r="C365" t="s">
        <v>411</v>
      </c>
      <c r="D365" s="23">
        <v>46261.428773148153</v>
      </c>
      <c r="E365" t="s">
        <v>10</v>
      </c>
      <c r="F365">
        <v>10604.9</v>
      </c>
      <c r="G365" t="s">
        <v>40</v>
      </c>
      <c r="I365" t="str">
        <f t="shared" si="12"/>
        <v>MP10002|INFORME 165/26</v>
      </c>
      <c r="J365" t="str">
        <f t="shared" si="13"/>
        <v>SÍ</v>
      </c>
    </row>
    <row r="366" spans="1:10" x14ac:dyDescent="0.3">
      <c r="A366" t="s">
        <v>360</v>
      </c>
      <c r="B366" t="s">
        <v>361</v>
      </c>
      <c r="C366" t="s">
        <v>412</v>
      </c>
      <c r="D366" s="23">
        <v>46260.439131944448</v>
      </c>
      <c r="E366" t="s">
        <v>10</v>
      </c>
      <c r="F366">
        <v>9225.7000000000007</v>
      </c>
      <c r="G366" t="s">
        <v>40</v>
      </c>
      <c r="I366" t="str">
        <f t="shared" si="12"/>
        <v>MP10002|INFORME 164/26</v>
      </c>
      <c r="J366" t="str">
        <f t="shared" si="13"/>
        <v>SÍ</v>
      </c>
    </row>
    <row r="367" spans="1:10" x14ac:dyDescent="0.3">
      <c r="A367" t="s">
        <v>216</v>
      </c>
      <c r="B367" t="s">
        <v>217</v>
      </c>
      <c r="C367" t="s">
        <v>270</v>
      </c>
      <c r="D367" s="23">
        <v>46556.414398148147</v>
      </c>
      <c r="E367" t="s">
        <v>10</v>
      </c>
      <c r="F367">
        <v>181.87</v>
      </c>
      <c r="G367" t="s">
        <v>40</v>
      </c>
      <c r="I367" t="str">
        <f t="shared" si="12"/>
        <v>EE10145|INFORME 02/26</v>
      </c>
      <c r="J367" t="str">
        <f t="shared" si="13"/>
        <v>SÍ</v>
      </c>
    </row>
    <row r="368" spans="1:10" x14ac:dyDescent="0.3">
      <c r="A368" t="s">
        <v>177</v>
      </c>
      <c r="B368" t="s">
        <v>178</v>
      </c>
      <c r="C368" t="s">
        <v>258</v>
      </c>
      <c r="D368" s="23">
        <v>46557.416967592602</v>
      </c>
      <c r="E368" t="s">
        <v>10</v>
      </c>
      <c r="F368">
        <v>143.52680000000001</v>
      </c>
      <c r="G368" t="s">
        <v>40</v>
      </c>
      <c r="I368" t="str">
        <f t="shared" si="12"/>
        <v>EE10138|INFORME 01/26</v>
      </c>
      <c r="J368" t="str">
        <f t="shared" si="13"/>
        <v>SÍ</v>
      </c>
    </row>
    <row r="369" spans="1:10" x14ac:dyDescent="0.3">
      <c r="A369" t="s">
        <v>180</v>
      </c>
      <c r="B369" t="s">
        <v>181</v>
      </c>
      <c r="C369" t="s">
        <v>258</v>
      </c>
      <c r="D369" s="23">
        <v>46556.420046296298</v>
      </c>
      <c r="E369" t="s">
        <v>10</v>
      </c>
      <c r="F369">
        <v>825.1</v>
      </c>
      <c r="G369" t="s">
        <v>40</v>
      </c>
      <c r="I369" t="str">
        <f t="shared" si="12"/>
        <v>EE10136|INFORME 01/26</v>
      </c>
      <c r="J369" t="str">
        <f t="shared" si="13"/>
        <v>SÍ</v>
      </c>
    </row>
    <row r="370" spans="1:10" x14ac:dyDescent="0.3">
      <c r="A370" t="s">
        <v>413</v>
      </c>
      <c r="B370" t="s">
        <v>414</v>
      </c>
      <c r="C370" t="s">
        <v>258</v>
      </c>
      <c r="D370" s="23">
        <v>46563.422222222223</v>
      </c>
      <c r="E370" t="s">
        <v>10</v>
      </c>
      <c r="F370">
        <v>887.97</v>
      </c>
      <c r="G370" t="s">
        <v>40</v>
      </c>
      <c r="I370" t="str">
        <f t="shared" si="12"/>
        <v>EE10033|INFORME 01/26</v>
      </c>
      <c r="J370" t="str">
        <f t="shared" si="13"/>
        <v>SÍ</v>
      </c>
    </row>
    <row r="371" spans="1:10" x14ac:dyDescent="0.3">
      <c r="A371" t="s">
        <v>331</v>
      </c>
      <c r="B371" t="s">
        <v>332</v>
      </c>
      <c r="C371" t="s">
        <v>270</v>
      </c>
      <c r="D371" s="23">
        <v>46562.428622685176</v>
      </c>
      <c r="E371" t="s">
        <v>10</v>
      </c>
      <c r="F371">
        <v>740.23199999999997</v>
      </c>
      <c r="G371" t="s">
        <v>40</v>
      </c>
      <c r="I371" t="str">
        <f t="shared" si="12"/>
        <v>EE10035|INFORME 02/26</v>
      </c>
      <c r="J371" t="str">
        <f t="shared" si="13"/>
        <v>SÍ</v>
      </c>
    </row>
    <row r="372" spans="1:10" x14ac:dyDescent="0.3">
      <c r="A372" t="s">
        <v>415</v>
      </c>
      <c r="B372" t="s">
        <v>416</v>
      </c>
      <c r="C372" t="s">
        <v>258</v>
      </c>
      <c r="D372" s="23">
        <v>46563.436643518522</v>
      </c>
      <c r="E372" t="s">
        <v>10</v>
      </c>
      <c r="F372">
        <v>923.125</v>
      </c>
      <c r="G372" t="s">
        <v>40</v>
      </c>
      <c r="I372" t="str">
        <f t="shared" si="12"/>
        <v>EE10030|INFORME 01/26</v>
      </c>
      <c r="J372" t="str">
        <f t="shared" si="13"/>
        <v>SÍ</v>
      </c>
    </row>
    <row r="373" spans="1:10" x14ac:dyDescent="0.3">
      <c r="A373" t="s">
        <v>177</v>
      </c>
      <c r="B373" t="s">
        <v>178</v>
      </c>
      <c r="C373" t="s">
        <v>270</v>
      </c>
      <c r="D373" s="23">
        <v>46557.370694444442</v>
      </c>
      <c r="E373" t="s">
        <v>10</v>
      </c>
      <c r="F373">
        <v>187.25</v>
      </c>
      <c r="G373" t="s">
        <v>40</v>
      </c>
      <c r="I373" t="str">
        <f t="shared" si="12"/>
        <v>EE10138|INFORME 02/26</v>
      </c>
      <c r="J373" t="str">
        <f t="shared" si="13"/>
        <v>SÍ</v>
      </c>
    </row>
    <row r="374" spans="1:10" x14ac:dyDescent="0.3">
      <c r="A374" t="s">
        <v>415</v>
      </c>
      <c r="B374" t="s">
        <v>416</v>
      </c>
      <c r="C374" t="s">
        <v>288</v>
      </c>
      <c r="D374" s="23">
        <v>46563.375011574077</v>
      </c>
      <c r="E374" t="s">
        <v>10</v>
      </c>
      <c r="F374">
        <v>2266.2800000000002</v>
      </c>
      <c r="G374" t="s">
        <v>40</v>
      </c>
      <c r="I374" t="str">
        <f t="shared" si="12"/>
        <v>EE10030|INFORME 03/26</v>
      </c>
      <c r="J374" t="str">
        <f t="shared" si="13"/>
        <v>SÍ</v>
      </c>
    </row>
    <row r="375" spans="1:10" x14ac:dyDescent="0.3">
      <c r="A375" t="s">
        <v>415</v>
      </c>
      <c r="B375" t="s">
        <v>416</v>
      </c>
      <c r="C375" t="s">
        <v>417</v>
      </c>
      <c r="D375" s="23">
        <v>46563.375300925924</v>
      </c>
      <c r="E375" t="s">
        <v>10</v>
      </c>
      <c r="F375">
        <v>518.48</v>
      </c>
      <c r="G375" t="s">
        <v>40</v>
      </c>
      <c r="I375" t="str">
        <f t="shared" si="12"/>
        <v>EE10030|INFORME 03/26.</v>
      </c>
      <c r="J375" t="str">
        <f t="shared" si="13"/>
        <v>SÍ</v>
      </c>
    </row>
    <row r="376" spans="1:10" x14ac:dyDescent="0.3">
      <c r="A376" t="s">
        <v>142</v>
      </c>
      <c r="B376" t="s">
        <v>143</v>
      </c>
      <c r="C376" t="s">
        <v>258</v>
      </c>
      <c r="D376" s="23">
        <v>46563.377187500002</v>
      </c>
      <c r="E376" t="s">
        <v>10</v>
      </c>
      <c r="F376">
        <v>641.14</v>
      </c>
      <c r="G376" t="s">
        <v>40</v>
      </c>
      <c r="I376" t="str">
        <f t="shared" si="12"/>
        <v>EE10044|INFORME 01/26</v>
      </c>
      <c r="J376" t="str">
        <f t="shared" si="13"/>
        <v>SÍ</v>
      </c>
    </row>
    <row r="377" spans="1:10" x14ac:dyDescent="0.3">
      <c r="A377" t="s">
        <v>606</v>
      </c>
      <c r="B377" t="s">
        <v>775</v>
      </c>
      <c r="C377" t="s">
        <v>1019</v>
      </c>
      <c r="D377" s="23">
        <v>46448.103333333333</v>
      </c>
      <c r="E377" t="s">
        <v>1637</v>
      </c>
      <c r="F377">
        <v>4</v>
      </c>
      <c r="G377" t="s">
        <v>2171</v>
      </c>
      <c r="I377" t="str">
        <f t="shared" si="12"/>
        <v>RT0106PE|RJ-18326-E2</v>
      </c>
      <c r="J377" t="str">
        <f t="shared" si="13"/>
        <v>SÍ</v>
      </c>
    </row>
    <row r="378" spans="1:10" x14ac:dyDescent="0.3">
      <c r="A378" t="s">
        <v>607</v>
      </c>
      <c r="B378" t="s">
        <v>776</v>
      </c>
      <c r="C378" t="s">
        <v>1020</v>
      </c>
      <c r="D378" s="23">
        <v>46483.118935185194</v>
      </c>
      <c r="E378" t="s">
        <v>1637</v>
      </c>
      <c r="F378">
        <v>212</v>
      </c>
      <c r="G378" t="s">
        <v>2174</v>
      </c>
      <c r="I378" t="str">
        <f t="shared" si="12"/>
        <v>TC0115PE|DUO-18326-E11</v>
      </c>
      <c r="J378" t="str">
        <f t="shared" si="13"/>
        <v>SÍ</v>
      </c>
    </row>
    <row r="379" spans="1:10" x14ac:dyDescent="0.3">
      <c r="A379" t="s">
        <v>588</v>
      </c>
      <c r="B379" t="s">
        <v>757</v>
      </c>
      <c r="C379" t="s">
        <v>1021</v>
      </c>
      <c r="D379" s="23">
        <v>46508.967835648153</v>
      </c>
      <c r="E379" t="s">
        <v>1637</v>
      </c>
      <c r="F379">
        <v>18</v>
      </c>
      <c r="G379" t="s">
        <v>2169</v>
      </c>
      <c r="I379" t="str">
        <f t="shared" si="12"/>
        <v>TC0086PE|SC-18226-E8</v>
      </c>
      <c r="J379" t="str">
        <f t="shared" si="13"/>
        <v>SÍ</v>
      </c>
    </row>
    <row r="380" spans="1:10" x14ac:dyDescent="0.3">
      <c r="A380" t="s">
        <v>583</v>
      </c>
      <c r="B380" t="s">
        <v>752</v>
      </c>
      <c r="C380" t="s">
        <v>1022</v>
      </c>
      <c r="D380" s="23">
        <v>46504</v>
      </c>
      <c r="E380" t="s">
        <v>1637</v>
      </c>
      <c r="F380">
        <v>11</v>
      </c>
      <c r="G380" t="s">
        <v>2166</v>
      </c>
      <c r="I380" t="str">
        <f t="shared" si="12"/>
        <v>TC0016PE|SN-17826-E7</v>
      </c>
      <c r="J380" t="str">
        <f t="shared" si="13"/>
        <v>SÍ</v>
      </c>
    </row>
    <row r="381" spans="1:10" x14ac:dyDescent="0.3">
      <c r="A381" t="s">
        <v>608</v>
      </c>
      <c r="B381" t="s">
        <v>777</v>
      </c>
      <c r="C381" t="s">
        <v>1023</v>
      </c>
      <c r="D381" s="23">
        <v>46082.855219907397</v>
      </c>
      <c r="E381" t="s">
        <v>1637</v>
      </c>
      <c r="F381">
        <v>83</v>
      </c>
      <c r="G381" t="s">
        <v>2171</v>
      </c>
      <c r="I381" t="str">
        <f t="shared" si="12"/>
        <v>RT0105PE|RB-18226-E2</v>
      </c>
      <c r="J381" t="str">
        <f t="shared" si="13"/>
        <v>SÍ</v>
      </c>
    </row>
    <row r="382" spans="1:10" x14ac:dyDescent="0.3">
      <c r="A382" t="s">
        <v>582</v>
      </c>
      <c r="B382" t="s">
        <v>751</v>
      </c>
      <c r="C382" t="s">
        <v>1024</v>
      </c>
      <c r="D382" s="23">
        <v>46508.841921296298</v>
      </c>
      <c r="E382" t="s">
        <v>1637</v>
      </c>
      <c r="F382">
        <v>6</v>
      </c>
      <c r="G382" t="s">
        <v>2166</v>
      </c>
      <c r="I382" t="str">
        <f t="shared" si="12"/>
        <v>TC0006PE|SN-18226-E8</v>
      </c>
      <c r="J382" t="str">
        <f t="shared" si="13"/>
        <v>SÍ</v>
      </c>
    </row>
    <row r="383" spans="1:10" x14ac:dyDescent="0.3">
      <c r="A383" t="s">
        <v>306</v>
      </c>
      <c r="B383" t="s">
        <v>307</v>
      </c>
      <c r="E383" t="s">
        <v>1635</v>
      </c>
      <c r="F383">
        <v>22.6205</v>
      </c>
      <c r="G383" t="s">
        <v>11</v>
      </c>
      <c r="I383" t="str">
        <f t="shared" si="12"/>
        <v>EE10265|</v>
      </c>
      <c r="J383" t="str">
        <f t="shared" si="13"/>
        <v>SÍ</v>
      </c>
    </row>
    <row r="384" spans="1:10" x14ac:dyDescent="0.3">
      <c r="A384" t="s">
        <v>586</v>
      </c>
      <c r="B384" t="s">
        <v>755</v>
      </c>
      <c r="C384" t="s">
        <v>1025</v>
      </c>
      <c r="D384" s="23">
        <v>46464.190763888888</v>
      </c>
      <c r="E384" t="s">
        <v>1638</v>
      </c>
      <c r="F384">
        <v>1</v>
      </c>
      <c r="G384" t="s">
        <v>2169</v>
      </c>
      <c r="I384" t="str">
        <f t="shared" si="12"/>
        <v>TC0082PE|SN-14226-E8</v>
      </c>
      <c r="J384" t="str">
        <f t="shared" si="13"/>
        <v>SÍ</v>
      </c>
    </row>
    <row r="385" spans="1:10" x14ac:dyDescent="0.3">
      <c r="A385" t="s">
        <v>609</v>
      </c>
      <c r="B385" t="s">
        <v>778</v>
      </c>
      <c r="C385" t="s">
        <v>1026</v>
      </c>
      <c r="D385" s="23">
        <v>46513.728020833332</v>
      </c>
      <c r="E385" t="s">
        <v>1638</v>
      </c>
      <c r="F385">
        <v>1</v>
      </c>
      <c r="G385" t="s">
        <v>2168</v>
      </c>
      <c r="I385" t="str">
        <f t="shared" si="12"/>
        <v>TC0002BR|PJ-14826-E7</v>
      </c>
      <c r="J385" t="str">
        <f t="shared" si="13"/>
        <v>SÍ</v>
      </c>
    </row>
    <row r="386" spans="1:10" x14ac:dyDescent="0.3">
      <c r="A386" t="s">
        <v>610</v>
      </c>
      <c r="B386" t="s">
        <v>779</v>
      </c>
      <c r="C386" t="s">
        <v>1027</v>
      </c>
      <c r="D386" s="23">
        <v>46534.723506944443</v>
      </c>
      <c r="E386" t="s">
        <v>1638</v>
      </c>
      <c r="F386">
        <v>1</v>
      </c>
      <c r="G386" t="s">
        <v>2168</v>
      </c>
      <c r="I386" t="str">
        <f t="shared" si="12"/>
        <v>TC0001BR|SN-15026-E7</v>
      </c>
      <c r="J386" t="str">
        <f t="shared" si="13"/>
        <v>SÍ</v>
      </c>
    </row>
    <row r="387" spans="1:10" x14ac:dyDescent="0.3">
      <c r="A387" t="s">
        <v>611</v>
      </c>
      <c r="B387" t="s">
        <v>780</v>
      </c>
      <c r="C387" t="s">
        <v>1028</v>
      </c>
      <c r="D387" s="23">
        <v>46604.73773148148</v>
      </c>
      <c r="E387" t="s">
        <v>1638</v>
      </c>
      <c r="F387">
        <v>1</v>
      </c>
      <c r="G387" t="s">
        <v>2167</v>
      </c>
      <c r="I387" t="str">
        <f t="shared" si="12"/>
        <v>TQ0001BR|QN-15026-E10</v>
      </c>
      <c r="J387" t="str">
        <f t="shared" si="13"/>
        <v>SÍ</v>
      </c>
    </row>
    <row r="388" spans="1:10" x14ac:dyDescent="0.3">
      <c r="A388" t="s">
        <v>580</v>
      </c>
      <c r="B388" t="s">
        <v>749</v>
      </c>
      <c r="C388" t="s">
        <v>977</v>
      </c>
      <c r="D388" s="23">
        <v>46441.682314814818</v>
      </c>
      <c r="E388" t="s">
        <v>1638</v>
      </c>
      <c r="F388">
        <v>1</v>
      </c>
      <c r="G388" t="s">
        <v>2166</v>
      </c>
      <c r="I388" t="str">
        <f t="shared" si="12"/>
        <v>TC0004PE|SP-11926-E7</v>
      </c>
      <c r="J388" t="str">
        <f t="shared" si="13"/>
        <v>SÍ</v>
      </c>
    </row>
    <row r="389" spans="1:10" x14ac:dyDescent="0.3">
      <c r="A389" t="s">
        <v>579</v>
      </c>
      <c r="B389" t="s">
        <v>748</v>
      </c>
      <c r="C389" t="s">
        <v>1029</v>
      </c>
      <c r="D389" s="23">
        <v>46571</v>
      </c>
      <c r="E389" t="s">
        <v>1637</v>
      </c>
      <c r="F389">
        <v>4</v>
      </c>
      <c r="G389" t="s">
        <v>2167</v>
      </c>
      <c r="I389" t="str">
        <f t="shared" si="12"/>
        <v>TQ0035PE|QN-18426-E1</v>
      </c>
      <c r="J389" t="str">
        <f t="shared" si="13"/>
        <v>SÍ</v>
      </c>
    </row>
    <row r="390" spans="1:10" x14ac:dyDescent="0.3">
      <c r="A390" t="s">
        <v>594</v>
      </c>
      <c r="B390" t="s">
        <v>763</v>
      </c>
      <c r="C390" t="s">
        <v>1030</v>
      </c>
      <c r="D390" s="23">
        <v>46510</v>
      </c>
      <c r="E390" t="s">
        <v>1637</v>
      </c>
      <c r="F390">
        <v>3</v>
      </c>
      <c r="G390" t="s">
        <v>2166</v>
      </c>
      <c r="I390" t="str">
        <f t="shared" si="12"/>
        <v>TC0029PE|SC-18426-E8</v>
      </c>
      <c r="J390" t="str">
        <f t="shared" si="13"/>
        <v>SÍ</v>
      </c>
    </row>
    <row r="391" spans="1:10" x14ac:dyDescent="0.3">
      <c r="A391" t="s">
        <v>286</v>
      </c>
      <c r="B391" t="s">
        <v>287</v>
      </c>
      <c r="C391" t="s">
        <v>291</v>
      </c>
      <c r="D391" s="23">
        <v>46536.400451388887</v>
      </c>
      <c r="E391" t="s">
        <v>1635</v>
      </c>
      <c r="F391">
        <v>2.3898000000000001</v>
      </c>
      <c r="G391" t="s">
        <v>11</v>
      </c>
      <c r="I391" t="str">
        <f t="shared" si="12"/>
        <v>EE10249|INFORME 04/26</v>
      </c>
      <c r="J391" t="str">
        <f t="shared" si="13"/>
        <v>SÍ</v>
      </c>
    </row>
    <row r="392" spans="1:10" x14ac:dyDescent="0.3">
      <c r="A392" t="s">
        <v>418</v>
      </c>
      <c r="B392" t="s">
        <v>419</v>
      </c>
      <c r="C392" t="s">
        <v>270</v>
      </c>
      <c r="D392" s="23">
        <v>46389.517372685194</v>
      </c>
      <c r="E392" t="s">
        <v>10</v>
      </c>
      <c r="F392">
        <v>8.0000000000000004E-4</v>
      </c>
      <c r="G392" t="s">
        <v>40</v>
      </c>
      <c r="I392" t="str">
        <f t="shared" si="12"/>
        <v>EE10277|INFORME 02/26</v>
      </c>
      <c r="J392" t="str">
        <f t="shared" si="13"/>
        <v>SÍ</v>
      </c>
    </row>
    <row r="393" spans="1:10" x14ac:dyDescent="0.3">
      <c r="A393" t="s">
        <v>591</v>
      </c>
      <c r="B393" t="s">
        <v>760</v>
      </c>
      <c r="C393" t="s">
        <v>1031</v>
      </c>
      <c r="D393" s="23">
        <v>46511</v>
      </c>
      <c r="E393" t="s">
        <v>1637</v>
      </c>
      <c r="F393">
        <v>7</v>
      </c>
      <c r="G393" t="s">
        <v>2169</v>
      </c>
      <c r="I393" t="str">
        <f t="shared" si="12"/>
        <v>TC0087PE|SP-18526-E7</v>
      </c>
      <c r="J393" t="str">
        <f t="shared" si="13"/>
        <v>SÍ</v>
      </c>
    </row>
    <row r="394" spans="1:10" x14ac:dyDescent="0.3">
      <c r="A394" t="s">
        <v>587</v>
      </c>
      <c r="B394" t="s">
        <v>756</v>
      </c>
      <c r="C394" t="s">
        <v>1031</v>
      </c>
      <c r="D394" s="23">
        <v>46510</v>
      </c>
      <c r="E394" t="s">
        <v>1637</v>
      </c>
      <c r="F394">
        <v>4</v>
      </c>
      <c r="G394" t="s">
        <v>2168</v>
      </c>
      <c r="I394" t="str">
        <f t="shared" si="12"/>
        <v>TC0099PE|SP-18526-E7</v>
      </c>
      <c r="J394" t="str">
        <f t="shared" si="13"/>
        <v>SÍ</v>
      </c>
    </row>
    <row r="395" spans="1:10" x14ac:dyDescent="0.3">
      <c r="A395" t="s">
        <v>595</v>
      </c>
      <c r="B395" t="s">
        <v>764</v>
      </c>
      <c r="C395" t="s">
        <v>1030</v>
      </c>
      <c r="D395" s="23">
        <v>46510</v>
      </c>
      <c r="E395" t="s">
        <v>1637</v>
      </c>
      <c r="F395">
        <v>2</v>
      </c>
      <c r="G395" t="s">
        <v>2168</v>
      </c>
      <c r="I395" t="str">
        <f t="shared" si="12"/>
        <v>TC0058PE|SC-18426-E8</v>
      </c>
      <c r="J395" t="str">
        <f t="shared" si="13"/>
        <v>SÍ</v>
      </c>
    </row>
    <row r="396" spans="1:10" x14ac:dyDescent="0.3">
      <c r="A396" t="s">
        <v>612</v>
      </c>
      <c r="B396" t="s">
        <v>781</v>
      </c>
      <c r="C396" t="s">
        <v>1032</v>
      </c>
      <c r="D396" s="23">
        <v>46450.953645833331</v>
      </c>
      <c r="E396" t="s">
        <v>1637</v>
      </c>
      <c r="F396">
        <v>29</v>
      </c>
      <c r="G396" t="s">
        <v>2171</v>
      </c>
      <c r="I396" t="str">
        <f t="shared" si="12"/>
        <v>RT0131PE|RP-18526-E1</v>
      </c>
      <c r="J396" t="str">
        <f t="shared" si="13"/>
        <v>SÍ</v>
      </c>
    </row>
    <row r="397" spans="1:10" x14ac:dyDescent="0.3">
      <c r="A397" t="s">
        <v>333</v>
      </c>
      <c r="B397" t="s">
        <v>334</v>
      </c>
      <c r="C397" t="s">
        <v>288</v>
      </c>
      <c r="D397" s="23">
        <v>46547.431932870371</v>
      </c>
      <c r="E397" t="s">
        <v>10</v>
      </c>
      <c r="F397">
        <v>300</v>
      </c>
      <c r="G397" t="s">
        <v>40</v>
      </c>
      <c r="I397" t="str">
        <f t="shared" si="12"/>
        <v>MP10019-1|INFORME 03/26</v>
      </c>
      <c r="J397" t="str">
        <f t="shared" si="13"/>
        <v>SÍ</v>
      </c>
    </row>
    <row r="398" spans="1:10" x14ac:dyDescent="0.3">
      <c r="A398" t="s">
        <v>613</v>
      </c>
      <c r="B398" t="s">
        <v>782</v>
      </c>
      <c r="C398" t="s">
        <v>1033</v>
      </c>
      <c r="D398" s="23">
        <v>46511</v>
      </c>
      <c r="E398" t="s">
        <v>1637</v>
      </c>
      <c r="F398">
        <v>19</v>
      </c>
      <c r="G398" t="s">
        <v>2175</v>
      </c>
      <c r="I398" t="str">
        <f t="shared" si="12"/>
        <v>TC0201PE|TIY-18526-E8</v>
      </c>
      <c r="J398" t="str">
        <f t="shared" si="13"/>
        <v>SÍ</v>
      </c>
    </row>
    <row r="399" spans="1:10" x14ac:dyDescent="0.3">
      <c r="A399" t="s">
        <v>612</v>
      </c>
      <c r="B399" t="s">
        <v>781</v>
      </c>
      <c r="C399" t="s">
        <v>1034</v>
      </c>
      <c r="D399" s="23">
        <v>46451</v>
      </c>
      <c r="E399" t="s">
        <v>1637</v>
      </c>
      <c r="F399">
        <v>14</v>
      </c>
      <c r="G399" t="s">
        <v>2171</v>
      </c>
      <c r="I399" t="str">
        <f t="shared" si="12"/>
        <v>RT0131PE|RP-18626-E1</v>
      </c>
      <c r="J399" t="str">
        <f t="shared" si="13"/>
        <v>SÍ</v>
      </c>
    </row>
    <row r="400" spans="1:10" x14ac:dyDescent="0.3">
      <c r="A400" t="s">
        <v>614</v>
      </c>
      <c r="B400" t="s">
        <v>783</v>
      </c>
      <c r="C400" t="s">
        <v>258</v>
      </c>
      <c r="D400" s="23">
        <v>46522.745636574073</v>
      </c>
      <c r="E400" t="s">
        <v>1634</v>
      </c>
      <c r="F400">
        <v>163</v>
      </c>
      <c r="G400" t="s">
        <v>11</v>
      </c>
      <c r="I400" t="str">
        <f t="shared" si="12"/>
        <v>EE10002|INFORME 01/26</v>
      </c>
      <c r="J400" t="str">
        <f t="shared" si="13"/>
        <v>SÍ</v>
      </c>
    </row>
    <row r="401" spans="1:10" x14ac:dyDescent="0.3">
      <c r="A401" t="s">
        <v>612</v>
      </c>
      <c r="B401" t="s">
        <v>781</v>
      </c>
      <c r="C401" t="s">
        <v>1035</v>
      </c>
      <c r="D401" s="23">
        <v>46451</v>
      </c>
      <c r="E401" t="s">
        <v>1637</v>
      </c>
      <c r="F401">
        <v>16</v>
      </c>
      <c r="G401" t="s">
        <v>2171</v>
      </c>
      <c r="I401" t="str">
        <f t="shared" si="12"/>
        <v>RT0131PE|RP-18626-E3</v>
      </c>
      <c r="J401" t="str">
        <f t="shared" si="13"/>
        <v>SÍ</v>
      </c>
    </row>
    <row r="402" spans="1:10" x14ac:dyDescent="0.3">
      <c r="A402" t="s">
        <v>582</v>
      </c>
      <c r="B402" t="s">
        <v>751</v>
      </c>
      <c r="C402" t="s">
        <v>1036</v>
      </c>
      <c r="D402" s="23">
        <v>46512</v>
      </c>
      <c r="E402" t="s">
        <v>1637</v>
      </c>
      <c r="F402">
        <v>1</v>
      </c>
      <c r="G402" t="s">
        <v>2166</v>
      </c>
      <c r="I402" t="str">
        <f t="shared" ref="I402:I465" si="14">IF(A402="","",A402&amp;"|"&amp;C402)</f>
        <v>TC0006PE|SN-18626-E8</v>
      </c>
      <c r="J402" t="str">
        <f t="shared" ref="J402:J465" si="15">IF(A402&lt;&gt;"","SÍ","NO")</f>
        <v>SÍ</v>
      </c>
    </row>
    <row r="403" spans="1:10" x14ac:dyDescent="0.3">
      <c r="A403" t="s">
        <v>582</v>
      </c>
      <c r="B403" t="s">
        <v>751</v>
      </c>
      <c r="C403" t="s">
        <v>1037</v>
      </c>
      <c r="D403" s="23">
        <v>46508</v>
      </c>
      <c r="E403" t="s">
        <v>1637</v>
      </c>
      <c r="F403">
        <v>15</v>
      </c>
      <c r="G403" t="s">
        <v>2166</v>
      </c>
      <c r="I403" t="str">
        <f t="shared" si="14"/>
        <v>TC0006PE|SN-18626-E7</v>
      </c>
      <c r="J403" t="str">
        <f t="shared" si="15"/>
        <v>SÍ</v>
      </c>
    </row>
    <row r="404" spans="1:10" x14ac:dyDescent="0.3">
      <c r="A404" t="s">
        <v>615</v>
      </c>
      <c r="B404" t="s">
        <v>784</v>
      </c>
      <c r="C404" t="s">
        <v>1038</v>
      </c>
      <c r="D404" s="23">
        <v>46513.00712962963</v>
      </c>
      <c r="E404" t="s">
        <v>1637</v>
      </c>
      <c r="F404">
        <v>3</v>
      </c>
      <c r="G404" t="s">
        <v>2168</v>
      </c>
      <c r="I404" t="str">
        <f t="shared" si="14"/>
        <v>TC0224PE|LP-18726-E1</v>
      </c>
      <c r="J404" t="str">
        <f t="shared" si="15"/>
        <v>SÍ</v>
      </c>
    </row>
    <row r="405" spans="1:10" x14ac:dyDescent="0.3">
      <c r="A405" t="s">
        <v>615</v>
      </c>
      <c r="B405" t="s">
        <v>784</v>
      </c>
      <c r="C405" t="s">
        <v>1039</v>
      </c>
      <c r="D405" s="23">
        <v>46513</v>
      </c>
      <c r="E405" t="s">
        <v>1637</v>
      </c>
      <c r="F405">
        <v>40</v>
      </c>
      <c r="G405" t="s">
        <v>2168</v>
      </c>
      <c r="I405" t="str">
        <f t="shared" si="14"/>
        <v>TC0224PE|LP-18726-E2</v>
      </c>
      <c r="J405" t="str">
        <f t="shared" si="15"/>
        <v>SÍ</v>
      </c>
    </row>
    <row r="406" spans="1:10" x14ac:dyDescent="0.3">
      <c r="A406" t="s">
        <v>590</v>
      </c>
      <c r="B406" t="s">
        <v>759</v>
      </c>
      <c r="C406" t="s">
        <v>1040</v>
      </c>
      <c r="D406" s="23">
        <v>46544.012615740743</v>
      </c>
      <c r="E406" t="s">
        <v>1637</v>
      </c>
      <c r="F406">
        <v>24</v>
      </c>
      <c r="G406" t="s">
        <v>2166</v>
      </c>
      <c r="I406" t="str">
        <f t="shared" si="14"/>
        <v>TC0233PE|PJ-18726-E3</v>
      </c>
      <c r="J406" t="str">
        <f t="shared" si="15"/>
        <v>SÍ</v>
      </c>
    </row>
    <row r="407" spans="1:10" x14ac:dyDescent="0.3">
      <c r="A407" t="s">
        <v>616</v>
      </c>
      <c r="B407" t="s">
        <v>785</v>
      </c>
      <c r="C407" t="s">
        <v>1041</v>
      </c>
      <c r="D407" s="23">
        <v>46544.015057870369</v>
      </c>
      <c r="E407" t="s">
        <v>1637</v>
      </c>
      <c r="F407">
        <v>7</v>
      </c>
      <c r="G407" t="s">
        <v>2168</v>
      </c>
      <c r="I407" t="str">
        <f t="shared" si="14"/>
        <v>TC0225PE|PJ-18726-E4</v>
      </c>
      <c r="J407" t="str">
        <f t="shared" si="15"/>
        <v>SÍ</v>
      </c>
    </row>
    <row r="408" spans="1:10" x14ac:dyDescent="0.3">
      <c r="A408" t="s">
        <v>617</v>
      </c>
      <c r="B408" t="s">
        <v>786</v>
      </c>
      <c r="C408" t="s">
        <v>1041</v>
      </c>
      <c r="D408" s="23">
        <v>46544.019733796304</v>
      </c>
      <c r="E408" t="s">
        <v>1637</v>
      </c>
      <c r="F408">
        <v>4</v>
      </c>
      <c r="G408" t="s">
        <v>2168</v>
      </c>
      <c r="I408" t="str">
        <f t="shared" si="14"/>
        <v>TC0223PE|PJ-18726-E4</v>
      </c>
      <c r="J408" t="str">
        <f t="shared" si="15"/>
        <v>SÍ</v>
      </c>
    </row>
    <row r="409" spans="1:10" x14ac:dyDescent="0.3">
      <c r="A409" t="s">
        <v>617</v>
      </c>
      <c r="B409" t="s">
        <v>786</v>
      </c>
      <c r="C409" t="s">
        <v>1042</v>
      </c>
      <c r="D409" s="23">
        <v>46544</v>
      </c>
      <c r="E409" t="s">
        <v>1637</v>
      </c>
      <c r="F409">
        <v>6</v>
      </c>
      <c r="G409" t="s">
        <v>2168</v>
      </c>
      <c r="I409" t="str">
        <f t="shared" si="14"/>
        <v>TC0223PE|PJ-18726-E5</v>
      </c>
      <c r="J409" t="str">
        <f t="shared" si="15"/>
        <v>SÍ</v>
      </c>
    </row>
    <row r="410" spans="1:10" x14ac:dyDescent="0.3">
      <c r="A410" t="s">
        <v>590</v>
      </c>
      <c r="B410" t="s">
        <v>759</v>
      </c>
      <c r="C410" t="s">
        <v>1043</v>
      </c>
      <c r="D410" s="23">
        <v>46545</v>
      </c>
      <c r="E410" t="s">
        <v>1637</v>
      </c>
      <c r="F410">
        <v>99</v>
      </c>
      <c r="G410" t="s">
        <v>2166</v>
      </c>
      <c r="I410" t="str">
        <f t="shared" si="14"/>
        <v>TC0233PE|PJ-18826-E3</v>
      </c>
      <c r="J410" t="str">
        <f t="shared" si="15"/>
        <v>SÍ</v>
      </c>
    </row>
    <row r="411" spans="1:10" x14ac:dyDescent="0.3">
      <c r="A411" t="s">
        <v>617</v>
      </c>
      <c r="B411" t="s">
        <v>786</v>
      </c>
      <c r="C411" t="s">
        <v>1044</v>
      </c>
      <c r="D411" s="23">
        <v>46545</v>
      </c>
      <c r="E411" t="s">
        <v>1637</v>
      </c>
      <c r="F411">
        <v>2</v>
      </c>
      <c r="G411" t="s">
        <v>2168</v>
      </c>
      <c r="I411" t="str">
        <f t="shared" si="14"/>
        <v>TC0223PE|PJ-18826-E4</v>
      </c>
      <c r="J411" t="str">
        <f t="shared" si="15"/>
        <v>SÍ</v>
      </c>
    </row>
    <row r="412" spans="1:10" x14ac:dyDescent="0.3">
      <c r="A412" t="s">
        <v>582</v>
      </c>
      <c r="B412" t="s">
        <v>751</v>
      </c>
      <c r="C412" t="s">
        <v>1045</v>
      </c>
      <c r="D412" s="23">
        <v>46514</v>
      </c>
      <c r="E412" t="s">
        <v>1637</v>
      </c>
      <c r="F412">
        <v>3</v>
      </c>
      <c r="G412" t="s">
        <v>2166</v>
      </c>
      <c r="I412" t="str">
        <f t="shared" si="14"/>
        <v>TC0006PE|SN-18826-E3</v>
      </c>
      <c r="J412" t="str">
        <f t="shared" si="15"/>
        <v>SÍ</v>
      </c>
    </row>
    <row r="413" spans="1:10" x14ac:dyDescent="0.3">
      <c r="A413" t="s">
        <v>578</v>
      </c>
      <c r="B413" t="s">
        <v>747</v>
      </c>
      <c r="C413" t="s">
        <v>1046</v>
      </c>
      <c r="D413" s="23">
        <v>46514</v>
      </c>
      <c r="E413" t="s">
        <v>1637</v>
      </c>
      <c r="F413">
        <v>7</v>
      </c>
      <c r="G413" t="s">
        <v>2168</v>
      </c>
      <c r="I413" t="str">
        <f t="shared" si="14"/>
        <v>TC0091PE|SN-18826-E4</v>
      </c>
      <c r="J413" t="str">
        <f t="shared" si="15"/>
        <v>SÍ</v>
      </c>
    </row>
    <row r="414" spans="1:10" x14ac:dyDescent="0.3">
      <c r="A414" t="s">
        <v>618</v>
      </c>
      <c r="B414" t="s">
        <v>787</v>
      </c>
      <c r="C414" t="s">
        <v>1047</v>
      </c>
      <c r="D414" s="23">
        <v>46511</v>
      </c>
      <c r="E414" t="s">
        <v>1637</v>
      </c>
      <c r="F414">
        <v>27</v>
      </c>
      <c r="G414" t="s">
        <v>2166</v>
      </c>
      <c r="I414" t="str">
        <f t="shared" si="14"/>
        <v>TC0028PE|SP-18826-E1</v>
      </c>
      <c r="J414" t="str">
        <f t="shared" si="15"/>
        <v>SÍ</v>
      </c>
    </row>
    <row r="415" spans="1:10" x14ac:dyDescent="0.3">
      <c r="A415" t="s">
        <v>619</v>
      </c>
      <c r="B415" t="s">
        <v>788</v>
      </c>
      <c r="C415" t="s">
        <v>1048</v>
      </c>
      <c r="D415" s="23">
        <v>46514.873611111107</v>
      </c>
      <c r="E415" t="s">
        <v>1637</v>
      </c>
      <c r="F415">
        <v>27</v>
      </c>
      <c r="G415" t="s">
        <v>2176</v>
      </c>
      <c r="I415" t="str">
        <f t="shared" si="14"/>
        <v>TC0242PE|SN-18826-E1</v>
      </c>
      <c r="J415" t="str">
        <f t="shared" si="15"/>
        <v>SÍ</v>
      </c>
    </row>
    <row r="416" spans="1:10" x14ac:dyDescent="0.3">
      <c r="A416" t="s">
        <v>582</v>
      </c>
      <c r="B416" t="s">
        <v>751</v>
      </c>
      <c r="C416" t="s">
        <v>1049</v>
      </c>
      <c r="D416" s="23">
        <v>46515.179490740738</v>
      </c>
      <c r="E416" t="s">
        <v>1637</v>
      </c>
      <c r="F416">
        <v>49</v>
      </c>
      <c r="G416" t="s">
        <v>2166</v>
      </c>
      <c r="I416" t="str">
        <f t="shared" si="14"/>
        <v>TC0006PE|SN-18926-E3</v>
      </c>
      <c r="J416" t="str">
        <f t="shared" si="15"/>
        <v>SÍ</v>
      </c>
    </row>
    <row r="417" spans="1:10" x14ac:dyDescent="0.3">
      <c r="A417" t="s">
        <v>578</v>
      </c>
      <c r="B417" t="s">
        <v>747</v>
      </c>
      <c r="C417" t="s">
        <v>1050</v>
      </c>
      <c r="D417" s="23">
        <v>46515.183495370373</v>
      </c>
      <c r="E417" t="s">
        <v>1637</v>
      </c>
      <c r="F417">
        <v>10</v>
      </c>
      <c r="G417" t="s">
        <v>2168</v>
      </c>
      <c r="I417" t="str">
        <f t="shared" si="14"/>
        <v>TC0091PE|SN-18926-E4</v>
      </c>
      <c r="J417" t="str">
        <f t="shared" si="15"/>
        <v>SÍ</v>
      </c>
    </row>
    <row r="418" spans="1:10" x14ac:dyDescent="0.3">
      <c r="A418" t="s">
        <v>620</v>
      </c>
      <c r="B418" t="s">
        <v>789</v>
      </c>
      <c r="C418" t="s">
        <v>1051</v>
      </c>
      <c r="D418" s="23">
        <v>46515</v>
      </c>
      <c r="E418" t="s">
        <v>1637</v>
      </c>
      <c r="F418">
        <v>1</v>
      </c>
      <c r="G418" t="s">
        <v>2168</v>
      </c>
      <c r="I418" t="str">
        <f t="shared" si="14"/>
        <v>TC0244PE|SNP-18926-E1</v>
      </c>
      <c r="J418" t="str">
        <f t="shared" si="15"/>
        <v>SÍ</v>
      </c>
    </row>
    <row r="419" spans="1:10" x14ac:dyDescent="0.3">
      <c r="A419" t="s">
        <v>621</v>
      </c>
      <c r="B419" t="s">
        <v>790</v>
      </c>
      <c r="C419" t="s">
        <v>1051</v>
      </c>
      <c r="D419" s="23">
        <v>46515.054224537038</v>
      </c>
      <c r="E419" t="s">
        <v>1637</v>
      </c>
      <c r="F419">
        <v>35</v>
      </c>
      <c r="G419" t="s">
        <v>2168</v>
      </c>
      <c r="I419" t="str">
        <f t="shared" si="14"/>
        <v>TC0248PE|SNP-18926-E1</v>
      </c>
      <c r="J419" t="str">
        <f t="shared" si="15"/>
        <v>SÍ</v>
      </c>
    </row>
    <row r="420" spans="1:10" x14ac:dyDescent="0.3">
      <c r="A420" t="s">
        <v>582</v>
      </c>
      <c r="B420" t="s">
        <v>751</v>
      </c>
      <c r="C420" t="s">
        <v>1052</v>
      </c>
      <c r="D420" s="23">
        <v>46516</v>
      </c>
      <c r="E420" t="s">
        <v>1637</v>
      </c>
      <c r="F420">
        <v>36</v>
      </c>
      <c r="G420" t="s">
        <v>2166</v>
      </c>
      <c r="I420" t="str">
        <f t="shared" si="14"/>
        <v>TC0006PE|SN-19026-E4</v>
      </c>
      <c r="J420" t="str">
        <f t="shared" si="15"/>
        <v>SÍ</v>
      </c>
    </row>
    <row r="421" spans="1:10" x14ac:dyDescent="0.3">
      <c r="A421" t="s">
        <v>582</v>
      </c>
      <c r="B421" t="s">
        <v>751</v>
      </c>
      <c r="C421" t="s">
        <v>1053</v>
      </c>
      <c r="D421" s="23">
        <v>46516</v>
      </c>
      <c r="E421" t="s">
        <v>1637</v>
      </c>
      <c r="F421">
        <v>2</v>
      </c>
      <c r="G421" t="s">
        <v>2166</v>
      </c>
      <c r="I421" t="str">
        <f t="shared" si="14"/>
        <v>TC0006PE|SN-19026-E2</v>
      </c>
      <c r="J421" t="str">
        <f t="shared" si="15"/>
        <v>SÍ</v>
      </c>
    </row>
    <row r="422" spans="1:10" x14ac:dyDescent="0.3">
      <c r="A422" t="s">
        <v>586</v>
      </c>
      <c r="B422" t="s">
        <v>755</v>
      </c>
      <c r="C422" t="s">
        <v>1054</v>
      </c>
      <c r="D422" s="23">
        <v>46516</v>
      </c>
      <c r="E422" t="s">
        <v>1637</v>
      </c>
      <c r="F422">
        <v>16</v>
      </c>
      <c r="G422" t="s">
        <v>2169</v>
      </c>
      <c r="I422" t="str">
        <f t="shared" si="14"/>
        <v>TC0082PE|SN-20426-E7</v>
      </c>
      <c r="J422" t="str">
        <f t="shared" si="15"/>
        <v>SÍ</v>
      </c>
    </row>
    <row r="423" spans="1:10" x14ac:dyDescent="0.3">
      <c r="A423" t="s">
        <v>578</v>
      </c>
      <c r="B423" t="s">
        <v>747</v>
      </c>
      <c r="C423" t="s">
        <v>1055</v>
      </c>
      <c r="D423" s="23">
        <v>46515</v>
      </c>
      <c r="E423" t="s">
        <v>1637</v>
      </c>
      <c r="F423">
        <v>18</v>
      </c>
      <c r="G423" t="s">
        <v>2168</v>
      </c>
      <c r="I423" t="str">
        <f t="shared" si="14"/>
        <v>TC0091PE|SN-19026-E5</v>
      </c>
      <c r="J423" t="str">
        <f t="shared" si="15"/>
        <v>SÍ</v>
      </c>
    </row>
    <row r="424" spans="1:10" x14ac:dyDescent="0.3">
      <c r="A424" t="s">
        <v>578</v>
      </c>
      <c r="B424" t="s">
        <v>747</v>
      </c>
      <c r="C424" t="s">
        <v>1052</v>
      </c>
      <c r="D424" s="23">
        <v>46516</v>
      </c>
      <c r="E424" t="s">
        <v>1637</v>
      </c>
      <c r="F424">
        <v>7</v>
      </c>
      <c r="G424" t="s">
        <v>2168</v>
      </c>
      <c r="I424" t="str">
        <f t="shared" si="14"/>
        <v>TC0091PE|SN-19026-E4</v>
      </c>
      <c r="J424" t="str">
        <f t="shared" si="15"/>
        <v>SÍ</v>
      </c>
    </row>
    <row r="425" spans="1:10" x14ac:dyDescent="0.3">
      <c r="A425" t="s">
        <v>578</v>
      </c>
      <c r="B425" t="s">
        <v>747</v>
      </c>
      <c r="C425" t="s">
        <v>1053</v>
      </c>
      <c r="D425" s="23">
        <v>46516.922881944447</v>
      </c>
      <c r="E425" t="s">
        <v>1637</v>
      </c>
      <c r="F425">
        <v>76</v>
      </c>
      <c r="G425" t="s">
        <v>2168</v>
      </c>
      <c r="I425" t="str">
        <f t="shared" si="14"/>
        <v>TC0091PE|SN-19026-E2</v>
      </c>
      <c r="J425" t="str">
        <f t="shared" si="15"/>
        <v>SÍ</v>
      </c>
    </row>
    <row r="426" spans="1:10" x14ac:dyDescent="0.3">
      <c r="A426" t="s">
        <v>622</v>
      </c>
      <c r="B426" t="s">
        <v>791</v>
      </c>
      <c r="C426" t="s">
        <v>1056</v>
      </c>
      <c r="D426" s="23">
        <v>46456.114479166667</v>
      </c>
      <c r="E426" t="s">
        <v>1637</v>
      </c>
      <c r="F426">
        <v>1</v>
      </c>
      <c r="G426" t="s">
        <v>2171</v>
      </c>
      <c r="I426" t="str">
        <f t="shared" si="14"/>
        <v>RT0123PE|RP-19126-E8</v>
      </c>
      <c r="J426" t="str">
        <f t="shared" si="15"/>
        <v>SÍ</v>
      </c>
    </row>
    <row r="427" spans="1:10" x14ac:dyDescent="0.3">
      <c r="A427" t="s">
        <v>623</v>
      </c>
      <c r="B427" t="s">
        <v>792</v>
      </c>
      <c r="C427" t="s">
        <v>1053</v>
      </c>
      <c r="D427" s="23">
        <v>46516.126666666663</v>
      </c>
      <c r="E427" t="s">
        <v>1637</v>
      </c>
      <c r="F427">
        <v>44</v>
      </c>
      <c r="G427" t="s">
        <v>2177</v>
      </c>
      <c r="I427" t="str">
        <f t="shared" si="14"/>
        <v>TC0246PE|SN-19026-E2</v>
      </c>
      <c r="J427" t="str">
        <f t="shared" si="15"/>
        <v>SÍ</v>
      </c>
    </row>
    <row r="428" spans="1:10" x14ac:dyDescent="0.3">
      <c r="A428" t="s">
        <v>582</v>
      </c>
      <c r="B428" t="s">
        <v>751</v>
      </c>
      <c r="C428" t="s">
        <v>1057</v>
      </c>
      <c r="D428" s="23">
        <v>46517.137627314813</v>
      </c>
      <c r="E428" t="s">
        <v>1637</v>
      </c>
      <c r="F428">
        <v>2</v>
      </c>
      <c r="G428" t="s">
        <v>2166</v>
      </c>
      <c r="I428" t="str">
        <f t="shared" si="14"/>
        <v>TC0006PE|SN-19126-E4</v>
      </c>
      <c r="J428" t="str">
        <f t="shared" si="15"/>
        <v>SÍ</v>
      </c>
    </row>
    <row r="429" spans="1:10" x14ac:dyDescent="0.3">
      <c r="B429" t="s">
        <v>421</v>
      </c>
      <c r="E429" t="s">
        <v>10</v>
      </c>
      <c r="F429">
        <v>4000</v>
      </c>
      <c r="G429" t="s">
        <v>11</v>
      </c>
      <c r="I429" t="str">
        <f t="shared" si="14"/>
        <v/>
      </c>
      <c r="J429" t="str">
        <f t="shared" si="15"/>
        <v>NO</v>
      </c>
    </row>
    <row r="430" spans="1:10" x14ac:dyDescent="0.3">
      <c r="A430" t="s">
        <v>623</v>
      </c>
      <c r="B430" t="s">
        <v>792</v>
      </c>
      <c r="C430" t="s">
        <v>1058</v>
      </c>
      <c r="D430" s="23">
        <v>46517.1409375</v>
      </c>
      <c r="E430" t="s">
        <v>1637</v>
      </c>
      <c r="F430">
        <v>20</v>
      </c>
      <c r="G430" t="s">
        <v>2177</v>
      </c>
      <c r="I430" t="str">
        <f t="shared" si="14"/>
        <v>TC0246PE|SN-19126-E5</v>
      </c>
      <c r="J430" t="str">
        <f t="shared" si="15"/>
        <v>SÍ</v>
      </c>
    </row>
    <row r="431" spans="1:10" x14ac:dyDescent="0.3">
      <c r="A431" t="s">
        <v>623</v>
      </c>
      <c r="B431" t="s">
        <v>792</v>
      </c>
      <c r="C431" t="s">
        <v>1059</v>
      </c>
      <c r="D431" s="23">
        <v>46517</v>
      </c>
      <c r="E431" t="s">
        <v>1637</v>
      </c>
      <c r="F431">
        <v>35</v>
      </c>
      <c r="G431" t="s">
        <v>2177</v>
      </c>
      <c r="I431" t="str">
        <f t="shared" si="14"/>
        <v>TC0246PE|SN-19126-E3</v>
      </c>
      <c r="J431" t="str">
        <f t="shared" si="15"/>
        <v>SÍ</v>
      </c>
    </row>
    <row r="432" spans="1:10" x14ac:dyDescent="0.3">
      <c r="A432" t="s">
        <v>356</v>
      </c>
      <c r="B432" t="s">
        <v>357</v>
      </c>
      <c r="C432" t="s">
        <v>270</v>
      </c>
      <c r="D432" s="23">
        <v>46533.916180555563</v>
      </c>
      <c r="E432" t="s">
        <v>1635</v>
      </c>
      <c r="F432">
        <v>191</v>
      </c>
      <c r="G432" t="s">
        <v>11</v>
      </c>
      <c r="I432" t="str">
        <f t="shared" si="14"/>
        <v>EE10213|INFORME 02/26</v>
      </c>
      <c r="J432" t="str">
        <f t="shared" si="15"/>
        <v>SÍ</v>
      </c>
    </row>
    <row r="433" spans="1:10" x14ac:dyDescent="0.3">
      <c r="A433" t="s">
        <v>624</v>
      </c>
      <c r="B433" t="s">
        <v>793</v>
      </c>
      <c r="C433" t="s">
        <v>1060</v>
      </c>
      <c r="D433" s="23">
        <v>46511.945104166669</v>
      </c>
      <c r="E433" t="s">
        <v>1637</v>
      </c>
      <c r="F433">
        <v>29</v>
      </c>
      <c r="G433" t="s">
        <v>2175</v>
      </c>
      <c r="I433" t="str">
        <f t="shared" si="14"/>
        <v>TC0200PE|TIY-19126-E7</v>
      </c>
      <c r="J433" t="str">
        <f t="shared" si="15"/>
        <v>SÍ</v>
      </c>
    </row>
    <row r="434" spans="1:10" x14ac:dyDescent="0.3">
      <c r="A434" t="s">
        <v>577</v>
      </c>
      <c r="B434" t="s">
        <v>746</v>
      </c>
      <c r="C434" t="s">
        <v>1061</v>
      </c>
      <c r="D434" s="23">
        <v>46517.947175925918</v>
      </c>
      <c r="E434" t="s">
        <v>1637</v>
      </c>
      <c r="F434">
        <v>15</v>
      </c>
      <c r="G434" t="s">
        <v>2168</v>
      </c>
      <c r="I434" t="str">
        <f t="shared" si="14"/>
        <v>TC0232PE|PC-19126-E8</v>
      </c>
      <c r="J434" t="str">
        <f t="shared" si="15"/>
        <v>SÍ</v>
      </c>
    </row>
    <row r="435" spans="1:10" x14ac:dyDescent="0.3">
      <c r="A435" t="s">
        <v>577</v>
      </c>
      <c r="B435" t="s">
        <v>746</v>
      </c>
      <c r="C435" t="s">
        <v>1062</v>
      </c>
      <c r="D435" s="23">
        <v>46518.055393518523</v>
      </c>
      <c r="E435" t="s">
        <v>1637</v>
      </c>
      <c r="F435">
        <v>7</v>
      </c>
      <c r="G435" t="s">
        <v>2168</v>
      </c>
      <c r="I435" t="str">
        <f t="shared" si="14"/>
        <v>TC0232PE|PC-19226-E8</v>
      </c>
      <c r="J435" t="str">
        <f t="shared" si="15"/>
        <v>SÍ</v>
      </c>
    </row>
    <row r="436" spans="1:10" x14ac:dyDescent="0.3">
      <c r="A436" t="s">
        <v>624</v>
      </c>
      <c r="B436" t="s">
        <v>793</v>
      </c>
      <c r="C436" t="s">
        <v>1063</v>
      </c>
      <c r="D436" s="23">
        <v>46511.99559027778</v>
      </c>
      <c r="E436" t="s">
        <v>1637</v>
      </c>
      <c r="F436">
        <v>4</v>
      </c>
      <c r="G436" t="s">
        <v>2175</v>
      </c>
      <c r="I436" t="str">
        <f t="shared" si="14"/>
        <v>TC0200PE|TIY-19226-E8</v>
      </c>
      <c r="J436" t="str">
        <f t="shared" si="15"/>
        <v>SÍ</v>
      </c>
    </row>
    <row r="437" spans="1:10" x14ac:dyDescent="0.3">
      <c r="A437" t="s">
        <v>625</v>
      </c>
      <c r="B437" t="s">
        <v>794</v>
      </c>
      <c r="C437" t="s">
        <v>1064</v>
      </c>
      <c r="D437" s="23">
        <v>46519.224178240736</v>
      </c>
      <c r="E437" t="s">
        <v>1637</v>
      </c>
      <c r="F437">
        <v>8</v>
      </c>
      <c r="G437" t="s">
        <v>2168</v>
      </c>
      <c r="I437" t="str">
        <f t="shared" si="14"/>
        <v>TTS0002PE|TTJ-19326-E2</v>
      </c>
      <c r="J437" t="str">
        <f t="shared" si="15"/>
        <v>SÍ</v>
      </c>
    </row>
    <row r="438" spans="1:10" x14ac:dyDescent="0.3">
      <c r="A438" t="s">
        <v>625</v>
      </c>
      <c r="B438" t="s">
        <v>794</v>
      </c>
      <c r="C438" t="s">
        <v>1065</v>
      </c>
      <c r="D438" s="23">
        <v>46519.225289351853</v>
      </c>
      <c r="E438" t="s">
        <v>1637</v>
      </c>
      <c r="F438">
        <v>1</v>
      </c>
      <c r="G438" t="s">
        <v>2168</v>
      </c>
      <c r="I438" t="str">
        <f t="shared" si="14"/>
        <v>TTS0002PE|TTJ-19326-E4</v>
      </c>
      <c r="J438" t="str">
        <f t="shared" si="15"/>
        <v>SÍ</v>
      </c>
    </row>
    <row r="439" spans="1:10" x14ac:dyDescent="0.3">
      <c r="A439" t="s">
        <v>625</v>
      </c>
      <c r="B439" t="s">
        <v>794</v>
      </c>
      <c r="C439" t="s">
        <v>1066</v>
      </c>
      <c r="D439" s="23">
        <v>46519.228784722232</v>
      </c>
      <c r="E439" t="s">
        <v>1637</v>
      </c>
      <c r="F439">
        <v>12</v>
      </c>
      <c r="G439" t="s">
        <v>2168</v>
      </c>
      <c r="I439" t="str">
        <f t="shared" si="14"/>
        <v>TTS0002PE|TTJ-19326-E1</v>
      </c>
      <c r="J439" t="str">
        <f t="shared" si="15"/>
        <v>SÍ</v>
      </c>
    </row>
    <row r="440" spans="1:10" x14ac:dyDescent="0.3">
      <c r="A440" t="s">
        <v>322</v>
      </c>
      <c r="B440" t="s">
        <v>323</v>
      </c>
      <c r="C440" t="s">
        <v>422</v>
      </c>
      <c r="D440" s="23">
        <v>46571.347303240742</v>
      </c>
      <c r="E440" t="s">
        <v>10</v>
      </c>
      <c r="F440">
        <v>839.47</v>
      </c>
      <c r="G440" t="s">
        <v>40</v>
      </c>
      <c r="I440" t="str">
        <f t="shared" si="14"/>
        <v>EE10235|LA-01/26</v>
      </c>
      <c r="J440" t="str">
        <f t="shared" si="15"/>
        <v>SÍ</v>
      </c>
    </row>
    <row r="441" spans="1:10" x14ac:dyDescent="0.3">
      <c r="A441" t="s">
        <v>326</v>
      </c>
      <c r="B441" t="s">
        <v>327</v>
      </c>
      <c r="C441" t="s">
        <v>423</v>
      </c>
      <c r="D441" s="23">
        <v>46571.347662037027</v>
      </c>
      <c r="E441" t="s">
        <v>10</v>
      </c>
      <c r="F441">
        <v>821.89</v>
      </c>
      <c r="G441" t="s">
        <v>40</v>
      </c>
      <c r="I441" t="str">
        <f t="shared" si="14"/>
        <v>EE10236|LA-02/26</v>
      </c>
      <c r="J441" t="str">
        <f t="shared" si="15"/>
        <v>SÍ</v>
      </c>
    </row>
    <row r="442" spans="1:10" x14ac:dyDescent="0.3">
      <c r="A442" t="s">
        <v>324</v>
      </c>
      <c r="B442" t="s">
        <v>325</v>
      </c>
      <c r="C442" t="s">
        <v>424</v>
      </c>
      <c r="D442" s="23">
        <v>46572.348344907397</v>
      </c>
      <c r="E442" t="s">
        <v>10</v>
      </c>
      <c r="F442">
        <v>894.49</v>
      </c>
      <c r="G442" t="s">
        <v>40</v>
      </c>
      <c r="I442" t="str">
        <f t="shared" si="14"/>
        <v>EE10238|LA-03/26</v>
      </c>
      <c r="J442" t="str">
        <f t="shared" si="15"/>
        <v>SÍ</v>
      </c>
    </row>
    <row r="443" spans="1:10" x14ac:dyDescent="0.3">
      <c r="A443" t="s">
        <v>278</v>
      </c>
      <c r="B443" t="s">
        <v>279</v>
      </c>
      <c r="C443" t="s">
        <v>425</v>
      </c>
      <c r="D443" s="23">
        <v>46571.360810185193</v>
      </c>
      <c r="E443" t="s">
        <v>10</v>
      </c>
      <c r="F443">
        <v>500</v>
      </c>
      <c r="G443" t="s">
        <v>40</v>
      </c>
      <c r="I443" t="str">
        <f t="shared" si="14"/>
        <v>EE10229|LA-04/26</v>
      </c>
      <c r="J443" t="str">
        <f t="shared" si="15"/>
        <v>SÍ</v>
      </c>
    </row>
    <row r="444" spans="1:10" x14ac:dyDescent="0.3">
      <c r="A444" t="s">
        <v>278</v>
      </c>
      <c r="B444" t="s">
        <v>279</v>
      </c>
      <c r="C444" t="s">
        <v>426</v>
      </c>
      <c r="D444" s="23">
        <v>46571.361168981479</v>
      </c>
      <c r="E444" t="s">
        <v>10</v>
      </c>
      <c r="F444">
        <v>559.16999999999996</v>
      </c>
      <c r="G444" t="s">
        <v>40</v>
      </c>
      <c r="I444" t="str">
        <f t="shared" si="14"/>
        <v>EE10229|LA 04/26</v>
      </c>
      <c r="J444" t="str">
        <f t="shared" si="15"/>
        <v>SÍ</v>
      </c>
    </row>
    <row r="445" spans="1:10" x14ac:dyDescent="0.3">
      <c r="A445" t="s">
        <v>243</v>
      </c>
      <c r="B445" t="s">
        <v>244</v>
      </c>
      <c r="C445" t="s">
        <v>427</v>
      </c>
      <c r="D445" s="23">
        <v>46572.36347222222</v>
      </c>
      <c r="E445" t="s">
        <v>10</v>
      </c>
      <c r="F445">
        <v>684.48</v>
      </c>
      <c r="G445" t="s">
        <v>40</v>
      </c>
      <c r="I445" t="str">
        <f t="shared" si="14"/>
        <v>EE10231|LA-05/26</v>
      </c>
      <c r="J445" t="str">
        <f t="shared" si="15"/>
        <v>SÍ</v>
      </c>
    </row>
    <row r="446" spans="1:10" x14ac:dyDescent="0.3">
      <c r="A446" t="s">
        <v>241</v>
      </c>
      <c r="B446" t="s">
        <v>242</v>
      </c>
      <c r="C446" t="s">
        <v>428</v>
      </c>
      <c r="D446" s="23">
        <v>46572.363796296297</v>
      </c>
      <c r="E446" t="s">
        <v>10</v>
      </c>
      <c r="F446">
        <v>835.88</v>
      </c>
      <c r="G446" t="s">
        <v>40</v>
      </c>
      <c r="I446" t="str">
        <f t="shared" si="14"/>
        <v>EE10228|LA-06/26</v>
      </c>
      <c r="J446" t="str">
        <f t="shared" si="15"/>
        <v>SÍ</v>
      </c>
    </row>
    <row r="447" spans="1:10" x14ac:dyDescent="0.3">
      <c r="A447" t="s">
        <v>404</v>
      </c>
      <c r="B447" t="s">
        <v>405</v>
      </c>
      <c r="C447" t="s">
        <v>429</v>
      </c>
      <c r="D447" s="23">
        <v>46935.407442129632</v>
      </c>
      <c r="E447" t="s">
        <v>10</v>
      </c>
      <c r="F447">
        <v>818</v>
      </c>
      <c r="G447" t="s">
        <v>40</v>
      </c>
      <c r="I447" t="str">
        <f t="shared" si="14"/>
        <v>MP10027|HA-01/26</v>
      </c>
      <c r="J447" t="str">
        <f t="shared" si="15"/>
        <v>SÍ</v>
      </c>
    </row>
    <row r="448" spans="1:10" x14ac:dyDescent="0.3">
      <c r="A448" t="s">
        <v>576</v>
      </c>
      <c r="B448" t="s">
        <v>745</v>
      </c>
      <c r="C448" t="s">
        <v>1067</v>
      </c>
      <c r="D448" s="23">
        <v>46521</v>
      </c>
      <c r="E448" t="s">
        <v>1637</v>
      </c>
      <c r="F448">
        <v>1</v>
      </c>
      <c r="G448" t="s">
        <v>2167</v>
      </c>
      <c r="I448" t="str">
        <f t="shared" si="14"/>
        <v>TC0003MX|SN-19526-E7</v>
      </c>
      <c r="J448" t="str">
        <f t="shared" si="15"/>
        <v>SÍ</v>
      </c>
    </row>
    <row r="449" spans="1:10" x14ac:dyDescent="0.3">
      <c r="A449" t="s">
        <v>612</v>
      </c>
      <c r="B449" t="s">
        <v>781</v>
      </c>
      <c r="C449" t="s">
        <v>1068</v>
      </c>
      <c r="D449" s="23">
        <v>46460</v>
      </c>
      <c r="E449" t="s">
        <v>1637</v>
      </c>
      <c r="F449">
        <v>13</v>
      </c>
      <c r="G449" t="s">
        <v>2171</v>
      </c>
      <c r="I449" t="str">
        <f t="shared" si="14"/>
        <v>RT0131PE|RP-19526-E1</v>
      </c>
      <c r="J449" t="str">
        <f t="shared" si="15"/>
        <v>SÍ</v>
      </c>
    </row>
    <row r="450" spans="1:10" x14ac:dyDescent="0.3">
      <c r="A450" t="s">
        <v>430</v>
      </c>
      <c r="B450" t="s">
        <v>431</v>
      </c>
      <c r="C450" t="s">
        <v>432</v>
      </c>
      <c r="D450" s="23">
        <v>46844.366712962961</v>
      </c>
      <c r="E450" t="s">
        <v>10</v>
      </c>
      <c r="F450">
        <v>428.0641</v>
      </c>
      <c r="G450" t="s">
        <v>40</v>
      </c>
      <c r="I450" t="str">
        <f t="shared" si="14"/>
        <v>MP10017|SM-06/26</v>
      </c>
      <c r="J450" t="str">
        <f t="shared" si="15"/>
        <v>SÍ</v>
      </c>
    </row>
    <row r="451" spans="1:10" x14ac:dyDescent="0.3">
      <c r="A451" t="s">
        <v>612</v>
      </c>
      <c r="B451" t="s">
        <v>781</v>
      </c>
      <c r="C451" t="s">
        <v>1069</v>
      </c>
      <c r="D451" s="23">
        <v>46461.425821759258</v>
      </c>
      <c r="E451" t="s">
        <v>1637</v>
      </c>
      <c r="F451">
        <v>5</v>
      </c>
      <c r="G451" t="s">
        <v>2171</v>
      </c>
      <c r="I451" t="str">
        <f t="shared" si="14"/>
        <v>RT0131PE|RP-19626-E1</v>
      </c>
      <c r="J451" t="str">
        <f t="shared" si="15"/>
        <v>SÍ</v>
      </c>
    </row>
    <row r="452" spans="1:10" x14ac:dyDescent="0.3">
      <c r="A452" t="s">
        <v>612</v>
      </c>
      <c r="B452" t="s">
        <v>781</v>
      </c>
      <c r="C452" t="s">
        <v>1070</v>
      </c>
      <c r="D452" s="23">
        <v>46462</v>
      </c>
      <c r="E452" t="s">
        <v>1637</v>
      </c>
      <c r="F452">
        <v>8</v>
      </c>
      <c r="G452" t="s">
        <v>2171</v>
      </c>
      <c r="I452" t="str">
        <f t="shared" si="14"/>
        <v>RT0131PE|RP-19726-E1</v>
      </c>
      <c r="J452" t="str">
        <f t="shared" si="15"/>
        <v>SÍ</v>
      </c>
    </row>
    <row r="453" spans="1:10" x14ac:dyDescent="0.3">
      <c r="A453" t="s">
        <v>396</v>
      </c>
      <c r="B453" t="s">
        <v>397</v>
      </c>
      <c r="C453" t="s">
        <v>433</v>
      </c>
      <c r="D453" s="23">
        <v>46904.496516203697</v>
      </c>
      <c r="E453" t="s">
        <v>10</v>
      </c>
      <c r="F453">
        <v>500</v>
      </c>
      <c r="G453" t="s">
        <v>40</v>
      </c>
      <c r="I453" t="str">
        <f t="shared" si="14"/>
        <v>MP10030|AM-01/26</v>
      </c>
      <c r="J453" t="str">
        <f t="shared" si="15"/>
        <v>SÍ</v>
      </c>
    </row>
    <row r="454" spans="1:10" x14ac:dyDescent="0.3">
      <c r="A454" t="s">
        <v>434</v>
      </c>
      <c r="B454" t="s">
        <v>435</v>
      </c>
      <c r="C454" t="s">
        <v>436</v>
      </c>
      <c r="D454" s="23">
        <v>47972.497291666667</v>
      </c>
      <c r="E454" t="s">
        <v>10</v>
      </c>
      <c r="F454">
        <v>360.94369999999998</v>
      </c>
      <c r="G454" t="s">
        <v>40</v>
      </c>
      <c r="I454" t="str">
        <f t="shared" si="14"/>
        <v>MP10031|AM-02/26</v>
      </c>
      <c r="J454" t="str">
        <f t="shared" si="15"/>
        <v>SÍ</v>
      </c>
    </row>
    <row r="455" spans="1:10" x14ac:dyDescent="0.3">
      <c r="A455" t="s">
        <v>366</v>
      </c>
      <c r="B455" t="s">
        <v>367</v>
      </c>
      <c r="C455" t="s">
        <v>437</v>
      </c>
      <c r="D455" s="23">
        <v>46561.676400462973</v>
      </c>
      <c r="E455" t="s">
        <v>10</v>
      </c>
      <c r="F455">
        <v>1500</v>
      </c>
      <c r="G455" t="s">
        <v>40</v>
      </c>
      <c r="I455" t="str">
        <f t="shared" si="14"/>
        <v>MP10062|SB-04/26</v>
      </c>
      <c r="J455" t="str">
        <f t="shared" si="15"/>
        <v>SÍ</v>
      </c>
    </row>
    <row r="456" spans="1:10" x14ac:dyDescent="0.3">
      <c r="A456" t="s">
        <v>391</v>
      </c>
      <c r="B456" t="s">
        <v>392</v>
      </c>
      <c r="C456" t="s">
        <v>438</v>
      </c>
      <c r="D456" s="23">
        <v>46469.678738425922</v>
      </c>
      <c r="E456" t="s">
        <v>10</v>
      </c>
      <c r="F456">
        <v>1000</v>
      </c>
      <c r="G456" t="s">
        <v>40</v>
      </c>
      <c r="I456" t="str">
        <f t="shared" si="14"/>
        <v>MP10036|SB-03/26</v>
      </c>
      <c r="J456" t="str">
        <f t="shared" si="15"/>
        <v>SÍ</v>
      </c>
    </row>
    <row r="457" spans="1:10" x14ac:dyDescent="0.3">
      <c r="A457" t="s">
        <v>344</v>
      </c>
      <c r="B457" t="s">
        <v>345</v>
      </c>
      <c r="C457" t="s">
        <v>439</v>
      </c>
      <c r="D457" s="23">
        <v>46555.679803240739</v>
      </c>
      <c r="E457" t="s">
        <v>10</v>
      </c>
      <c r="F457">
        <v>300</v>
      </c>
      <c r="G457" t="s">
        <v>40</v>
      </c>
      <c r="I457" t="str">
        <f t="shared" si="14"/>
        <v>MP10044|SB-02/26</v>
      </c>
      <c r="J457" t="str">
        <f t="shared" si="15"/>
        <v>SÍ</v>
      </c>
    </row>
    <row r="458" spans="1:10" x14ac:dyDescent="0.3">
      <c r="A458" t="s">
        <v>440</v>
      </c>
      <c r="B458" t="s">
        <v>441</v>
      </c>
      <c r="C458" t="s">
        <v>442</v>
      </c>
      <c r="D458" s="23">
        <v>46541.680844907409</v>
      </c>
      <c r="E458" t="s">
        <v>10</v>
      </c>
      <c r="F458">
        <v>1284.5</v>
      </c>
      <c r="G458" t="s">
        <v>40</v>
      </c>
      <c r="I458" t="str">
        <f t="shared" si="14"/>
        <v>MP10021|SB-01/26</v>
      </c>
      <c r="J458" t="str">
        <f t="shared" si="15"/>
        <v>SÍ</v>
      </c>
    </row>
    <row r="459" spans="1:10" x14ac:dyDescent="0.3">
      <c r="A459" t="s">
        <v>443</v>
      </c>
      <c r="B459" t="s">
        <v>444</v>
      </c>
      <c r="C459" t="s">
        <v>445</v>
      </c>
      <c r="D459" s="23">
        <v>46537.683009259257</v>
      </c>
      <c r="E459" t="s">
        <v>10</v>
      </c>
      <c r="F459">
        <v>9</v>
      </c>
      <c r="G459" t="s">
        <v>446</v>
      </c>
      <c r="I459" t="str">
        <f t="shared" si="14"/>
        <v>MP10013|AO-13/26</v>
      </c>
      <c r="J459" t="str">
        <f t="shared" si="15"/>
        <v>SÍ</v>
      </c>
    </row>
    <row r="460" spans="1:10" x14ac:dyDescent="0.3">
      <c r="A460" t="s">
        <v>624</v>
      </c>
      <c r="B460" t="s">
        <v>793</v>
      </c>
      <c r="C460" t="s">
        <v>1071</v>
      </c>
      <c r="D460" s="23">
        <v>46521.703981481478</v>
      </c>
      <c r="E460" t="s">
        <v>1637</v>
      </c>
      <c r="F460">
        <v>13</v>
      </c>
      <c r="G460" t="s">
        <v>2175</v>
      </c>
      <c r="I460" t="str">
        <f t="shared" si="14"/>
        <v>TC0200PE|TIY-19726-E7</v>
      </c>
      <c r="J460" t="str">
        <f t="shared" si="15"/>
        <v>SÍ</v>
      </c>
    </row>
    <row r="461" spans="1:10" x14ac:dyDescent="0.3">
      <c r="A461" t="s">
        <v>612</v>
      </c>
      <c r="B461" t="s">
        <v>781</v>
      </c>
      <c r="C461" t="s">
        <v>1072</v>
      </c>
      <c r="D461" s="23">
        <v>46463</v>
      </c>
      <c r="E461" t="s">
        <v>1637</v>
      </c>
      <c r="F461">
        <v>15</v>
      </c>
      <c r="G461" t="s">
        <v>2171</v>
      </c>
      <c r="I461" t="str">
        <f t="shared" si="14"/>
        <v>RT0131PE|RP-19826-E1</v>
      </c>
      <c r="J461" t="str">
        <f t="shared" si="15"/>
        <v>SÍ</v>
      </c>
    </row>
    <row r="462" spans="1:10" x14ac:dyDescent="0.3">
      <c r="A462" t="s">
        <v>613</v>
      </c>
      <c r="B462" t="s">
        <v>782</v>
      </c>
      <c r="C462" t="s">
        <v>1073</v>
      </c>
      <c r="D462" s="23">
        <v>46521.700069444443</v>
      </c>
      <c r="E462" t="s">
        <v>1637</v>
      </c>
      <c r="F462">
        <v>41</v>
      </c>
      <c r="G462" t="s">
        <v>2175</v>
      </c>
      <c r="I462" t="str">
        <f t="shared" si="14"/>
        <v>TC0201PE|TIY-19826-E7</v>
      </c>
      <c r="J462" t="str">
        <f t="shared" si="15"/>
        <v>SÍ</v>
      </c>
    </row>
    <row r="463" spans="1:10" x14ac:dyDescent="0.3">
      <c r="A463" t="s">
        <v>579</v>
      </c>
      <c r="B463" t="s">
        <v>748</v>
      </c>
      <c r="C463" t="s">
        <v>1074</v>
      </c>
      <c r="D463" s="23">
        <v>46586.511562500003</v>
      </c>
      <c r="E463" t="s">
        <v>1637</v>
      </c>
      <c r="F463">
        <v>24</v>
      </c>
      <c r="G463" t="s">
        <v>2167</v>
      </c>
      <c r="I463" t="str">
        <f t="shared" si="14"/>
        <v>TQ0035PE|QN-19926-E10</v>
      </c>
      <c r="J463" t="str">
        <f t="shared" si="15"/>
        <v>SÍ</v>
      </c>
    </row>
    <row r="464" spans="1:10" x14ac:dyDescent="0.3">
      <c r="A464" t="s">
        <v>447</v>
      </c>
      <c r="B464" t="s">
        <v>448</v>
      </c>
      <c r="C464" t="s">
        <v>422</v>
      </c>
      <c r="D464" s="23">
        <v>46579.350173611107</v>
      </c>
      <c r="E464" t="s">
        <v>10</v>
      </c>
      <c r="F464">
        <v>812.11199999999997</v>
      </c>
      <c r="G464" t="s">
        <v>40</v>
      </c>
      <c r="I464" t="str">
        <f t="shared" si="14"/>
        <v>EE10144|LA-01/26</v>
      </c>
      <c r="J464" t="str">
        <f t="shared" si="15"/>
        <v>SÍ</v>
      </c>
    </row>
    <row r="465" spans="1:10" x14ac:dyDescent="0.3">
      <c r="A465" t="s">
        <v>177</v>
      </c>
      <c r="B465" t="s">
        <v>178</v>
      </c>
      <c r="C465" t="s">
        <v>423</v>
      </c>
      <c r="D465" s="23">
        <v>46582.352800925917</v>
      </c>
      <c r="E465" t="s">
        <v>10</v>
      </c>
      <c r="F465">
        <v>550.98</v>
      </c>
      <c r="G465" t="s">
        <v>40</v>
      </c>
      <c r="I465" t="str">
        <f t="shared" si="14"/>
        <v>EE10138|LA-02/26</v>
      </c>
      <c r="J465" t="str">
        <f t="shared" si="15"/>
        <v>SÍ</v>
      </c>
    </row>
    <row r="466" spans="1:10" x14ac:dyDescent="0.3">
      <c r="A466" t="s">
        <v>177</v>
      </c>
      <c r="B466" t="s">
        <v>178</v>
      </c>
      <c r="C466" t="s">
        <v>449</v>
      </c>
      <c r="D466" s="23">
        <v>46582.353113425917</v>
      </c>
      <c r="E466" t="s">
        <v>10</v>
      </c>
      <c r="F466">
        <v>35.83</v>
      </c>
      <c r="G466" t="s">
        <v>40</v>
      </c>
      <c r="I466" t="str">
        <f t="shared" ref="I466:I529" si="16">IF(A466="","",A466&amp;"|"&amp;C466)</f>
        <v>EE10138|LA-02/26.</v>
      </c>
      <c r="J466" t="str">
        <f t="shared" ref="J466:J529" si="17">IF(A466&lt;&gt;"","SÍ","NO")</f>
        <v>SÍ</v>
      </c>
    </row>
    <row r="467" spans="1:10" x14ac:dyDescent="0.3">
      <c r="A467" t="s">
        <v>577</v>
      </c>
      <c r="B467" t="s">
        <v>746</v>
      </c>
      <c r="C467" t="s">
        <v>1075</v>
      </c>
      <c r="D467" s="23">
        <v>46521</v>
      </c>
      <c r="E467" t="s">
        <v>1637</v>
      </c>
      <c r="F467">
        <v>41</v>
      </c>
      <c r="G467" t="s">
        <v>2168</v>
      </c>
      <c r="I467" t="str">
        <f t="shared" si="16"/>
        <v>TC0232PE|PC-19826-E8</v>
      </c>
      <c r="J467" t="str">
        <f t="shared" si="17"/>
        <v>SÍ</v>
      </c>
    </row>
    <row r="468" spans="1:10" x14ac:dyDescent="0.3">
      <c r="A468" t="s">
        <v>577</v>
      </c>
      <c r="B468" t="s">
        <v>746</v>
      </c>
      <c r="C468" t="s">
        <v>1076</v>
      </c>
      <c r="D468" s="23">
        <v>46523.703379629631</v>
      </c>
      <c r="E468" t="s">
        <v>1637</v>
      </c>
      <c r="F468">
        <v>13</v>
      </c>
      <c r="G468" t="s">
        <v>2168</v>
      </c>
      <c r="I468" t="str">
        <f t="shared" si="16"/>
        <v>TC0232PE|PC-19926-E8</v>
      </c>
      <c r="J468" t="str">
        <f t="shared" si="17"/>
        <v>SÍ</v>
      </c>
    </row>
    <row r="469" spans="1:10" x14ac:dyDescent="0.3">
      <c r="A469" t="s">
        <v>608</v>
      </c>
      <c r="B469" t="s">
        <v>777</v>
      </c>
      <c r="C469" t="s">
        <v>1077</v>
      </c>
      <c r="D469" s="23">
        <v>46466</v>
      </c>
      <c r="E469" t="s">
        <v>1637</v>
      </c>
      <c r="F469">
        <v>10</v>
      </c>
      <c r="G469" t="s">
        <v>2171</v>
      </c>
      <c r="I469" t="str">
        <f t="shared" si="16"/>
        <v>RT0105PE|RB-20126-E5</v>
      </c>
      <c r="J469" t="str">
        <f t="shared" si="17"/>
        <v>SÍ</v>
      </c>
    </row>
    <row r="470" spans="1:10" x14ac:dyDescent="0.3">
      <c r="A470" t="s">
        <v>608</v>
      </c>
      <c r="B470" t="s">
        <v>777</v>
      </c>
      <c r="C470" t="s">
        <v>1078</v>
      </c>
      <c r="D470" s="23">
        <v>46467</v>
      </c>
      <c r="E470" t="s">
        <v>1637</v>
      </c>
      <c r="F470">
        <v>25</v>
      </c>
      <c r="G470" t="s">
        <v>2171</v>
      </c>
      <c r="I470" t="str">
        <f t="shared" si="16"/>
        <v>RT0105PE|RB-20226-E5</v>
      </c>
      <c r="J470" t="str">
        <f t="shared" si="17"/>
        <v>SÍ</v>
      </c>
    </row>
    <row r="471" spans="1:10" x14ac:dyDescent="0.3">
      <c r="A471" t="s">
        <v>626</v>
      </c>
      <c r="B471" t="s">
        <v>795</v>
      </c>
      <c r="C471" t="s">
        <v>1079</v>
      </c>
      <c r="D471" s="23">
        <v>46467</v>
      </c>
      <c r="E471" t="s">
        <v>1637</v>
      </c>
      <c r="F471">
        <v>6</v>
      </c>
      <c r="G471" t="s">
        <v>2171</v>
      </c>
      <c r="I471" t="str">
        <f t="shared" si="16"/>
        <v>RT0057PE|RN-20226-E3</v>
      </c>
      <c r="J471" t="str">
        <f t="shared" si="17"/>
        <v>SÍ</v>
      </c>
    </row>
    <row r="472" spans="1:10" x14ac:dyDescent="0.3">
      <c r="A472" t="s">
        <v>581</v>
      </c>
      <c r="B472" t="s">
        <v>750</v>
      </c>
      <c r="C472" t="s">
        <v>1080</v>
      </c>
      <c r="D472" s="23">
        <v>46559</v>
      </c>
      <c r="E472" t="s">
        <v>1637</v>
      </c>
      <c r="F472">
        <v>1</v>
      </c>
      <c r="G472" t="s">
        <v>2168</v>
      </c>
      <c r="I472" t="str">
        <f t="shared" si="16"/>
        <v>TC0008MX|PJ-20226-E7</v>
      </c>
      <c r="J472" t="str">
        <f t="shared" si="17"/>
        <v>SÍ</v>
      </c>
    </row>
    <row r="473" spans="1:10" x14ac:dyDescent="0.3">
      <c r="A473" t="s">
        <v>627</v>
      </c>
      <c r="B473" t="s">
        <v>796</v>
      </c>
      <c r="C473" t="s">
        <v>1081</v>
      </c>
      <c r="D473" s="23">
        <v>46466</v>
      </c>
      <c r="E473" t="s">
        <v>1637</v>
      </c>
      <c r="F473">
        <v>9</v>
      </c>
      <c r="G473" t="s">
        <v>2171</v>
      </c>
      <c r="I473" t="str">
        <f t="shared" si="16"/>
        <v>RT0058PE|RN-20126-E1</v>
      </c>
      <c r="J473" t="str">
        <f t="shared" si="17"/>
        <v>SÍ</v>
      </c>
    </row>
    <row r="474" spans="1:10" x14ac:dyDescent="0.3">
      <c r="A474" t="s">
        <v>450</v>
      </c>
      <c r="B474" t="s">
        <v>451</v>
      </c>
      <c r="C474" t="s">
        <v>452</v>
      </c>
      <c r="D474" s="23">
        <v>46575.420312499999</v>
      </c>
      <c r="E474" t="s">
        <v>10</v>
      </c>
      <c r="F474">
        <v>27.08</v>
      </c>
      <c r="G474" t="s">
        <v>446</v>
      </c>
      <c r="I474" t="str">
        <f t="shared" si="16"/>
        <v>MP10015|OP-43/26.</v>
      </c>
      <c r="J474" t="str">
        <f t="shared" si="17"/>
        <v>SÍ</v>
      </c>
    </row>
    <row r="475" spans="1:10" x14ac:dyDescent="0.3">
      <c r="A475" t="s">
        <v>360</v>
      </c>
      <c r="B475" t="s">
        <v>361</v>
      </c>
      <c r="C475" t="s">
        <v>455</v>
      </c>
      <c r="D475" s="23">
        <v>46283.727731481478</v>
      </c>
      <c r="E475" t="s">
        <v>10</v>
      </c>
      <c r="F475">
        <v>11425</v>
      </c>
      <c r="G475" t="s">
        <v>40</v>
      </c>
      <c r="I475" t="str">
        <f t="shared" si="16"/>
        <v>MP10002|INFORME 187/26</v>
      </c>
      <c r="J475" t="str">
        <f t="shared" si="17"/>
        <v>SÍ</v>
      </c>
    </row>
    <row r="476" spans="1:10" x14ac:dyDescent="0.3">
      <c r="A476" t="s">
        <v>360</v>
      </c>
      <c r="B476" t="s">
        <v>361</v>
      </c>
      <c r="C476" t="s">
        <v>456</v>
      </c>
      <c r="D476" s="23">
        <v>46317.67428240741</v>
      </c>
      <c r="E476" t="s">
        <v>10</v>
      </c>
      <c r="F476">
        <v>22296</v>
      </c>
      <c r="G476" t="s">
        <v>40</v>
      </c>
      <c r="I476" t="str">
        <f t="shared" si="16"/>
        <v>MP10002|INFORME 177/26</v>
      </c>
      <c r="J476" t="str">
        <f t="shared" si="17"/>
        <v>SÍ</v>
      </c>
    </row>
    <row r="477" spans="1:10" x14ac:dyDescent="0.3">
      <c r="A477" t="s">
        <v>360</v>
      </c>
      <c r="B477" t="s">
        <v>361</v>
      </c>
      <c r="C477" t="s">
        <v>457</v>
      </c>
      <c r="D477" s="23">
        <v>46283.686840277784</v>
      </c>
      <c r="E477" t="s">
        <v>10</v>
      </c>
      <c r="F477">
        <v>20856</v>
      </c>
      <c r="G477" t="s">
        <v>40</v>
      </c>
      <c r="I477" t="str">
        <f t="shared" si="16"/>
        <v>MP10002|INFORME 179/26</v>
      </c>
      <c r="J477" t="str">
        <f t="shared" si="17"/>
        <v>SÍ</v>
      </c>
    </row>
    <row r="478" spans="1:10" x14ac:dyDescent="0.3">
      <c r="A478" t="s">
        <v>360</v>
      </c>
      <c r="B478" t="s">
        <v>361</v>
      </c>
      <c r="C478" t="s">
        <v>458</v>
      </c>
      <c r="D478" s="23">
        <v>46283.689143518517</v>
      </c>
      <c r="E478" t="s">
        <v>10</v>
      </c>
      <c r="F478">
        <v>23085</v>
      </c>
      <c r="G478" t="s">
        <v>40</v>
      </c>
      <c r="I478" t="str">
        <f t="shared" si="16"/>
        <v>MP10002|INFORME 184/26</v>
      </c>
      <c r="J478" t="str">
        <f t="shared" si="17"/>
        <v>SÍ</v>
      </c>
    </row>
    <row r="479" spans="1:10" x14ac:dyDescent="0.3">
      <c r="A479" t="s">
        <v>360</v>
      </c>
      <c r="B479" t="s">
        <v>361</v>
      </c>
      <c r="C479" t="s">
        <v>459</v>
      </c>
      <c r="D479" s="23">
        <v>46281.691504629627</v>
      </c>
      <c r="E479" t="s">
        <v>10</v>
      </c>
      <c r="F479">
        <v>23158</v>
      </c>
      <c r="G479" t="s">
        <v>40</v>
      </c>
      <c r="I479" t="str">
        <f t="shared" si="16"/>
        <v>MP10002|INFORME 183/26</v>
      </c>
      <c r="J479" t="str">
        <f t="shared" si="17"/>
        <v>SÍ</v>
      </c>
    </row>
    <row r="480" spans="1:10" x14ac:dyDescent="0.3">
      <c r="A480" t="s">
        <v>360</v>
      </c>
      <c r="B480" t="s">
        <v>361</v>
      </c>
      <c r="C480" t="s">
        <v>460</v>
      </c>
      <c r="D480" s="23">
        <v>46281.713530092587</v>
      </c>
      <c r="E480" t="s">
        <v>10</v>
      </c>
      <c r="F480">
        <v>14854</v>
      </c>
      <c r="G480" t="s">
        <v>40</v>
      </c>
      <c r="I480" t="str">
        <f t="shared" si="16"/>
        <v>MP10002|INFORME 185/26</v>
      </c>
      <c r="J480" t="str">
        <f t="shared" si="17"/>
        <v>SÍ</v>
      </c>
    </row>
    <row r="481" spans="1:10" x14ac:dyDescent="0.3">
      <c r="A481" t="s">
        <v>623</v>
      </c>
      <c r="B481" t="s">
        <v>792</v>
      </c>
      <c r="C481" t="s">
        <v>1082</v>
      </c>
      <c r="D481" s="23">
        <v>46528.475231481483</v>
      </c>
      <c r="E481" t="s">
        <v>1637</v>
      </c>
      <c r="F481">
        <v>3</v>
      </c>
      <c r="G481" t="s">
        <v>2177</v>
      </c>
      <c r="I481" t="str">
        <f t="shared" si="16"/>
        <v>TC0246PE|SN-20226-E8</v>
      </c>
      <c r="J481" t="str">
        <f t="shared" si="17"/>
        <v>SÍ</v>
      </c>
    </row>
    <row r="482" spans="1:10" x14ac:dyDescent="0.3">
      <c r="A482" t="s">
        <v>623</v>
      </c>
      <c r="B482" t="s">
        <v>792</v>
      </c>
      <c r="C482" t="s">
        <v>1083</v>
      </c>
      <c r="D482" s="23">
        <v>46529.476840277777</v>
      </c>
      <c r="E482" t="s">
        <v>1637</v>
      </c>
      <c r="F482">
        <v>3</v>
      </c>
      <c r="G482" t="s">
        <v>2177</v>
      </c>
      <c r="I482" t="str">
        <f t="shared" si="16"/>
        <v>TC0246PE|SN-20326-E8</v>
      </c>
      <c r="J482" t="str">
        <f t="shared" si="17"/>
        <v>SÍ</v>
      </c>
    </row>
    <row r="483" spans="1:10" x14ac:dyDescent="0.3">
      <c r="A483" t="s">
        <v>625</v>
      </c>
      <c r="B483" t="s">
        <v>794</v>
      </c>
      <c r="C483" t="s">
        <v>1084</v>
      </c>
      <c r="D483" s="23">
        <v>46529.48300925926</v>
      </c>
      <c r="E483" t="s">
        <v>1637</v>
      </c>
      <c r="F483">
        <v>5</v>
      </c>
      <c r="G483" t="s">
        <v>2168</v>
      </c>
      <c r="I483" t="str">
        <f t="shared" si="16"/>
        <v>TTS0002PE|TTJ-20326-E8</v>
      </c>
      <c r="J483" t="str">
        <f t="shared" si="17"/>
        <v>SÍ</v>
      </c>
    </row>
    <row r="484" spans="1:10" x14ac:dyDescent="0.3">
      <c r="A484" t="s">
        <v>628</v>
      </c>
      <c r="B484" t="s">
        <v>797</v>
      </c>
      <c r="C484" t="s">
        <v>1077</v>
      </c>
      <c r="D484" s="23">
        <v>46466</v>
      </c>
      <c r="E484" t="s">
        <v>1637</v>
      </c>
      <c r="F484">
        <v>17</v>
      </c>
      <c r="G484" t="s">
        <v>2171</v>
      </c>
      <c r="I484" t="str">
        <f t="shared" si="16"/>
        <v>RT0073PE|RB-20126-E5</v>
      </c>
      <c r="J484" t="str">
        <f t="shared" si="17"/>
        <v>SÍ</v>
      </c>
    </row>
    <row r="485" spans="1:10" x14ac:dyDescent="0.3">
      <c r="A485" t="s">
        <v>286</v>
      </c>
      <c r="B485" t="s">
        <v>287</v>
      </c>
      <c r="C485" t="s">
        <v>298</v>
      </c>
      <c r="D485" s="23">
        <v>46581.722719907397</v>
      </c>
      <c r="E485" t="s">
        <v>10</v>
      </c>
      <c r="F485">
        <v>100</v>
      </c>
      <c r="G485" t="s">
        <v>11</v>
      </c>
      <c r="I485" t="str">
        <f t="shared" si="16"/>
        <v>EE10249|INFORME 05/26</v>
      </c>
      <c r="J485" t="str">
        <f t="shared" si="17"/>
        <v>SÍ</v>
      </c>
    </row>
    <row r="486" spans="1:10" x14ac:dyDescent="0.3">
      <c r="A486" t="s">
        <v>289</v>
      </c>
      <c r="B486" t="s">
        <v>290</v>
      </c>
      <c r="C486" t="s">
        <v>298</v>
      </c>
      <c r="D486" s="23">
        <v>46483.723761574067</v>
      </c>
      <c r="E486" t="s">
        <v>10</v>
      </c>
      <c r="F486">
        <v>100</v>
      </c>
      <c r="G486" t="s">
        <v>11</v>
      </c>
      <c r="I486" t="str">
        <f t="shared" si="16"/>
        <v>EE10250|INFORME 05/26</v>
      </c>
      <c r="J486" t="str">
        <f t="shared" si="17"/>
        <v>SÍ</v>
      </c>
    </row>
    <row r="487" spans="1:10" x14ac:dyDescent="0.3">
      <c r="A487" t="s">
        <v>461</v>
      </c>
      <c r="B487" t="s">
        <v>462</v>
      </c>
      <c r="C487" t="s">
        <v>463</v>
      </c>
      <c r="D487" s="23">
        <v>46588.3434837963</v>
      </c>
      <c r="E487" t="s">
        <v>10</v>
      </c>
      <c r="F487">
        <v>3100.0052999999998</v>
      </c>
      <c r="G487" t="s">
        <v>11</v>
      </c>
      <c r="I487" t="str">
        <f t="shared" si="16"/>
        <v>EE10083|BP-01/26</v>
      </c>
      <c r="J487" t="str">
        <f t="shared" si="17"/>
        <v>SÍ</v>
      </c>
    </row>
    <row r="488" spans="1:10" x14ac:dyDescent="0.3">
      <c r="A488" t="s">
        <v>629</v>
      </c>
      <c r="B488" t="s">
        <v>798</v>
      </c>
      <c r="C488" t="s">
        <v>1085</v>
      </c>
      <c r="D488" s="23">
        <v>46516.492372685178</v>
      </c>
      <c r="E488" t="s">
        <v>1637</v>
      </c>
      <c r="F488">
        <v>5</v>
      </c>
      <c r="G488" t="s">
        <v>2174</v>
      </c>
      <c r="I488" t="str">
        <f t="shared" si="16"/>
        <v>TC0116PE|DUO-20426-E11</v>
      </c>
      <c r="J488" t="str">
        <f t="shared" si="17"/>
        <v>SÍ</v>
      </c>
    </row>
    <row r="489" spans="1:10" x14ac:dyDescent="0.3">
      <c r="A489" t="s">
        <v>630</v>
      </c>
      <c r="B489" t="s">
        <v>799</v>
      </c>
      <c r="C489" t="s">
        <v>1086</v>
      </c>
      <c r="D489" s="23">
        <v>46468.729375000003</v>
      </c>
      <c r="E489" t="s">
        <v>1637</v>
      </c>
      <c r="F489">
        <v>1</v>
      </c>
      <c r="G489" t="s">
        <v>2171</v>
      </c>
      <c r="I489" t="str">
        <f t="shared" si="16"/>
        <v>RT0124PE|RJ-20326-E1</v>
      </c>
      <c r="J489" t="str">
        <f t="shared" si="17"/>
        <v>SÍ</v>
      </c>
    </row>
    <row r="490" spans="1:10" x14ac:dyDescent="0.3">
      <c r="A490" t="s">
        <v>586</v>
      </c>
      <c r="B490" t="s">
        <v>755</v>
      </c>
      <c r="C490" t="s">
        <v>1087</v>
      </c>
      <c r="D490" s="23">
        <v>46463.193379629629</v>
      </c>
      <c r="E490" t="s">
        <v>1638</v>
      </c>
      <c r="F490">
        <v>0.95830000000000004</v>
      </c>
      <c r="G490" t="s">
        <v>2169</v>
      </c>
      <c r="I490" t="str">
        <f t="shared" si="16"/>
        <v>TC0082PE|SN-14126-E8</v>
      </c>
      <c r="J490" t="str">
        <f t="shared" si="17"/>
        <v>SÍ</v>
      </c>
    </row>
    <row r="491" spans="1:10" x14ac:dyDescent="0.3">
      <c r="A491" t="s">
        <v>583</v>
      </c>
      <c r="B491" t="s">
        <v>752</v>
      </c>
      <c r="C491" t="s">
        <v>1088</v>
      </c>
      <c r="D491" s="23">
        <v>46454.630532407413</v>
      </c>
      <c r="E491" t="s">
        <v>1638</v>
      </c>
      <c r="F491">
        <v>0.36109999999999998</v>
      </c>
      <c r="G491" t="s">
        <v>2166</v>
      </c>
      <c r="I491" t="str">
        <f t="shared" si="16"/>
        <v>TC0016PE|SN-12826-E1</v>
      </c>
      <c r="J491" t="str">
        <f t="shared" si="17"/>
        <v>SÍ</v>
      </c>
    </row>
    <row r="492" spans="1:10" x14ac:dyDescent="0.3">
      <c r="A492" t="s">
        <v>584</v>
      </c>
      <c r="B492" t="s">
        <v>753</v>
      </c>
      <c r="C492" t="s">
        <v>1089</v>
      </c>
      <c r="D492" s="23">
        <v>46515.982175925928</v>
      </c>
      <c r="E492" t="s">
        <v>1638</v>
      </c>
      <c r="F492">
        <v>0.41670000000000001</v>
      </c>
      <c r="G492" t="s">
        <v>2169</v>
      </c>
      <c r="I492" t="str">
        <f t="shared" si="16"/>
        <v>TQ0038PE|QB-13426-E10</v>
      </c>
      <c r="J492" t="str">
        <f t="shared" si="17"/>
        <v>SÍ</v>
      </c>
    </row>
    <row r="493" spans="1:10" x14ac:dyDescent="0.3">
      <c r="A493" t="s">
        <v>617</v>
      </c>
      <c r="B493" t="s">
        <v>786</v>
      </c>
      <c r="C493" t="s">
        <v>1090</v>
      </c>
      <c r="D493" s="23">
        <v>46510.542048611111</v>
      </c>
      <c r="E493" t="s">
        <v>1639</v>
      </c>
      <c r="F493">
        <v>11</v>
      </c>
      <c r="G493" t="s">
        <v>2168</v>
      </c>
      <c r="I493" t="str">
        <f t="shared" si="16"/>
        <v>TC0223PE|PJ-18826-E5</v>
      </c>
      <c r="J493" t="str">
        <f t="shared" si="17"/>
        <v>SÍ</v>
      </c>
    </row>
    <row r="494" spans="1:10" x14ac:dyDescent="0.3">
      <c r="A494" t="s">
        <v>464</v>
      </c>
      <c r="B494" t="s">
        <v>465</v>
      </c>
      <c r="C494" t="s">
        <v>466</v>
      </c>
      <c r="D494" s="23">
        <v>46582.3593287037</v>
      </c>
      <c r="E494" t="s">
        <v>10</v>
      </c>
      <c r="F494">
        <v>1995</v>
      </c>
      <c r="G494" t="s">
        <v>11</v>
      </c>
      <c r="I494" t="str">
        <f t="shared" si="16"/>
        <v>EE10001|CT-16/26</v>
      </c>
      <c r="J494" t="str">
        <f t="shared" si="17"/>
        <v>SÍ</v>
      </c>
    </row>
    <row r="495" spans="1:10" x14ac:dyDescent="0.3">
      <c r="A495" t="s">
        <v>464</v>
      </c>
      <c r="B495" t="s">
        <v>465</v>
      </c>
      <c r="C495" t="s">
        <v>467</v>
      </c>
      <c r="D495" s="23">
        <v>46582.3596412037</v>
      </c>
      <c r="E495" t="s">
        <v>10</v>
      </c>
      <c r="F495">
        <v>111</v>
      </c>
      <c r="G495" t="s">
        <v>11</v>
      </c>
      <c r="I495" t="str">
        <f t="shared" si="16"/>
        <v>EE10001|CT-16/26-</v>
      </c>
      <c r="J495" t="str">
        <f t="shared" si="17"/>
        <v>SÍ</v>
      </c>
    </row>
    <row r="496" spans="1:10" x14ac:dyDescent="0.3">
      <c r="A496" t="s">
        <v>631</v>
      </c>
      <c r="B496" t="s">
        <v>800</v>
      </c>
      <c r="C496" t="s">
        <v>1091</v>
      </c>
      <c r="D496" s="23">
        <v>46540.5234837963</v>
      </c>
      <c r="E496" t="s">
        <v>1637</v>
      </c>
      <c r="F496">
        <v>9</v>
      </c>
      <c r="G496" t="s">
        <v>2178</v>
      </c>
      <c r="I496" t="str">
        <f t="shared" si="16"/>
        <v>CT0007PE|LT-103</v>
      </c>
      <c r="J496" t="str">
        <f t="shared" si="17"/>
        <v>SÍ</v>
      </c>
    </row>
    <row r="497" spans="1:10" x14ac:dyDescent="0.3">
      <c r="A497" t="s">
        <v>632</v>
      </c>
      <c r="B497" t="s">
        <v>801</v>
      </c>
      <c r="C497" t="s">
        <v>1092</v>
      </c>
      <c r="D497" s="23">
        <v>46577.794085648151</v>
      </c>
      <c r="E497" t="s">
        <v>1637</v>
      </c>
      <c r="F497">
        <v>15</v>
      </c>
      <c r="G497" t="s">
        <v>2179</v>
      </c>
      <c r="I497" t="str">
        <f t="shared" si="16"/>
        <v>CT0008PE|SF-102</v>
      </c>
      <c r="J497" t="str">
        <f t="shared" si="17"/>
        <v>SÍ</v>
      </c>
    </row>
    <row r="498" spans="1:10" x14ac:dyDescent="0.3">
      <c r="A498" t="s">
        <v>633</v>
      </c>
      <c r="B498" t="s">
        <v>802</v>
      </c>
      <c r="C498" t="s">
        <v>1093</v>
      </c>
      <c r="D498" s="23">
        <v>46372.292870370373</v>
      </c>
      <c r="E498" t="s">
        <v>1637</v>
      </c>
      <c r="F498">
        <v>11</v>
      </c>
      <c r="G498" t="s">
        <v>2170</v>
      </c>
      <c r="I498" t="str">
        <f t="shared" si="16"/>
        <v>RT0053PE|RN-10626-E7</v>
      </c>
      <c r="J498" t="str">
        <f t="shared" si="17"/>
        <v>SÍ</v>
      </c>
    </row>
    <row r="499" spans="1:10" x14ac:dyDescent="0.3">
      <c r="A499" t="s">
        <v>633</v>
      </c>
      <c r="B499" t="s">
        <v>802</v>
      </c>
      <c r="C499" t="s">
        <v>1094</v>
      </c>
      <c r="D499" s="23">
        <v>46373.293020833327</v>
      </c>
      <c r="E499" t="s">
        <v>1637</v>
      </c>
      <c r="F499">
        <v>23</v>
      </c>
      <c r="G499" t="s">
        <v>2170</v>
      </c>
      <c r="I499" t="str">
        <f t="shared" si="16"/>
        <v>RT0053PE|RN-10726-E7</v>
      </c>
      <c r="J499" t="str">
        <f t="shared" si="17"/>
        <v>SÍ</v>
      </c>
    </row>
    <row r="500" spans="1:10" x14ac:dyDescent="0.3">
      <c r="A500" t="s">
        <v>633</v>
      </c>
      <c r="B500" t="s">
        <v>802</v>
      </c>
      <c r="C500" t="s">
        <v>1095</v>
      </c>
      <c r="D500" s="23">
        <v>46367.672164351847</v>
      </c>
      <c r="E500" t="s">
        <v>1637</v>
      </c>
      <c r="F500">
        <v>47</v>
      </c>
      <c r="G500" t="s">
        <v>2170</v>
      </c>
      <c r="I500" t="str">
        <f t="shared" si="16"/>
        <v>RT0053PE|RN-10526-E7</v>
      </c>
      <c r="J500" t="str">
        <f t="shared" si="17"/>
        <v>SÍ</v>
      </c>
    </row>
    <row r="501" spans="1:10" x14ac:dyDescent="0.3">
      <c r="A501" t="s">
        <v>633</v>
      </c>
      <c r="B501" t="s">
        <v>802</v>
      </c>
      <c r="C501" t="s">
        <v>1096</v>
      </c>
      <c r="D501" s="23">
        <v>46342.022523148153</v>
      </c>
      <c r="E501" t="s">
        <v>1637</v>
      </c>
      <c r="F501">
        <v>1</v>
      </c>
      <c r="G501" t="s">
        <v>2170</v>
      </c>
      <c r="I501" t="str">
        <f t="shared" si="16"/>
        <v>RT0053PE|RN-07526-E4</v>
      </c>
      <c r="J501" t="str">
        <f t="shared" si="17"/>
        <v>SÍ</v>
      </c>
    </row>
    <row r="502" spans="1:10" x14ac:dyDescent="0.3">
      <c r="A502" t="s">
        <v>598</v>
      </c>
      <c r="B502" t="s">
        <v>767</v>
      </c>
      <c r="C502" t="s">
        <v>1097</v>
      </c>
      <c r="D502" s="23">
        <v>46393.791168981479</v>
      </c>
      <c r="E502" t="s">
        <v>1637</v>
      </c>
      <c r="F502">
        <v>28</v>
      </c>
      <c r="G502" t="s">
        <v>2171</v>
      </c>
      <c r="I502" t="str">
        <f t="shared" si="16"/>
        <v>RT0063PE|RP-13126-E3</v>
      </c>
      <c r="J502" t="str">
        <f t="shared" si="17"/>
        <v>SÍ</v>
      </c>
    </row>
    <row r="503" spans="1:10" x14ac:dyDescent="0.3">
      <c r="A503" t="s">
        <v>634</v>
      </c>
      <c r="B503" t="s">
        <v>803</v>
      </c>
      <c r="C503" t="s">
        <v>1098</v>
      </c>
      <c r="D503" s="23">
        <v>46238</v>
      </c>
      <c r="E503" t="s">
        <v>1637</v>
      </c>
      <c r="F503">
        <v>3</v>
      </c>
      <c r="G503" t="s">
        <v>2169</v>
      </c>
      <c r="I503" t="str">
        <f t="shared" si="16"/>
        <v>RT0092PE|RO-33825</v>
      </c>
      <c r="J503" t="str">
        <f t="shared" si="17"/>
        <v>SÍ</v>
      </c>
    </row>
    <row r="504" spans="1:10" x14ac:dyDescent="0.3">
      <c r="A504" t="s">
        <v>635</v>
      </c>
      <c r="B504" t="s">
        <v>804</v>
      </c>
      <c r="C504" t="s">
        <v>1099</v>
      </c>
      <c r="D504" s="23">
        <v>46336.4219212963</v>
      </c>
      <c r="E504" t="s">
        <v>1637</v>
      </c>
      <c r="F504">
        <v>1</v>
      </c>
      <c r="G504" t="s">
        <v>2169</v>
      </c>
      <c r="I504" t="str">
        <f t="shared" si="16"/>
        <v>RT0095PE|RJ-04126-E3</v>
      </c>
      <c r="J504" t="str">
        <f t="shared" si="17"/>
        <v>SÍ</v>
      </c>
    </row>
    <row r="505" spans="1:10" x14ac:dyDescent="0.3">
      <c r="A505" t="s">
        <v>636</v>
      </c>
      <c r="B505" t="s">
        <v>805</v>
      </c>
      <c r="C505" t="s">
        <v>1100</v>
      </c>
      <c r="D505" s="23">
        <v>46519.76840277778</v>
      </c>
      <c r="E505" t="s">
        <v>1637</v>
      </c>
      <c r="F505">
        <v>20</v>
      </c>
      <c r="G505" t="s">
        <v>2173</v>
      </c>
      <c r="I505" t="str">
        <f t="shared" si="16"/>
        <v>RT0108PE|RN-14526-E5</v>
      </c>
      <c r="J505" t="str">
        <f t="shared" si="17"/>
        <v>SÍ</v>
      </c>
    </row>
    <row r="506" spans="1:10" x14ac:dyDescent="0.3">
      <c r="A506" t="s">
        <v>637</v>
      </c>
      <c r="B506" t="s">
        <v>806</v>
      </c>
      <c r="C506" t="s">
        <v>1101</v>
      </c>
      <c r="D506" s="23">
        <v>46189.52484953704</v>
      </c>
      <c r="E506" t="s">
        <v>1637</v>
      </c>
      <c r="F506">
        <v>25</v>
      </c>
      <c r="G506" t="s">
        <v>2173</v>
      </c>
      <c r="I506" t="str">
        <f t="shared" si="16"/>
        <v>RT0109PE|RP-16626-E2</v>
      </c>
      <c r="J506" t="str">
        <f t="shared" si="17"/>
        <v>SÍ</v>
      </c>
    </row>
    <row r="507" spans="1:10" x14ac:dyDescent="0.3">
      <c r="A507" t="s">
        <v>638</v>
      </c>
      <c r="B507" t="s">
        <v>807</v>
      </c>
      <c r="C507" t="s">
        <v>1102</v>
      </c>
      <c r="D507" s="23">
        <v>46457.916655092587</v>
      </c>
      <c r="E507" t="s">
        <v>1637</v>
      </c>
      <c r="F507">
        <v>1</v>
      </c>
      <c r="G507" t="s">
        <v>2166</v>
      </c>
      <c r="I507" t="str">
        <f t="shared" si="16"/>
        <v>TC0003PE|SC-13526-E7</v>
      </c>
      <c r="J507" t="str">
        <f t="shared" si="17"/>
        <v>SÍ</v>
      </c>
    </row>
    <row r="508" spans="1:10" x14ac:dyDescent="0.3">
      <c r="A508" t="s">
        <v>580</v>
      </c>
      <c r="B508" t="s">
        <v>749</v>
      </c>
      <c r="C508" t="s">
        <v>977</v>
      </c>
      <c r="D508" s="23">
        <v>46441.682314814818</v>
      </c>
      <c r="E508" t="s">
        <v>1637</v>
      </c>
      <c r="F508">
        <v>4</v>
      </c>
      <c r="G508" t="s">
        <v>2166</v>
      </c>
      <c r="I508" t="str">
        <f t="shared" si="16"/>
        <v>TC0004PE|SP-11926-E7</v>
      </c>
      <c r="J508" t="str">
        <f t="shared" si="17"/>
        <v>SÍ</v>
      </c>
    </row>
    <row r="509" spans="1:10" x14ac:dyDescent="0.3">
      <c r="A509" t="s">
        <v>596</v>
      </c>
      <c r="B509" t="s">
        <v>765</v>
      </c>
      <c r="C509" t="s">
        <v>1103</v>
      </c>
      <c r="D509" s="23">
        <v>46447.621331018519</v>
      </c>
      <c r="E509" t="s">
        <v>1637</v>
      </c>
      <c r="F509">
        <v>1</v>
      </c>
      <c r="G509" t="s">
        <v>2166</v>
      </c>
      <c r="I509" t="str">
        <f t="shared" si="16"/>
        <v>TC0015PE|SN-12526-E4</v>
      </c>
      <c r="J509" t="str">
        <f t="shared" si="17"/>
        <v>SÍ</v>
      </c>
    </row>
    <row r="510" spans="1:10" x14ac:dyDescent="0.3">
      <c r="A510" t="s">
        <v>596</v>
      </c>
      <c r="B510" t="s">
        <v>765</v>
      </c>
      <c r="C510" t="s">
        <v>1027</v>
      </c>
      <c r="D510" s="23">
        <v>46476</v>
      </c>
      <c r="E510" t="s">
        <v>1637</v>
      </c>
      <c r="F510">
        <v>8</v>
      </c>
      <c r="G510" t="s">
        <v>2166</v>
      </c>
      <c r="I510" t="str">
        <f t="shared" si="16"/>
        <v>TC0015PE|SN-15026-E7</v>
      </c>
      <c r="J510" t="str">
        <f t="shared" si="17"/>
        <v>SÍ</v>
      </c>
    </row>
    <row r="511" spans="1:10" x14ac:dyDescent="0.3">
      <c r="A511" t="s">
        <v>586</v>
      </c>
      <c r="B511" t="s">
        <v>755</v>
      </c>
      <c r="C511" t="s">
        <v>1104</v>
      </c>
      <c r="D511" s="23">
        <v>46482.754525462973</v>
      </c>
      <c r="E511" t="s">
        <v>1637</v>
      </c>
      <c r="F511">
        <v>13</v>
      </c>
      <c r="G511" t="s">
        <v>2169</v>
      </c>
      <c r="I511" t="str">
        <f t="shared" si="16"/>
        <v>TC0082PE|SN-16026-E3</v>
      </c>
      <c r="J511" t="str">
        <f t="shared" si="17"/>
        <v>SÍ</v>
      </c>
    </row>
    <row r="512" spans="1:10" x14ac:dyDescent="0.3">
      <c r="A512" t="s">
        <v>586</v>
      </c>
      <c r="B512" t="s">
        <v>755</v>
      </c>
      <c r="C512" t="s">
        <v>1025</v>
      </c>
      <c r="D512" s="23">
        <v>46464.190763888888</v>
      </c>
      <c r="E512" t="s">
        <v>1637</v>
      </c>
      <c r="F512">
        <v>11</v>
      </c>
      <c r="G512" t="s">
        <v>2169</v>
      </c>
      <c r="I512" t="str">
        <f t="shared" si="16"/>
        <v>TC0082PE|SN-14226-E8</v>
      </c>
      <c r="J512" t="str">
        <f t="shared" si="17"/>
        <v>SÍ</v>
      </c>
    </row>
    <row r="513" spans="1:10" x14ac:dyDescent="0.3">
      <c r="A513" t="s">
        <v>578</v>
      </c>
      <c r="B513" t="s">
        <v>747</v>
      </c>
      <c r="C513" t="s">
        <v>957</v>
      </c>
      <c r="D513" s="23">
        <v>46359.103564814817</v>
      </c>
      <c r="E513" t="s">
        <v>1637</v>
      </c>
      <c r="F513">
        <v>2</v>
      </c>
      <c r="G513" t="s">
        <v>2168</v>
      </c>
      <c r="I513" t="str">
        <f t="shared" si="16"/>
        <v>TC0091PE|SN-03426-E4</v>
      </c>
      <c r="J513" t="str">
        <f t="shared" si="17"/>
        <v>SÍ</v>
      </c>
    </row>
    <row r="514" spans="1:10" x14ac:dyDescent="0.3">
      <c r="A514" t="s">
        <v>578</v>
      </c>
      <c r="B514" t="s">
        <v>747</v>
      </c>
      <c r="C514" t="s">
        <v>1105</v>
      </c>
      <c r="D514" s="23">
        <v>46364.166354166657</v>
      </c>
      <c r="E514" t="s">
        <v>1637</v>
      </c>
      <c r="F514">
        <v>3</v>
      </c>
      <c r="G514" t="s">
        <v>2168</v>
      </c>
      <c r="I514" t="str">
        <f t="shared" si="16"/>
        <v>TC0091PE|SN-03926-E5</v>
      </c>
      <c r="J514" t="str">
        <f t="shared" si="17"/>
        <v>SÍ</v>
      </c>
    </row>
    <row r="515" spans="1:10" x14ac:dyDescent="0.3">
      <c r="A515" t="s">
        <v>578</v>
      </c>
      <c r="B515" t="s">
        <v>747</v>
      </c>
      <c r="C515" t="s">
        <v>1106</v>
      </c>
      <c r="D515" s="23">
        <v>46395.683668981481</v>
      </c>
      <c r="E515" t="s">
        <v>1637</v>
      </c>
      <c r="F515">
        <v>1</v>
      </c>
      <c r="G515" t="s">
        <v>2168</v>
      </c>
      <c r="I515" t="str">
        <f t="shared" si="16"/>
        <v>TC0091PE|SN-07326-E3</v>
      </c>
      <c r="J515" t="str">
        <f t="shared" si="17"/>
        <v>SÍ</v>
      </c>
    </row>
    <row r="516" spans="1:10" x14ac:dyDescent="0.3">
      <c r="A516" t="s">
        <v>587</v>
      </c>
      <c r="B516" t="s">
        <v>756</v>
      </c>
      <c r="C516" t="s">
        <v>1107</v>
      </c>
      <c r="D516" s="23">
        <v>46341.778136574067</v>
      </c>
      <c r="E516" t="s">
        <v>1637</v>
      </c>
      <c r="F516">
        <v>2</v>
      </c>
      <c r="G516" t="s">
        <v>2168</v>
      </c>
      <c r="I516" t="str">
        <f t="shared" si="16"/>
        <v>TC0099PE|SP-01526-E7</v>
      </c>
      <c r="J516" t="str">
        <f t="shared" si="17"/>
        <v>SÍ</v>
      </c>
    </row>
    <row r="517" spans="1:10" x14ac:dyDescent="0.3">
      <c r="A517" t="s">
        <v>587</v>
      </c>
      <c r="B517" t="s">
        <v>756</v>
      </c>
      <c r="C517" t="s">
        <v>1108</v>
      </c>
      <c r="D517" s="23">
        <v>46483</v>
      </c>
      <c r="E517" t="s">
        <v>1637</v>
      </c>
      <c r="F517">
        <v>16</v>
      </c>
      <c r="G517" t="s">
        <v>2168</v>
      </c>
      <c r="I517" t="str">
        <f t="shared" si="16"/>
        <v>TC0099PE|SP-15726-E7</v>
      </c>
      <c r="J517" t="str">
        <f t="shared" si="17"/>
        <v>SÍ</v>
      </c>
    </row>
    <row r="518" spans="1:10" x14ac:dyDescent="0.3">
      <c r="A518" t="s">
        <v>607</v>
      </c>
      <c r="B518" t="s">
        <v>776</v>
      </c>
      <c r="C518" t="s">
        <v>1109</v>
      </c>
      <c r="D518" s="23">
        <v>46356.139606481483</v>
      </c>
      <c r="E518" t="s">
        <v>1637</v>
      </c>
      <c r="F518">
        <v>1</v>
      </c>
      <c r="G518" t="s">
        <v>2174</v>
      </c>
      <c r="I518" t="str">
        <f t="shared" si="16"/>
        <v>TC0115PE|DUO-10426-E11</v>
      </c>
      <c r="J518" t="str">
        <f t="shared" si="17"/>
        <v>SÍ</v>
      </c>
    </row>
    <row r="519" spans="1:10" x14ac:dyDescent="0.3">
      <c r="A519" t="s">
        <v>615</v>
      </c>
      <c r="B519" t="s">
        <v>784</v>
      </c>
      <c r="C519" t="s">
        <v>1110</v>
      </c>
      <c r="D519" s="23">
        <v>46470.485509259262</v>
      </c>
      <c r="E519" t="s">
        <v>1637</v>
      </c>
      <c r="F519">
        <v>17</v>
      </c>
      <c r="G519" t="s">
        <v>2168</v>
      </c>
      <c r="I519" t="str">
        <f t="shared" si="16"/>
        <v>TC0224PE|LP-14826-E8</v>
      </c>
      <c r="J519" t="str">
        <f t="shared" si="17"/>
        <v>SÍ</v>
      </c>
    </row>
    <row r="520" spans="1:10" x14ac:dyDescent="0.3">
      <c r="A520" t="s">
        <v>620</v>
      </c>
      <c r="B520" t="s">
        <v>789</v>
      </c>
      <c r="C520" t="s">
        <v>1111</v>
      </c>
      <c r="D520" s="23">
        <v>46183.241111111107</v>
      </c>
      <c r="E520" t="s">
        <v>1637</v>
      </c>
      <c r="F520">
        <v>2</v>
      </c>
      <c r="G520" t="s">
        <v>2168</v>
      </c>
      <c r="I520" t="str">
        <f t="shared" si="16"/>
        <v>TC0244PE|SNP-16026-E4</v>
      </c>
      <c r="J520" t="str">
        <f t="shared" si="17"/>
        <v>SÍ</v>
      </c>
    </row>
    <row r="521" spans="1:10" x14ac:dyDescent="0.3">
      <c r="A521" t="s">
        <v>620</v>
      </c>
      <c r="B521" t="s">
        <v>789</v>
      </c>
      <c r="C521" t="s">
        <v>1112</v>
      </c>
      <c r="D521" s="23">
        <v>46487</v>
      </c>
      <c r="E521" t="s">
        <v>1637</v>
      </c>
      <c r="F521">
        <v>1</v>
      </c>
      <c r="G521" t="s">
        <v>2168</v>
      </c>
      <c r="I521" t="str">
        <f t="shared" si="16"/>
        <v>TC0244PE|SNP-16126-E1</v>
      </c>
      <c r="J521" t="str">
        <f t="shared" si="17"/>
        <v>SÍ</v>
      </c>
    </row>
    <row r="522" spans="1:10" x14ac:dyDescent="0.3">
      <c r="A522" t="s">
        <v>639</v>
      </c>
      <c r="B522" t="s">
        <v>808</v>
      </c>
      <c r="C522" t="s">
        <v>1113</v>
      </c>
      <c r="D522" s="23">
        <v>46562.773634259262</v>
      </c>
      <c r="E522" t="s">
        <v>1637</v>
      </c>
      <c r="F522">
        <v>61</v>
      </c>
      <c r="G522" t="s">
        <v>2176</v>
      </c>
      <c r="I522" t="str">
        <f t="shared" si="16"/>
        <v>TQ0011PE|QBO-15626</v>
      </c>
      <c r="J522" t="str">
        <f t="shared" si="17"/>
        <v>SÍ</v>
      </c>
    </row>
    <row r="523" spans="1:10" x14ac:dyDescent="0.3">
      <c r="A523" t="s">
        <v>640</v>
      </c>
      <c r="B523" t="s">
        <v>809</v>
      </c>
      <c r="C523" t="s">
        <v>1114</v>
      </c>
      <c r="D523" s="23">
        <v>46562.775092592587</v>
      </c>
      <c r="E523" t="s">
        <v>1637</v>
      </c>
      <c r="F523">
        <v>51</v>
      </c>
      <c r="G523" t="s">
        <v>2176</v>
      </c>
      <c r="I523" t="str">
        <f t="shared" si="16"/>
        <v>TQ0019PE|QTO-15626</v>
      </c>
      <c r="J523" t="str">
        <f t="shared" si="17"/>
        <v>SÍ</v>
      </c>
    </row>
    <row r="524" spans="1:10" x14ac:dyDescent="0.3">
      <c r="A524" t="s">
        <v>579</v>
      </c>
      <c r="B524" t="s">
        <v>748</v>
      </c>
      <c r="C524" t="s">
        <v>1115</v>
      </c>
      <c r="D524" s="23">
        <v>46538</v>
      </c>
      <c r="E524" t="s">
        <v>1637</v>
      </c>
      <c r="F524">
        <v>2</v>
      </c>
      <c r="G524" t="s">
        <v>2167</v>
      </c>
      <c r="I524" t="str">
        <f t="shared" si="16"/>
        <v>TQ0035PE|QN-15126-E1</v>
      </c>
      <c r="J524" t="str">
        <f t="shared" si="17"/>
        <v>SÍ</v>
      </c>
    </row>
    <row r="525" spans="1:10" x14ac:dyDescent="0.3">
      <c r="A525" t="s">
        <v>641</v>
      </c>
      <c r="B525" t="s">
        <v>810</v>
      </c>
      <c r="C525" t="s">
        <v>1116</v>
      </c>
      <c r="D525" s="23">
        <v>46518.400555555563</v>
      </c>
      <c r="E525" t="s">
        <v>1637</v>
      </c>
      <c r="F525">
        <v>18</v>
      </c>
      <c r="G525" t="s">
        <v>2167</v>
      </c>
      <c r="I525" t="str">
        <f t="shared" si="16"/>
        <v>TQ0036PE|QP-13626-E10</v>
      </c>
      <c r="J525" t="str">
        <f t="shared" si="17"/>
        <v>SÍ</v>
      </c>
    </row>
    <row r="526" spans="1:10" x14ac:dyDescent="0.3">
      <c r="A526" t="s">
        <v>585</v>
      </c>
      <c r="B526" t="s">
        <v>754</v>
      </c>
      <c r="C526" t="s">
        <v>1117</v>
      </c>
      <c r="D526" s="23">
        <v>46543</v>
      </c>
      <c r="E526" t="s">
        <v>1637</v>
      </c>
      <c r="F526">
        <v>5</v>
      </c>
      <c r="G526" t="s">
        <v>2169</v>
      </c>
      <c r="I526" t="str">
        <f t="shared" si="16"/>
        <v>TQ0037PE|QN-15626-E10</v>
      </c>
      <c r="J526" t="str">
        <f t="shared" si="17"/>
        <v>SÍ</v>
      </c>
    </row>
    <row r="527" spans="1:10" x14ac:dyDescent="0.3">
      <c r="A527" t="s">
        <v>585</v>
      </c>
      <c r="B527" t="s">
        <v>754</v>
      </c>
      <c r="C527" t="s">
        <v>958</v>
      </c>
      <c r="D527" s="23">
        <v>46487.001851851863</v>
      </c>
      <c r="E527" t="s">
        <v>1637</v>
      </c>
      <c r="F527">
        <v>2</v>
      </c>
      <c r="G527" t="s">
        <v>2169</v>
      </c>
      <c r="I527" t="str">
        <f t="shared" si="16"/>
        <v>TQ0037PE|QN-10026-E5</v>
      </c>
      <c r="J527" t="str">
        <f t="shared" si="17"/>
        <v>SÍ</v>
      </c>
    </row>
    <row r="528" spans="1:10" x14ac:dyDescent="0.3">
      <c r="A528" t="s">
        <v>585</v>
      </c>
      <c r="B528" t="s">
        <v>754</v>
      </c>
      <c r="C528" t="s">
        <v>1118</v>
      </c>
      <c r="D528" s="23">
        <v>46487.002384259264</v>
      </c>
      <c r="E528" t="s">
        <v>1637</v>
      </c>
      <c r="F528">
        <v>3</v>
      </c>
      <c r="G528" t="s">
        <v>2169</v>
      </c>
      <c r="I528" t="str">
        <f t="shared" si="16"/>
        <v>TQ0037PE|QN-10026-E10</v>
      </c>
      <c r="J528" t="str">
        <f t="shared" si="17"/>
        <v>SÍ</v>
      </c>
    </row>
    <row r="529" spans="1:10" x14ac:dyDescent="0.3">
      <c r="A529" t="s">
        <v>585</v>
      </c>
      <c r="B529" t="s">
        <v>754</v>
      </c>
      <c r="C529" t="s">
        <v>1119</v>
      </c>
      <c r="D529" s="23">
        <v>46331</v>
      </c>
      <c r="E529" t="s">
        <v>1637</v>
      </c>
      <c r="F529">
        <v>1</v>
      </c>
      <c r="G529" t="s">
        <v>2169</v>
      </c>
      <c r="I529" t="str">
        <f t="shared" si="16"/>
        <v>TQ0037PE|QN-30925</v>
      </c>
      <c r="J529" t="str">
        <f t="shared" si="17"/>
        <v>SÍ</v>
      </c>
    </row>
    <row r="530" spans="1:10" x14ac:dyDescent="0.3">
      <c r="A530" t="s">
        <v>584</v>
      </c>
      <c r="B530" t="s">
        <v>753</v>
      </c>
      <c r="C530" t="s">
        <v>1120</v>
      </c>
      <c r="D530" s="23">
        <v>46579.062418981477</v>
      </c>
      <c r="E530" t="s">
        <v>1637</v>
      </c>
      <c r="F530">
        <v>6</v>
      </c>
      <c r="G530" t="s">
        <v>2169</v>
      </c>
      <c r="I530" t="str">
        <f t="shared" ref="I530:I593" si="18">IF(A530="","",A530&amp;"|"&amp;C530)</f>
        <v>TQ0038PE|QB-19226-E10</v>
      </c>
      <c r="J530" t="str">
        <f t="shared" ref="J530:J593" si="19">IF(A530&lt;&gt;"","SÍ","NO")</f>
        <v>SÍ</v>
      </c>
    </row>
    <row r="531" spans="1:10" x14ac:dyDescent="0.3">
      <c r="A531" t="s">
        <v>625</v>
      </c>
      <c r="B531" t="s">
        <v>794</v>
      </c>
      <c r="C531" t="s">
        <v>1121</v>
      </c>
      <c r="D531" s="23">
        <v>46464.906678240739</v>
      </c>
      <c r="E531" t="s">
        <v>1637</v>
      </c>
      <c r="F531">
        <v>4</v>
      </c>
      <c r="G531" t="s">
        <v>2168</v>
      </c>
      <c r="I531" t="str">
        <f t="shared" si="18"/>
        <v>TTS0002PE|TTJ-14626-E7</v>
      </c>
      <c r="J531" t="str">
        <f t="shared" si="19"/>
        <v>SÍ</v>
      </c>
    </row>
    <row r="532" spans="1:10" x14ac:dyDescent="0.3">
      <c r="A532" t="s">
        <v>642</v>
      </c>
      <c r="B532" t="s">
        <v>811</v>
      </c>
      <c r="C532" t="s">
        <v>1122</v>
      </c>
      <c r="D532" s="23">
        <v>46486.165717592587</v>
      </c>
      <c r="E532" t="s">
        <v>1637</v>
      </c>
      <c r="F532">
        <v>5</v>
      </c>
      <c r="G532" t="s">
        <v>2168</v>
      </c>
      <c r="I532" t="str">
        <f t="shared" si="18"/>
        <v>TTS0004PE|TTB-16026-E4</v>
      </c>
      <c r="J532" t="str">
        <f t="shared" si="19"/>
        <v>SÍ</v>
      </c>
    </row>
    <row r="533" spans="1:10" x14ac:dyDescent="0.3">
      <c r="A533" t="s">
        <v>643</v>
      </c>
      <c r="B533" t="s">
        <v>812</v>
      </c>
      <c r="C533" t="s">
        <v>1123</v>
      </c>
      <c r="D533" s="23">
        <v>46838.107557870368</v>
      </c>
      <c r="E533" t="s">
        <v>1637</v>
      </c>
      <c r="F533">
        <v>0.79979999999999996</v>
      </c>
      <c r="G533" t="s">
        <v>2180</v>
      </c>
      <c r="I533" t="str">
        <f t="shared" si="18"/>
        <v>TP0001PE|PFT-08526-E9</v>
      </c>
      <c r="J533" t="str">
        <f t="shared" si="19"/>
        <v>SÍ</v>
      </c>
    </row>
    <row r="534" spans="1:10" x14ac:dyDescent="0.3">
      <c r="A534" t="s">
        <v>643</v>
      </c>
      <c r="B534" t="s">
        <v>812</v>
      </c>
      <c r="C534" t="s">
        <v>1124</v>
      </c>
      <c r="D534" s="23">
        <v>46462.623298611114</v>
      </c>
      <c r="E534" t="s">
        <v>1637</v>
      </c>
      <c r="F534">
        <v>0.89959999999999996</v>
      </c>
      <c r="G534" t="s">
        <v>2180</v>
      </c>
      <c r="I534" t="str">
        <f t="shared" si="18"/>
        <v>TP0001PE|PFT-08026-E9</v>
      </c>
      <c r="J534" t="str">
        <f t="shared" si="19"/>
        <v>SÍ</v>
      </c>
    </row>
    <row r="535" spans="1:10" x14ac:dyDescent="0.3">
      <c r="A535" t="s">
        <v>468</v>
      </c>
      <c r="B535" t="s">
        <v>469</v>
      </c>
      <c r="C535" t="s">
        <v>470</v>
      </c>
      <c r="D535" s="23">
        <v>46410.554988425924</v>
      </c>
      <c r="E535" t="s">
        <v>10</v>
      </c>
      <c r="F535">
        <v>459.68</v>
      </c>
      <c r="G535" t="s">
        <v>40</v>
      </c>
      <c r="I535" t="str">
        <f t="shared" si="18"/>
        <v>EE10312|LA-10/26</v>
      </c>
      <c r="J535" t="str">
        <f t="shared" si="19"/>
        <v>SÍ</v>
      </c>
    </row>
    <row r="536" spans="1:10" x14ac:dyDescent="0.3">
      <c r="A536" t="s">
        <v>360</v>
      </c>
      <c r="B536" t="s">
        <v>361</v>
      </c>
      <c r="C536" t="s">
        <v>474</v>
      </c>
      <c r="D536" s="23">
        <v>46318.706956018519</v>
      </c>
      <c r="E536" t="s">
        <v>10</v>
      </c>
      <c r="F536">
        <v>2590.6</v>
      </c>
      <c r="G536" t="s">
        <v>40</v>
      </c>
      <c r="I536" t="str">
        <f t="shared" si="18"/>
        <v>MP10002|INFORME 188/26</v>
      </c>
      <c r="J536" t="str">
        <f t="shared" si="19"/>
        <v>SÍ</v>
      </c>
    </row>
    <row r="537" spans="1:10" x14ac:dyDescent="0.3">
      <c r="A537" t="s">
        <v>360</v>
      </c>
      <c r="B537" t="s">
        <v>361</v>
      </c>
      <c r="C537" t="s">
        <v>475</v>
      </c>
      <c r="D537" s="23">
        <v>46290.732789351852</v>
      </c>
      <c r="E537" t="s">
        <v>10</v>
      </c>
      <c r="F537">
        <v>12282</v>
      </c>
      <c r="G537" t="s">
        <v>40</v>
      </c>
      <c r="I537" t="str">
        <f t="shared" si="18"/>
        <v>MP10002|INFORME 189/26</v>
      </c>
      <c r="J537" t="str">
        <f t="shared" si="19"/>
        <v>SÍ</v>
      </c>
    </row>
    <row r="538" spans="1:10" x14ac:dyDescent="0.3">
      <c r="A538" t="s">
        <v>644</v>
      </c>
      <c r="B538" t="s">
        <v>813</v>
      </c>
      <c r="C538" t="s">
        <v>1125</v>
      </c>
      <c r="D538" s="23">
        <v>46517.995486111111</v>
      </c>
      <c r="E538" t="s">
        <v>1637</v>
      </c>
      <c r="F538">
        <v>23</v>
      </c>
      <c r="G538" t="s">
        <v>2170</v>
      </c>
      <c r="I538" t="str">
        <f t="shared" si="18"/>
        <v>BS0003PE|BJ-13526-E4</v>
      </c>
      <c r="J538" t="str">
        <f t="shared" si="19"/>
        <v>SÍ</v>
      </c>
    </row>
    <row r="539" spans="1:10" x14ac:dyDescent="0.3">
      <c r="A539" t="s">
        <v>644</v>
      </c>
      <c r="B539" t="s">
        <v>813</v>
      </c>
      <c r="C539" t="s">
        <v>1126</v>
      </c>
      <c r="D539" s="23">
        <v>46441</v>
      </c>
      <c r="E539" t="s">
        <v>1637</v>
      </c>
      <c r="F539">
        <v>3</v>
      </c>
      <c r="G539" t="s">
        <v>2170</v>
      </c>
      <c r="I539" t="str">
        <f t="shared" si="18"/>
        <v>BS0003PE|BJ-17426-E2</v>
      </c>
      <c r="J539" t="str">
        <f t="shared" si="19"/>
        <v>SÍ</v>
      </c>
    </row>
    <row r="540" spans="1:10" x14ac:dyDescent="0.3">
      <c r="A540" t="s">
        <v>645</v>
      </c>
      <c r="B540" t="s">
        <v>814</v>
      </c>
      <c r="C540" t="s">
        <v>1127</v>
      </c>
      <c r="D540" s="23">
        <v>46158</v>
      </c>
      <c r="E540" t="s">
        <v>1637</v>
      </c>
      <c r="F540">
        <v>194</v>
      </c>
      <c r="G540" t="s">
        <v>2181</v>
      </c>
      <c r="I540" t="str">
        <f t="shared" si="18"/>
        <v>RP0001PE|PFR-13625</v>
      </c>
      <c r="J540" t="str">
        <f t="shared" si="19"/>
        <v>SÍ</v>
      </c>
    </row>
    <row r="541" spans="1:10" x14ac:dyDescent="0.3">
      <c r="A541" t="s">
        <v>645</v>
      </c>
      <c r="B541" t="s">
        <v>814</v>
      </c>
      <c r="C541" t="s">
        <v>1128</v>
      </c>
      <c r="D541" s="23">
        <v>46159</v>
      </c>
      <c r="E541" t="s">
        <v>1637</v>
      </c>
      <c r="F541">
        <v>10</v>
      </c>
      <c r="G541" t="s">
        <v>2181</v>
      </c>
      <c r="I541" t="str">
        <f t="shared" si="18"/>
        <v>RP0001PE|PFR-13725</v>
      </c>
      <c r="J541" t="str">
        <f t="shared" si="19"/>
        <v>SÍ</v>
      </c>
    </row>
    <row r="542" spans="1:10" x14ac:dyDescent="0.3">
      <c r="A542" t="s">
        <v>646</v>
      </c>
      <c r="B542" t="s">
        <v>815</v>
      </c>
      <c r="C542" t="s">
        <v>1129</v>
      </c>
      <c r="D542" s="23">
        <v>46179</v>
      </c>
      <c r="E542" t="s">
        <v>1637</v>
      </c>
      <c r="F542">
        <v>10</v>
      </c>
      <c r="G542" t="s">
        <v>2181</v>
      </c>
      <c r="I542" t="str">
        <f t="shared" si="18"/>
        <v>RP0003PE|PFR-15725</v>
      </c>
      <c r="J542" t="str">
        <f t="shared" si="19"/>
        <v>SÍ</v>
      </c>
    </row>
    <row r="543" spans="1:10" x14ac:dyDescent="0.3">
      <c r="A543" t="s">
        <v>626</v>
      </c>
      <c r="B543" t="s">
        <v>795</v>
      </c>
      <c r="C543" t="s">
        <v>1130</v>
      </c>
      <c r="D543" s="23">
        <v>46443</v>
      </c>
      <c r="E543" t="s">
        <v>1637</v>
      </c>
      <c r="F543">
        <v>2</v>
      </c>
      <c r="G543" t="s">
        <v>2171</v>
      </c>
      <c r="I543" t="str">
        <f t="shared" si="18"/>
        <v>RT0057PE|RN-17626-E5</v>
      </c>
      <c r="J543" t="str">
        <f t="shared" si="19"/>
        <v>SÍ</v>
      </c>
    </row>
    <row r="544" spans="1:10" x14ac:dyDescent="0.3">
      <c r="A544" t="s">
        <v>626</v>
      </c>
      <c r="B544" t="s">
        <v>795</v>
      </c>
      <c r="C544" t="s">
        <v>1131</v>
      </c>
      <c r="D544" s="23">
        <v>46443</v>
      </c>
      <c r="E544" t="s">
        <v>1637</v>
      </c>
      <c r="F544">
        <v>8</v>
      </c>
      <c r="G544" t="s">
        <v>2171</v>
      </c>
      <c r="I544" t="str">
        <f t="shared" si="18"/>
        <v>RT0057PE|RN-17626-E4</v>
      </c>
      <c r="J544" t="str">
        <f t="shared" si="19"/>
        <v>SÍ</v>
      </c>
    </row>
    <row r="545" spans="1:10" x14ac:dyDescent="0.3">
      <c r="A545" t="s">
        <v>626</v>
      </c>
      <c r="B545" t="s">
        <v>795</v>
      </c>
      <c r="C545" t="s">
        <v>1132</v>
      </c>
      <c r="D545" s="23">
        <v>46447</v>
      </c>
      <c r="E545" t="s">
        <v>1637</v>
      </c>
      <c r="F545">
        <v>2</v>
      </c>
      <c r="G545" t="s">
        <v>2171</v>
      </c>
      <c r="I545" t="str">
        <f t="shared" si="18"/>
        <v>RT0057PE|RN-18226-E3</v>
      </c>
      <c r="J545" t="str">
        <f t="shared" si="19"/>
        <v>SÍ</v>
      </c>
    </row>
    <row r="546" spans="1:10" x14ac:dyDescent="0.3">
      <c r="A546" t="s">
        <v>627</v>
      </c>
      <c r="B546" t="s">
        <v>796</v>
      </c>
      <c r="C546" t="s">
        <v>1133</v>
      </c>
      <c r="D546" s="23">
        <v>46447</v>
      </c>
      <c r="E546" t="s">
        <v>1637</v>
      </c>
      <c r="F546">
        <v>61</v>
      </c>
      <c r="G546" t="s">
        <v>2171</v>
      </c>
      <c r="I546" t="str">
        <f t="shared" si="18"/>
        <v>RT0058PE|RT-18226-E3</v>
      </c>
      <c r="J546" t="str">
        <f t="shared" si="19"/>
        <v>SÍ</v>
      </c>
    </row>
    <row r="547" spans="1:10" x14ac:dyDescent="0.3">
      <c r="A547" t="s">
        <v>602</v>
      </c>
      <c r="B547" t="s">
        <v>771</v>
      </c>
      <c r="C547" t="s">
        <v>1134</v>
      </c>
      <c r="D547" s="23">
        <v>46422</v>
      </c>
      <c r="E547" t="s">
        <v>1637</v>
      </c>
      <c r="F547">
        <v>41</v>
      </c>
      <c r="G547" t="s">
        <v>2173</v>
      </c>
      <c r="I547" t="str">
        <f t="shared" si="18"/>
        <v>RT0110PE|RJ-15526-E4</v>
      </c>
      <c r="J547" t="str">
        <f t="shared" si="19"/>
        <v>SÍ</v>
      </c>
    </row>
    <row r="548" spans="1:10" x14ac:dyDescent="0.3">
      <c r="A548" t="s">
        <v>647</v>
      </c>
      <c r="B548" t="s">
        <v>816</v>
      </c>
      <c r="C548" t="s">
        <v>1135</v>
      </c>
      <c r="D548" s="23">
        <v>46447.863182870373</v>
      </c>
      <c r="E548" t="s">
        <v>1637</v>
      </c>
      <c r="F548">
        <v>26</v>
      </c>
      <c r="G548" t="s">
        <v>2173</v>
      </c>
      <c r="I548" t="str">
        <f t="shared" si="18"/>
        <v>RT0114PE|RN-18226-E1</v>
      </c>
      <c r="J548" t="str">
        <f t="shared" si="19"/>
        <v>SÍ</v>
      </c>
    </row>
    <row r="549" spans="1:10" x14ac:dyDescent="0.3">
      <c r="A549" t="s">
        <v>648</v>
      </c>
      <c r="B549" t="s">
        <v>817</v>
      </c>
      <c r="C549" t="s">
        <v>1136</v>
      </c>
      <c r="D549" s="23">
        <v>46448</v>
      </c>
      <c r="E549" t="s">
        <v>1637</v>
      </c>
      <c r="F549">
        <v>15</v>
      </c>
      <c r="G549" t="s">
        <v>2173</v>
      </c>
      <c r="I549" t="str">
        <f t="shared" si="18"/>
        <v>RT0115PE|RP-18326-E1</v>
      </c>
      <c r="J549" t="str">
        <f t="shared" si="19"/>
        <v>SÍ</v>
      </c>
    </row>
    <row r="550" spans="1:10" x14ac:dyDescent="0.3">
      <c r="A550" t="s">
        <v>622</v>
      </c>
      <c r="B550" t="s">
        <v>791</v>
      </c>
      <c r="C550" t="s">
        <v>1137</v>
      </c>
      <c r="D550" s="23">
        <v>46418</v>
      </c>
      <c r="E550" t="s">
        <v>1637</v>
      </c>
      <c r="F550">
        <v>1</v>
      </c>
      <c r="G550" t="s">
        <v>2171</v>
      </c>
      <c r="I550" t="str">
        <f t="shared" si="18"/>
        <v>RT0123PE|RP-15126-E3</v>
      </c>
      <c r="J550" t="str">
        <f t="shared" si="19"/>
        <v>SÍ</v>
      </c>
    </row>
    <row r="551" spans="1:10" x14ac:dyDescent="0.3">
      <c r="A551" t="s">
        <v>622</v>
      </c>
      <c r="B551" t="s">
        <v>791</v>
      </c>
      <c r="C551" t="s">
        <v>1138</v>
      </c>
      <c r="D551" s="23">
        <v>46431.123136574082</v>
      </c>
      <c r="E551" t="s">
        <v>1637</v>
      </c>
      <c r="F551">
        <v>2</v>
      </c>
      <c r="G551" t="s">
        <v>2171</v>
      </c>
      <c r="I551" t="str">
        <f t="shared" si="18"/>
        <v>RT0123PE|RP-16426-E7</v>
      </c>
      <c r="J551" t="str">
        <f t="shared" si="19"/>
        <v>SÍ</v>
      </c>
    </row>
    <row r="552" spans="1:10" x14ac:dyDescent="0.3">
      <c r="A552" t="s">
        <v>622</v>
      </c>
      <c r="B552" t="s">
        <v>791</v>
      </c>
      <c r="C552" t="s">
        <v>1139</v>
      </c>
      <c r="D552" s="23">
        <v>46444</v>
      </c>
      <c r="E552" t="s">
        <v>1637</v>
      </c>
      <c r="F552">
        <v>2</v>
      </c>
      <c r="G552" t="s">
        <v>2171</v>
      </c>
      <c r="I552" t="str">
        <f t="shared" si="18"/>
        <v>RT0123PE|RP-17726-E4</v>
      </c>
      <c r="J552" t="str">
        <f t="shared" si="19"/>
        <v>SÍ</v>
      </c>
    </row>
    <row r="553" spans="1:10" x14ac:dyDescent="0.3">
      <c r="A553" t="s">
        <v>649</v>
      </c>
      <c r="B553" t="s">
        <v>818</v>
      </c>
      <c r="C553" t="s">
        <v>1140</v>
      </c>
      <c r="D553" s="23">
        <v>46564.71398148148</v>
      </c>
      <c r="E553" t="s">
        <v>1637</v>
      </c>
      <c r="F553">
        <v>1</v>
      </c>
      <c r="G553" t="s">
        <v>2176</v>
      </c>
      <c r="I553" t="str">
        <f t="shared" si="18"/>
        <v>TQ0045PE|QB-17726-E1</v>
      </c>
      <c r="J553" t="str">
        <f t="shared" si="19"/>
        <v>SÍ</v>
      </c>
    </row>
    <row r="554" spans="1:10" x14ac:dyDescent="0.3">
      <c r="A554" t="s">
        <v>580</v>
      </c>
      <c r="B554" t="s">
        <v>749</v>
      </c>
      <c r="C554" t="s">
        <v>1141</v>
      </c>
      <c r="D554" s="23">
        <v>46500</v>
      </c>
      <c r="E554" t="s">
        <v>1637</v>
      </c>
      <c r="F554">
        <v>11</v>
      </c>
      <c r="G554" t="s">
        <v>2166</v>
      </c>
      <c r="I554" t="str">
        <f t="shared" si="18"/>
        <v>TC0004PE|SP-17426-E7</v>
      </c>
      <c r="J554" t="str">
        <f t="shared" si="19"/>
        <v>SÍ</v>
      </c>
    </row>
    <row r="555" spans="1:10" x14ac:dyDescent="0.3">
      <c r="A555" t="s">
        <v>582</v>
      </c>
      <c r="B555" t="s">
        <v>751</v>
      </c>
      <c r="C555" t="s">
        <v>1142</v>
      </c>
      <c r="D555" s="23">
        <v>46432.171770833331</v>
      </c>
      <c r="E555" t="s">
        <v>1637</v>
      </c>
      <c r="F555">
        <v>2</v>
      </c>
      <c r="G555" t="s">
        <v>2166</v>
      </c>
      <c r="I555" t="str">
        <f t="shared" si="18"/>
        <v>TC0006PE|SN-10426-E3</v>
      </c>
      <c r="J555" t="str">
        <f t="shared" si="19"/>
        <v>SÍ</v>
      </c>
    </row>
    <row r="556" spans="1:10" x14ac:dyDescent="0.3">
      <c r="A556" t="s">
        <v>582</v>
      </c>
      <c r="B556" t="s">
        <v>751</v>
      </c>
      <c r="C556" t="s">
        <v>1143</v>
      </c>
      <c r="D556" s="23">
        <v>46486</v>
      </c>
      <c r="E556" t="s">
        <v>1637</v>
      </c>
      <c r="F556">
        <v>20</v>
      </c>
      <c r="G556" t="s">
        <v>2166</v>
      </c>
      <c r="I556" t="str">
        <f t="shared" si="18"/>
        <v>TC0006PE|SN-16026-E4</v>
      </c>
      <c r="J556" t="str">
        <f t="shared" si="19"/>
        <v>SÍ</v>
      </c>
    </row>
    <row r="557" spans="1:10" x14ac:dyDescent="0.3">
      <c r="A557" t="s">
        <v>650</v>
      </c>
      <c r="B557" t="s">
        <v>819</v>
      </c>
      <c r="C557" t="s">
        <v>995</v>
      </c>
      <c r="D557" s="23">
        <v>46487.392881944441</v>
      </c>
      <c r="E557" t="s">
        <v>1637</v>
      </c>
      <c r="F557">
        <v>1</v>
      </c>
      <c r="G557" t="s">
        <v>2169</v>
      </c>
      <c r="I557" t="str">
        <f t="shared" si="18"/>
        <v>TC0008BR|SN-16126-E2</v>
      </c>
      <c r="J557" t="str">
        <f t="shared" si="19"/>
        <v>SÍ</v>
      </c>
    </row>
    <row r="558" spans="1:10" x14ac:dyDescent="0.3">
      <c r="A558" t="s">
        <v>618</v>
      </c>
      <c r="B558" t="s">
        <v>787</v>
      </c>
      <c r="C558" t="s">
        <v>1141</v>
      </c>
      <c r="D558" s="23">
        <v>46500</v>
      </c>
      <c r="E558" t="s">
        <v>1637</v>
      </c>
      <c r="F558">
        <v>2</v>
      </c>
      <c r="G558" t="s">
        <v>2166</v>
      </c>
      <c r="I558" t="str">
        <f t="shared" si="18"/>
        <v>TC0028PE|SP-17426-E7</v>
      </c>
      <c r="J558" t="str">
        <f t="shared" si="19"/>
        <v>SÍ</v>
      </c>
    </row>
    <row r="559" spans="1:10" x14ac:dyDescent="0.3">
      <c r="A559" t="s">
        <v>588</v>
      </c>
      <c r="B559" t="s">
        <v>757</v>
      </c>
      <c r="C559" t="s">
        <v>1144</v>
      </c>
      <c r="D559" s="23">
        <v>46479.970416666663</v>
      </c>
      <c r="E559" t="s">
        <v>1637</v>
      </c>
      <c r="F559">
        <v>1</v>
      </c>
      <c r="G559" t="s">
        <v>2169</v>
      </c>
      <c r="I559" t="str">
        <f t="shared" si="18"/>
        <v>TC0086PE|SC-18326-E7</v>
      </c>
      <c r="J559" t="str">
        <f t="shared" si="19"/>
        <v>SÍ</v>
      </c>
    </row>
    <row r="560" spans="1:10" x14ac:dyDescent="0.3">
      <c r="A560" t="s">
        <v>588</v>
      </c>
      <c r="B560" t="s">
        <v>757</v>
      </c>
      <c r="C560" t="s">
        <v>1030</v>
      </c>
      <c r="D560" s="23">
        <v>46510.173136574071</v>
      </c>
      <c r="E560" t="s">
        <v>1637</v>
      </c>
      <c r="F560">
        <v>6</v>
      </c>
      <c r="G560" t="s">
        <v>2169</v>
      </c>
      <c r="I560" t="str">
        <f t="shared" si="18"/>
        <v>TC0086PE|SC-18426-E8</v>
      </c>
      <c r="J560" t="str">
        <f t="shared" si="19"/>
        <v>SÍ</v>
      </c>
    </row>
    <row r="561" spans="1:10" x14ac:dyDescent="0.3">
      <c r="A561" t="s">
        <v>578</v>
      </c>
      <c r="B561" t="s">
        <v>747</v>
      </c>
      <c r="C561" t="s">
        <v>1145</v>
      </c>
      <c r="D561" s="23">
        <v>46440.656574074077</v>
      </c>
      <c r="E561" t="s">
        <v>1637</v>
      </c>
      <c r="F561">
        <v>64</v>
      </c>
      <c r="G561" t="s">
        <v>2168</v>
      </c>
      <c r="I561" t="str">
        <f t="shared" si="18"/>
        <v>TC0091PE|SN-11186-E5</v>
      </c>
      <c r="J561" t="str">
        <f t="shared" si="19"/>
        <v>SÍ</v>
      </c>
    </row>
    <row r="562" spans="1:10" x14ac:dyDescent="0.3">
      <c r="A562" t="s">
        <v>578</v>
      </c>
      <c r="B562" t="s">
        <v>747</v>
      </c>
      <c r="C562" t="s">
        <v>1146</v>
      </c>
      <c r="D562" s="23">
        <v>46502</v>
      </c>
      <c r="E562" t="s">
        <v>1637</v>
      </c>
      <c r="F562">
        <v>15</v>
      </c>
      <c r="G562" t="s">
        <v>2168</v>
      </c>
      <c r="I562" t="str">
        <f t="shared" si="18"/>
        <v>TC0091PE|SN-17626-E8</v>
      </c>
      <c r="J562" t="str">
        <f t="shared" si="19"/>
        <v>SÍ</v>
      </c>
    </row>
    <row r="563" spans="1:10" x14ac:dyDescent="0.3">
      <c r="A563" t="s">
        <v>590</v>
      </c>
      <c r="B563" t="s">
        <v>759</v>
      </c>
      <c r="C563" t="s">
        <v>1147</v>
      </c>
      <c r="D563" s="23">
        <v>46521.194432870368</v>
      </c>
      <c r="E563" t="s">
        <v>1637</v>
      </c>
      <c r="F563">
        <v>40</v>
      </c>
      <c r="G563" t="s">
        <v>2166</v>
      </c>
      <c r="I563" t="str">
        <f t="shared" si="18"/>
        <v>TC0233PE|PJ-16526-E1</v>
      </c>
      <c r="J563" t="str">
        <f t="shared" si="19"/>
        <v>SÍ</v>
      </c>
    </row>
    <row r="564" spans="1:10" x14ac:dyDescent="0.3">
      <c r="A564" t="s">
        <v>590</v>
      </c>
      <c r="B564" t="s">
        <v>759</v>
      </c>
      <c r="C564" t="s">
        <v>1148</v>
      </c>
      <c r="D564" s="23">
        <v>46487.200254629628</v>
      </c>
      <c r="E564" t="s">
        <v>1637</v>
      </c>
      <c r="F564">
        <v>67</v>
      </c>
      <c r="G564" t="s">
        <v>2166</v>
      </c>
      <c r="I564" t="str">
        <f t="shared" si="18"/>
        <v>TC0233PE|PJ-16526-E2</v>
      </c>
      <c r="J564" t="str">
        <f t="shared" si="19"/>
        <v>SÍ</v>
      </c>
    </row>
    <row r="565" spans="1:10" x14ac:dyDescent="0.3">
      <c r="A565" t="s">
        <v>590</v>
      </c>
      <c r="B565" t="s">
        <v>759</v>
      </c>
      <c r="C565" t="s">
        <v>1149</v>
      </c>
      <c r="D565" s="23">
        <v>46521.363541666673</v>
      </c>
      <c r="E565" t="s">
        <v>1637</v>
      </c>
      <c r="F565">
        <v>8</v>
      </c>
      <c r="G565" t="s">
        <v>2166</v>
      </c>
      <c r="I565" t="str">
        <f t="shared" si="18"/>
        <v>TC0233PE|PJ-16526-E3</v>
      </c>
      <c r="J565" t="str">
        <f t="shared" si="19"/>
        <v>SÍ</v>
      </c>
    </row>
    <row r="566" spans="1:10" x14ac:dyDescent="0.3">
      <c r="A566" t="s">
        <v>623</v>
      </c>
      <c r="B566" t="s">
        <v>792</v>
      </c>
      <c r="C566" t="s">
        <v>1150</v>
      </c>
      <c r="D566" s="23">
        <v>46472</v>
      </c>
      <c r="E566" t="s">
        <v>1637</v>
      </c>
      <c r="F566">
        <v>1</v>
      </c>
      <c r="G566" t="s">
        <v>2177</v>
      </c>
      <c r="I566" t="str">
        <f t="shared" si="18"/>
        <v>TC0246PE|SN-14626-E7</v>
      </c>
      <c r="J566" t="str">
        <f t="shared" si="19"/>
        <v>SÍ</v>
      </c>
    </row>
    <row r="567" spans="1:10" x14ac:dyDescent="0.3">
      <c r="A567" t="s">
        <v>651</v>
      </c>
      <c r="B567" t="s">
        <v>820</v>
      </c>
      <c r="C567" t="s">
        <v>1151</v>
      </c>
      <c r="D567" s="23">
        <v>46274.591516203713</v>
      </c>
      <c r="E567" t="s">
        <v>1637</v>
      </c>
      <c r="F567">
        <v>1</v>
      </c>
      <c r="G567" t="s">
        <v>2170</v>
      </c>
      <c r="I567" t="str">
        <f t="shared" si="18"/>
        <v>JS0001PE|JB-00926-E4T1</v>
      </c>
      <c r="J567" t="str">
        <f t="shared" si="19"/>
        <v>SÍ</v>
      </c>
    </row>
    <row r="568" spans="1:10" x14ac:dyDescent="0.3">
      <c r="A568" t="s">
        <v>652</v>
      </c>
      <c r="B568" t="s">
        <v>821</v>
      </c>
      <c r="C568" t="s">
        <v>1152</v>
      </c>
      <c r="D568" s="23">
        <v>46275.193148148152</v>
      </c>
      <c r="E568" t="s">
        <v>1637</v>
      </c>
      <c r="F568">
        <v>1</v>
      </c>
      <c r="G568" t="s">
        <v>2170</v>
      </c>
      <c r="I568" t="str">
        <f t="shared" si="18"/>
        <v>JS0002PE|JJ-01026-E5</v>
      </c>
      <c r="J568" t="str">
        <f t="shared" si="19"/>
        <v>SÍ</v>
      </c>
    </row>
    <row r="569" spans="1:10" x14ac:dyDescent="0.3">
      <c r="A569" t="s">
        <v>653</v>
      </c>
      <c r="B569" t="s">
        <v>822</v>
      </c>
      <c r="C569" t="s">
        <v>1153</v>
      </c>
      <c r="D569" s="23">
        <v>46257</v>
      </c>
      <c r="E569" t="s">
        <v>1637</v>
      </c>
      <c r="F569">
        <v>1</v>
      </c>
      <c r="G569" t="s">
        <v>2170</v>
      </c>
      <c r="I569" t="str">
        <f t="shared" si="18"/>
        <v>JS0003PE|JP-35725</v>
      </c>
      <c r="J569" t="str">
        <f t="shared" si="19"/>
        <v>SÍ</v>
      </c>
    </row>
    <row r="570" spans="1:10" x14ac:dyDescent="0.3">
      <c r="A570" t="s">
        <v>629</v>
      </c>
      <c r="B570" t="s">
        <v>798</v>
      </c>
      <c r="C570" t="s">
        <v>1154</v>
      </c>
      <c r="D570" s="23">
        <v>46318.199143518519</v>
      </c>
      <c r="E570" t="s">
        <v>1637</v>
      </c>
      <c r="F570">
        <v>1</v>
      </c>
      <c r="G570" t="s">
        <v>2174</v>
      </c>
      <c r="I570" t="str">
        <f t="shared" si="18"/>
        <v>TC0116PE|DUO-07626-VAR11</v>
      </c>
      <c r="J570" t="str">
        <f t="shared" si="19"/>
        <v>SÍ</v>
      </c>
    </row>
    <row r="571" spans="1:10" x14ac:dyDescent="0.3">
      <c r="A571" t="s">
        <v>592</v>
      </c>
      <c r="B571" t="s">
        <v>761</v>
      </c>
      <c r="C571" t="s">
        <v>952</v>
      </c>
      <c r="D571" s="23">
        <v>46353.952430555553</v>
      </c>
      <c r="E571" t="s">
        <v>1637</v>
      </c>
      <c r="F571">
        <v>17</v>
      </c>
      <c r="G571" t="s">
        <v>2168</v>
      </c>
      <c r="I571" t="str">
        <f t="shared" si="18"/>
        <v>TC0113PE|SP-03126-E7</v>
      </c>
      <c r="J571" t="str">
        <f t="shared" si="19"/>
        <v>SÍ</v>
      </c>
    </row>
    <row r="572" spans="1:10" x14ac:dyDescent="0.3">
      <c r="A572" t="s">
        <v>574</v>
      </c>
      <c r="B572" t="s">
        <v>743</v>
      </c>
      <c r="C572" t="s">
        <v>913</v>
      </c>
      <c r="D572" s="23">
        <v>46191.233391203707</v>
      </c>
      <c r="E572" t="s">
        <v>1637</v>
      </c>
      <c r="F572">
        <v>6</v>
      </c>
      <c r="G572" t="s">
        <v>2166</v>
      </c>
      <c r="I572" t="str">
        <f t="shared" si="18"/>
        <v>TC0054PE|SP-23325</v>
      </c>
      <c r="J572" t="str">
        <f t="shared" si="19"/>
        <v>SÍ</v>
      </c>
    </row>
    <row r="573" spans="1:10" x14ac:dyDescent="0.3">
      <c r="A573" t="s">
        <v>654</v>
      </c>
      <c r="B573" t="s">
        <v>823</v>
      </c>
      <c r="C573" t="s">
        <v>1155</v>
      </c>
      <c r="D573" s="23">
        <v>46247.182384259257</v>
      </c>
      <c r="E573" t="s">
        <v>1637</v>
      </c>
      <c r="F573">
        <v>66</v>
      </c>
      <c r="G573" t="s">
        <v>2171</v>
      </c>
      <c r="I573" t="str">
        <f t="shared" si="18"/>
        <v>RT0071PE|RB-34725</v>
      </c>
      <c r="J573" t="str">
        <f t="shared" si="19"/>
        <v>SÍ</v>
      </c>
    </row>
    <row r="574" spans="1:10" x14ac:dyDescent="0.3">
      <c r="A574" t="s">
        <v>612</v>
      </c>
      <c r="B574" t="s">
        <v>781</v>
      </c>
      <c r="C574" t="s">
        <v>1156</v>
      </c>
      <c r="D574" s="23">
        <v>46442</v>
      </c>
      <c r="E574" t="s">
        <v>1637</v>
      </c>
      <c r="F574">
        <v>3</v>
      </c>
      <c r="G574" t="s">
        <v>2171</v>
      </c>
      <c r="I574" t="str">
        <f t="shared" si="18"/>
        <v>RT0131PE|RP-17526-E2</v>
      </c>
      <c r="J574" t="str">
        <f t="shared" si="19"/>
        <v>SÍ</v>
      </c>
    </row>
    <row r="575" spans="1:10" x14ac:dyDescent="0.3">
      <c r="A575" t="s">
        <v>655</v>
      </c>
      <c r="B575" t="s">
        <v>824</v>
      </c>
      <c r="C575" t="s">
        <v>1157</v>
      </c>
      <c r="D575" s="23">
        <v>46313.154768518521</v>
      </c>
      <c r="E575" t="s">
        <v>1637</v>
      </c>
      <c r="F575">
        <v>1</v>
      </c>
      <c r="G575" t="s">
        <v>2171</v>
      </c>
      <c r="I575" t="str">
        <f t="shared" si="18"/>
        <v>RT0080MX|RO-28825</v>
      </c>
      <c r="J575" t="str">
        <f t="shared" si="19"/>
        <v>SÍ</v>
      </c>
    </row>
    <row r="576" spans="1:10" x14ac:dyDescent="0.3">
      <c r="A576" t="s">
        <v>581</v>
      </c>
      <c r="B576" t="s">
        <v>750</v>
      </c>
      <c r="C576" t="s">
        <v>1158</v>
      </c>
      <c r="D576" s="23">
        <v>46427.472326388888</v>
      </c>
      <c r="E576" t="s">
        <v>1637</v>
      </c>
      <c r="F576">
        <v>1</v>
      </c>
      <c r="G576" t="s">
        <v>2168</v>
      </c>
      <c r="I576" t="str">
        <f t="shared" si="18"/>
        <v>TC0008MX|PJ-04226-E3</v>
      </c>
      <c r="J576" t="str">
        <f t="shared" si="19"/>
        <v>SÍ</v>
      </c>
    </row>
    <row r="577" spans="1:10" x14ac:dyDescent="0.3">
      <c r="A577" t="s">
        <v>581</v>
      </c>
      <c r="B577" t="s">
        <v>750</v>
      </c>
      <c r="C577" t="s">
        <v>1159</v>
      </c>
      <c r="D577" s="23">
        <v>46427.472557870373</v>
      </c>
      <c r="E577" t="s">
        <v>1637</v>
      </c>
      <c r="F577">
        <v>2</v>
      </c>
      <c r="G577" t="s">
        <v>2168</v>
      </c>
      <c r="I577" t="str">
        <f t="shared" si="18"/>
        <v>TC0008MX|PJ-04226-E4</v>
      </c>
      <c r="J577" t="str">
        <f t="shared" si="19"/>
        <v>SÍ</v>
      </c>
    </row>
    <row r="578" spans="1:10" x14ac:dyDescent="0.3">
      <c r="A578" t="s">
        <v>656</v>
      </c>
      <c r="B578" t="s">
        <v>825</v>
      </c>
      <c r="C578" t="s">
        <v>1160</v>
      </c>
      <c r="D578" s="23">
        <v>46343.633877314824</v>
      </c>
      <c r="E578" t="s">
        <v>1637</v>
      </c>
      <c r="F578">
        <v>1</v>
      </c>
      <c r="G578" t="s">
        <v>2168</v>
      </c>
      <c r="I578" t="str">
        <f t="shared" si="18"/>
        <v>TC0224US|LP-01726-E2</v>
      </c>
      <c r="J578" t="str">
        <f t="shared" si="19"/>
        <v>SÍ</v>
      </c>
    </row>
    <row r="579" spans="1:10" x14ac:dyDescent="0.3">
      <c r="A579" t="s">
        <v>581</v>
      </c>
      <c r="B579" t="s">
        <v>750</v>
      </c>
      <c r="C579" t="s">
        <v>1161</v>
      </c>
      <c r="D579" s="23">
        <v>46529.455011574071</v>
      </c>
      <c r="E579" t="s">
        <v>1637</v>
      </c>
      <c r="F579">
        <v>2</v>
      </c>
      <c r="G579" t="s">
        <v>2168</v>
      </c>
      <c r="I579" t="str">
        <f t="shared" si="18"/>
        <v>TC0008MX|PJ-14726-E7</v>
      </c>
      <c r="J579" t="str">
        <f t="shared" si="19"/>
        <v>SÍ</v>
      </c>
    </row>
    <row r="580" spans="1:10" x14ac:dyDescent="0.3">
      <c r="A580" t="s">
        <v>657</v>
      </c>
      <c r="B580" t="s">
        <v>826</v>
      </c>
      <c r="C580" t="s">
        <v>1162</v>
      </c>
      <c r="D580" s="23">
        <v>46495.464548611111</v>
      </c>
      <c r="E580" t="s">
        <v>1637</v>
      </c>
      <c r="F580">
        <v>2</v>
      </c>
      <c r="G580" t="s">
        <v>2169</v>
      </c>
      <c r="I580" t="str">
        <f t="shared" si="18"/>
        <v>TC0011BR|SC-16926-E8</v>
      </c>
      <c r="J580" t="str">
        <f t="shared" si="19"/>
        <v>SÍ</v>
      </c>
    </row>
    <row r="581" spans="1:10" x14ac:dyDescent="0.3">
      <c r="A581" t="s">
        <v>658</v>
      </c>
      <c r="B581" t="s">
        <v>827</v>
      </c>
      <c r="C581" t="s">
        <v>993</v>
      </c>
      <c r="D581" s="23">
        <v>46467</v>
      </c>
      <c r="E581" t="s">
        <v>1637</v>
      </c>
      <c r="F581">
        <v>1</v>
      </c>
      <c r="G581" t="s">
        <v>2168</v>
      </c>
      <c r="I581" t="str">
        <f t="shared" si="18"/>
        <v>TC0091US|SN-14126-E7</v>
      </c>
      <c r="J581" t="str">
        <f t="shared" si="19"/>
        <v>SÍ</v>
      </c>
    </row>
    <row r="582" spans="1:10" x14ac:dyDescent="0.3">
      <c r="A582" t="s">
        <v>659</v>
      </c>
      <c r="B582" t="s">
        <v>828</v>
      </c>
      <c r="C582" t="s">
        <v>984</v>
      </c>
      <c r="D582" s="23">
        <v>46519.360972222217</v>
      </c>
      <c r="E582" t="s">
        <v>1637</v>
      </c>
      <c r="F582">
        <v>1</v>
      </c>
      <c r="G582" t="s">
        <v>2169</v>
      </c>
      <c r="I582" t="str">
        <f t="shared" si="18"/>
        <v>TC0082US|SN-13926-E8</v>
      </c>
      <c r="J582" t="str">
        <f t="shared" si="19"/>
        <v>SÍ</v>
      </c>
    </row>
    <row r="583" spans="1:10" x14ac:dyDescent="0.3">
      <c r="A583" t="s">
        <v>581</v>
      </c>
      <c r="B583" t="s">
        <v>750</v>
      </c>
      <c r="C583" t="s">
        <v>936</v>
      </c>
      <c r="D583" s="23">
        <v>46429.874675925923</v>
      </c>
      <c r="E583" t="s">
        <v>1637</v>
      </c>
      <c r="F583">
        <v>1</v>
      </c>
      <c r="G583" t="s">
        <v>2168</v>
      </c>
      <c r="I583" t="str">
        <f t="shared" si="18"/>
        <v>TC0008MX|PJ-07026-E4</v>
      </c>
      <c r="J583" t="str">
        <f t="shared" si="19"/>
        <v>SÍ</v>
      </c>
    </row>
    <row r="584" spans="1:10" x14ac:dyDescent="0.3">
      <c r="A584" t="s">
        <v>576</v>
      </c>
      <c r="B584" t="s">
        <v>745</v>
      </c>
      <c r="C584" t="s">
        <v>993</v>
      </c>
      <c r="D584" s="23">
        <v>46467</v>
      </c>
      <c r="E584" t="s">
        <v>1637</v>
      </c>
      <c r="F584">
        <v>2</v>
      </c>
      <c r="G584" t="s">
        <v>2167</v>
      </c>
      <c r="I584" t="str">
        <f t="shared" si="18"/>
        <v>TC0003MX|SN-14126-E7</v>
      </c>
      <c r="J584" t="str">
        <f t="shared" si="19"/>
        <v>SÍ</v>
      </c>
    </row>
    <row r="585" spans="1:10" x14ac:dyDescent="0.3">
      <c r="A585" t="s">
        <v>660</v>
      </c>
      <c r="B585" t="s">
        <v>829</v>
      </c>
      <c r="C585" t="s">
        <v>1163</v>
      </c>
      <c r="D585" s="23">
        <v>46469</v>
      </c>
      <c r="E585" t="s">
        <v>1637</v>
      </c>
      <c r="F585">
        <v>1</v>
      </c>
      <c r="G585" t="s">
        <v>2167</v>
      </c>
      <c r="I585" t="str">
        <f t="shared" si="18"/>
        <v>TC0001MX|SA-14326-E7</v>
      </c>
      <c r="J585" t="str">
        <f t="shared" si="19"/>
        <v>SÍ</v>
      </c>
    </row>
    <row r="586" spans="1:10" x14ac:dyDescent="0.3">
      <c r="A586" t="s">
        <v>626</v>
      </c>
      <c r="B586" t="s">
        <v>795</v>
      </c>
      <c r="C586" t="s">
        <v>1164</v>
      </c>
      <c r="D586" s="23">
        <v>46437</v>
      </c>
      <c r="E586" t="s">
        <v>1637</v>
      </c>
      <c r="F586">
        <v>4</v>
      </c>
      <c r="G586" t="s">
        <v>2171</v>
      </c>
      <c r="I586" t="str">
        <f t="shared" si="18"/>
        <v>RT0057PE|RN-17026-E4</v>
      </c>
      <c r="J586" t="str">
        <f t="shared" si="19"/>
        <v>SÍ</v>
      </c>
    </row>
    <row r="587" spans="1:10" x14ac:dyDescent="0.3">
      <c r="A587" t="s">
        <v>626</v>
      </c>
      <c r="B587" t="s">
        <v>795</v>
      </c>
      <c r="C587" t="s">
        <v>1165</v>
      </c>
      <c r="D587" s="23">
        <v>46435</v>
      </c>
      <c r="E587" t="s">
        <v>1637</v>
      </c>
      <c r="F587">
        <v>3</v>
      </c>
      <c r="G587" t="s">
        <v>2171</v>
      </c>
      <c r="I587" t="str">
        <f t="shared" si="18"/>
        <v>RT0057PE|RN-16826-E5</v>
      </c>
      <c r="J587" t="str">
        <f t="shared" si="19"/>
        <v>SÍ</v>
      </c>
    </row>
    <row r="588" spans="1:10" x14ac:dyDescent="0.3">
      <c r="A588" t="s">
        <v>661</v>
      </c>
      <c r="B588" t="s">
        <v>830</v>
      </c>
      <c r="C588" t="s">
        <v>1166</v>
      </c>
      <c r="D588" s="23">
        <v>46163.631099537037</v>
      </c>
      <c r="E588" t="s">
        <v>1637</v>
      </c>
      <c r="F588">
        <v>17</v>
      </c>
      <c r="G588" t="s">
        <v>2182</v>
      </c>
      <c r="I588" t="str">
        <f t="shared" si="18"/>
        <v>UK0001PE|100</v>
      </c>
      <c r="J588" t="str">
        <f t="shared" si="19"/>
        <v>SÍ</v>
      </c>
    </row>
    <row r="589" spans="1:10" x14ac:dyDescent="0.3">
      <c r="A589" t="s">
        <v>632</v>
      </c>
      <c r="B589" t="s">
        <v>801</v>
      </c>
      <c r="C589" t="s">
        <v>1167</v>
      </c>
      <c r="D589" s="23">
        <v>46486.999780092592</v>
      </c>
      <c r="E589" t="s">
        <v>1637</v>
      </c>
      <c r="F589">
        <v>5</v>
      </c>
      <c r="G589" t="s">
        <v>2179</v>
      </c>
      <c r="I589" t="str">
        <f t="shared" si="18"/>
        <v>CT0008PE|LT-102</v>
      </c>
      <c r="J589" t="str">
        <f t="shared" si="19"/>
        <v>SÍ</v>
      </c>
    </row>
    <row r="590" spans="1:10" x14ac:dyDescent="0.3">
      <c r="A590" t="s">
        <v>662</v>
      </c>
      <c r="B590" t="s">
        <v>831</v>
      </c>
      <c r="C590" t="s">
        <v>1110</v>
      </c>
      <c r="D590" s="23">
        <v>46470.366215277783</v>
      </c>
      <c r="E590" t="s">
        <v>1637</v>
      </c>
      <c r="F590">
        <v>2</v>
      </c>
      <c r="G590" t="s">
        <v>2168</v>
      </c>
      <c r="I590" t="str">
        <f t="shared" si="18"/>
        <v>TC0009MX|LP-14826-E8</v>
      </c>
      <c r="J590" t="str">
        <f t="shared" si="19"/>
        <v>SÍ</v>
      </c>
    </row>
    <row r="591" spans="1:10" x14ac:dyDescent="0.3">
      <c r="A591" t="s">
        <v>662</v>
      </c>
      <c r="B591" t="s">
        <v>831</v>
      </c>
      <c r="C591" t="s">
        <v>1168</v>
      </c>
      <c r="D591" s="23">
        <v>46424.326828703714</v>
      </c>
      <c r="E591" t="s">
        <v>1637</v>
      </c>
      <c r="F591">
        <v>1</v>
      </c>
      <c r="G591" t="s">
        <v>2168</v>
      </c>
      <c r="I591" t="str">
        <f t="shared" si="18"/>
        <v>TC0009MX|LP-07026-E2</v>
      </c>
      <c r="J591" t="str">
        <f t="shared" si="19"/>
        <v>SÍ</v>
      </c>
    </row>
    <row r="592" spans="1:10" x14ac:dyDescent="0.3">
      <c r="A592" t="s">
        <v>626</v>
      </c>
      <c r="B592" t="s">
        <v>795</v>
      </c>
      <c r="C592" t="s">
        <v>1169</v>
      </c>
      <c r="D592" s="23">
        <v>46435</v>
      </c>
      <c r="E592" t="s">
        <v>1637</v>
      </c>
      <c r="F592">
        <v>1</v>
      </c>
      <c r="G592" t="s">
        <v>2171</v>
      </c>
      <c r="I592" t="str">
        <f t="shared" si="18"/>
        <v>RT0057PE|RN-16826-E2</v>
      </c>
      <c r="J592" t="str">
        <f t="shared" si="19"/>
        <v>SÍ</v>
      </c>
    </row>
    <row r="593" spans="1:10" x14ac:dyDescent="0.3">
      <c r="A593" t="s">
        <v>576</v>
      </c>
      <c r="B593" t="s">
        <v>745</v>
      </c>
      <c r="C593" t="s">
        <v>1170</v>
      </c>
      <c r="D593" s="23">
        <v>46392.780347222222</v>
      </c>
      <c r="E593" t="s">
        <v>1637</v>
      </c>
      <c r="F593">
        <v>1</v>
      </c>
      <c r="G593" t="s">
        <v>2167</v>
      </c>
      <c r="I593" t="str">
        <f t="shared" si="18"/>
        <v>TC0003MX|SN-06926-E4</v>
      </c>
      <c r="J593" t="str">
        <f t="shared" si="19"/>
        <v>SÍ</v>
      </c>
    </row>
    <row r="594" spans="1:10" x14ac:dyDescent="0.3">
      <c r="A594" t="s">
        <v>626</v>
      </c>
      <c r="B594" t="s">
        <v>795</v>
      </c>
      <c r="C594" t="s">
        <v>1171</v>
      </c>
      <c r="D594" s="23">
        <v>46436</v>
      </c>
      <c r="E594" t="s">
        <v>1637</v>
      </c>
      <c r="F594">
        <v>8</v>
      </c>
      <c r="G594" t="s">
        <v>2171</v>
      </c>
      <c r="I594" t="str">
        <f t="shared" ref="I594:I657" si="20">IF(A594="","",A594&amp;"|"&amp;C594)</f>
        <v>RT0057PE|RN-16926-E5</v>
      </c>
      <c r="J594" t="str">
        <f t="shared" ref="J594:J657" si="21">IF(A594&lt;&gt;"","SÍ","NO")</f>
        <v>SÍ</v>
      </c>
    </row>
    <row r="595" spans="1:10" x14ac:dyDescent="0.3">
      <c r="A595" t="s">
        <v>626</v>
      </c>
      <c r="B595" t="s">
        <v>795</v>
      </c>
      <c r="C595" t="s">
        <v>1172</v>
      </c>
      <c r="D595" s="23">
        <v>46436</v>
      </c>
      <c r="E595" t="s">
        <v>1637</v>
      </c>
      <c r="F595">
        <v>20</v>
      </c>
      <c r="G595" t="s">
        <v>2171</v>
      </c>
      <c r="I595" t="str">
        <f t="shared" si="20"/>
        <v>RT0057PE|RN-16926-E3</v>
      </c>
      <c r="J595" t="str">
        <f t="shared" si="21"/>
        <v>SÍ</v>
      </c>
    </row>
    <row r="596" spans="1:10" x14ac:dyDescent="0.3">
      <c r="A596" t="s">
        <v>626</v>
      </c>
      <c r="B596" t="s">
        <v>795</v>
      </c>
      <c r="C596" t="s">
        <v>1173</v>
      </c>
      <c r="D596" s="23">
        <v>46396.501643518517</v>
      </c>
      <c r="E596" t="s">
        <v>1637</v>
      </c>
      <c r="F596">
        <v>3</v>
      </c>
      <c r="G596" t="s">
        <v>2171</v>
      </c>
      <c r="I596" t="str">
        <f t="shared" si="20"/>
        <v>RT0057PE|RN-13426-E8</v>
      </c>
      <c r="J596" t="str">
        <f t="shared" si="21"/>
        <v>SÍ</v>
      </c>
    </row>
    <row r="597" spans="1:10" x14ac:dyDescent="0.3">
      <c r="A597" t="s">
        <v>626</v>
      </c>
      <c r="B597" t="s">
        <v>795</v>
      </c>
      <c r="C597" t="s">
        <v>1174</v>
      </c>
      <c r="D597" s="23">
        <v>46422.175254629627</v>
      </c>
      <c r="E597" t="s">
        <v>1637</v>
      </c>
      <c r="F597">
        <v>1</v>
      </c>
      <c r="G597" t="s">
        <v>2171</v>
      </c>
      <c r="I597" t="str">
        <f t="shared" si="20"/>
        <v>RT0057PE|RN-15526-E2</v>
      </c>
      <c r="J597" t="str">
        <f t="shared" si="21"/>
        <v>SÍ</v>
      </c>
    </row>
    <row r="598" spans="1:10" x14ac:dyDescent="0.3">
      <c r="A598" t="s">
        <v>626</v>
      </c>
      <c r="B598" t="s">
        <v>795</v>
      </c>
      <c r="C598" t="s">
        <v>1175</v>
      </c>
      <c r="D598" s="23">
        <v>46421.9294212963</v>
      </c>
      <c r="E598" t="s">
        <v>1637</v>
      </c>
      <c r="F598">
        <v>3</v>
      </c>
      <c r="G598" t="s">
        <v>2171</v>
      </c>
      <c r="I598" t="str">
        <f t="shared" si="20"/>
        <v>RT0057PE|RN-15426-E2</v>
      </c>
      <c r="J598" t="str">
        <f t="shared" si="21"/>
        <v>SÍ</v>
      </c>
    </row>
    <row r="599" spans="1:10" x14ac:dyDescent="0.3">
      <c r="A599" t="s">
        <v>626</v>
      </c>
      <c r="B599" t="s">
        <v>795</v>
      </c>
      <c r="C599" t="s">
        <v>1176</v>
      </c>
      <c r="D599" s="23">
        <v>46436</v>
      </c>
      <c r="E599" t="s">
        <v>1637</v>
      </c>
      <c r="F599">
        <v>60</v>
      </c>
      <c r="G599" t="s">
        <v>2171</v>
      </c>
      <c r="I599" t="str">
        <f t="shared" si="20"/>
        <v>RT0057PE|RN-16926-E4</v>
      </c>
      <c r="J599" t="str">
        <f t="shared" si="21"/>
        <v>SÍ</v>
      </c>
    </row>
    <row r="600" spans="1:10" x14ac:dyDescent="0.3">
      <c r="A600" t="s">
        <v>626</v>
      </c>
      <c r="B600" t="s">
        <v>795</v>
      </c>
      <c r="C600" t="s">
        <v>1177</v>
      </c>
      <c r="D600" s="23">
        <v>46436</v>
      </c>
      <c r="E600" t="s">
        <v>1637</v>
      </c>
      <c r="F600">
        <v>10</v>
      </c>
      <c r="G600" t="s">
        <v>2171</v>
      </c>
      <c r="I600" t="str">
        <f t="shared" si="20"/>
        <v>RT0057PE|RN-16926-E2</v>
      </c>
      <c r="J600" t="str">
        <f t="shared" si="21"/>
        <v>SÍ</v>
      </c>
    </row>
    <row r="601" spans="1:10" x14ac:dyDescent="0.3">
      <c r="A601" t="s">
        <v>635</v>
      </c>
      <c r="B601" t="s">
        <v>804</v>
      </c>
      <c r="C601" t="s">
        <v>1178</v>
      </c>
      <c r="D601" s="23">
        <v>46321.132581018523</v>
      </c>
      <c r="E601" t="s">
        <v>1637</v>
      </c>
      <c r="F601">
        <v>18</v>
      </c>
      <c r="G601" t="s">
        <v>2169</v>
      </c>
      <c r="I601" t="str">
        <f t="shared" si="20"/>
        <v>RT0095PE|RJ-05726-E5</v>
      </c>
      <c r="J601" t="str">
        <f t="shared" si="21"/>
        <v>SÍ</v>
      </c>
    </row>
    <row r="602" spans="1:10" x14ac:dyDescent="0.3">
      <c r="A602" t="s">
        <v>635</v>
      </c>
      <c r="B602" t="s">
        <v>804</v>
      </c>
      <c r="C602" t="s">
        <v>1179</v>
      </c>
      <c r="D602" s="23">
        <v>46334.843425925923</v>
      </c>
      <c r="E602" t="s">
        <v>1637</v>
      </c>
      <c r="F602">
        <v>33</v>
      </c>
      <c r="G602" t="s">
        <v>2169</v>
      </c>
      <c r="I602" t="str">
        <f t="shared" si="20"/>
        <v>RT0095PE|RJ-06726-E4</v>
      </c>
      <c r="J602" t="str">
        <f t="shared" si="21"/>
        <v>SÍ</v>
      </c>
    </row>
    <row r="603" spans="1:10" x14ac:dyDescent="0.3">
      <c r="A603" t="s">
        <v>641</v>
      </c>
      <c r="B603" t="s">
        <v>810</v>
      </c>
      <c r="C603" t="s">
        <v>1180</v>
      </c>
      <c r="D603" s="23">
        <v>46257</v>
      </c>
      <c r="E603" t="s">
        <v>1637</v>
      </c>
      <c r="F603">
        <v>2</v>
      </c>
      <c r="G603" t="s">
        <v>2167</v>
      </c>
      <c r="I603" t="str">
        <f t="shared" si="20"/>
        <v>TQ0036PE|QP-23525</v>
      </c>
      <c r="J603" t="str">
        <f t="shared" si="21"/>
        <v>SÍ</v>
      </c>
    </row>
    <row r="604" spans="1:10" x14ac:dyDescent="0.3">
      <c r="A604" t="s">
        <v>573</v>
      </c>
      <c r="B604" t="s">
        <v>742</v>
      </c>
      <c r="C604" t="s">
        <v>996</v>
      </c>
      <c r="D604" s="23">
        <v>46264.58011574074</v>
      </c>
      <c r="E604" t="s">
        <v>1637</v>
      </c>
      <c r="F604">
        <v>31</v>
      </c>
      <c r="G604" t="s">
        <v>2166</v>
      </c>
      <c r="I604" t="str">
        <f t="shared" si="20"/>
        <v>TC0103PE|SP-30525</v>
      </c>
      <c r="J604" t="str">
        <f t="shared" si="21"/>
        <v>SÍ</v>
      </c>
    </row>
    <row r="605" spans="1:10" x14ac:dyDescent="0.3">
      <c r="A605" t="s">
        <v>663</v>
      </c>
      <c r="B605" t="s">
        <v>832</v>
      </c>
      <c r="C605" t="s">
        <v>1181</v>
      </c>
      <c r="D605" s="23">
        <v>46257</v>
      </c>
      <c r="E605" t="s">
        <v>1637</v>
      </c>
      <c r="F605">
        <v>1</v>
      </c>
      <c r="G605" t="s">
        <v>2170</v>
      </c>
      <c r="I605" t="str">
        <f t="shared" si="20"/>
        <v>BS0001PE|BN-35725</v>
      </c>
      <c r="J605" t="str">
        <f t="shared" si="21"/>
        <v>SÍ</v>
      </c>
    </row>
    <row r="606" spans="1:10" x14ac:dyDescent="0.3">
      <c r="A606" t="s">
        <v>644</v>
      </c>
      <c r="B606" t="s">
        <v>813</v>
      </c>
      <c r="C606" t="s">
        <v>1182</v>
      </c>
      <c r="D606" s="23">
        <v>46287.424062500002</v>
      </c>
      <c r="E606" t="s">
        <v>1637</v>
      </c>
      <c r="F606">
        <v>17</v>
      </c>
      <c r="G606" t="s">
        <v>2170</v>
      </c>
      <c r="I606" t="str">
        <f t="shared" si="20"/>
        <v>BS0003PE|BJ-02226-E5</v>
      </c>
      <c r="J606" t="str">
        <f t="shared" si="21"/>
        <v>SÍ</v>
      </c>
    </row>
    <row r="607" spans="1:10" x14ac:dyDescent="0.3">
      <c r="A607" t="s">
        <v>644</v>
      </c>
      <c r="B607" t="s">
        <v>813</v>
      </c>
      <c r="C607" t="s">
        <v>1183</v>
      </c>
      <c r="D607" s="23">
        <v>46306.197789351849</v>
      </c>
      <c r="E607" t="s">
        <v>1637</v>
      </c>
      <c r="F607">
        <v>1</v>
      </c>
      <c r="G607" t="s">
        <v>2170</v>
      </c>
      <c r="I607" t="str">
        <f t="shared" si="20"/>
        <v>BS0003PE|BJ-04226-E4</v>
      </c>
      <c r="J607" t="str">
        <f t="shared" si="21"/>
        <v>SÍ</v>
      </c>
    </row>
    <row r="608" spans="1:10" x14ac:dyDescent="0.3">
      <c r="A608" t="s">
        <v>644</v>
      </c>
      <c r="B608" t="s">
        <v>813</v>
      </c>
      <c r="C608" t="s">
        <v>1184</v>
      </c>
      <c r="D608" s="23">
        <v>46365.774189814823</v>
      </c>
      <c r="E608" t="s">
        <v>1637</v>
      </c>
      <c r="F608">
        <v>4</v>
      </c>
      <c r="G608" t="s">
        <v>2170</v>
      </c>
      <c r="I608" t="str">
        <f t="shared" si="20"/>
        <v>BS0003PE|BJ-08626-E4</v>
      </c>
      <c r="J608" t="str">
        <f t="shared" si="21"/>
        <v>SÍ</v>
      </c>
    </row>
    <row r="609" spans="1:10" x14ac:dyDescent="0.3">
      <c r="A609" t="s">
        <v>644</v>
      </c>
      <c r="B609" t="s">
        <v>813</v>
      </c>
      <c r="C609" t="s">
        <v>1185</v>
      </c>
      <c r="D609" s="23">
        <v>46228.667824074073</v>
      </c>
      <c r="E609" t="s">
        <v>1637</v>
      </c>
      <c r="F609">
        <v>13</v>
      </c>
      <c r="G609" t="s">
        <v>2170</v>
      </c>
      <c r="I609" t="str">
        <f t="shared" si="20"/>
        <v>BS0003PE|BJ-32925</v>
      </c>
      <c r="J609" t="str">
        <f t="shared" si="21"/>
        <v>SÍ</v>
      </c>
    </row>
    <row r="610" spans="1:10" x14ac:dyDescent="0.3">
      <c r="A610" t="s">
        <v>644</v>
      </c>
      <c r="B610" t="s">
        <v>813</v>
      </c>
      <c r="C610" t="s">
        <v>1186</v>
      </c>
      <c r="D610" s="23">
        <v>46250.232986111107</v>
      </c>
      <c r="E610" t="s">
        <v>1637</v>
      </c>
      <c r="F610">
        <v>10</v>
      </c>
      <c r="G610" t="s">
        <v>2170</v>
      </c>
      <c r="I610" t="str">
        <f t="shared" si="20"/>
        <v>BS0003PE|BJ-35025</v>
      </c>
      <c r="J610" t="str">
        <f t="shared" si="21"/>
        <v>SÍ</v>
      </c>
    </row>
    <row r="611" spans="1:10" x14ac:dyDescent="0.3">
      <c r="A611" t="s">
        <v>593</v>
      </c>
      <c r="B611" t="s">
        <v>762</v>
      </c>
      <c r="C611" t="s">
        <v>1187</v>
      </c>
      <c r="D611" s="23">
        <v>46224.094189814823</v>
      </c>
      <c r="E611" t="s">
        <v>1637</v>
      </c>
      <c r="F611">
        <v>2</v>
      </c>
      <c r="G611" t="s">
        <v>2168</v>
      </c>
      <c r="I611" t="str">
        <f t="shared" si="20"/>
        <v>TC0123PE|SC-26425</v>
      </c>
      <c r="J611" t="str">
        <f t="shared" si="21"/>
        <v>SÍ</v>
      </c>
    </row>
    <row r="612" spans="1:10" x14ac:dyDescent="0.3">
      <c r="A612" t="s">
        <v>664</v>
      </c>
      <c r="B612" t="s">
        <v>833</v>
      </c>
      <c r="C612" t="s">
        <v>991</v>
      </c>
      <c r="D612" s="23">
        <v>46427.391458333332</v>
      </c>
      <c r="E612" t="s">
        <v>1637</v>
      </c>
      <c r="F612">
        <v>1</v>
      </c>
      <c r="G612" t="s">
        <v>2166</v>
      </c>
      <c r="I612" t="str">
        <f t="shared" si="20"/>
        <v>TC0056PE|SN-10526-E3</v>
      </c>
      <c r="J612" t="str">
        <f t="shared" si="21"/>
        <v>SÍ</v>
      </c>
    </row>
    <row r="613" spans="1:10" x14ac:dyDescent="0.3">
      <c r="A613" t="s">
        <v>649</v>
      </c>
      <c r="B613" t="s">
        <v>818</v>
      </c>
      <c r="C613" t="s">
        <v>1188</v>
      </c>
      <c r="D613" s="23">
        <v>46533</v>
      </c>
      <c r="E613" t="s">
        <v>1637</v>
      </c>
      <c r="F613">
        <v>1</v>
      </c>
      <c r="G613" t="s">
        <v>2176</v>
      </c>
      <c r="I613" t="str">
        <f t="shared" si="20"/>
        <v>TQ0045PE|QB-14626-E1</v>
      </c>
      <c r="J613" t="str">
        <f t="shared" si="21"/>
        <v>SÍ</v>
      </c>
    </row>
    <row r="614" spans="1:10" x14ac:dyDescent="0.3">
      <c r="A614" t="s">
        <v>665</v>
      </c>
      <c r="B614" t="s">
        <v>834</v>
      </c>
      <c r="C614" t="s">
        <v>1189</v>
      </c>
      <c r="D614" s="23">
        <v>46556</v>
      </c>
      <c r="E614" t="s">
        <v>1637</v>
      </c>
      <c r="F614">
        <v>40</v>
      </c>
      <c r="G614" t="s">
        <v>2169</v>
      </c>
      <c r="I614" t="str">
        <f t="shared" si="20"/>
        <v>TQ0043PE|QB-16926-E10</v>
      </c>
      <c r="J614" t="str">
        <f t="shared" si="21"/>
        <v>SÍ</v>
      </c>
    </row>
    <row r="615" spans="1:10" x14ac:dyDescent="0.3">
      <c r="A615" t="s">
        <v>666</v>
      </c>
      <c r="B615" t="s">
        <v>835</v>
      </c>
      <c r="C615" t="s">
        <v>1190</v>
      </c>
      <c r="D615" s="23">
        <v>46177.889872685177</v>
      </c>
      <c r="E615" t="s">
        <v>1637</v>
      </c>
      <c r="F615">
        <v>40</v>
      </c>
      <c r="G615" t="s">
        <v>2169</v>
      </c>
      <c r="I615" t="str">
        <f t="shared" si="20"/>
        <v>TQ0042PE|QN-15526-E10</v>
      </c>
      <c r="J615" t="str">
        <f t="shared" si="21"/>
        <v>SÍ</v>
      </c>
    </row>
    <row r="616" spans="1:10" x14ac:dyDescent="0.3">
      <c r="A616" t="s">
        <v>639</v>
      </c>
      <c r="B616" t="s">
        <v>808</v>
      </c>
      <c r="C616" t="s">
        <v>1191</v>
      </c>
      <c r="D616" s="23">
        <v>46453.702962962961</v>
      </c>
      <c r="E616" t="s">
        <v>1637</v>
      </c>
      <c r="F616">
        <v>10</v>
      </c>
      <c r="G616" t="s">
        <v>2176</v>
      </c>
      <c r="I616" t="str">
        <f t="shared" si="20"/>
        <v>TQ0011PE|QBO-04726</v>
      </c>
      <c r="J616" t="str">
        <f t="shared" si="21"/>
        <v>SÍ</v>
      </c>
    </row>
    <row r="617" spans="1:10" x14ac:dyDescent="0.3">
      <c r="A617" t="s">
        <v>639</v>
      </c>
      <c r="B617" t="s">
        <v>808</v>
      </c>
      <c r="C617" t="s">
        <v>1192</v>
      </c>
      <c r="D617" s="23">
        <v>46508.446226851847</v>
      </c>
      <c r="E617" t="s">
        <v>1637</v>
      </c>
      <c r="F617">
        <v>30</v>
      </c>
      <c r="G617" t="s">
        <v>2176</v>
      </c>
      <c r="I617" t="str">
        <f t="shared" si="20"/>
        <v>TQ0011PE|QBO-24725</v>
      </c>
      <c r="J617" t="str">
        <f t="shared" si="21"/>
        <v>SÍ</v>
      </c>
    </row>
    <row r="618" spans="1:10" x14ac:dyDescent="0.3">
      <c r="A618" t="s">
        <v>667</v>
      </c>
      <c r="B618" t="s">
        <v>836</v>
      </c>
      <c r="C618" t="s">
        <v>1193</v>
      </c>
      <c r="D618" s="23">
        <v>46475.765983796293</v>
      </c>
      <c r="E618" t="s">
        <v>1637</v>
      </c>
      <c r="F618">
        <v>3</v>
      </c>
      <c r="G618" t="s">
        <v>2166</v>
      </c>
      <c r="I618" t="str">
        <f t="shared" si="20"/>
        <v>TC0234PE|LP-14926-E8</v>
      </c>
      <c r="J618" t="str">
        <f t="shared" si="21"/>
        <v>SÍ</v>
      </c>
    </row>
    <row r="619" spans="1:10" x14ac:dyDescent="0.3">
      <c r="A619" t="s">
        <v>636</v>
      </c>
      <c r="B619" t="s">
        <v>805</v>
      </c>
      <c r="C619" t="s">
        <v>1194</v>
      </c>
      <c r="D619" s="23">
        <v>46434.564201388886</v>
      </c>
      <c r="E619" t="s">
        <v>1637</v>
      </c>
      <c r="F619">
        <v>50</v>
      </c>
      <c r="G619" t="s">
        <v>2173</v>
      </c>
      <c r="I619" t="str">
        <f t="shared" si="20"/>
        <v>RT0108PE|RN-16726-E7</v>
      </c>
      <c r="J619" t="str">
        <f t="shared" si="21"/>
        <v>SÍ</v>
      </c>
    </row>
    <row r="620" spans="1:10" x14ac:dyDescent="0.3">
      <c r="A620" t="s">
        <v>668</v>
      </c>
      <c r="B620" t="s">
        <v>837</v>
      </c>
      <c r="C620" t="s">
        <v>1195</v>
      </c>
      <c r="D620" s="23">
        <v>46471.523402777777</v>
      </c>
      <c r="E620" t="s">
        <v>1637</v>
      </c>
      <c r="F620">
        <v>2</v>
      </c>
      <c r="G620" t="s">
        <v>2166</v>
      </c>
      <c r="I620" t="str">
        <f t="shared" si="20"/>
        <v>TC0231PE|PJ-14926-E7</v>
      </c>
      <c r="J620" t="str">
        <f t="shared" si="21"/>
        <v>SÍ</v>
      </c>
    </row>
    <row r="621" spans="1:10" x14ac:dyDescent="0.3">
      <c r="A621" t="s">
        <v>669</v>
      </c>
      <c r="B621" t="s">
        <v>838</v>
      </c>
      <c r="C621" t="s">
        <v>1196</v>
      </c>
      <c r="D621" s="23">
        <v>46306.194918981477</v>
      </c>
      <c r="E621" t="s">
        <v>1637</v>
      </c>
      <c r="F621">
        <v>12</v>
      </c>
      <c r="G621" t="s">
        <v>2169</v>
      </c>
      <c r="I621" t="str">
        <f t="shared" si="20"/>
        <v>RT0091PE|RJ-04226-E3</v>
      </c>
      <c r="J621" t="str">
        <f t="shared" si="21"/>
        <v>SÍ</v>
      </c>
    </row>
    <row r="622" spans="1:10" x14ac:dyDescent="0.3">
      <c r="A622" t="s">
        <v>635</v>
      </c>
      <c r="B622" t="s">
        <v>804</v>
      </c>
      <c r="C622" t="s">
        <v>1197</v>
      </c>
      <c r="D622" s="23">
        <v>46333.81318287037</v>
      </c>
      <c r="E622" t="s">
        <v>1637</v>
      </c>
      <c r="F622">
        <v>21</v>
      </c>
      <c r="G622" t="s">
        <v>2169</v>
      </c>
      <c r="I622" t="str">
        <f t="shared" si="20"/>
        <v>RT0095PE|RJ-06626-E4</v>
      </c>
      <c r="J622" t="str">
        <f t="shared" si="21"/>
        <v>SÍ</v>
      </c>
    </row>
    <row r="623" spans="1:10" x14ac:dyDescent="0.3">
      <c r="A623" t="s">
        <v>635</v>
      </c>
      <c r="B623" t="s">
        <v>804</v>
      </c>
      <c r="C623" t="s">
        <v>1198</v>
      </c>
      <c r="D623" s="23">
        <v>46533.381516203714</v>
      </c>
      <c r="E623" t="s">
        <v>1637</v>
      </c>
      <c r="F623">
        <v>5</v>
      </c>
      <c r="G623" t="s">
        <v>2169</v>
      </c>
      <c r="I623" t="str">
        <f t="shared" si="20"/>
        <v>RT0095PE|RJ-14626-E5</v>
      </c>
      <c r="J623" t="str">
        <f t="shared" si="21"/>
        <v>SÍ</v>
      </c>
    </row>
    <row r="624" spans="1:10" x14ac:dyDescent="0.3">
      <c r="A624" t="s">
        <v>592</v>
      </c>
      <c r="B624" t="s">
        <v>761</v>
      </c>
      <c r="C624" t="s">
        <v>963</v>
      </c>
      <c r="D624" s="23">
        <v>46408.896585648137</v>
      </c>
      <c r="E624" t="s">
        <v>1637</v>
      </c>
      <c r="F624">
        <v>2</v>
      </c>
      <c r="G624" t="s">
        <v>2168</v>
      </c>
      <c r="I624" t="str">
        <f t="shared" si="20"/>
        <v>TC0113PE|SP-08626-E7</v>
      </c>
      <c r="J624" t="str">
        <f t="shared" si="21"/>
        <v>SÍ</v>
      </c>
    </row>
    <row r="625" spans="1:10" x14ac:dyDescent="0.3">
      <c r="A625" t="s">
        <v>590</v>
      </c>
      <c r="B625" t="s">
        <v>759</v>
      </c>
      <c r="C625" t="s">
        <v>1199</v>
      </c>
      <c r="D625" s="23">
        <v>46520.193379629629</v>
      </c>
      <c r="E625" t="s">
        <v>1637</v>
      </c>
      <c r="F625">
        <v>25</v>
      </c>
      <c r="G625" t="s">
        <v>2166</v>
      </c>
      <c r="I625" t="str">
        <f t="shared" si="20"/>
        <v>TC0233PE|PJ-16426-E1</v>
      </c>
      <c r="J625" t="str">
        <f t="shared" si="21"/>
        <v>SÍ</v>
      </c>
    </row>
    <row r="626" spans="1:10" x14ac:dyDescent="0.3">
      <c r="A626" t="s">
        <v>670</v>
      </c>
      <c r="B626" t="s">
        <v>839</v>
      </c>
      <c r="C626" t="s">
        <v>1200</v>
      </c>
      <c r="D626" s="23">
        <v>46499.996932870366</v>
      </c>
      <c r="E626" t="s">
        <v>1637</v>
      </c>
      <c r="F626">
        <v>8</v>
      </c>
      <c r="G626" t="s">
        <v>2170</v>
      </c>
      <c r="I626" t="str">
        <f t="shared" si="20"/>
        <v>BS0002PE|BP-13526-E5</v>
      </c>
      <c r="J626" t="str">
        <f t="shared" si="21"/>
        <v>SÍ</v>
      </c>
    </row>
    <row r="627" spans="1:10" x14ac:dyDescent="0.3">
      <c r="A627" t="s">
        <v>621</v>
      </c>
      <c r="B627" t="s">
        <v>790</v>
      </c>
      <c r="C627" t="s">
        <v>1201</v>
      </c>
      <c r="D627" s="23">
        <v>46490.444976851853</v>
      </c>
      <c r="E627" t="s">
        <v>1637</v>
      </c>
      <c r="F627">
        <v>2</v>
      </c>
      <c r="G627" t="s">
        <v>2168</v>
      </c>
      <c r="I627" t="str">
        <f t="shared" si="20"/>
        <v>TC0248PE|SNP-16426-E4</v>
      </c>
      <c r="J627" t="str">
        <f t="shared" si="21"/>
        <v>SÍ</v>
      </c>
    </row>
    <row r="628" spans="1:10" x14ac:dyDescent="0.3">
      <c r="A628" t="s">
        <v>671</v>
      </c>
      <c r="B628" t="s">
        <v>840</v>
      </c>
      <c r="C628" t="s">
        <v>1202</v>
      </c>
      <c r="D628" s="23">
        <v>46525.600243055553</v>
      </c>
      <c r="E628" t="s">
        <v>1637</v>
      </c>
      <c r="F628">
        <v>54</v>
      </c>
      <c r="G628" t="s">
        <v>2169</v>
      </c>
      <c r="I628" t="str">
        <f t="shared" si="20"/>
        <v>RT0099PE|RP-14626-E5</v>
      </c>
      <c r="J628" t="str">
        <f t="shared" si="21"/>
        <v>SÍ</v>
      </c>
    </row>
    <row r="629" spans="1:10" x14ac:dyDescent="0.3">
      <c r="A629" t="s">
        <v>672</v>
      </c>
      <c r="B629" t="s">
        <v>841</v>
      </c>
      <c r="C629" t="s">
        <v>1203</v>
      </c>
      <c r="D629" s="23">
        <v>46387.75953703704</v>
      </c>
      <c r="E629" t="s">
        <v>1637</v>
      </c>
      <c r="F629">
        <v>3</v>
      </c>
      <c r="G629" t="s">
        <v>2169</v>
      </c>
      <c r="I629" t="str">
        <f t="shared" si="20"/>
        <v>RT0101PE|RN-08926-E1</v>
      </c>
      <c r="J629" t="str">
        <f t="shared" si="21"/>
        <v>SÍ</v>
      </c>
    </row>
    <row r="630" spans="1:10" x14ac:dyDescent="0.3">
      <c r="A630" t="s">
        <v>597</v>
      </c>
      <c r="B630" t="s">
        <v>766</v>
      </c>
      <c r="C630" t="s">
        <v>1204</v>
      </c>
      <c r="D630" s="23">
        <v>46291.970567129632</v>
      </c>
      <c r="E630" t="s">
        <v>1637</v>
      </c>
      <c r="F630">
        <v>16</v>
      </c>
      <c r="G630" t="s">
        <v>2170</v>
      </c>
      <c r="I630" t="str">
        <f t="shared" si="20"/>
        <v>RT0055PE|RO-02626-E5</v>
      </c>
      <c r="J630" t="str">
        <f t="shared" si="21"/>
        <v>SÍ</v>
      </c>
    </row>
    <row r="631" spans="1:10" x14ac:dyDescent="0.3">
      <c r="A631" t="s">
        <v>673</v>
      </c>
      <c r="B631" t="s">
        <v>842</v>
      </c>
      <c r="C631" t="s">
        <v>1205</v>
      </c>
      <c r="D631" s="23">
        <v>46440</v>
      </c>
      <c r="E631" t="s">
        <v>1637</v>
      </c>
      <c r="F631">
        <v>33</v>
      </c>
      <c r="G631" t="s">
        <v>2171</v>
      </c>
      <c r="I631" t="str">
        <f t="shared" si="20"/>
        <v>RT0059PE|RN-17326-E4</v>
      </c>
      <c r="J631" t="str">
        <f t="shared" si="21"/>
        <v>SÍ</v>
      </c>
    </row>
    <row r="632" spans="1:10" x14ac:dyDescent="0.3">
      <c r="A632" t="s">
        <v>636</v>
      </c>
      <c r="B632" t="s">
        <v>805</v>
      </c>
      <c r="C632" t="s">
        <v>1205</v>
      </c>
      <c r="D632" s="23">
        <v>46440</v>
      </c>
      <c r="E632" t="s">
        <v>1637</v>
      </c>
      <c r="F632">
        <v>19</v>
      </c>
      <c r="G632" t="s">
        <v>2173</v>
      </c>
      <c r="I632" t="str">
        <f t="shared" si="20"/>
        <v>RT0108PE|RN-17326-E4</v>
      </c>
      <c r="J632" t="str">
        <f t="shared" si="21"/>
        <v>SÍ</v>
      </c>
    </row>
    <row r="633" spans="1:10" x14ac:dyDescent="0.3">
      <c r="A633" t="s">
        <v>619</v>
      </c>
      <c r="B633" t="s">
        <v>788</v>
      </c>
      <c r="C633" t="s">
        <v>1206</v>
      </c>
      <c r="D633" s="23">
        <v>46480.260439814818</v>
      </c>
      <c r="E633" t="s">
        <v>1637</v>
      </c>
      <c r="F633">
        <v>2</v>
      </c>
      <c r="G633" t="s">
        <v>2176</v>
      </c>
      <c r="I633" t="str">
        <f t="shared" si="20"/>
        <v>TC0242PE|SN-15426-E1</v>
      </c>
      <c r="J633" t="str">
        <f t="shared" si="21"/>
        <v>SÍ</v>
      </c>
    </row>
    <row r="634" spans="1:10" x14ac:dyDescent="0.3">
      <c r="A634" t="s">
        <v>590</v>
      </c>
      <c r="B634" t="s">
        <v>759</v>
      </c>
      <c r="C634" t="s">
        <v>1207</v>
      </c>
      <c r="D634" s="23">
        <v>46520.197754629633</v>
      </c>
      <c r="E634" t="s">
        <v>1637</v>
      </c>
      <c r="F634">
        <v>15</v>
      </c>
      <c r="G634" t="s">
        <v>2166</v>
      </c>
      <c r="I634" t="str">
        <f t="shared" si="20"/>
        <v>TC0233PE|PJ-16426-E2</v>
      </c>
      <c r="J634" t="str">
        <f t="shared" si="21"/>
        <v>SÍ</v>
      </c>
    </row>
    <row r="635" spans="1:10" x14ac:dyDescent="0.3">
      <c r="A635" t="s">
        <v>621</v>
      </c>
      <c r="B635" t="s">
        <v>790</v>
      </c>
      <c r="C635" t="s">
        <v>1208</v>
      </c>
      <c r="D635" s="23">
        <v>46490.44840277778</v>
      </c>
      <c r="E635" t="s">
        <v>1637</v>
      </c>
      <c r="F635">
        <v>8</v>
      </c>
      <c r="G635" t="s">
        <v>2168</v>
      </c>
      <c r="I635" t="str">
        <f t="shared" si="20"/>
        <v>TC0248PE|SNP-16426-E1</v>
      </c>
      <c r="J635" t="str">
        <f t="shared" si="21"/>
        <v>SÍ</v>
      </c>
    </row>
    <row r="636" spans="1:10" x14ac:dyDescent="0.3">
      <c r="A636" t="s">
        <v>674</v>
      </c>
      <c r="B636" t="s">
        <v>843</v>
      </c>
      <c r="C636" t="s">
        <v>1209</v>
      </c>
      <c r="D636" s="23">
        <v>46414.779918981483</v>
      </c>
      <c r="E636" t="s">
        <v>1637</v>
      </c>
      <c r="F636">
        <v>83</v>
      </c>
      <c r="G636" t="s">
        <v>2174</v>
      </c>
      <c r="I636" t="str">
        <f t="shared" si="20"/>
        <v>TC0122PE|DUO-16726-E11</v>
      </c>
      <c r="J636" t="str">
        <f t="shared" si="21"/>
        <v>SÍ</v>
      </c>
    </row>
    <row r="637" spans="1:10" x14ac:dyDescent="0.3">
      <c r="A637" t="s">
        <v>667</v>
      </c>
      <c r="B637" t="s">
        <v>836</v>
      </c>
      <c r="C637" t="s">
        <v>1210</v>
      </c>
      <c r="D637" s="23">
        <v>46491.286805555559</v>
      </c>
      <c r="E637" t="s">
        <v>1637</v>
      </c>
      <c r="F637">
        <v>39</v>
      </c>
      <c r="G637" t="s">
        <v>2166</v>
      </c>
      <c r="I637" t="str">
        <f t="shared" si="20"/>
        <v>TC0234PE|LP-16526-E5</v>
      </c>
      <c r="J637" t="str">
        <f t="shared" si="21"/>
        <v>SÍ</v>
      </c>
    </row>
    <row r="638" spans="1:10" x14ac:dyDescent="0.3">
      <c r="A638" t="s">
        <v>636</v>
      </c>
      <c r="B638" t="s">
        <v>805</v>
      </c>
      <c r="C638" t="s">
        <v>1211</v>
      </c>
      <c r="D638" s="23">
        <v>46435</v>
      </c>
      <c r="E638" t="s">
        <v>1637</v>
      </c>
      <c r="F638">
        <v>3</v>
      </c>
      <c r="G638" t="s">
        <v>2173</v>
      </c>
      <c r="I638" t="str">
        <f t="shared" si="20"/>
        <v>RT0108PE|RN-16826-E7</v>
      </c>
      <c r="J638" t="str">
        <f t="shared" si="21"/>
        <v>SÍ</v>
      </c>
    </row>
    <row r="639" spans="1:10" x14ac:dyDescent="0.3">
      <c r="A639" t="s">
        <v>590</v>
      </c>
      <c r="B639" t="s">
        <v>759</v>
      </c>
      <c r="C639" t="s">
        <v>1212</v>
      </c>
      <c r="D639" s="23">
        <v>46455.069224537037</v>
      </c>
      <c r="E639" t="s">
        <v>1637</v>
      </c>
      <c r="F639">
        <v>1</v>
      </c>
      <c r="G639" t="s">
        <v>2166</v>
      </c>
      <c r="I639" t="str">
        <f t="shared" si="20"/>
        <v>TC0233PE|PJ-12926-E2</v>
      </c>
      <c r="J639" t="str">
        <f t="shared" si="21"/>
        <v>SÍ</v>
      </c>
    </row>
    <row r="640" spans="1:10" x14ac:dyDescent="0.3">
      <c r="A640" t="s">
        <v>675</v>
      </c>
      <c r="B640" t="s">
        <v>844</v>
      </c>
      <c r="C640" t="s">
        <v>1213</v>
      </c>
      <c r="D640" s="23">
        <v>46520.597442129627</v>
      </c>
      <c r="E640" t="s">
        <v>1637</v>
      </c>
      <c r="F640">
        <v>17</v>
      </c>
      <c r="G640" t="s">
        <v>2169</v>
      </c>
      <c r="I640" t="str">
        <f t="shared" si="20"/>
        <v>RT0103PE|RJ-14626-E4</v>
      </c>
      <c r="J640" t="str">
        <f t="shared" si="21"/>
        <v>SÍ</v>
      </c>
    </row>
    <row r="641" spans="1:10" x14ac:dyDescent="0.3">
      <c r="A641" t="s">
        <v>612</v>
      </c>
      <c r="B641" t="s">
        <v>781</v>
      </c>
      <c r="C641" t="s">
        <v>1214</v>
      </c>
      <c r="D641" s="23">
        <v>46442</v>
      </c>
      <c r="E641" t="s">
        <v>1637</v>
      </c>
      <c r="F641">
        <v>35</v>
      </c>
      <c r="G641" t="s">
        <v>2171</v>
      </c>
      <c r="I641" t="str">
        <f t="shared" si="20"/>
        <v>RT0131PE|RP-17526-E3</v>
      </c>
      <c r="J641" t="str">
        <f t="shared" si="21"/>
        <v>SÍ</v>
      </c>
    </row>
    <row r="642" spans="1:10" x14ac:dyDescent="0.3">
      <c r="A642" t="s">
        <v>676</v>
      </c>
      <c r="B642" t="s">
        <v>845</v>
      </c>
      <c r="C642" t="s">
        <v>1215</v>
      </c>
      <c r="D642" s="23">
        <v>46271</v>
      </c>
      <c r="E642" t="s">
        <v>1637</v>
      </c>
      <c r="F642">
        <v>1</v>
      </c>
      <c r="G642" t="s">
        <v>2166</v>
      </c>
      <c r="I642" t="str">
        <f t="shared" si="20"/>
        <v>TC0094PE|SC-31025</v>
      </c>
      <c r="J642" t="str">
        <f t="shared" si="21"/>
        <v>SÍ</v>
      </c>
    </row>
    <row r="643" spans="1:10" x14ac:dyDescent="0.3">
      <c r="A643" t="s">
        <v>628</v>
      </c>
      <c r="B643" t="s">
        <v>797</v>
      </c>
      <c r="C643" t="s">
        <v>1216</v>
      </c>
      <c r="D643" s="23">
        <v>46395.955451388887</v>
      </c>
      <c r="E643" t="s">
        <v>1637</v>
      </c>
      <c r="F643">
        <v>1</v>
      </c>
      <c r="G643" t="s">
        <v>2171</v>
      </c>
      <c r="I643" t="str">
        <f t="shared" si="20"/>
        <v>RT0073PE|RB-13426-E5</v>
      </c>
      <c r="J643" t="str">
        <f t="shared" si="21"/>
        <v>SÍ</v>
      </c>
    </row>
    <row r="644" spans="1:10" x14ac:dyDescent="0.3">
      <c r="A644" t="s">
        <v>618</v>
      </c>
      <c r="B644" t="s">
        <v>787</v>
      </c>
      <c r="C644" t="s">
        <v>1108</v>
      </c>
      <c r="D644" s="23">
        <v>46483.200879629629</v>
      </c>
      <c r="E644" t="s">
        <v>1637</v>
      </c>
      <c r="F644">
        <v>1</v>
      </c>
      <c r="G644" t="s">
        <v>2166</v>
      </c>
      <c r="I644" t="str">
        <f t="shared" si="20"/>
        <v>TC0028PE|SP-15726-E7</v>
      </c>
      <c r="J644" t="str">
        <f t="shared" si="21"/>
        <v>SÍ</v>
      </c>
    </row>
    <row r="645" spans="1:10" x14ac:dyDescent="0.3">
      <c r="A645" t="s">
        <v>654</v>
      </c>
      <c r="B645" t="s">
        <v>823</v>
      </c>
      <c r="C645" t="s">
        <v>1217</v>
      </c>
      <c r="D645" s="23">
        <v>46257.645173611112</v>
      </c>
      <c r="E645" t="s">
        <v>1637</v>
      </c>
      <c r="F645">
        <v>81</v>
      </c>
      <c r="G645" t="s">
        <v>2171</v>
      </c>
      <c r="I645" t="str">
        <f t="shared" si="20"/>
        <v>RT0071PE|RB-35725</v>
      </c>
      <c r="J645" t="str">
        <f t="shared" si="21"/>
        <v>SÍ</v>
      </c>
    </row>
    <row r="646" spans="1:10" x14ac:dyDescent="0.3">
      <c r="A646" t="s">
        <v>654</v>
      </c>
      <c r="B646" t="s">
        <v>823</v>
      </c>
      <c r="C646" t="s">
        <v>1218</v>
      </c>
      <c r="D646" s="23">
        <v>46258</v>
      </c>
      <c r="E646" t="s">
        <v>1637</v>
      </c>
      <c r="F646">
        <v>4</v>
      </c>
      <c r="G646" t="s">
        <v>2171</v>
      </c>
      <c r="I646" t="str">
        <f t="shared" si="20"/>
        <v>RT0071PE|RB-35825</v>
      </c>
      <c r="J646" t="str">
        <f t="shared" si="21"/>
        <v>SÍ</v>
      </c>
    </row>
    <row r="647" spans="1:10" x14ac:dyDescent="0.3">
      <c r="A647" t="s">
        <v>602</v>
      </c>
      <c r="B647" t="s">
        <v>771</v>
      </c>
      <c r="C647" t="s">
        <v>1219</v>
      </c>
      <c r="D647" s="23">
        <v>46421</v>
      </c>
      <c r="E647" t="s">
        <v>1637</v>
      </c>
      <c r="F647">
        <v>111</v>
      </c>
      <c r="G647" t="s">
        <v>2173</v>
      </c>
      <c r="I647" t="str">
        <f t="shared" si="20"/>
        <v>RT0110PE|RJ-15426-E4</v>
      </c>
      <c r="J647" t="str">
        <f t="shared" si="21"/>
        <v>SÍ</v>
      </c>
    </row>
    <row r="648" spans="1:10" x14ac:dyDescent="0.3">
      <c r="A648" t="s">
        <v>677</v>
      </c>
      <c r="B648" t="s">
        <v>846</v>
      </c>
      <c r="C648" t="s">
        <v>1220</v>
      </c>
      <c r="D648" s="23">
        <v>46226</v>
      </c>
      <c r="E648" t="s">
        <v>1637</v>
      </c>
      <c r="F648">
        <v>74</v>
      </c>
      <c r="G648" t="s">
        <v>2167</v>
      </c>
      <c r="I648" t="str">
        <f t="shared" si="20"/>
        <v>TQ0041PE|QP-20425</v>
      </c>
      <c r="J648" t="str">
        <f t="shared" si="21"/>
        <v>SÍ</v>
      </c>
    </row>
    <row r="649" spans="1:10" x14ac:dyDescent="0.3">
      <c r="A649" t="s">
        <v>678</v>
      </c>
      <c r="B649" t="s">
        <v>847</v>
      </c>
      <c r="C649" t="s">
        <v>1187</v>
      </c>
      <c r="D649" s="23">
        <v>46221.251840277779</v>
      </c>
      <c r="E649" t="s">
        <v>1637</v>
      </c>
      <c r="F649">
        <v>35</v>
      </c>
      <c r="G649" t="s">
        <v>2166</v>
      </c>
      <c r="I649" t="str">
        <f t="shared" si="20"/>
        <v>TC0053PE|SC-26425</v>
      </c>
      <c r="J649" t="str">
        <f t="shared" si="21"/>
        <v>SÍ</v>
      </c>
    </row>
    <row r="650" spans="1:10" x14ac:dyDescent="0.3">
      <c r="A650" t="s">
        <v>679</v>
      </c>
      <c r="B650" t="s">
        <v>848</v>
      </c>
      <c r="C650" t="s">
        <v>1221</v>
      </c>
      <c r="D650" s="23">
        <v>46392.24554398148</v>
      </c>
      <c r="E650" t="s">
        <v>1637</v>
      </c>
      <c r="F650">
        <v>10</v>
      </c>
      <c r="G650" t="s">
        <v>2167</v>
      </c>
      <c r="I650" t="str">
        <f t="shared" si="20"/>
        <v>TQ0040PE|QN-00526-E10T2</v>
      </c>
      <c r="J650" t="str">
        <f t="shared" si="21"/>
        <v>SÍ</v>
      </c>
    </row>
    <row r="651" spans="1:10" x14ac:dyDescent="0.3">
      <c r="A651" t="s">
        <v>679</v>
      </c>
      <c r="B651" t="s">
        <v>848</v>
      </c>
      <c r="C651" t="s">
        <v>1222</v>
      </c>
      <c r="D651" s="23">
        <v>46393.561203703714</v>
      </c>
      <c r="E651" t="s">
        <v>1637</v>
      </c>
      <c r="F651">
        <v>6</v>
      </c>
      <c r="G651" t="s">
        <v>2167</v>
      </c>
      <c r="I651" t="str">
        <f t="shared" si="20"/>
        <v>TQ0040PE|QN-00626-E10T1</v>
      </c>
      <c r="J651" t="str">
        <f t="shared" si="21"/>
        <v>SÍ</v>
      </c>
    </row>
    <row r="652" spans="1:10" x14ac:dyDescent="0.3">
      <c r="A652" t="s">
        <v>679</v>
      </c>
      <c r="B652" t="s">
        <v>848</v>
      </c>
      <c r="C652" t="s">
        <v>1223</v>
      </c>
      <c r="D652" s="23">
        <v>46393.246932870366</v>
      </c>
      <c r="E652" t="s">
        <v>1637</v>
      </c>
      <c r="F652">
        <v>12</v>
      </c>
      <c r="G652" t="s">
        <v>2167</v>
      </c>
      <c r="I652" t="str">
        <f t="shared" si="20"/>
        <v>TQ0040PE|QN-00626-E10T2</v>
      </c>
      <c r="J652" t="str">
        <f t="shared" si="21"/>
        <v>SÍ</v>
      </c>
    </row>
    <row r="653" spans="1:10" x14ac:dyDescent="0.3">
      <c r="A653" t="s">
        <v>580</v>
      </c>
      <c r="B653" t="s">
        <v>749</v>
      </c>
      <c r="C653" t="s">
        <v>1224</v>
      </c>
      <c r="D653" s="23">
        <v>46501.546655092592</v>
      </c>
      <c r="E653" t="s">
        <v>1637</v>
      </c>
      <c r="F653">
        <v>1</v>
      </c>
      <c r="G653" t="s">
        <v>2166</v>
      </c>
      <c r="I653" t="str">
        <f t="shared" si="20"/>
        <v>TC0004PE|SP-17526-E7</v>
      </c>
      <c r="J653" t="str">
        <f t="shared" si="21"/>
        <v>SÍ</v>
      </c>
    </row>
    <row r="654" spans="1:10" x14ac:dyDescent="0.3">
      <c r="A654" t="s">
        <v>680</v>
      </c>
      <c r="B654" t="s">
        <v>849</v>
      </c>
      <c r="C654" t="s">
        <v>1225</v>
      </c>
      <c r="D654" s="23">
        <v>46302.916030092587</v>
      </c>
      <c r="E654" t="s">
        <v>1637</v>
      </c>
      <c r="F654">
        <v>3</v>
      </c>
      <c r="G654" t="s">
        <v>2169</v>
      </c>
      <c r="I654" t="str">
        <f t="shared" si="20"/>
        <v>RT0088PE|RN-03826-E8</v>
      </c>
      <c r="J654" t="str">
        <f t="shared" si="21"/>
        <v>SÍ</v>
      </c>
    </row>
    <row r="655" spans="1:10" x14ac:dyDescent="0.3">
      <c r="A655" t="s">
        <v>680</v>
      </c>
      <c r="B655" t="s">
        <v>849</v>
      </c>
      <c r="C655" t="s">
        <v>1226</v>
      </c>
      <c r="D655" s="23">
        <v>46303.047777777778</v>
      </c>
      <c r="E655" t="s">
        <v>1637</v>
      </c>
      <c r="F655">
        <v>7</v>
      </c>
      <c r="G655" t="s">
        <v>2169</v>
      </c>
      <c r="I655" t="str">
        <f t="shared" si="20"/>
        <v>RT0088PE|RN-03926-E8</v>
      </c>
      <c r="J655" t="str">
        <f t="shared" si="21"/>
        <v>SÍ</v>
      </c>
    </row>
    <row r="656" spans="1:10" x14ac:dyDescent="0.3">
      <c r="A656" t="s">
        <v>628</v>
      </c>
      <c r="B656" t="s">
        <v>797</v>
      </c>
      <c r="C656" t="s">
        <v>1227</v>
      </c>
      <c r="D656" s="23">
        <v>46420.905266203707</v>
      </c>
      <c r="E656" t="s">
        <v>1637</v>
      </c>
      <c r="F656">
        <v>22</v>
      </c>
      <c r="G656" t="s">
        <v>2171</v>
      </c>
      <c r="I656" t="str">
        <f t="shared" si="20"/>
        <v>RT0073PE|RB-15326-E3</v>
      </c>
      <c r="J656" t="str">
        <f t="shared" si="21"/>
        <v>SÍ</v>
      </c>
    </row>
    <row r="657" spans="1:10" x14ac:dyDescent="0.3">
      <c r="A657" t="s">
        <v>627</v>
      </c>
      <c r="B657" t="s">
        <v>796</v>
      </c>
      <c r="C657" t="s">
        <v>1131</v>
      </c>
      <c r="D657" s="23">
        <v>46443</v>
      </c>
      <c r="E657" t="s">
        <v>1637</v>
      </c>
      <c r="F657">
        <v>31</v>
      </c>
      <c r="G657" t="s">
        <v>2171</v>
      </c>
      <c r="I657" t="str">
        <f t="shared" si="20"/>
        <v>RT0058PE|RN-17626-E4</v>
      </c>
      <c r="J657" t="str">
        <f t="shared" si="21"/>
        <v>SÍ</v>
      </c>
    </row>
    <row r="658" spans="1:10" x14ac:dyDescent="0.3">
      <c r="A658" t="s">
        <v>627</v>
      </c>
      <c r="B658" t="s">
        <v>796</v>
      </c>
      <c r="C658" t="s">
        <v>1228</v>
      </c>
      <c r="D658" s="23">
        <v>46443</v>
      </c>
      <c r="E658" t="s">
        <v>1637</v>
      </c>
      <c r="F658">
        <v>28</v>
      </c>
      <c r="G658" t="s">
        <v>2171</v>
      </c>
      <c r="I658" t="str">
        <f t="shared" ref="I658:I721" si="22">IF(A658="","",A658&amp;"|"&amp;C658)</f>
        <v>RT0058PE|RN-17626-E3</v>
      </c>
      <c r="J658" t="str">
        <f t="shared" ref="J658:J721" si="23">IF(A658&lt;&gt;"","SÍ","NO")</f>
        <v>SÍ</v>
      </c>
    </row>
    <row r="659" spans="1:10" x14ac:dyDescent="0.3">
      <c r="A659" t="s">
        <v>679</v>
      </c>
      <c r="B659" t="s">
        <v>848</v>
      </c>
      <c r="C659" t="s">
        <v>1118</v>
      </c>
      <c r="D659" s="23">
        <v>46449.485648148147</v>
      </c>
      <c r="E659" t="s">
        <v>1637</v>
      </c>
      <c r="F659">
        <v>40</v>
      </c>
      <c r="G659" t="s">
        <v>2167</v>
      </c>
      <c r="I659" t="str">
        <f t="shared" si="22"/>
        <v>TQ0040PE|QN-10026-E10</v>
      </c>
      <c r="J659" t="str">
        <f t="shared" si="23"/>
        <v>SÍ</v>
      </c>
    </row>
    <row r="660" spans="1:10" x14ac:dyDescent="0.3">
      <c r="A660" t="s">
        <v>637</v>
      </c>
      <c r="B660" t="s">
        <v>806</v>
      </c>
      <c r="C660" t="s">
        <v>1229</v>
      </c>
      <c r="D660" s="23">
        <v>46421.108298611107</v>
      </c>
      <c r="E660" t="s">
        <v>1637</v>
      </c>
      <c r="F660">
        <v>27</v>
      </c>
      <c r="G660" t="s">
        <v>2173</v>
      </c>
      <c r="I660" t="str">
        <f t="shared" si="22"/>
        <v>RT0109PE|RP-15426-E2</v>
      </c>
      <c r="J660" t="str">
        <f t="shared" si="23"/>
        <v>SÍ</v>
      </c>
    </row>
    <row r="661" spans="1:10" x14ac:dyDescent="0.3">
      <c r="A661" t="s">
        <v>585</v>
      </c>
      <c r="B661" t="s">
        <v>754</v>
      </c>
      <c r="C661" t="s">
        <v>1190</v>
      </c>
      <c r="D661" s="23">
        <v>46542.894756944443</v>
      </c>
      <c r="E661" t="s">
        <v>1637</v>
      </c>
      <c r="F661">
        <v>32</v>
      </c>
      <c r="G661" t="s">
        <v>2169</v>
      </c>
      <c r="I661" t="str">
        <f t="shared" si="22"/>
        <v>TQ0037PE|QN-15526-E10</v>
      </c>
      <c r="J661" t="str">
        <f t="shared" si="23"/>
        <v>SÍ</v>
      </c>
    </row>
    <row r="662" spans="1:10" x14ac:dyDescent="0.3">
      <c r="A662" t="s">
        <v>637</v>
      </c>
      <c r="B662" t="s">
        <v>806</v>
      </c>
      <c r="C662" t="s">
        <v>1230</v>
      </c>
      <c r="D662" s="23">
        <v>46434.526087962957</v>
      </c>
      <c r="E662" t="s">
        <v>1637</v>
      </c>
      <c r="F662">
        <v>1</v>
      </c>
      <c r="G662" t="s">
        <v>2173</v>
      </c>
      <c r="I662" t="str">
        <f t="shared" si="22"/>
        <v>RT0109PE|RP-16726-E2</v>
      </c>
      <c r="J662" t="str">
        <f t="shared" si="23"/>
        <v>SÍ</v>
      </c>
    </row>
    <row r="663" spans="1:10" x14ac:dyDescent="0.3">
      <c r="A663" t="s">
        <v>637</v>
      </c>
      <c r="B663" t="s">
        <v>806</v>
      </c>
      <c r="C663" t="s">
        <v>1231</v>
      </c>
      <c r="D663" s="23">
        <v>46434</v>
      </c>
      <c r="E663" t="s">
        <v>1637</v>
      </c>
      <c r="F663">
        <v>4</v>
      </c>
      <c r="G663" t="s">
        <v>2173</v>
      </c>
      <c r="I663" t="str">
        <f t="shared" si="22"/>
        <v>RT0109PE|RP-16726-E3</v>
      </c>
      <c r="J663" t="str">
        <f t="shared" si="23"/>
        <v>SÍ</v>
      </c>
    </row>
    <row r="664" spans="1:10" x14ac:dyDescent="0.3">
      <c r="A664" t="s">
        <v>628</v>
      </c>
      <c r="B664" t="s">
        <v>797</v>
      </c>
      <c r="C664" t="s">
        <v>1232</v>
      </c>
      <c r="D664" s="23">
        <v>46185</v>
      </c>
      <c r="E664" t="s">
        <v>1637</v>
      </c>
      <c r="F664">
        <v>1</v>
      </c>
      <c r="G664" t="s">
        <v>2171</v>
      </c>
      <c r="I664" t="str">
        <f t="shared" si="22"/>
        <v>RT0073PE|RB-28525</v>
      </c>
      <c r="J664" t="str">
        <f t="shared" si="23"/>
        <v>SÍ</v>
      </c>
    </row>
    <row r="665" spans="1:10" x14ac:dyDescent="0.3">
      <c r="A665" t="s">
        <v>628</v>
      </c>
      <c r="B665" t="s">
        <v>797</v>
      </c>
      <c r="C665" t="s">
        <v>1233</v>
      </c>
      <c r="D665" s="23">
        <v>46441</v>
      </c>
      <c r="E665" t="s">
        <v>1637</v>
      </c>
      <c r="F665">
        <v>10</v>
      </c>
      <c r="G665" t="s">
        <v>2171</v>
      </c>
      <c r="I665" t="str">
        <f t="shared" si="22"/>
        <v>RT0073PE|RB-17426-E3</v>
      </c>
      <c r="J665" t="str">
        <f t="shared" si="23"/>
        <v>SÍ</v>
      </c>
    </row>
    <row r="666" spans="1:10" x14ac:dyDescent="0.3">
      <c r="A666" t="s">
        <v>612</v>
      </c>
      <c r="B666" t="s">
        <v>781</v>
      </c>
      <c r="C666" t="s">
        <v>1234</v>
      </c>
      <c r="D666" s="23">
        <v>46442</v>
      </c>
      <c r="E666" t="s">
        <v>1637</v>
      </c>
      <c r="F666">
        <v>9</v>
      </c>
      <c r="G666" t="s">
        <v>2171</v>
      </c>
      <c r="I666" t="str">
        <f t="shared" si="22"/>
        <v>RT0131PE|RP-17526-E4</v>
      </c>
      <c r="J666" t="str">
        <f t="shared" si="23"/>
        <v>SÍ</v>
      </c>
    </row>
    <row r="667" spans="1:10" x14ac:dyDescent="0.3">
      <c r="A667" t="s">
        <v>627</v>
      </c>
      <c r="B667" t="s">
        <v>796</v>
      </c>
      <c r="C667" t="s">
        <v>1130</v>
      </c>
      <c r="D667" s="23">
        <v>46443</v>
      </c>
      <c r="E667" t="s">
        <v>1637</v>
      </c>
      <c r="F667">
        <v>2</v>
      </c>
      <c r="G667" t="s">
        <v>2171</v>
      </c>
      <c r="I667" t="str">
        <f t="shared" si="22"/>
        <v>RT0058PE|RN-17626-E5</v>
      </c>
      <c r="J667" t="str">
        <f t="shared" si="23"/>
        <v>SÍ</v>
      </c>
    </row>
    <row r="668" spans="1:10" x14ac:dyDescent="0.3">
      <c r="A668" t="s">
        <v>637</v>
      </c>
      <c r="B668" t="s">
        <v>806</v>
      </c>
      <c r="C668" t="s">
        <v>1235</v>
      </c>
      <c r="D668" s="23">
        <v>46420.081238425933</v>
      </c>
      <c r="E668" t="s">
        <v>1637</v>
      </c>
      <c r="F668">
        <v>1</v>
      </c>
      <c r="G668" t="s">
        <v>2173</v>
      </c>
      <c r="I668" t="str">
        <f t="shared" si="22"/>
        <v>RT0109PE|RP-15326-E2</v>
      </c>
      <c r="J668" t="str">
        <f t="shared" si="23"/>
        <v>SÍ</v>
      </c>
    </row>
    <row r="669" spans="1:10" x14ac:dyDescent="0.3">
      <c r="A669" t="s">
        <v>637</v>
      </c>
      <c r="B669" t="s">
        <v>806</v>
      </c>
      <c r="C669" t="s">
        <v>1236</v>
      </c>
      <c r="D669" s="23">
        <v>46433</v>
      </c>
      <c r="E669" t="s">
        <v>1637</v>
      </c>
      <c r="F669">
        <v>20</v>
      </c>
      <c r="G669" t="s">
        <v>2173</v>
      </c>
      <c r="I669" t="str">
        <f t="shared" si="22"/>
        <v>RT0109PE|RP-16626-E3</v>
      </c>
      <c r="J669" t="str">
        <f t="shared" si="23"/>
        <v>SÍ</v>
      </c>
    </row>
    <row r="670" spans="1:10" x14ac:dyDescent="0.3">
      <c r="A670" t="s">
        <v>628</v>
      </c>
      <c r="B670" t="s">
        <v>797</v>
      </c>
      <c r="C670" t="s">
        <v>1237</v>
      </c>
      <c r="D670" s="23">
        <v>46421.135023148148</v>
      </c>
      <c r="E670" t="s">
        <v>1637</v>
      </c>
      <c r="F670">
        <v>21</v>
      </c>
      <c r="G670" t="s">
        <v>2171</v>
      </c>
      <c r="I670" t="str">
        <f t="shared" si="22"/>
        <v>RT0073PE|RB-15426-E3</v>
      </c>
      <c r="J670" t="str">
        <f t="shared" si="23"/>
        <v>SÍ</v>
      </c>
    </row>
    <row r="671" spans="1:10" x14ac:dyDescent="0.3">
      <c r="A671" t="s">
        <v>612</v>
      </c>
      <c r="B671" t="s">
        <v>781</v>
      </c>
      <c r="C671" t="s">
        <v>1238</v>
      </c>
      <c r="D671" s="23">
        <v>46442</v>
      </c>
      <c r="E671" t="s">
        <v>1637</v>
      </c>
      <c r="F671">
        <v>4</v>
      </c>
      <c r="G671" t="s">
        <v>2171</v>
      </c>
      <c r="I671" t="str">
        <f t="shared" si="22"/>
        <v>RT0131PE|RP-17526-E5</v>
      </c>
      <c r="J671" t="str">
        <f t="shared" si="23"/>
        <v>SÍ</v>
      </c>
    </row>
    <row r="672" spans="1:10" x14ac:dyDescent="0.3">
      <c r="A672" t="s">
        <v>602</v>
      </c>
      <c r="B672" t="s">
        <v>771</v>
      </c>
      <c r="C672" t="s">
        <v>1239</v>
      </c>
      <c r="D672" s="23">
        <v>46413</v>
      </c>
      <c r="E672" t="s">
        <v>1637</v>
      </c>
      <c r="F672">
        <v>45</v>
      </c>
      <c r="G672" t="s">
        <v>2173</v>
      </c>
      <c r="I672" t="str">
        <f t="shared" si="22"/>
        <v>RT0110PE|RTRJ-14626-E5</v>
      </c>
      <c r="J672" t="str">
        <f t="shared" si="23"/>
        <v>SÍ</v>
      </c>
    </row>
    <row r="673" spans="1:10" x14ac:dyDescent="0.3">
      <c r="A673" t="s">
        <v>602</v>
      </c>
      <c r="B673" t="s">
        <v>771</v>
      </c>
      <c r="C673" t="s">
        <v>1240</v>
      </c>
      <c r="D673" s="23">
        <v>46412</v>
      </c>
      <c r="E673" t="s">
        <v>1637</v>
      </c>
      <c r="F673">
        <v>35</v>
      </c>
      <c r="G673" t="s">
        <v>2173</v>
      </c>
      <c r="I673" t="str">
        <f t="shared" si="22"/>
        <v>RT0110PE|RJ-14526-E5</v>
      </c>
      <c r="J673" t="str">
        <f t="shared" si="23"/>
        <v>SÍ</v>
      </c>
    </row>
    <row r="674" spans="1:10" x14ac:dyDescent="0.3">
      <c r="A674" t="s">
        <v>634</v>
      </c>
      <c r="B674" t="s">
        <v>803</v>
      </c>
      <c r="C674" t="s">
        <v>1241</v>
      </c>
      <c r="D674" s="23">
        <v>46360.743321759262</v>
      </c>
      <c r="E674" t="s">
        <v>1637</v>
      </c>
      <c r="F674">
        <v>2</v>
      </c>
      <c r="G674" t="s">
        <v>2169</v>
      </c>
      <c r="I674" t="str">
        <f t="shared" si="22"/>
        <v>RT0092PE|RN-06326-E2</v>
      </c>
      <c r="J674" t="str">
        <f t="shared" si="23"/>
        <v>SÍ</v>
      </c>
    </row>
    <row r="675" spans="1:10" x14ac:dyDescent="0.3">
      <c r="A675" t="s">
        <v>634</v>
      </c>
      <c r="B675" t="s">
        <v>803</v>
      </c>
      <c r="C675" t="s">
        <v>1242</v>
      </c>
      <c r="D675" s="23">
        <v>46491.909895833327</v>
      </c>
      <c r="E675" t="s">
        <v>1637</v>
      </c>
      <c r="F675">
        <v>39</v>
      </c>
      <c r="G675" t="s">
        <v>2169</v>
      </c>
      <c r="I675" t="str">
        <f t="shared" si="22"/>
        <v>RT0092PE|RN-14626-E5</v>
      </c>
      <c r="J675" t="str">
        <f t="shared" si="23"/>
        <v>SÍ</v>
      </c>
    </row>
    <row r="676" spans="1:10" x14ac:dyDescent="0.3">
      <c r="A676" t="s">
        <v>681</v>
      </c>
      <c r="B676" t="s">
        <v>850</v>
      </c>
      <c r="C676" t="s">
        <v>1243</v>
      </c>
      <c r="D676" s="23">
        <v>46206</v>
      </c>
      <c r="E676" t="s">
        <v>1637</v>
      </c>
      <c r="F676">
        <v>2</v>
      </c>
      <c r="G676" t="s">
        <v>2171</v>
      </c>
      <c r="I676" t="str">
        <f t="shared" si="22"/>
        <v>RT0076PE|RH-30725</v>
      </c>
      <c r="J676" t="str">
        <f t="shared" si="23"/>
        <v>SÍ</v>
      </c>
    </row>
    <row r="677" spans="1:10" x14ac:dyDescent="0.3">
      <c r="A677" t="s">
        <v>681</v>
      </c>
      <c r="B677" t="s">
        <v>850</v>
      </c>
      <c r="C677" t="s">
        <v>1244</v>
      </c>
      <c r="D677" s="23">
        <v>46218</v>
      </c>
      <c r="E677" t="s">
        <v>1637</v>
      </c>
      <c r="F677">
        <v>41</v>
      </c>
      <c r="G677" t="s">
        <v>2171</v>
      </c>
      <c r="I677" t="str">
        <f t="shared" si="22"/>
        <v>RT0076PE|RH-31925</v>
      </c>
      <c r="J677" t="str">
        <f t="shared" si="23"/>
        <v>SÍ</v>
      </c>
    </row>
    <row r="678" spans="1:10" x14ac:dyDescent="0.3">
      <c r="A678" t="s">
        <v>681</v>
      </c>
      <c r="B678" t="s">
        <v>850</v>
      </c>
      <c r="C678" t="s">
        <v>1245</v>
      </c>
      <c r="D678" s="23">
        <v>46219.195914351847</v>
      </c>
      <c r="E678" t="s">
        <v>1637</v>
      </c>
      <c r="F678">
        <v>10</v>
      </c>
      <c r="G678" t="s">
        <v>2171</v>
      </c>
      <c r="I678" t="str">
        <f t="shared" si="22"/>
        <v>RT0076PE|RH-32025</v>
      </c>
      <c r="J678" t="str">
        <f t="shared" si="23"/>
        <v>SÍ</v>
      </c>
    </row>
    <row r="679" spans="1:10" x14ac:dyDescent="0.3">
      <c r="A679" t="s">
        <v>681</v>
      </c>
      <c r="B679" t="s">
        <v>850</v>
      </c>
      <c r="C679" t="s">
        <v>1246</v>
      </c>
      <c r="D679" s="23">
        <v>46244</v>
      </c>
      <c r="E679" t="s">
        <v>1637</v>
      </c>
      <c r="F679">
        <v>1</v>
      </c>
      <c r="G679" t="s">
        <v>2171</v>
      </c>
      <c r="I679" t="str">
        <f t="shared" si="22"/>
        <v>RT0076PE|RH-34425</v>
      </c>
      <c r="J679" t="str">
        <f t="shared" si="23"/>
        <v>SÍ</v>
      </c>
    </row>
    <row r="680" spans="1:10" x14ac:dyDescent="0.3">
      <c r="A680" t="s">
        <v>606</v>
      </c>
      <c r="B680" t="s">
        <v>775</v>
      </c>
      <c r="C680" t="s">
        <v>1247</v>
      </c>
      <c r="D680" s="23">
        <v>46443</v>
      </c>
      <c r="E680" t="s">
        <v>1637</v>
      </c>
      <c r="F680">
        <v>64</v>
      </c>
      <c r="G680" t="s">
        <v>2171</v>
      </c>
      <c r="I680" t="str">
        <f t="shared" si="22"/>
        <v>RT0106PE|RJ-17626-E1</v>
      </c>
      <c r="J680" t="str">
        <f t="shared" si="23"/>
        <v>SÍ</v>
      </c>
    </row>
    <row r="681" spans="1:10" x14ac:dyDescent="0.3">
      <c r="A681" t="s">
        <v>682</v>
      </c>
      <c r="B681" t="s">
        <v>851</v>
      </c>
      <c r="C681" t="s">
        <v>1248</v>
      </c>
      <c r="D681" s="23">
        <v>46420</v>
      </c>
      <c r="E681" t="s">
        <v>1637</v>
      </c>
      <c r="F681">
        <v>3</v>
      </c>
      <c r="G681" t="s">
        <v>2168</v>
      </c>
      <c r="I681" t="str">
        <f t="shared" si="22"/>
        <v>TTS0001PE|TTN-15326-E7</v>
      </c>
      <c r="J681" t="str">
        <f t="shared" si="23"/>
        <v>SÍ</v>
      </c>
    </row>
    <row r="682" spans="1:10" x14ac:dyDescent="0.3">
      <c r="A682" t="s">
        <v>683</v>
      </c>
      <c r="B682" t="s">
        <v>852</v>
      </c>
      <c r="C682" t="s">
        <v>1249</v>
      </c>
      <c r="D682" s="23">
        <v>46488.916585648149</v>
      </c>
      <c r="E682" t="s">
        <v>1637</v>
      </c>
      <c r="F682">
        <v>6</v>
      </c>
      <c r="G682" t="s">
        <v>2174</v>
      </c>
      <c r="I682" t="str">
        <f t="shared" si="22"/>
        <v>TC0117PE|DUO-16326-E11</v>
      </c>
      <c r="J682" t="str">
        <f t="shared" si="23"/>
        <v>SÍ</v>
      </c>
    </row>
    <row r="683" spans="1:10" x14ac:dyDescent="0.3">
      <c r="A683" t="s">
        <v>673</v>
      </c>
      <c r="B683" t="s">
        <v>842</v>
      </c>
      <c r="C683" t="s">
        <v>1250</v>
      </c>
      <c r="D683" s="23">
        <v>46395.251099537039</v>
      </c>
      <c r="E683" t="s">
        <v>1637</v>
      </c>
      <c r="F683">
        <v>26</v>
      </c>
      <c r="G683" t="s">
        <v>2171</v>
      </c>
      <c r="I683" t="str">
        <f t="shared" si="22"/>
        <v>RT0059PE|RN-13326-E8</v>
      </c>
      <c r="J683" t="str">
        <f t="shared" si="23"/>
        <v>SÍ</v>
      </c>
    </row>
    <row r="684" spans="1:10" x14ac:dyDescent="0.3">
      <c r="A684" t="s">
        <v>620</v>
      </c>
      <c r="B684" t="s">
        <v>789</v>
      </c>
      <c r="C684" t="s">
        <v>1251</v>
      </c>
      <c r="D684" s="23">
        <v>46184.274618055562</v>
      </c>
      <c r="E684" t="s">
        <v>1637</v>
      </c>
      <c r="F684">
        <v>23</v>
      </c>
      <c r="G684" t="s">
        <v>2168</v>
      </c>
      <c r="I684" t="str">
        <f t="shared" si="22"/>
        <v>TC0244PE|SNP-16226-E1</v>
      </c>
      <c r="J684" t="str">
        <f t="shared" si="23"/>
        <v>SÍ</v>
      </c>
    </row>
    <row r="685" spans="1:10" x14ac:dyDescent="0.3">
      <c r="A685" t="s">
        <v>588</v>
      </c>
      <c r="B685" t="s">
        <v>757</v>
      </c>
      <c r="C685" t="s">
        <v>1252</v>
      </c>
      <c r="D685" s="23">
        <v>46494</v>
      </c>
      <c r="E685" t="s">
        <v>1637</v>
      </c>
      <c r="F685">
        <v>21</v>
      </c>
      <c r="G685" t="s">
        <v>2169</v>
      </c>
      <c r="I685" t="str">
        <f t="shared" si="22"/>
        <v>TC0086PE|SC-16826-E8</v>
      </c>
      <c r="J685" t="str">
        <f t="shared" si="23"/>
        <v>SÍ</v>
      </c>
    </row>
    <row r="686" spans="1:10" x14ac:dyDescent="0.3">
      <c r="A686" t="s">
        <v>625</v>
      </c>
      <c r="B686" t="s">
        <v>794</v>
      </c>
      <c r="C686" t="s">
        <v>1253</v>
      </c>
      <c r="D686" s="23">
        <v>46485.962337962963</v>
      </c>
      <c r="E686" t="s">
        <v>1637</v>
      </c>
      <c r="F686">
        <v>2</v>
      </c>
      <c r="G686" t="s">
        <v>2168</v>
      </c>
      <c r="I686" t="str">
        <f t="shared" si="22"/>
        <v>TTS0002PE|TTJ-15926-E5</v>
      </c>
      <c r="J686" t="str">
        <f t="shared" si="23"/>
        <v>SÍ</v>
      </c>
    </row>
    <row r="687" spans="1:10" x14ac:dyDescent="0.3">
      <c r="A687" t="s">
        <v>682</v>
      </c>
      <c r="B687" t="s">
        <v>851</v>
      </c>
      <c r="C687" t="s">
        <v>1254</v>
      </c>
      <c r="D687" s="23">
        <v>46485.911481481482</v>
      </c>
      <c r="E687" t="s">
        <v>1637</v>
      </c>
      <c r="F687">
        <v>9</v>
      </c>
      <c r="G687" t="s">
        <v>2168</v>
      </c>
      <c r="I687" t="str">
        <f t="shared" si="22"/>
        <v>TTS0001PE|TTN-15926-E3</v>
      </c>
      <c r="J687" t="str">
        <f t="shared" si="23"/>
        <v>SÍ</v>
      </c>
    </row>
    <row r="688" spans="1:10" x14ac:dyDescent="0.3">
      <c r="A688" t="s">
        <v>591</v>
      </c>
      <c r="B688" t="s">
        <v>760</v>
      </c>
      <c r="C688" t="s">
        <v>1108</v>
      </c>
      <c r="D688" s="23">
        <v>46483.204768518517</v>
      </c>
      <c r="E688" t="s">
        <v>1637</v>
      </c>
      <c r="F688">
        <v>37</v>
      </c>
      <c r="G688" t="s">
        <v>2169</v>
      </c>
      <c r="I688" t="str">
        <f t="shared" si="22"/>
        <v>TC0087PE|SP-15726-E7</v>
      </c>
      <c r="J688" t="str">
        <f t="shared" si="23"/>
        <v>SÍ</v>
      </c>
    </row>
    <row r="689" spans="1:10" x14ac:dyDescent="0.3">
      <c r="A689" t="s">
        <v>682</v>
      </c>
      <c r="B689" t="s">
        <v>851</v>
      </c>
      <c r="C689" t="s">
        <v>1255</v>
      </c>
      <c r="D689" s="23">
        <v>46486</v>
      </c>
      <c r="E689" t="s">
        <v>1637</v>
      </c>
      <c r="F689">
        <v>7</v>
      </c>
      <c r="G689" t="s">
        <v>2168</v>
      </c>
      <c r="I689" t="str">
        <f t="shared" si="22"/>
        <v>TTS0001PE|TTN-16026-E5</v>
      </c>
      <c r="J689" t="str">
        <f t="shared" si="23"/>
        <v>SÍ</v>
      </c>
    </row>
    <row r="690" spans="1:10" x14ac:dyDescent="0.3">
      <c r="A690" t="s">
        <v>580</v>
      </c>
      <c r="B690" t="s">
        <v>749</v>
      </c>
      <c r="C690" t="s">
        <v>1256</v>
      </c>
      <c r="D690" s="23">
        <v>46455.390300925923</v>
      </c>
      <c r="E690" t="s">
        <v>1637</v>
      </c>
      <c r="F690">
        <v>20</v>
      </c>
      <c r="G690" t="s">
        <v>2166</v>
      </c>
      <c r="I690" t="str">
        <f t="shared" si="22"/>
        <v>TC0004PE|SP-13326-E5</v>
      </c>
      <c r="J690" t="str">
        <f t="shared" si="23"/>
        <v>SÍ</v>
      </c>
    </row>
    <row r="691" spans="1:10" x14ac:dyDescent="0.3">
      <c r="A691" t="s">
        <v>684</v>
      </c>
      <c r="B691" t="s">
        <v>853</v>
      </c>
      <c r="C691" t="s">
        <v>1257</v>
      </c>
      <c r="D691" s="23">
        <v>46311.772303240738</v>
      </c>
      <c r="E691" t="s">
        <v>1637</v>
      </c>
      <c r="F691">
        <v>31</v>
      </c>
      <c r="G691" t="s">
        <v>2169</v>
      </c>
      <c r="I691" t="str">
        <f t="shared" si="22"/>
        <v>RT0093PE|RP-06626-E3</v>
      </c>
      <c r="J691" t="str">
        <f t="shared" si="23"/>
        <v>SÍ</v>
      </c>
    </row>
    <row r="692" spans="1:10" x14ac:dyDescent="0.3">
      <c r="A692" t="s">
        <v>684</v>
      </c>
      <c r="B692" t="s">
        <v>853</v>
      </c>
      <c r="C692" t="s">
        <v>1258</v>
      </c>
      <c r="D692" s="23">
        <v>46356.100115740737</v>
      </c>
      <c r="E692" t="s">
        <v>1637</v>
      </c>
      <c r="F692">
        <v>24</v>
      </c>
      <c r="G692" t="s">
        <v>2169</v>
      </c>
      <c r="I692" t="str">
        <f t="shared" si="22"/>
        <v>RT0093PE|RP-08926-E3</v>
      </c>
      <c r="J692" t="str">
        <f t="shared" si="23"/>
        <v>SÍ</v>
      </c>
    </row>
    <row r="693" spans="1:10" x14ac:dyDescent="0.3">
      <c r="A693" t="s">
        <v>684</v>
      </c>
      <c r="B693" t="s">
        <v>853</v>
      </c>
      <c r="C693" t="s">
        <v>1259</v>
      </c>
      <c r="D693" s="23">
        <v>46357.11078703704</v>
      </c>
      <c r="E693" t="s">
        <v>1637</v>
      </c>
      <c r="F693">
        <v>3</v>
      </c>
      <c r="G693" t="s">
        <v>2169</v>
      </c>
      <c r="I693" t="str">
        <f t="shared" si="22"/>
        <v>RT0093PE|RP-09026-E3</v>
      </c>
      <c r="J693" t="str">
        <f t="shared" si="23"/>
        <v>SÍ</v>
      </c>
    </row>
    <row r="694" spans="1:10" x14ac:dyDescent="0.3">
      <c r="A694" t="s">
        <v>684</v>
      </c>
      <c r="B694" t="s">
        <v>853</v>
      </c>
      <c r="C694" t="s">
        <v>1260</v>
      </c>
      <c r="D694" s="23">
        <v>46380.725740740738</v>
      </c>
      <c r="E694" t="s">
        <v>1637</v>
      </c>
      <c r="F694">
        <v>42</v>
      </c>
      <c r="G694" t="s">
        <v>2169</v>
      </c>
      <c r="I694" t="str">
        <f t="shared" si="22"/>
        <v>RT0093PE|RP-09026-E2</v>
      </c>
      <c r="J694" t="str">
        <f t="shared" si="23"/>
        <v>SÍ</v>
      </c>
    </row>
    <row r="695" spans="1:10" x14ac:dyDescent="0.3">
      <c r="A695" t="s">
        <v>587</v>
      </c>
      <c r="B695" t="s">
        <v>756</v>
      </c>
      <c r="C695" t="s">
        <v>1261</v>
      </c>
      <c r="D695" s="23">
        <v>46484.199942129628</v>
      </c>
      <c r="E695" t="s">
        <v>1637</v>
      </c>
      <c r="F695">
        <v>52</v>
      </c>
      <c r="G695" t="s">
        <v>2168</v>
      </c>
      <c r="I695" t="str">
        <f t="shared" si="22"/>
        <v>TC0099PE|SP-15826-E7</v>
      </c>
      <c r="J695" t="str">
        <f t="shared" si="23"/>
        <v>SÍ</v>
      </c>
    </row>
    <row r="696" spans="1:10" x14ac:dyDescent="0.3">
      <c r="A696" t="s">
        <v>607</v>
      </c>
      <c r="B696" t="s">
        <v>776</v>
      </c>
      <c r="C696" t="s">
        <v>1262</v>
      </c>
      <c r="D696" s="23">
        <v>46363.671793981477</v>
      </c>
      <c r="E696" t="s">
        <v>1637</v>
      </c>
      <c r="F696">
        <v>1</v>
      </c>
      <c r="G696" t="s">
        <v>2174</v>
      </c>
      <c r="I696" t="str">
        <f t="shared" si="22"/>
        <v>TC0115PE|DUO-04726-E11</v>
      </c>
      <c r="J696" t="str">
        <f t="shared" si="23"/>
        <v>SÍ</v>
      </c>
    </row>
    <row r="697" spans="1:10" x14ac:dyDescent="0.3">
      <c r="A697" t="s">
        <v>617</v>
      </c>
      <c r="B697" t="s">
        <v>786</v>
      </c>
      <c r="C697" t="s">
        <v>1149</v>
      </c>
      <c r="D697" s="23">
        <v>46521.179039351853</v>
      </c>
      <c r="E697" t="s">
        <v>1637</v>
      </c>
      <c r="F697">
        <v>8</v>
      </c>
      <c r="G697" t="s">
        <v>2168</v>
      </c>
      <c r="I697" t="str">
        <f t="shared" si="22"/>
        <v>TC0223PE|PJ-16526-E3</v>
      </c>
      <c r="J697" t="str">
        <f t="shared" si="23"/>
        <v>SÍ</v>
      </c>
    </row>
    <row r="698" spans="1:10" x14ac:dyDescent="0.3">
      <c r="A698" t="s">
        <v>684</v>
      </c>
      <c r="B698" t="s">
        <v>853</v>
      </c>
      <c r="C698" t="s">
        <v>1263</v>
      </c>
      <c r="D698" s="23">
        <v>46357</v>
      </c>
      <c r="E698" t="s">
        <v>1637</v>
      </c>
      <c r="F698">
        <v>5</v>
      </c>
      <c r="G698" t="s">
        <v>2169</v>
      </c>
      <c r="I698" t="str">
        <f t="shared" si="22"/>
        <v>RT0093PE|RP-09126-E3</v>
      </c>
      <c r="J698" t="str">
        <f t="shared" si="23"/>
        <v>SÍ</v>
      </c>
    </row>
    <row r="699" spans="1:10" x14ac:dyDescent="0.3">
      <c r="A699" t="s">
        <v>624</v>
      </c>
      <c r="B699" t="s">
        <v>793</v>
      </c>
      <c r="C699" t="s">
        <v>1264</v>
      </c>
      <c r="D699" s="23">
        <v>46456.747453703712</v>
      </c>
      <c r="E699" t="s">
        <v>1637</v>
      </c>
      <c r="F699">
        <v>1</v>
      </c>
      <c r="G699" t="s">
        <v>2175</v>
      </c>
      <c r="I699" t="str">
        <f t="shared" si="22"/>
        <v>TC0200PE|TIY-13026-E7</v>
      </c>
      <c r="J699" t="str">
        <f t="shared" si="23"/>
        <v>SÍ</v>
      </c>
    </row>
    <row r="700" spans="1:10" x14ac:dyDescent="0.3">
      <c r="A700" t="s">
        <v>607</v>
      </c>
      <c r="B700" t="s">
        <v>776</v>
      </c>
      <c r="C700" t="s">
        <v>1265</v>
      </c>
      <c r="D700" s="23">
        <v>46356.199907407397</v>
      </c>
      <c r="E700" t="s">
        <v>1637</v>
      </c>
      <c r="F700">
        <v>1</v>
      </c>
      <c r="G700" t="s">
        <v>2174</v>
      </c>
      <c r="I700" t="str">
        <f t="shared" si="22"/>
        <v>TC0115PE|DUO-11326-E11</v>
      </c>
      <c r="J700" t="str">
        <f t="shared" si="23"/>
        <v>SÍ</v>
      </c>
    </row>
    <row r="701" spans="1:10" x14ac:dyDescent="0.3">
      <c r="A701" t="s">
        <v>617</v>
      </c>
      <c r="B701" t="s">
        <v>786</v>
      </c>
      <c r="C701" t="s">
        <v>1266</v>
      </c>
      <c r="D701" s="23">
        <v>46455.063460648147</v>
      </c>
      <c r="E701" t="s">
        <v>1637</v>
      </c>
      <c r="F701">
        <v>16</v>
      </c>
      <c r="G701" t="s">
        <v>2168</v>
      </c>
      <c r="I701" t="str">
        <f t="shared" si="22"/>
        <v>TC0223PE|PJ-12926-E1</v>
      </c>
      <c r="J701" t="str">
        <f t="shared" si="23"/>
        <v>SÍ</v>
      </c>
    </row>
    <row r="702" spans="1:10" x14ac:dyDescent="0.3">
      <c r="A702" t="s">
        <v>684</v>
      </c>
      <c r="B702" t="s">
        <v>853</v>
      </c>
      <c r="C702" t="s">
        <v>1267</v>
      </c>
      <c r="D702" s="23">
        <v>46357</v>
      </c>
      <c r="E702" t="s">
        <v>1637</v>
      </c>
      <c r="F702">
        <v>15</v>
      </c>
      <c r="G702" t="s">
        <v>2169</v>
      </c>
      <c r="I702" t="str">
        <f t="shared" si="22"/>
        <v>RT0093PE|RP-09126-E2</v>
      </c>
      <c r="J702" t="str">
        <f t="shared" si="23"/>
        <v>SÍ</v>
      </c>
    </row>
    <row r="703" spans="1:10" x14ac:dyDescent="0.3">
      <c r="A703" t="s">
        <v>587</v>
      </c>
      <c r="B703" t="s">
        <v>756</v>
      </c>
      <c r="C703" t="s">
        <v>1268</v>
      </c>
      <c r="D703" s="23">
        <v>46342.03597222222</v>
      </c>
      <c r="E703" t="s">
        <v>1637</v>
      </c>
      <c r="F703">
        <v>3</v>
      </c>
      <c r="G703" t="s">
        <v>2168</v>
      </c>
      <c r="I703" t="str">
        <f t="shared" si="22"/>
        <v>TC0099PE|SP-01626-E7</v>
      </c>
      <c r="J703" t="str">
        <f t="shared" si="23"/>
        <v>SÍ</v>
      </c>
    </row>
    <row r="704" spans="1:10" x14ac:dyDescent="0.3">
      <c r="A704" t="s">
        <v>586</v>
      </c>
      <c r="B704" t="s">
        <v>755</v>
      </c>
      <c r="C704" t="s">
        <v>1269</v>
      </c>
      <c r="D704" s="23">
        <v>46486.9530787037</v>
      </c>
      <c r="E704" t="s">
        <v>1637</v>
      </c>
      <c r="F704">
        <v>6</v>
      </c>
      <c r="G704" t="s">
        <v>2169</v>
      </c>
      <c r="I704" t="str">
        <f t="shared" si="22"/>
        <v>TC0082PE|SN-16026-E2</v>
      </c>
      <c r="J704" t="str">
        <f t="shared" si="23"/>
        <v>SÍ</v>
      </c>
    </row>
    <row r="705" spans="1:10" x14ac:dyDescent="0.3">
      <c r="A705" t="s">
        <v>586</v>
      </c>
      <c r="B705" t="s">
        <v>755</v>
      </c>
      <c r="C705" t="s">
        <v>1087</v>
      </c>
      <c r="D705" s="23">
        <v>46463.193379629629</v>
      </c>
      <c r="E705" t="s">
        <v>1637</v>
      </c>
      <c r="F705">
        <v>3</v>
      </c>
      <c r="G705" t="s">
        <v>2169</v>
      </c>
      <c r="I705" t="str">
        <f t="shared" si="22"/>
        <v>TC0082PE|SN-14126-E8</v>
      </c>
      <c r="J705" t="str">
        <f t="shared" si="23"/>
        <v>SÍ</v>
      </c>
    </row>
    <row r="706" spans="1:10" x14ac:dyDescent="0.3">
      <c r="A706" t="s">
        <v>615</v>
      </c>
      <c r="B706" t="s">
        <v>784</v>
      </c>
      <c r="C706" t="s">
        <v>1270</v>
      </c>
      <c r="D706" s="23">
        <v>46490.182488425933</v>
      </c>
      <c r="E706" t="s">
        <v>1637</v>
      </c>
      <c r="F706">
        <v>3</v>
      </c>
      <c r="G706" t="s">
        <v>2168</v>
      </c>
      <c r="I706" t="str">
        <f t="shared" si="22"/>
        <v>TC0224PE|LP-16426-E4</v>
      </c>
      <c r="J706" t="str">
        <f t="shared" si="23"/>
        <v>SÍ</v>
      </c>
    </row>
    <row r="707" spans="1:10" x14ac:dyDescent="0.3">
      <c r="A707" t="s">
        <v>607</v>
      </c>
      <c r="B707" t="s">
        <v>776</v>
      </c>
      <c r="C707" t="s">
        <v>1271</v>
      </c>
      <c r="D707" s="23">
        <v>46424.460347222222</v>
      </c>
      <c r="E707" t="s">
        <v>1637</v>
      </c>
      <c r="F707">
        <v>2</v>
      </c>
      <c r="G707" t="s">
        <v>2174</v>
      </c>
      <c r="I707" t="str">
        <f t="shared" si="22"/>
        <v>TC0115PE|DUO-09626-E11</v>
      </c>
      <c r="J707" t="str">
        <f t="shared" si="23"/>
        <v>SÍ</v>
      </c>
    </row>
    <row r="708" spans="1:10" x14ac:dyDescent="0.3">
      <c r="A708" t="s">
        <v>607</v>
      </c>
      <c r="B708" t="s">
        <v>776</v>
      </c>
      <c r="C708" t="s">
        <v>1272</v>
      </c>
      <c r="D708" s="23">
        <v>46428.999525462961</v>
      </c>
      <c r="E708" t="s">
        <v>1637</v>
      </c>
      <c r="F708">
        <v>0.5</v>
      </c>
      <c r="G708" t="s">
        <v>2174</v>
      </c>
      <c r="I708" t="str">
        <f t="shared" si="22"/>
        <v>TC0115PE|DUO-13426-E11</v>
      </c>
      <c r="J708" t="str">
        <f t="shared" si="23"/>
        <v>SÍ</v>
      </c>
    </row>
    <row r="709" spans="1:10" x14ac:dyDescent="0.3">
      <c r="A709" t="s">
        <v>617</v>
      </c>
      <c r="B709" t="s">
        <v>786</v>
      </c>
      <c r="C709" t="s">
        <v>1273</v>
      </c>
      <c r="D709" s="23">
        <v>46420.691018518519</v>
      </c>
      <c r="E709" t="s">
        <v>1637</v>
      </c>
      <c r="F709">
        <v>1</v>
      </c>
      <c r="G709" t="s">
        <v>2168</v>
      </c>
      <c r="I709" t="str">
        <f t="shared" si="22"/>
        <v>TC0223PE|PJ-09826-E2</v>
      </c>
      <c r="J709" t="str">
        <f t="shared" si="23"/>
        <v>SÍ</v>
      </c>
    </row>
    <row r="710" spans="1:10" x14ac:dyDescent="0.3">
      <c r="A710" t="s">
        <v>587</v>
      </c>
      <c r="B710" t="s">
        <v>756</v>
      </c>
      <c r="C710" t="s">
        <v>1274</v>
      </c>
      <c r="D710" s="23">
        <v>46350.063391203701</v>
      </c>
      <c r="E710" t="s">
        <v>1637</v>
      </c>
      <c r="F710">
        <v>9</v>
      </c>
      <c r="G710" t="s">
        <v>2168</v>
      </c>
      <c r="I710" t="str">
        <f t="shared" si="22"/>
        <v>TC0099PE|SP-02426-E8</v>
      </c>
      <c r="J710" t="str">
        <f t="shared" si="23"/>
        <v>SÍ</v>
      </c>
    </row>
    <row r="711" spans="1:10" x14ac:dyDescent="0.3">
      <c r="A711" t="s">
        <v>586</v>
      </c>
      <c r="B711" t="s">
        <v>755</v>
      </c>
      <c r="C711" t="s">
        <v>988</v>
      </c>
      <c r="D711" s="23">
        <v>46462.40452546296</v>
      </c>
      <c r="E711" t="s">
        <v>1637</v>
      </c>
      <c r="F711">
        <v>0</v>
      </c>
      <c r="G711" t="s">
        <v>2169</v>
      </c>
      <c r="I711" t="str">
        <f t="shared" si="22"/>
        <v>TC0082PE|SN-14026-E8</v>
      </c>
      <c r="J711" t="str">
        <f t="shared" si="23"/>
        <v>SÍ</v>
      </c>
    </row>
    <row r="712" spans="1:10" x14ac:dyDescent="0.3">
      <c r="A712" t="s">
        <v>607</v>
      </c>
      <c r="B712" t="s">
        <v>776</v>
      </c>
      <c r="C712" t="s">
        <v>1275</v>
      </c>
      <c r="D712" s="23">
        <v>46724.393506944441</v>
      </c>
      <c r="E712" t="s">
        <v>1637</v>
      </c>
      <c r="F712">
        <v>5</v>
      </c>
      <c r="G712" t="s">
        <v>2174</v>
      </c>
      <c r="I712" t="str">
        <f t="shared" si="22"/>
        <v>TC0115PE|DUO-10526-E11</v>
      </c>
      <c r="J712" t="str">
        <f t="shared" si="23"/>
        <v>SÍ</v>
      </c>
    </row>
    <row r="713" spans="1:10" x14ac:dyDescent="0.3">
      <c r="A713" t="s">
        <v>685</v>
      </c>
      <c r="B713" t="s">
        <v>854</v>
      </c>
      <c r="C713" t="s">
        <v>1276</v>
      </c>
      <c r="D713" s="23">
        <v>46352.09888888889</v>
      </c>
      <c r="E713" t="s">
        <v>1637</v>
      </c>
      <c r="F713">
        <v>1</v>
      </c>
      <c r="G713" t="s">
        <v>2171</v>
      </c>
      <c r="I713" t="str">
        <f t="shared" si="22"/>
        <v>RT0074PE|RJ-08526-E5</v>
      </c>
      <c r="J713" t="str">
        <f t="shared" si="23"/>
        <v>SÍ</v>
      </c>
    </row>
    <row r="714" spans="1:10" x14ac:dyDescent="0.3">
      <c r="A714" t="s">
        <v>686</v>
      </c>
      <c r="B714" t="s">
        <v>855</v>
      </c>
      <c r="C714" t="s">
        <v>1277</v>
      </c>
      <c r="D714" s="23">
        <v>46368.201817129629</v>
      </c>
      <c r="E714" t="s">
        <v>1637</v>
      </c>
      <c r="F714">
        <v>33</v>
      </c>
      <c r="G714" t="s">
        <v>2174</v>
      </c>
      <c r="I714" t="str">
        <f t="shared" si="22"/>
        <v>TC0118PE|DUO-10526</v>
      </c>
      <c r="J714" t="str">
        <f t="shared" si="23"/>
        <v>SÍ</v>
      </c>
    </row>
    <row r="715" spans="1:10" x14ac:dyDescent="0.3">
      <c r="A715" t="s">
        <v>686</v>
      </c>
      <c r="B715" t="s">
        <v>855</v>
      </c>
      <c r="C715" t="s">
        <v>1278</v>
      </c>
      <c r="D715" s="23">
        <v>46365.456967592603</v>
      </c>
      <c r="E715" t="s">
        <v>1637</v>
      </c>
      <c r="F715">
        <v>38</v>
      </c>
      <c r="G715" t="s">
        <v>2174</v>
      </c>
      <c r="I715" t="str">
        <f t="shared" si="22"/>
        <v>TC0118PE|DUO-11626</v>
      </c>
      <c r="J715" t="str">
        <f t="shared" si="23"/>
        <v>SÍ</v>
      </c>
    </row>
    <row r="716" spans="1:10" x14ac:dyDescent="0.3">
      <c r="A716" t="s">
        <v>683</v>
      </c>
      <c r="B716" t="s">
        <v>852</v>
      </c>
      <c r="C716" t="s">
        <v>1277</v>
      </c>
      <c r="D716" s="23">
        <v>46360.182592592602</v>
      </c>
      <c r="E716" t="s">
        <v>1637</v>
      </c>
      <c r="F716">
        <v>5</v>
      </c>
      <c r="G716" t="s">
        <v>2174</v>
      </c>
      <c r="I716" t="str">
        <f t="shared" si="22"/>
        <v>TC0117PE|DUO-10526</v>
      </c>
      <c r="J716" t="str">
        <f t="shared" si="23"/>
        <v>SÍ</v>
      </c>
    </row>
    <row r="717" spans="1:10" x14ac:dyDescent="0.3">
      <c r="A717" t="s">
        <v>683</v>
      </c>
      <c r="B717" t="s">
        <v>852</v>
      </c>
      <c r="C717" t="s">
        <v>1279</v>
      </c>
      <c r="D717" s="23">
        <v>46249.435995370368</v>
      </c>
      <c r="E717" t="s">
        <v>1637</v>
      </c>
      <c r="F717">
        <v>1</v>
      </c>
      <c r="G717" t="s">
        <v>2174</v>
      </c>
      <c r="I717" t="str">
        <f t="shared" si="22"/>
        <v>TC0117PE|DUO-09826</v>
      </c>
      <c r="J717" t="str">
        <f t="shared" si="23"/>
        <v>SÍ</v>
      </c>
    </row>
    <row r="718" spans="1:10" x14ac:dyDescent="0.3">
      <c r="A718" t="s">
        <v>683</v>
      </c>
      <c r="B718" t="s">
        <v>852</v>
      </c>
      <c r="C718" t="s">
        <v>1280</v>
      </c>
      <c r="D718" s="23">
        <v>46360.477893518517</v>
      </c>
      <c r="E718" t="s">
        <v>1637</v>
      </c>
      <c r="F718">
        <v>5</v>
      </c>
      <c r="G718" t="s">
        <v>2174</v>
      </c>
      <c r="I718" t="str">
        <f t="shared" si="22"/>
        <v>TC0117PE|DUO-11426</v>
      </c>
      <c r="J718" t="str">
        <f t="shared" si="23"/>
        <v>SÍ</v>
      </c>
    </row>
    <row r="719" spans="1:10" x14ac:dyDescent="0.3">
      <c r="A719" t="s">
        <v>574</v>
      </c>
      <c r="B719" t="s">
        <v>743</v>
      </c>
      <c r="C719" t="s">
        <v>963</v>
      </c>
      <c r="D719" s="23">
        <v>46414.058969907397</v>
      </c>
      <c r="E719" t="s">
        <v>1637</v>
      </c>
      <c r="F719">
        <v>19</v>
      </c>
      <c r="G719" t="s">
        <v>2166</v>
      </c>
      <c r="I719" t="str">
        <f t="shared" si="22"/>
        <v>TC0054PE|SP-08626-E7</v>
      </c>
      <c r="J719" t="str">
        <f t="shared" si="23"/>
        <v>SÍ</v>
      </c>
    </row>
    <row r="720" spans="1:10" x14ac:dyDescent="0.3">
      <c r="A720" t="s">
        <v>686</v>
      </c>
      <c r="B720" t="s">
        <v>855</v>
      </c>
      <c r="C720" t="s">
        <v>1281</v>
      </c>
      <c r="D720" s="23">
        <v>46451.934224537043</v>
      </c>
      <c r="E720" t="s">
        <v>1637</v>
      </c>
      <c r="F720">
        <v>2</v>
      </c>
      <c r="G720" t="s">
        <v>2174</v>
      </c>
      <c r="I720" t="str">
        <f t="shared" si="22"/>
        <v>TC0118PE|DUO-13826</v>
      </c>
      <c r="J720" t="str">
        <f t="shared" si="23"/>
        <v>SÍ</v>
      </c>
    </row>
    <row r="721" spans="1:10" x14ac:dyDescent="0.3">
      <c r="A721" t="s">
        <v>582</v>
      </c>
      <c r="B721" t="s">
        <v>751</v>
      </c>
      <c r="C721" t="s">
        <v>1282</v>
      </c>
      <c r="D721" s="23">
        <v>46440.709594907406</v>
      </c>
      <c r="E721" t="s">
        <v>1637</v>
      </c>
      <c r="F721">
        <v>2</v>
      </c>
      <c r="G721" t="s">
        <v>2166</v>
      </c>
      <c r="I721" t="str">
        <f t="shared" si="22"/>
        <v>TC0006PE|SN-11226-E1</v>
      </c>
      <c r="J721" t="str">
        <f t="shared" si="23"/>
        <v>SÍ</v>
      </c>
    </row>
    <row r="722" spans="1:10" x14ac:dyDescent="0.3">
      <c r="A722" t="s">
        <v>582</v>
      </c>
      <c r="B722" t="s">
        <v>751</v>
      </c>
      <c r="C722" t="s">
        <v>1283</v>
      </c>
      <c r="D722" s="23">
        <v>46487.139004629629</v>
      </c>
      <c r="E722" t="s">
        <v>1637</v>
      </c>
      <c r="F722">
        <v>3</v>
      </c>
      <c r="G722" t="s">
        <v>2166</v>
      </c>
      <c r="I722" t="str">
        <f t="shared" ref="I722:I785" si="24">IF(A722="","",A722&amp;"|"&amp;C722)</f>
        <v>TC0006PE|SN-16126-E4</v>
      </c>
      <c r="J722" t="str">
        <f t="shared" ref="J722:J785" si="25">IF(A722&lt;&gt;"","SÍ","NO")</f>
        <v>SÍ</v>
      </c>
    </row>
    <row r="723" spans="1:10" x14ac:dyDescent="0.3">
      <c r="A723" t="s">
        <v>629</v>
      </c>
      <c r="B723" t="s">
        <v>798</v>
      </c>
      <c r="C723" t="s">
        <v>1284</v>
      </c>
      <c r="D723" s="23">
        <v>46482.936620370368</v>
      </c>
      <c r="E723" t="s">
        <v>1637</v>
      </c>
      <c r="F723">
        <v>4</v>
      </c>
      <c r="G723" t="s">
        <v>2174</v>
      </c>
      <c r="I723" t="str">
        <f t="shared" si="24"/>
        <v>TC0116PE|DUO-16226-E11</v>
      </c>
      <c r="J723" t="str">
        <f t="shared" si="25"/>
        <v>SÍ</v>
      </c>
    </row>
    <row r="724" spans="1:10" x14ac:dyDescent="0.3">
      <c r="A724" t="s">
        <v>582</v>
      </c>
      <c r="B724" t="s">
        <v>751</v>
      </c>
      <c r="C724" t="s">
        <v>968</v>
      </c>
      <c r="D724" s="23">
        <v>46447.61378472222</v>
      </c>
      <c r="E724" t="s">
        <v>1637</v>
      </c>
      <c r="F724">
        <v>2</v>
      </c>
      <c r="G724" t="s">
        <v>2166</v>
      </c>
      <c r="I724" t="str">
        <f t="shared" si="24"/>
        <v>TC0006PE|SN-12526-E3</v>
      </c>
      <c r="J724" t="str">
        <f t="shared" si="25"/>
        <v>SÍ</v>
      </c>
    </row>
    <row r="725" spans="1:10" x14ac:dyDescent="0.3">
      <c r="A725" t="s">
        <v>582</v>
      </c>
      <c r="B725" t="s">
        <v>751</v>
      </c>
      <c r="C725" t="s">
        <v>1285</v>
      </c>
      <c r="D725" s="23">
        <v>46464.325659722221</v>
      </c>
      <c r="E725" t="s">
        <v>1637</v>
      </c>
      <c r="F725">
        <v>7</v>
      </c>
      <c r="G725" t="s">
        <v>2166</v>
      </c>
      <c r="I725" t="str">
        <f t="shared" si="24"/>
        <v>TC0006PE|SN-14226-E7</v>
      </c>
      <c r="J725" t="str">
        <f t="shared" si="25"/>
        <v>SÍ</v>
      </c>
    </row>
    <row r="726" spans="1:10" x14ac:dyDescent="0.3">
      <c r="A726" t="s">
        <v>582</v>
      </c>
      <c r="B726" t="s">
        <v>751</v>
      </c>
      <c r="C726" t="s">
        <v>1286</v>
      </c>
      <c r="D726" s="23">
        <v>46452.111192129632</v>
      </c>
      <c r="E726" t="s">
        <v>1637</v>
      </c>
      <c r="F726">
        <v>2</v>
      </c>
      <c r="G726" t="s">
        <v>2166</v>
      </c>
      <c r="I726" t="str">
        <f t="shared" si="24"/>
        <v>TC0006PE|SN-12626-E4</v>
      </c>
      <c r="J726" t="str">
        <f t="shared" si="25"/>
        <v>SÍ</v>
      </c>
    </row>
    <row r="727" spans="1:10" x14ac:dyDescent="0.3">
      <c r="A727" t="s">
        <v>582</v>
      </c>
      <c r="B727" t="s">
        <v>751</v>
      </c>
      <c r="C727" t="s">
        <v>987</v>
      </c>
      <c r="D727" s="23">
        <v>46452.106631944444</v>
      </c>
      <c r="E727" t="s">
        <v>1637</v>
      </c>
      <c r="F727">
        <v>5</v>
      </c>
      <c r="G727" t="s">
        <v>2166</v>
      </c>
      <c r="I727" t="str">
        <f t="shared" si="24"/>
        <v>TC0006PE|SN-12626-E3</v>
      </c>
      <c r="J727" t="str">
        <f t="shared" si="25"/>
        <v>SÍ</v>
      </c>
    </row>
    <row r="728" spans="1:10" x14ac:dyDescent="0.3">
      <c r="A728" t="s">
        <v>582</v>
      </c>
      <c r="B728" t="s">
        <v>751</v>
      </c>
      <c r="C728" t="s">
        <v>987</v>
      </c>
      <c r="D728" s="23">
        <v>46452.106631944444</v>
      </c>
      <c r="E728" t="s">
        <v>1636</v>
      </c>
      <c r="F728">
        <v>1</v>
      </c>
      <c r="G728" t="s">
        <v>2166</v>
      </c>
      <c r="I728" t="str">
        <f t="shared" si="24"/>
        <v>TC0006PE|SN-12626-E3</v>
      </c>
      <c r="J728" t="str">
        <f t="shared" si="25"/>
        <v>SÍ</v>
      </c>
    </row>
    <row r="729" spans="1:10" x14ac:dyDescent="0.3">
      <c r="A729" t="s">
        <v>583</v>
      </c>
      <c r="B729" t="s">
        <v>752</v>
      </c>
      <c r="C729" t="s">
        <v>1287</v>
      </c>
      <c r="D729" s="23">
        <v>46488.213090277779</v>
      </c>
      <c r="E729" t="s">
        <v>1636</v>
      </c>
      <c r="F729">
        <v>2</v>
      </c>
      <c r="G729" t="s">
        <v>2166</v>
      </c>
      <c r="I729" t="str">
        <f t="shared" si="24"/>
        <v>TC0016PE|SN-16226-E4</v>
      </c>
      <c r="J729" t="str">
        <f t="shared" si="25"/>
        <v>SÍ</v>
      </c>
    </row>
    <row r="730" spans="1:10" x14ac:dyDescent="0.3">
      <c r="A730" t="s">
        <v>583</v>
      </c>
      <c r="B730" t="s">
        <v>752</v>
      </c>
      <c r="C730" t="s">
        <v>1288</v>
      </c>
      <c r="D730" s="23">
        <v>46418.360578703701</v>
      </c>
      <c r="E730" t="s">
        <v>1636</v>
      </c>
      <c r="F730">
        <v>1</v>
      </c>
      <c r="G730" t="s">
        <v>2166</v>
      </c>
      <c r="I730" t="str">
        <f t="shared" si="24"/>
        <v>TC0016PE|SN-09226-E8</v>
      </c>
      <c r="J730" t="str">
        <f t="shared" si="25"/>
        <v>SÍ</v>
      </c>
    </row>
    <row r="731" spans="1:10" x14ac:dyDescent="0.3">
      <c r="A731" t="s">
        <v>618</v>
      </c>
      <c r="B731" t="s">
        <v>787</v>
      </c>
      <c r="C731" t="s">
        <v>1289</v>
      </c>
      <c r="D731" s="23">
        <v>46356.00472222222</v>
      </c>
      <c r="E731" t="s">
        <v>1636</v>
      </c>
      <c r="F731">
        <v>7</v>
      </c>
      <c r="G731" t="s">
        <v>2166</v>
      </c>
      <c r="I731" t="str">
        <f t="shared" si="24"/>
        <v>TC0028PE|SP-03026-E7</v>
      </c>
      <c r="J731" t="str">
        <f t="shared" si="25"/>
        <v>SÍ</v>
      </c>
    </row>
    <row r="732" spans="1:10" x14ac:dyDescent="0.3">
      <c r="A732" t="s">
        <v>629</v>
      </c>
      <c r="B732" t="s">
        <v>798</v>
      </c>
      <c r="C732" t="s">
        <v>1290</v>
      </c>
      <c r="D732" s="23">
        <v>46298.64230324074</v>
      </c>
      <c r="E732" t="s">
        <v>1636</v>
      </c>
      <c r="F732">
        <v>6</v>
      </c>
      <c r="G732" t="s">
        <v>2174</v>
      </c>
      <c r="I732" t="str">
        <f t="shared" si="24"/>
        <v>TC0116PE|DUO-02826-VAR</v>
      </c>
      <c r="J732" t="str">
        <f t="shared" si="25"/>
        <v>SÍ</v>
      </c>
    </row>
    <row r="733" spans="1:10" x14ac:dyDescent="0.3">
      <c r="A733" t="s">
        <v>629</v>
      </c>
      <c r="B733" t="s">
        <v>798</v>
      </c>
      <c r="C733" t="s">
        <v>1291</v>
      </c>
      <c r="D733" s="23">
        <v>46412.442662037043</v>
      </c>
      <c r="E733" t="s">
        <v>1636</v>
      </c>
      <c r="F733">
        <v>4</v>
      </c>
      <c r="G733" t="s">
        <v>2174</v>
      </c>
      <c r="I733" t="str">
        <f t="shared" si="24"/>
        <v>TC0116PE|DUO-09026</v>
      </c>
      <c r="J733" t="str">
        <f t="shared" si="25"/>
        <v>SÍ</v>
      </c>
    </row>
    <row r="734" spans="1:10" x14ac:dyDescent="0.3">
      <c r="A734" t="s">
        <v>593</v>
      </c>
      <c r="B734" t="s">
        <v>762</v>
      </c>
      <c r="C734" t="s">
        <v>1292</v>
      </c>
      <c r="D734" s="23">
        <v>46208</v>
      </c>
      <c r="E734" t="s">
        <v>1636</v>
      </c>
      <c r="F734">
        <v>1</v>
      </c>
      <c r="G734" t="s">
        <v>2168</v>
      </c>
      <c r="I734" t="str">
        <f t="shared" si="24"/>
        <v>TC0123PE|SC-24825</v>
      </c>
      <c r="J734" t="str">
        <f t="shared" si="25"/>
        <v>SÍ</v>
      </c>
    </row>
    <row r="735" spans="1:10" x14ac:dyDescent="0.3">
      <c r="A735" t="s">
        <v>617</v>
      </c>
      <c r="B735" t="s">
        <v>786</v>
      </c>
      <c r="C735" t="s">
        <v>1293</v>
      </c>
      <c r="D735" s="23">
        <v>46343.181886574072</v>
      </c>
      <c r="E735" t="s">
        <v>1636</v>
      </c>
      <c r="F735">
        <v>1</v>
      </c>
      <c r="G735" t="s">
        <v>2168</v>
      </c>
      <c r="I735" t="str">
        <f t="shared" si="24"/>
        <v>TC0223PE|PJ-01726-E3</v>
      </c>
      <c r="J735" t="str">
        <f t="shared" si="25"/>
        <v>SÍ</v>
      </c>
    </row>
    <row r="736" spans="1:10" x14ac:dyDescent="0.3">
      <c r="A736" t="s">
        <v>687</v>
      </c>
      <c r="B736" t="s">
        <v>856</v>
      </c>
      <c r="C736" t="s">
        <v>1294</v>
      </c>
      <c r="D736" s="23">
        <v>46361.202199074083</v>
      </c>
      <c r="E736" t="s">
        <v>1636</v>
      </c>
      <c r="F736">
        <v>2</v>
      </c>
      <c r="G736" t="s">
        <v>2174</v>
      </c>
      <c r="I736" t="str">
        <f t="shared" si="24"/>
        <v>TC0222PE|SN-03626</v>
      </c>
      <c r="J736" t="str">
        <f t="shared" si="25"/>
        <v>SÍ</v>
      </c>
    </row>
    <row r="737" spans="1:10" x14ac:dyDescent="0.3">
      <c r="A737" t="s">
        <v>661</v>
      </c>
      <c r="B737" t="s">
        <v>830</v>
      </c>
      <c r="C737" t="s">
        <v>1166</v>
      </c>
      <c r="D737" s="23">
        <v>46163.631099537037</v>
      </c>
      <c r="E737" t="s">
        <v>1636</v>
      </c>
      <c r="F737">
        <v>1</v>
      </c>
      <c r="G737" t="s">
        <v>2182</v>
      </c>
      <c r="I737" t="str">
        <f t="shared" si="24"/>
        <v>UK0001PE|100</v>
      </c>
      <c r="J737" t="str">
        <f t="shared" si="25"/>
        <v>SÍ</v>
      </c>
    </row>
    <row r="738" spans="1:10" x14ac:dyDescent="0.3">
      <c r="A738" t="s">
        <v>643</v>
      </c>
      <c r="B738" t="s">
        <v>812</v>
      </c>
      <c r="C738" t="s">
        <v>1295</v>
      </c>
      <c r="D738" s="23">
        <v>46703.414085648154</v>
      </c>
      <c r="E738" t="s">
        <v>1637</v>
      </c>
      <c r="F738">
        <v>0.8</v>
      </c>
      <c r="G738" t="s">
        <v>2180</v>
      </c>
      <c r="I738" t="str">
        <f t="shared" si="24"/>
        <v>TP0001PE|PFT-31625</v>
      </c>
      <c r="J738" t="str">
        <f t="shared" si="25"/>
        <v>SÍ</v>
      </c>
    </row>
    <row r="739" spans="1:10" x14ac:dyDescent="0.3">
      <c r="A739" t="s">
        <v>643</v>
      </c>
      <c r="B739" t="s">
        <v>812</v>
      </c>
      <c r="C739" t="s">
        <v>1296</v>
      </c>
      <c r="D739" s="23">
        <v>46711.106122685182</v>
      </c>
      <c r="E739" t="s">
        <v>1637</v>
      </c>
      <c r="F739">
        <v>0.1</v>
      </c>
      <c r="G739" t="s">
        <v>2180</v>
      </c>
      <c r="I739" t="str">
        <f t="shared" si="24"/>
        <v>TP0001PE|PFT-32425</v>
      </c>
      <c r="J739" t="str">
        <f t="shared" si="25"/>
        <v>SÍ</v>
      </c>
    </row>
    <row r="740" spans="1:10" x14ac:dyDescent="0.3">
      <c r="A740" t="s">
        <v>645</v>
      </c>
      <c r="B740" t="s">
        <v>814</v>
      </c>
      <c r="C740" t="s">
        <v>1297</v>
      </c>
      <c r="D740" s="23">
        <v>46169.042962962973</v>
      </c>
      <c r="E740" t="s">
        <v>1637</v>
      </c>
      <c r="F740">
        <v>5</v>
      </c>
      <c r="G740" t="s">
        <v>2181</v>
      </c>
      <c r="I740" t="str">
        <f t="shared" si="24"/>
        <v>RP0001PE|PFR-15225</v>
      </c>
      <c r="J740" t="str">
        <f t="shared" si="25"/>
        <v>SÍ</v>
      </c>
    </row>
    <row r="741" spans="1:10" x14ac:dyDescent="0.3">
      <c r="A741" t="s">
        <v>646</v>
      </c>
      <c r="B741" t="s">
        <v>815</v>
      </c>
      <c r="C741" t="s">
        <v>1298</v>
      </c>
      <c r="D741" s="23">
        <v>46177</v>
      </c>
      <c r="E741" t="s">
        <v>1637</v>
      </c>
      <c r="F741">
        <v>1</v>
      </c>
      <c r="G741" t="s">
        <v>2181</v>
      </c>
      <c r="I741" t="str">
        <f t="shared" si="24"/>
        <v>RP0003PE|PFR-15525</v>
      </c>
      <c r="J741" t="str">
        <f t="shared" si="25"/>
        <v>SÍ</v>
      </c>
    </row>
    <row r="742" spans="1:10" x14ac:dyDescent="0.3">
      <c r="A742" t="s">
        <v>646</v>
      </c>
      <c r="B742" t="s">
        <v>815</v>
      </c>
      <c r="C742" t="s">
        <v>1299</v>
      </c>
      <c r="D742" s="23">
        <v>46733.055428240739</v>
      </c>
      <c r="E742" t="s">
        <v>1637</v>
      </c>
      <c r="F742">
        <v>50</v>
      </c>
      <c r="G742" t="s">
        <v>2181</v>
      </c>
      <c r="I742" t="str">
        <f t="shared" si="24"/>
        <v>RP0003PE|PF</v>
      </c>
      <c r="J742" t="str">
        <f t="shared" si="25"/>
        <v>SÍ</v>
      </c>
    </row>
    <row r="743" spans="1:10" x14ac:dyDescent="0.3">
      <c r="A743" t="s">
        <v>643</v>
      </c>
      <c r="B743" t="s">
        <v>812</v>
      </c>
      <c r="C743" t="s">
        <v>1300</v>
      </c>
      <c r="D743" s="23">
        <v>46460.486817129633</v>
      </c>
      <c r="E743" t="s">
        <v>1637</v>
      </c>
      <c r="F743">
        <v>0.20039999999999999</v>
      </c>
      <c r="G743" t="s">
        <v>2180</v>
      </c>
      <c r="I743" t="str">
        <f t="shared" si="24"/>
        <v>TP0001PE|PFT-07826-E9</v>
      </c>
      <c r="J743" t="str">
        <f t="shared" si="25"/>
        <v>SÍ</v>
      </c>
    </row>
    <row r="744" spans="1:10" x14ac:dyDescent="0.3">
      <c r="A744" t="s">
        <v>645</v>
      </c>
      <c r="B744" t="s">
        <v>814</v>
      </c>
      <c r="C744" t="s">
        <v>1301</v>
      </c>
      <c r="D744" s="23">
        <v>46157</v>
      </c>
      <c r="E744" t="s">
        <v>1637</v>
      </c>
      <c r="F744">
        <v>1</v>
      </c>
      <c r="G744" t="s">
        <v>2181</v>
      </c>
      <c r="I744" t="str">
        <f t="shared" si="24"/>
        <v>RP0001PE|PFR-13525</v>
      </c>
      <c r="J744" t="str">
        <f t="shared" si="25"/>
        <v>SÍ</v>
      </c>
    </row>
    <row r="745" spans="1:10" x14ac:dyDescent="0.3">
      <c r="A745" t="s">
        <v>643</v>
      </c>
      <c r="B745" t="s">
        <v>812</v>
      </c>
      <c r="C745" t="s">
        <v>1302</v>
      </c>
      <c r="D745" s="23">
        <v>46839.12976851852</v>
      </c>
      <c r="E745" t="s">
        <v>1637</v>
      </c>
      <c r="F745">
        <v>0.20019999999999999</v>
      </c>
      <c r="G745" t="s">
        <v>2180</v>
      </c>
      <c r="I745" t="str">
        <f t="shared" si="24"/>
        <v>TP0001PE|PFT-08626-E9</v>
      </c>
      <c r="J745" t="str">
        <f t="shared" si="25"/>
        <v>SÍ</v>
      </c>
    </row>
    <row r="746" spans="1:10" x14ac:dyDescent="0.3">
      <c r="A746" t="s">
        <v>645</v>
      </c>
      <c r="B746" t="s">
        <v>814</v>
      </c>
      <c r="C746" t="s">
        <v>1303</v>
      </c>
      <c r="D746" s="23">
        <v>45885</v>
      </c>
      <c r="E746" t="s">
        <v>1637</v>
      </c>
      <c r="F746">
        <v>1</v>
      </c>
      <c r="G746" t="s">
        <v>2181</v>
      </c>
      <c r="I746" t="str">
        <f t="shared" si="24"/>
        <v>RP0001PE|PF-22924</v>
      </c>
      <c r="J746" t="str">
        <f t="shared" si="25"/>
        <v>SÍ</v>
      </c>
    </row>
    <row r="747" spans="1:10" x14ac:dyDescent="0.3">
      <c r="A747" t="s">
        <v>688</v>
      </c>
      <c r="B747" t="s">
        <v>857</v>
      </c>
      <c r="C747" t="s">
        <v>1304</v>
      </c>
      <c r="D747" s="23">
        <v>46697</v>
      </c>
      <c r="E747" t="s">
        <v>1637</v>
      </c>
      <c r="F747">
        <v>1</v>
      </c>
      <c r="G747" t="s">
        <v>2181</v>
      </c>
      <c r="I747" t="str">
        <f t="shared" si="24"/>
        <v>RP0005PE|PFR-31025</v>
      </c>
      <c r="J747" t="str">
        <f t="shared" si="25"/>
        <v>SÍ</v>
      </c>
    </row>
    <row r="748" spans="1:10" x14ac:dyDescent="0.3">
      <c r="A748" t="s">
        <v>689</v>
      </c>
      <c r="B748" t="s">
        <v>858</v>
      </c>
      <c r="C748" t="s">
        <v>1305</v>
      </c>
      <c r="D748" s="23">
        <v>46660</v>
      </c>
      <c r="E748" t="s">
        <v>1637</v>
      </c>
      <c r="F748">
        <v>70</v>
      </c>
      <c r="G748" t="s">
        <v>2180</v>
      </c>
      <c r="I748" t="str">
        <f t="shared" si="24"/>
        <v>TP0001ES|PFT-27325</v>
      </c>
      <c r="J748" t="str">
        <f t="shared" si="25"/>
        <v>SÍ</v>
      </c>
    </row>
    <row r="749" spans="1:10" x14ac:dyDescent="0.3">
      <c r="A749" t="s">
        <v>643</v>
      </c>
      <c r="B749" t="s">
        <v>812</v>
      </c>
      <c r="C749" t="s">
        <v>1306</v>
      </c>
      <c r="D749" s="23">
        <v>46740.151238425933</v>
      </c>
      <c r="E749" t="s">
        <v>1637</v>
      </c>
      <c r="F749">
        <v>0.1</v>
      </c>
      <c r="G749" t="s">
        <v>2180</v>
      </c>
      <c r="I749" t="str">
        <f t="shared" si="24"/>
        <v>TP0001PE|PFT-32325</v>
      </c>
      <c r="J749" t="str">
        <f t="shared" si="25"/>
        <v>SÍ</v>
      </c>
    </row>
    <row r="750" spans="1:10" x14ac:dyDescent="0.3">
      <c r="A750" t="s">
        <v>12</v>
      </c>
      <c r="B750" t="s">
        <v>13</v>
      </c>
      <c r="E750" t="s">
        <v>1635</v>
      </c>
      <c r="F750">
        <v>108.422</v>
      </c>
      <c r="G750" t="s">
        <v>11</v>
      </c>
      <c r="I750" t="str">
        <f t="shared" si="24"/>
        <v>EE10073|</v>
      </c>
      <c r="J750" t="str">
        <f t="shared" si="25"/>
        <v>SÍ</v>
      </c>
    </row>
    <row r="751" spans="1:10" x14ac:dyDescent="0.3">
      <c r="A751" t="s">
        <v>476</v>
      </c>
      <c r="B751" t="s">
        <v>477</v>
      </c>
      <c r="C751" t="s">
        <v>478</v>
      </c>
      <c r="D751" s="23">
        <v>46562.789571759262</v>
      </c>
      <c r="E751" t="s">
        <v>10</v>
      </c>
      <c r="F751">
        <v>300</v>
      </c>
      <c r="G751" t="s">
        <v>11</v>
      </c>
      <c r="I751" t="str">
        <f t="shared" si="24"/>
        <v>EE10305|informe 01/26</v>
      </c>
      <c r="J751" t="str">
        <f t="shared" si="25"/>
        <v>SÍ</v>
      </c>
    </row>
    <row r="752" spans="1:10" x14ac:dyDescent="0.3">
      <c r="A752" t="s">
        <v>479</v>
      </c>
      <c r="B752" t="s">
        <v>480</v>
      </c>
      <c r="C752" t="s">
        <v>478</v>
      </c>
      <c r="D752" s="23">
        <v>46565.789351851847</v>
      </c>
      <c r="E752" t="s">
        <v>10</v>
      </c>
      <c r="F752">
        <v>300</v>
      </c>
      <c r="G752" t="s">
        <v>11</v>
      </c>
      <c r="I752" t="str">
        <f t="shared" si="24"/>
        <v>EE10360|informe 01/26</v>
      </c>
      <c r="J752" t="str">
        <f t="shared" si="25"/>
        <v>SÍ</v>
      </c>
    </row>
    <row r="753" spans="1:10" x14ac:dyDescent="0.3">
      <c r="A753" t="s">
        <v>481</v>
      </c>
      <c r="B753" t="s">
        <v>482</v>
      </c>
      <c r="C753" t="s">
        <v>483</v>
      </c>
      <c r="D753" s="23">
        <v>46630.591493055559</v>
      </c>
      <c r="E753" t="s">
        <v>10</v>
      </c>
      <c r="F753">
        <v>300</v>
      </c>
      <c r="G753" t="s">
        <v>11</v>
      </c>
      <c r="I753" t="str">
        <f t="shared" si="24"/>
        <v>EE10310|ET-01/26</v>
      </c>
      <c r="J753" t="str">
        <f t="shared" si="25"/>
        <v>SÍ</v>
      </c>
    </row>
    <row r="754" spans="1:10" x14ac:dyDescent="0.3">
      <c r="A754" t="s">
        <v>484</v>
      </c>
      <c r="B754" t="s">
        <v>485</v>
      </c>
      <c r="C754" t="s">
        <v>483</v>
      </c>
      <c r="D754" s="23">
        <v>46576.453657407408</v>
      </c>
      <c r="E754" t="s">
        <v>10</v>
      </c>
      <c r="F754">
        <v>2640</v>
      </c>
      <c r="G754" t="s">
        <v>11</v>
      </c>
      <c r="I754" t="str">
        <f t="shared" si="24"/>
        <v>EE10309|ET-01/26</v>
      </c>
      <c r="J754" t="str">
        <f t="shared" si="25"/>
        <v>SÍ</v>
      </c>
    </row>
    <row r="755" spans="1:10" x14ac:dyDescent="0.3">
      <c r="A755" t="s">
        <v>484</v>
      </c>
      <c r="B755" t="s">
        <v>485</v>
      </c>
      <c r="C755" t="s">
        <v>486</v>
      </c>
      <c r="D755" s="23">
        <v>46583.416412037041</v>
      </c>
      <c r="E755" t="s">
        <v>10</v>
      </c>
      <c r="F755">
        <v>1500</v>
      </c>
      <c r="G755" t="s">
        <v>11</v>
      </c>
      <c r="I755" t="str">
        <f t="shared" si="24"/>
        <v>EE10309|ET-02/26</v>
      </c>
      <c r="J755" t="str">
        <f t="shared" si="25"/>
        <v>SÍ</v>
      </c>
    </row>
    <row r="756" spans="1:10" x14ac:dyDescent="0.3">
      <c r="A756" t="s">
        <v>487</v>
      </c>
      <c r="B756" t="s">
        <v>488</v>
      </c>
      <c r="C756" t="s">
        <v>483</v>
      </c>
      <c r="D756" s="23">
        <v>46576.453321759262</v>
      </c>
      <c r="E756" t="s">
        <v>10</v>
      </c>
      <c r="F756">
        <v>300</v>
      </c>
      <c r="G756" t="s">
        <v>11</v>
      </c>
      <c r="I756" t="str">
        <f t="shared" si="24"/>
        <v>EE10311|ET-01/26</v>
      </c>
      <c r="J756" t="str">
        <f t="shared" si="25"/>
        <v>SÍ</v>
      </c>
    </row>
    <row r="757" spans="1:10" x14ac:dyDescent="0.3">
      <c r="A757" t="s">
        <v>489</v>
      </c>
      <c r="B757" t="s">
        <v>490</v>
      </c>
      <c r="C757" t="s">
        <v>483</v>
      </c>
      <c r="D757" s="23">
        <v>46576.453900462962</v>
      </c>
      <c r="E757" t="s">
        <v>10</v>
      </c>
      <c r="F757">
        <v>300</v>
      </c>
      <c r="G757" t="s">
        <v>11</v>
      </c>
      <c r="I757" t="str">
        <f t="shared" si="24"/>
        <v>EE10308|ET-01/26</v>
      </c>
      <c r="J757" t="str">
        <f t="shared" si="25"/>
        <v>SÍ</v>
      </c>
    </row>
    <row r="758" spans="1:10" x14ac:dyDescent="0.3">
      <c r="A758" t="s">
        <v>491</v>
      </c>
      <c r="B758" t="s">
        <v>492</v>
      </c>
      <c r="C758" t="s">
        <v>483</v>
      </c>
      <c r="D758" s="23">
        <v>46598.630046296297</v>
      </c>
      <c r="E758" t="s">
        <v>10</v>
      </c>
      <c r="F758">
        <v>300</v>
      </c>
      <c r="G758" t="s">
        <v>11</v>
      </c>
      <c r="I758" t="str">
        <f t="shared" si="24"/>
        <v>EE10315|ET-01/26</v>
      </c>
      <c r="J758" t="str">
        <f t="shared" si="25"/>
        <v>SÍ</v>
      </c>
    </row>
    <row r="759" spans="1:10" x14ac:dyDescent="0.3">
      <c r="A759" t="s">
        <v>493</v>
      </c>
      <c r="B759" t="s">
        <v>494</v>
      </c>
      <c r="C759" t="s">
        <v>483</v>
      </c>
      <c r="D759" s="23">
        <v>46591.629525462973</v>
      </c>
      <c r="E759" t="s">
        <v>10</v>
      </c>
      <c r="F759">
        <v>300</v>
      </c>
      <c r="G759" t="s">
        <v>11</v>
      </c>
      <c r="I759" t="str">
        <f t="shared" si="24"/>
        <v>EE10316|ET-01/26</v>
      </c>
      <c r="J759" t="str">
        <f t="shared" si="25"/>
        <v>SÍ</v>
      </c>
    </row>
    <row r="760" spans="1:10" x14ac:dyDescent="0.3">
      <c r="A760" t="s">
        <v>495</v>
      </c>
      <c r="B760" t="s">
        <v>496</v>
      </c>
      <c r="C760" t="s">
        <v>483</v>
      </c>
      <c r="D760" s="23">
        <v>46596.634409722217</v>
      </c>
      <c r="E760" t="s">
        <v>10</v>
      </c>
      <c r="F760">
        <v>300</v>
      </c>
      <c r="G760" t="s">
        <v>11</v>
      </c>
      <c r="I760" t="str">
        <f t="shared" si="24"/>
        <v>EE10317|ET-01/26</v>
      </c>
      <c r="J760" t="str">
        <f t="shared" si="25"/>
        <v>SÍ</v>
      </c>
    </row>
    <row r="761" spans="1:10" x14ac:dyDescent="0.3">
      <c r="A761" t="s">
        <v>497</v>
      </c>
      <c r="B761" t="s">
        <v>498</v>
      </c>
      <c r="C761" t="s">
        <v>483</v>
      </c>
      <c r="D761" s="23">
        <v>46599.634675925918</v>
      </c>
      <c r="E761" t="s">
        <v>10</v>
      </c>
      <c r="F761">
        <v>300</v>
      </c>
      <c r="G761" t="s">
        <v>11</v>
      </c>
      <c r="I761" t="str">
        <f t="shared" si="24"/>
        <v>EE10318|ET-01/26</v>
      </c>
      <c r="J761" t="str">
        <f t="shared" si="25"/>
        <v>SÍ</v>
      </c>
    </row>
    <row r="762" spans="1:10" x14ac:dyDescent="0.3">
      <c r="A762" t="s">
        <v>499</v>
      </c>
      <c r="B762" t="s">
        <v>500</v>
      </c>
      <c r="C762" t="s">
        <v>258</v>
      </c>
      <c r="D762" s="23">
        <v>46539.553680555553</v>
      </c>
      <c r="E762" t="s">
        <v>10</v>
      </c>
      <c r="F762">
        <v>564</v>
      </c>
      <c r="G762" t="s">
        <v>11</v>
      </c>
      <c r="I762" t="str">
        <f t="shared" si="24"/>
        <v>EE10291|INFORME 01/26</v>
      </c>
      <c r="J762" t="str">
        <f t="shared" si="25"/>
        <v>SÍ</v>
      </c>
    </row>
    <row r="763" spans="1:10" x14ac:dyDescent="0.3">
      <c r="A763" t="s">
        <v>501</v>
      </c>
      <c r="B763" t="s">
        <v>502</v>
      </c>
      <c r="E763" t="s">
        <v>10</v>
      </c>
      <c r="F763">
        <v>300</v>
      </c>
      <c r="G763" t="s">
        <v>11</v>
      </c>
      <c r="I763" t="str">
        <f t="shared" si="24"/>
        <v>EE10189|</v>
      </c>
      <c r="J763" t="str">
        <f t="shared" si="25"/>
        <v>SÍ</v>
      </c>
    </row>
    <row r="764" spans="1:10" x14ac:dyDescent="0.3">
      <c r="A764" t="s">
        <v>583</v>
      </c>
      <c r="B764" t="s">
        <v>752</v>
      </c>
      <c r="C764" t="s">
        <v>1307</v>
      </c>
      <c r="D764" s="23">
        <v>46505</v>
      </c>
      <c r="E764" t="s">
        <v>1640</v>
      </c>
      <c r="F764">
        <v>1.2222</v>
      </c>
      <c r="G764" t="s">
        <v>2166</v>
      </c>
      <c r="I764" t="str">
        <f t="shared" si="24"/>
        <v>TC0016PE|SN-17926-E7</v>
      </c>
      <c r="J764" t="str">
        <f t="shared" si="25"/>
        <v>SÍ</v>
      </c>
    </row>
    <row r="765" spans="1:10" x14ac:dyDescent="0.3">
      <c r="A765" t="s">
        <v>583</v>
      </c>
      <c r="B765" t="s">
        <v>752</v>
      </c>
      <c r="C765" t="s">
        <v>1307</v>
      </c>
      <c r="D765" s="23">
        <v>46505</v>
      </c>
      <c r="E765" t="s">
        <v>1638</v>
      </c>
      <c r="F765">
        <v>0.77780000000000005</v>
      </c>
      <c r="G765" t="s">
        <v>2166</v>
      </c>
      <c r="I765" t="str">
        <f t="shared" si="24"/>
        <v>TC0016PE|SN-17926-E7</v>
      </c>
      <c r="J765" t="str">
        <f t="shared" si="25"/>
        <v>SÍ</v>
      </c>
    </row>
    <row r="766" spans="1:10" x14ac:dyDescent="0.3">
      <c r="A766" t="s">
        <v>418</v>
      </c>
      <c r="B766" t="s">
        <v>419</v>
      </c>
      <c r="C766" t="s">
        <v>270</v>
      </c>
      <c r="D766" s="23">
        <v>46389.517372685194</v>
      </c>
      <c r="E766" t="s">
        <v>1641</v>
      </c>
      <c r="F766">
        <v>5.78</v>
      </c>
      <c r="G766" t="s">
        <v>40</v>
      </c>
      <c r="I766" t="str">
        <f t="shared" si="24"/>
        <v>EE10277|INFORME 02/26</v>
      </c>
      <c r="J766" t="str">
        <f t="shared" si="25"/>
        <v>SÍ</v>
      </c>
    </row>
    <row r="767" spans="1:10" x14ac:dyDescent="0.3">
      <c r="A767" t="s">
        <v>583</v>
      </c>
      <c r="B767" t="s">
        <v>752</v>
      </c>
      <c r="C767" t="s">
        <v>1308</v>
      </c>
      <c r="D767" s="23">
        <v>46541</v>
      </c>
      <c r="E767" t="s">
        <v>1637</v>
      </c>
      <c r="F767">
        <v>2</v>
      </c>
      <c r="G767" t="s">
        <v>2166</v>
      </c>
      <c r="I767" t="str">
        <f t="shared" si="24"/>
        <v>TC0016PE|SN-21526-E3</v>
      </c>
      <c r="J767" t="str">
        <f t="shared" si="25"/>
        <v>SÍ</v>
      </c>
    </row>
    <row r="768" spans="1:10" x14ac:dyDescent="0.3">
      <c r="A768" t="s">
        <v>619</v>
      </c>
      <c r="B768" t="s">
        <v>788</v>
      </c>
      <c r="C768" t="s">
        <v>1309</v>
      </c>
      <c r="D768" s="23">
        <v>46541</v>
      </c>
      <c r="E768" t="s">
        <v>1637</v>
      </c>
      <c r="F768">
        <v>2</v>
      </c>
      <c r="G768" t="s">
        <v>2176</v>
      </c>
      <c r="I768" t="str">
        <f t="shared" si="24"/>
        <v>TC0242PE|SN-21526-E1</v>
      </c>
      <c r="J768" t="str">
        <f t="shared" si="25"/>
        <v>SÍ</v>
      </c>
    </row>
    <row r="769" spans="1:10" x14ac:dyDescent="0.3">
      <c r="A769" t="s">
        <v>619</v>
      </c>
      <c r="B769" t="s">
        <v>788</v>
      </c>
      <c r="C769" t="s">
        <v>1310</v>
      </c>
      <c r="D769" s="23">
        <v>46542</v>
      </c>
      <c r="E769" t="s">
        <v>1637</v>
      </c>
      <c r="F769">
        <v>44.5</v>
      </c>
      <c r="G769" t="s">
        <v>2176</v>
      </c>
      <c r="I769" t="str">
        <f t="shared" si="24"/>
        <v>TC0242PE|SN-21626-E1</v>
      </c>
      <c r="J769" t="str">
        <f t="shared" si="25"/>
        <v>SÍ</v>
      </c>
    </row>
    <row r="770" spans="1:10" x14ac:dyDescent="0.3">
      <c r="A770" t="s">
        <v>643</v>
      </c>
      <c r="B770" t="s">
        <v>812</v>
      </c>
      <c r="C770" t="s">
        <v>1311</v>
      </c>
      <c r="D770" s="23">
        <v>46837.16883101852</v>
      </c>
      <c r="E770" t="s">
        <v>1642</v>
      </c>
      <c r="F770">
        <v>2</v>
      </c>
      <c r="G770" t="s">
        <v>2180</v>
      </c>
      <c r="I770" t="str">
        <f t="shared" si="24"/>
        <v>TP0001PE|PFT-08426-E9</v>
      </c>
      <c r="J770" t="str">
        <f t="shared" si="25"/>
        <v>SÍ</v>
      </c>
    </row>
    <row r="771" spans="1:10" x14ac:dyDescent="0.3">
      <c r="A771" t="s">
        <v>583</v>
      </c>
      <c r="B771" t="s">
        <v>752</v>
      </c>
      <c r="C771" t="s">
        <v>1312</v>
      </c>
      <c r="D771" s="23">
        <v>46543.189641203702</v>
      </c>
      <c r="E771" t="s">
        <v>1637</v>
      </c>
      <c r="F771">
        <v>22</v>
      </c>
      <c r="G771" t="s">
        <v>2166</v>
      </c>
      <c r="I771" t="str">
        <f t="shared" si="24"/>
        <v>TC0016PE|SN-21726-E3</v>
      </c>
      <c r="J771" t="str">
        <f t="shared" si="25"/>
        <v>SÍ</v>
      </c>
    </row>
    <row r="772" spans="1:10" x14ac:dyDescent="0.3">
      <c r="A772" t="s">
        <v>14</v>
      </c>
      <c r="B772" t="s">
        <v>15</v>
      </c>
      <c r="E772" t="s">
        <v>1635</v>
      </c>
      <c r="F772">
        <v>1.0281</v>
      </c>
      <c r="G772" t="s">
        <v>11</v>
      </c>
      <c r="I772" t="str">
        <f t="shared" si="24"/>
        <v>EE10072|</v>
      </c>
      <c r="J772" t="str">
        <f t="shared" si="25"/>
        <v>SÍ</v>
      </c>
    </row>
    <row r="773" spans="1:10" x14ac:dyDescent="0.3">
      <c r="A773" t="s">
        <v>238</v>
      </c>
      <c r="B773" t="s">
        <v>239</v>
      </c>
      <c r="C773" t="s">
        <v>240</v>
      </c>
      <c r="D773" s="23">
        <v>46387.655439814807</v>
      </c>
      <c r="E773" t="s">
        <v>1635</v>
      </c>
      <c r="F773">
        <v>450</v>
      </c>
      <c r="G773" t="s">
        <v>11</v>
      </c>
      <c r="I773" t="str">
        <f t="shared" si="24"/>
        <v>EE10227|INFORME 01</v>
      </c>
      <c r="J773" t="str">
        <f t="shared" si="25"/>
        <v>SÍ</v>
      </c>
    </row>
    <row r="774" spans="1:10" x14ac:dyDescent="0.3">
      <c r="A774" t="s">
        <v>188</v>
      </c>
      <c r="B774" t="s">
        <v>189</v>
      </c>
      <c r="C774" t="s">
        <v>55</v>
      </c>
      <c r="D774" s="23">
        <v>46263.031168981477</v>
      </c>
      <c r="E774" t="s">
        <v>1641</v>
      </c>
      <c r="F774">
        <v>2</v>
      </c>
      <c r="G774" t="s">
        <v>40</v>
      </c>
      <c r="I774" t="str">
        <f t="shared" si="24"/>
        <v>EE10149|INFORME 02/25</v>
      </c>
      <c r="J774" t="str">
        <f t="shared" si="25"/>
        <v>SÍ</v>
      </c>
    </row>
    <row r="775" spans="1:10" x14ac:dyDescent="0.3">
      <c r="A775" t="s">
        <v>688</v>
      </c>
      <c r="B775" t="s">
        <v>857</v>
      </c>
      <c r="C775" t="s">
        <v>1313</v>
      </c>
      <c r="D775" s="23">
        <v>46690.031678240739</v>
      </c>
      <c r="E775" t="s">
        <v>1637</v>
      </c>
      <c r="F775">
        <v>68</v>
      </c>
      <c r="G775" t="s">
        <v>2181</v>
      </c>
      <c r="I775" t="str">
        <f t="shared" si="24"/>
        <v>RP0005PE|PFR-30325</v>
      </c>
      <c r="J775" t="str">
        <f t="shared" si="25"/>
        <v>SÍ</v>
      </c>
    </row>
    <row r="776" spans="1:10" x14ac:dyDescent="0.3">
      <c r="A776" t="s">
        <v>690</v>
      </c>
      <c r="B776" t="s">
        <v>859</v>
      </c>
      <c r="C776" t="s">
        <v>1314</v>
      </c>
      <c r="D776" s="23">
        <v>46790.020451388889</v>
      </c>
      <c r="E776" t="s">
        <v>1637</v>
      </c>
      <c r="F776">
        <v>68</v>
      </c>
      <c r="G776" t="s">
        <v>2181</v>
      </c>
      <c r="I776" t="str">
        <f t="shared" si="24"/>
        <v>TP0003PE|PFT-03826-E9</v>
      </c>
      <c r="J776" t="str">
        <f t="shared" si="25"/>
        <v>SÍ</v>
      </c>
    </row>
    <row r="777" spans="1:10" x14ac:dyDescent="0.3">
      <c r="A777" t="s">
        <v>688</v>
      </c>
      <c r="B777" t="s">
        <v>857</v>
      </c>
      <c r="C777" t="s">
        <v>1315</v>
      </c>
      <c r="D777" s="23">
        <v>46309</v>
      </c>
      <c r="E777" t="s">
        <v>1637</v>
      </c>
      <c r="F777">
        <v>228</v>
      </c>
      <c r="G777" t="s">
        <v>2181</v>
      </c>
      <c r="I777" t="str">
        <f t="shared" si="24"/>
        <v>RP0005PE|PFR-28725</v>
      </c>
      <c r="J777" t="str">
        <f t="shared" si="25"/>
        <v>SÍ</v>
      </c>
    </row>
    <row r="778" spans="1:10" x14ac:dyDescent="0.3">
      <c r="A778" t="s">
        <v>688</v>
      </c>
      <c r="B778" t="s">
        <v>857</v>
      </c>
      <c r="C778" t="s">
        <v>1316</v>
      </c>
      <c r="D778" s="23">
        <v>46316</v>
      </c>
      <c r="E778" t="s">
        <v>1637</v>
      </c>
      <c r="F778">
        <v>3</v>
      </c>
      <c r="G778" t="s">
        <v>2181</v>
      </c>
      <c r="I778" t="str">
        <f t="shared" si="24"/>
        <v>RP0005PE|PFR-29425</v>
      </c>
      <c r="J778" t="str">
        <f t="shared" si="25"/>
        <v>SÍ</v>
      </c>
    </row>
    <row r="779" spans="1:10" x14ac:dyDescent="0.3">
      <c r="A779" t="s">
        <v>646</v>
      </c>
      <c r="B779" t="s">
        <v>815</v>
      </c>
      <c r="C779" t="s">
        <v>1317</v>
      </c>
      <c r="D779" s="23">
        <v>46970</v>
      </c>
      <c r="E779" t="s">
        <v>1637</v>
      </c>
      <c r="F779">
        <v>311</v>
      </c>
      <c r="G779" t="s">
        <v>2181</v>
      </c>
      <c r="I779" t="str">
        <f t="shared" si="24"/>
        <v>RP0003PE|PFR-21726-E9</v>
      </c>
      <c r="J779" t="str">
        <f t="shared" si="25"/>
        <v>SÍ</v>
      </c>
    </row>
    <row r="780" spans="1:10" x14ac:dyDescent="0.3">
      <c r="A780" t="s">
        <v>223</v>
      </c>
      <c r="B780" t="s">
        <v>224</v>
      </c>
      <c r="C780" t="s">
        <v>225</v>
      </c>
      <c r="D780" s="23">
        <v>46260.535520833328</v>
      </c>
      <c r="E780" t="s">
        <v>1635</v>
      </c>
      <c r="F780">
        <v>62</v>
      </c>
      <c r="G780" t="s">
        <v>11</v>
      </c>
      <c r="I780" t="str">
        <f t="shared" si="24"/>
        <v>EE10006|INFORME 42</v>
      </c>
      <c r="J780" t="str">
        <f t="shared" si="25"/>
        <v>SÍ</v>
      </c>
    </row>
    <row r="781" spans="1:10" x14ac:dyDescent="0.3">
      <c r="A781" t="s">
        <v>646</v>
      </c>
      <c r="B781" t="s">
        <v>815</v>
      </c>
      <c r="C781" t="s">
        <v>1317</v>
      </c>
      <c r="D781" s="23">
        <v>46970</v>
      </c>
      <c r="E781" t="s">
        <v>1643</v>
      </c>
      <c r="F781">
        <v>1</v>
      </c>
      <c r="G781" t="s">
        <v>2181</v>
      </c>
      <c r="I781" t="str">
        <f t="shared" si="24"/>
        <v>RP0003PE|PFR-21726-E9</v>
      </c>
      <c r="J781" t="str">
        <f t="shared" si="25"/>
        <v>SÍ</v>
      </c>
    </row>
    <row r="782" spans="1:10" x14ac:dyDescent="0.3">
      <c r="A782" t="s">
        <v>583</v>
      </c>
      <c r="B782" t="s">
        <v>752</v>
      </c>
      <c r="C782" t="s">
        <v>1318</v>
      </c>
      <c r="D782" s="23">
        <v>46543</v>
      </c>
      <c r="E782" t="s">
        <v>1637</v>
      </c>
      <c r="F782">
        <v>29</v>
      </c>
      <c r="G782" t="s">
        <v>2166</v>
      </c>
      <c r="I782" t="str">
        <f t="shared" si="24"/>
        <v>TC0016PE|SN-21726-E2</v>
      </c>
      <c r="J782" t="str">
        <f t="shared" si="25"/>
        <v>SÍ</v>
      </c>
    </row>
    <row r="783" spans="1:10" x14ac:dyDescent="0.3">
      <c r="A783" t="s">
        <v>623</v>
      </c>
      <c r="B783" t="s">
        <v>792</v>
      </c>
      <c r="C783" t="s">
        <v>1312</v>
      </c>
      <c r="D783" s="23">
        <v>46543.084317129629</v>
      </c>
      <c r="E783" t="s">
        <v>1637</v>
      </c>
      <c r="F783">
        <v>40</v>
      </c>
      <c r="G783" t="s">
        <v>2177</v>
      </c>
      <c r="I783" t="str">
        <f t="shared" si="24"/>
        <v>TC0246PE|SN-21726-E3</v>
      </c>
      <c r="J783" t="str">
        <f t="shared" si="25"/>
        <v>SÍ</v>
      </c>
    </row>
    <row r="784" spans="1:10" x14ac:dyDescent="0.3">
      <c r="A784" t="s">
        <v>682</v>
      </c>
      <c r="B784" t="s">
        <v>851</v>
      </c>
      <c r="C784" t="s">
        <v>1319</v>
      </c>
      <c r="D784" s="23">
        <v>46544</v>
      </c>
      <c r="E784" t="s">
        <v>1637</v>
      </c>
      <c r="F784">
        <v>1</v>
      </c>
      <c r="G784" t="s">
        <v>2168</v>
      </c>
      <c r="I784" t="str">
        <f t="shared" si="24"/>
        <v>TTS0001PE|TTN-21826-E4</v>
      </c>
      <c r="J784" t="str">
        <f t="shared" si="25"/>
        <v>SÍ</v>
      </c>
    </row>
    <row r="785" spans="1:10" x14ac:dyDescent="0.3">
      <c r="A785" t="s">
        <v>646</v>
      </c>
      <c r="B785" t="s">
        <v>815</v>
      </c>
      <c r="C785" t="s">
        <v>1320</v>
      </c>
      <c r="D785" s="23">
        <v>46971.096134259264</v>
      </c>
      <c r="E785" t="s">
        <v>1637</v>
      </c>
      <c r="F785">
        <v>189</v>
      </c>
      <c r="G785" t="s">
        <v>2181</v>
      </c>
      <c r="I785" t="str">
        <f t="shared" si="24"/>
        <v>RP0003PE|PFR-21826-E9</v>
      </c>
      <c r="J785" t="str">
        <f t="shared" si="25"/>
        <v>SÍ</v>
      </c>
    </row>
    <row r="786" spans="1:10" x14ac:dyDescent="0.3">
      <c r="A786" t="s">
        <v>625</v>
      </c>
      <c r="B786" t="s">
        <v>794</v>
      </c>
      <c r="C786" t="s">
        <v>1321</v>
      </c>
      <c r="D786" s="23">
        <v>46544</v>
      </c>
      <c r="E786" t="s">
        <v>1637</v>
      </c>
      <c r="F786">
        <v>100</v>
      </c>
      <c r="G786" t="s">
        <v>2168</v>
      </c>
      <c r="I786" t="str">
        <f t="shared" ref="I786:I849" si="26">IF(A786="","",A786&amp;"|"&amp;C786)</f>
        <v>TTS0002PE|TTJ-21826-E2</v>
      </c>
      <c r="J786" t="str">
        <f t="shared" ref="J786:J849" si="27">IF(A786&lt;&gt;"","SÍ","NO")</f>
        <v>SÍ</v>
      </c>
    </row>
    <row r="787" spans="1:10" x14ac:dyDescent="0.3">
      <c r="A787" t="s">
        <v>683</v>
      </c>
      <c r="B787" t="s">
        <v>852</v>
      </c>
      <c r="C787" t="s">
        <v>1322</v>
      </c>
      <c r="D787" s="23">
        <v>46515</v>
      </c>
      <c r="E787" t="s">
        <v>1637</v>
      </c>
      <c r="F787">
        <v>4</v>
      </c>
      <c r="G787" t="s">
        <v>2174</v>
      </c>
      <c r="I787" t="str">
        <f t="shared" si="26"/>
        <v>TC0117PE|DUO-21726</v>
      </c>
      <c r="J787" t="str">
        <f t="shared" si="27"/>
        <v>SÍ</v>
      </c>
    </row>
    <row r="788" spans="1:10" x14ac:dyDescent="0.3">
      <c r="A788" t="s">
        <v>691</v>
      </c>
      <c r="B788" t="s">
        <v>860</v>
      </c>
      <c r="C788" t="s">
        <v>1323</v>
      </c>
      <c r="D788" s="23">
        <v>46544.00104166667</v>
      </c>
      <c r="E788" t="s">
        <v>1637</v>
      </c>
      <c r="F788">
        <v>19</v>
      </c>
      <c r="G788" t="s">
        <v>2168</v>
      </c>
      <c r="I788" t="str">
        <f t="shared" si="26"/>
        <v>TTS0007PE|TTB-21826-E3</v>
      </c>
      <c r="J788" t="str">
        <f t="shared" si="27"/>
        <v>SÍ</v>
      </c>
    </row>
    <row r="789" spans="1:10" x14ac:dyDescent="0.3">
      <c r="A789" t="s">
        <v>682</v>
      </c>
      <c r="B789" t="s">
        <v>851</v>
      </c>
      <c r="C789" t="s">
        <v>1324</v>
      </c>
      <c r="D789" s="23">
        <v>46544.099918981483</v>
      </c>
      <c r="E789" t="s">
        <v>1637</v>
      </c>
      <c r="F789">
        <v>10</v>
      </c>
      <c r="G789" t="s">
        <v>2168</v>
      </c>
      <c r="I789" t="str">
        <f t="shared" si="26"/>
        <v>TTS0001PE|TTN-21826-E1</v>
      </c>
      <c r="J789" t="str">
        <f t="shared" si="27"/>
        <v>SÍ</v>
      </c>
    </row>
    <row r="790" spans="1:10" x14ac:dyDescent="0.3">
      <c r="A790" t="s">
        <v>44</v>
      </c>
      <c r="B790" t="s">
        <v>45</v>
      </c>
      <c r="E790" t="s">
        <v>1635</v>
      </c>
      <c r="F790">
        <v>213.05600000000001</v>
      </c>
      <c r="G790" t="s">
        <v>11</v>
      </c>
      <c r="I790" t="str">
        <f t="shared" si="26"/>
        <v>EE10074|</v>
      </c>
      <c r="J790" t="str">
        <f t="shared" si="27"/>
        <v>SÍ</v>
      </c>
    </row>
    <row r="791" spans="1:10" x14ac:dyDescent="0.3">
      <c r="A791" t="s">
        <v>464</v>
      </c>
      <c r="B791" t="s">
        <v>465</v>
      </c>
      <c r="C791" t="s">
        <v>519</v>
      </c>
      <c r="D791" s="23">
        <v>46581.971828703703</v>
      </c>
      <c r="E791" t="s">
        <v>1635</v>
      </c>
      <c r="F791">
        <v>364</v>
      </c>
      <c r="G791" t="s">
        <v>11</v>
      </c>
      <c r="I791" t="str">
        <f t="shared" si="26"/>
        <v>EE10001|CT-13/26</v>
      </c>
      <c r="J791" t="str">
        <f t="shared" si="27"/>
        <v>SÍ</v>
      </c>
    </row>
    <row r="792" spans="1:10" x14ac:dyDescent="0.3">
      <c r="A792" t="s">
        <v>461</v>
      </c>
      <c r="B792" t="s">
        <v>462</v>
      </c>
      <c r="C792" t="s">
        <v>463</v>
      </c>
      <c r="D792" s="23">
        <v>46588.3434837963</v>
      </c>
      <c r="E792" t="s">
        <v>1635</v>
      </c>
      <c r="F792">
        <v>1298.7971</v>
      </c>
      <c r="G792" t="s">
        <v>11</v>
      </c>
      <c r="I792" t="str">
        <f t="shared" si="26"/>
        <v>EE10083|BP-01/26</v>
      </c>
      <c r="J792" t="str">
        <f t="shared" si="27"/>
        <v>SÍ</v>
      </c>
    </row>
    <row r="793" spans="1:10" x14ac:dyDescent="0.3">
      <c r="A793" t="s">
        <v>622</v>
      </c>
      <c r="B793" t="s">
        <v>791</v>
      </c>
      <c r="C793" t="s">
        <v>1325</v>
      </c>
      <c r="D793" s="23">
        <v>46484.188032407408</v>
      </c>
      <c r="E793" t="s">
        <v>1643</v>
      </c>
      <c r="F793">
        <v>180</v>
      </c>
      <c r="G793" t="s">
        <v>2171</v>
      </c>
      <c r="I793" t="str">
        <f t="shared" si="26"/>
        <v>RT0123PE|RP-21926-E5</v>
      </c>
      <c r="J793" t="str">
        <f t="shared" si="27"/>
        <v>SÍ</v>
      </c>
    </row>
    <row r="794" spans="1:10" x14ac:dyDescent="0.3">
      <c r="A794" t="s">
        <v>622</v>
      </c>
      <c r="B794" t="s">
        <v>791</v>
      </c>
      <c r="C794" t="s">
        <v>1326</v>
      </c>
      <c r="D794" s="23">
        <v>46484.187789351847</v>
      </c>
      <c r="E794" t="s">
        <v>1643</v>
      </c>
      <c r="F794">
        <v>180</v>
      </c>
      <c r="G794" t="s">
        <v>2171</v>
      </c>
      <c r="I794" t="str">
        <f t="shared" si="26"/>
        <v>RT0123PE|RP-21926-E4</v>
      </c>
      <c r="J794" t="str">
        <f t="shared" si="27"/>
        <v>SÍ</v>
      </c>
    </row>
    <row r="795" spans="1:10" x14ac:dyDescent="0.3">
      <c r="A795" t="s">
        <v>622</v>
      </c>
      <c r="B795" t="s">
        <v>791</v>
      </c>
      <c r="C795" t="s">
        <v>1327</v>
      </c>
      <c r="D795" s="23">
        <v>46484.187048611107</v>
      </c>
      <c r="E795" t="s">
        <v>1643</v>
      </c>
      <c r="F795">
        <v>270</v>
      </c>
      <c r="G795" t="s">
        <v>2171</v>
      </c>
      <c r="I795" t="str">
        <f t="shared" si="26"/>
        <v>RT0123PE|RP-21926-E3</v>
      </c>
      <c r="J795" t="str">
        <f t="shared" si="27"/>
        <v>SÍ</v>
      </c>
    </row>
    <row r="796" spans="1:10" x14ac:dyDescent="0.3">
      <c r="A796" t="s">
        <v>688</v>
      </c>
      <c r="B796" t="s">
        <v>857</v>
      </c>
      <c r="C796" t="s">
        <v>1328</v>
      </c>
      <c r="D796" s="23">
        <v>46314.191527777781</v>
      </c>
      <c r="E796" t="s">
        <v>1637</v>
      </c>
      <c r="F796">
        <v>5</v>
      </c>
      <c r="G796" t="s">
        <v>2181</v>
      </c>
      <c r="I796" t="str">
        <f t="shared" si="26"/>
        <v>RP0005PE|PFR-29225</v>
      </c>
      <c r="J796" t="str">
        <f t="shared" si="27"/>
        <v>SÍ</v>
      </c>
    </row>
    <row r="797" spans="1:10" x14ac:dyDescent="0.3">
      <c r="A797" t="s">
        <v>690</v>
      </c>
      <c r="B797" t="s">
        <v>859</v>
      </c>
      <c r="C797" t="s">
        <v>1329</v>
      </c>
      <c r="D797" s="23">
        <v>46634</v>
      </c>
      <c r="E797" t="s">
        <v>1637</v>
      </c>
      <c r="F797">
        <v>108</v>
      </c>
      <c r="G797" t="s">
        <v>2181</v>
      </c>
      <c r="I797" t="str">
        <f t="shared" si="26"/>
        <v>TP0003PE|PFT-24725</v>
      </c>
      <c r="J797" t="str">
        <f t="shared" si="27"/>
        <v>SÍ</v>
      </c>
    </row>
    <row r="798" spans="1:10" x14ac:dyDescent="0.3">
      <c r="A798" t="s">
        <v>692</v>
      </c>
      <c r="B798" t="s">
        <v>861</v>
      </c>
      <c r="C798" t="s">
        <v>1330</v>
      </c>
      <c r="D798" s="23">
        <v>46484.838622685187</v>
      </c>
      <c r="E798" t="s">
        <v>1637</v>
      </c>
      <c r="F798">
        <v>58</v>
      </c>
      <c r="G798" t="s">
        <v>2171</v>
      </c>
      <c r="I798" t="str">
        <f t="shared" si="26"/>
        <v>RT0132PE|RJ-21926-E2</v>
      </c>
      <c r="J798" t="str">
        <f t="shared" si="27"/>
        <v>SÍ</v>
      </c>
    </row>
    <row r="799" spans="1:10" x14ac:dyDescent="0.3">
      <c r="A799" t="s">
        <v>348</v>
      </c>
      <c r="B799" t="s">
        <v>349</v>
      </c>
      <c r="C799" t="s">
        <v>258</v>
      </c>
      <c r="D799" s="23">
        <v>46341.520405092589</v>
      </c>
      <c r="E799" t="s">
        <v>1635</v>
      </c>
      <c r="F799">
        <v>138.285</v>
      </c>
      <c r="G799" t="s">
        <v>40</v>
      </c>
      <c r="I799" t="str">
        <f t="shared" si="26"/>
        <v>EE10300|INFORME 01/26</v>
      </c>
      <c r="J799" t="str">
        <f t="shared" si="27"/>
        <v>SÍ</v>
      </c>
    </row>
    <row r="800" spans="1:10" x14ac:dyDescent="0.3">
      <c r="A800" t="s">
        <v>622</v>
      </c>
      <c r="B800" t="s">
        <v>791</v>
      </c>
      <c r="C800" t="s">
        <v>1331</v>
      </c>
      <c r="D800" s="23">
        <v>46453</v>
      </c>
      <c r="E800" t="s">
        <v>1637</v>
      </c>
      <c r="F800">
        <v>5</v>
      </c>
      <c r="G800" t="s">
        <v>2171</v>
      </c>
      <c r="I800" t="str">
        <f t="shared" si="26"/>
        <v>RT0123PE|RP-18826-E7</v>
      </c>
      <c r="J800" t="str">
        <f t="shared" si="27"/>
        <v>SÍ</v>
      </c>
    </row>
    <row r="801" spans="1:10" x14ac:dyDescent="0.3">
      <c r="A801" t="s">
        <v>635</v>
      </c>
      <c r="B801" t="s">
        <v>804</v>
      </c>
      <c r="C801" t="s">
        <v>1198</v>
      </c>
      <c r="D801" s="23">
        <v>46533.381516203714</v>
      </c>
      <c r="E801" t="s">
        <v>1637</v>
      </c>
      <c r="F801">
        <v>3</v>
      </c>
      <c r="G801" t="s">
        <v>2169</v>
      </c>
      <c r="I801" t="str">
        <f t="shared" si="26"/>
        <v>RT0095PE|RJ-14626-E5</v>
      </c>
      <c r="J801" t="str">
        <f t="shared" si="27"/>
        <v>SÍ</v>
      </c>
    </row>
    <row r="802" spans="1:10" x14ac:dyDescent="0.3">
      <c r="A802" t="s">
        <v>638</v>
      </c>
      <c r="B802" t="s">
        <v>807</v>
      </c>
      <c r="C802" t="s">
        <v>1332</v>
      </c>
      <c r="D802" s="23">
        <v>46496.502384259264</v>
      </c>
      <c r="E802" t="s">
        <v>1637</v>
      </c>
      <c r="F802">
        <v>3</v>
      </c>
      <c r="G802" t="s">
        <v>2166</v>
      </c>
      <c r="I802" t="str">
        <f t="shared" si="26"/>
        <v>TC0003PE|SC-17026-E8</v>
      </c>
      <c r="J802" t="str">
        <f t="shared" si="27"/>
        <v>SÍ</v>
      </c>
    </row>
    <row r="803" spans="1:10" x14ac:dyDescent="0.3">
      <c r="A803" t="s">
        <v>580</v>
      </c>
      <c r="B803" t="s">
        <v>749</v>
      </c>
      <c r="C803" t="s">
        <v>1224</v>
      </c>
      <c r="D803" s="23">
        <v>46501.546655092592</v>
      </c>
      <c r="E803" t="s">
        <v>1637</v>
      </c>
      <c r="F803">
        <v>3</v>
      </c>
      <c r="G803" t="s">
        <v>2166</v>
      </c>
      <c r="I803" t="str">
        <f t="shared" si="26"/>
        <v>TC0004PE|SP-17526-E7</v>
      </c>
      <c r="J803" t="str">
        <f t="shared" si="27"/>
        <v>SÍ</v>
      </c>
    </row>
    <row r="804" spans="1:10" x14ac:dyDescent="0.3">
      <c r="A804" t="s">
        <v>590</v>
      </c>
      <c r="B804" t="s">
        <v>759</v>
      </c>
      <c r="C804" t="s">
        <v>1040</v>
      </c>
      <c r="D804" s="23">
        <v>46544.012615740743</v>
      </c>
      <c r="E804" t="s">
        <v>1637</v>
      </c>
      <c r="F804">
        <v>3</v>
      </c>
      <c r="G804" t="s">
        <v>2166</v>
      </c>
      <c r="I804" t="str">
        <f t="shared" si="26"/>
        <v>TC0233PE|PJ-18726-E3</v>
      </c>
      <c r="J804" t="str">
        <f t="shared" si="27"/>
        <v>SÍ</v>
      </c>
    </row>
    <row r="805" spans="1:10" x14ac:dyDescent="0.3">
      <c r="A805" t="s">
        <v>667</v>
      </c>
      <c r="B805" t="s">
        <v>836</v>
      </c>
      <c r="C805" t="s">
        <v>1210</v>
      </c>
      <c r="D805" s="23">
        <v>46491.286805555559</v>
      </c>
      <c r="E805" t="s">
        <v>1637</v>
      </c>
      <c r="F805">
        <v>3</v>
      </c>
      <c r="G805" t="s">
        <v>2166</v>
      </c>
      <c r="I805" t="str">
        <f t="shared" si="26"/>
        <v>TC0234PE|LP-16526-E5</v>
      </c>
      <c r="J805" t="str">
        <f t="shared" si="27"/>
        <v>SÍ</v>
      </c>
    </row>
    <row r="806" spans="1:10" x14ac:dyDescent="0.3">
      <c r="A806" t="s">
        <v>582</v>
      </c>
      <c r="B806" t="s">
        <v>751</v>
      </c>
      <c r="C806" t="s">
        <v>1024</v>
      </c>
      <c r="D806" s="23">
        <v>46508.841921296298</v>
      </c>
      <c r="E806" t="s">
        <v>1637</v>
      </c>
      <c r="F806">
        <v>6</v>
      </c>
      <c r="G806" t="s">
        <v>2166</v>
      </c>
      <c r="I806" t="str">
        <f t="shared" si="26"/>
        <v>TC0006PE|SN-18226-E8</v>
      </c>
      <c r="J806" t="str">
        <f t="shared" si="27"/>
        <v>SÍ</v>
      </c>
    </row>
    <row r="807" spans="1:10" x14ac:dyDescent="0.3">
      <c r="A807" t="s">
        <v>641</v>
      </c>
      <c r="B807" t="s">
        <v>810</v>
      </c>
      <c r="C807" t="s">
        <v>1116</v>
      </c>
      <c r="D807" s="23">
        <v>46518.400555555563</v>
      </c>
      <c r="E807" t="s">
        <v>1637</v>
      </c>
      <c r="F807">
        <v>2</v>
      </c>
      <c r="G807" t="s">
        <v>2167</v>
      </c>
      <c r="I807" t="str">
        <f t="shared" si="26"/>
        <v>TQ0036PE|QP-13626-E10</v>
      </c>
      <c r="J807" t="str">
        <f t="shared" si="27"/>
        <v>SÍ</v>
      </c>
    </row>
    <row r="808" spans="1:10" x14ac:dyDescent="0.3">
      <c r="A808" t="s">
        <v>617</v>
      </c>
      <c r="B808" t="s">
        <v>786</v>
      </c>
      <c r="C808" t="s">
        <v>1044</v>
      </c>
      <c r="D808" s="23">
        <v>46545</v>
      </c>
      <c r="E808" t="s">
        <v>1637</v>
      </c>
      <c r="F808">
        <v>3</v>
      </c>
      <c r="G808" t="s">
        <v>2168</v>
      </c>
      <c r="I808" t="str">
        <f t="shared" si="26"/>
        <v>TC0223PE|PJ-18826-E4</v>
      </c>
      <c r="J808" t="str">
        <f t="shared" si="27"/>
        <v>SÍ</v>
      </c>
    </row>
    <row r="809" spans="1:10" x14ac:dyDescent="0.3">
      <c r="A809" t="s">
        <v>615</v>
      </c>
      <c r="B809" t="s">
        <v>784</v>
      </c>
      <c r="C809" t="s">
        <v>1039</v>
      </c>
      <c r="D809" s="23">
        <v>46513</v>
      </c>
      <c r="E809" t="s">
        <v>1637</v>
      </c>
      <c r="F809">
        <v>3</v>
      </c>
      <c r="G809" t="s">
        <v>2168</v>
      </c>
      <c r="I809" t="str">
        <f t="shared" si="26"/>
        <v>TC0224PE|LP-18726-E2</v>
      </c>
      <c r="J809" t="str">
        <f t="shared" si="27"/>
        <v>SÍ</v>
      </c>
    </row>
    <row r="810" spans="1:10" x14ac:dyDescent="0.3">
      <c r="A810" t="s">
        <v>620</v>
      </c>
      <c r="B810" t="s">
        <v>789</v>
      </c>
      <c r="C810" t="s">
        <v>1112</v>
      </c>
      <c r="D810" s="23">
        <v>46487</v>
      </c>
      <c r="E810" t="s">
        <v>1637</v>
      </c>
      <c r="F810">
        <v>3</v>
      </c>
      <c r="G810" t="s">
        <v>2168</v>
      </c>
      <c r="I810" t="str">
        <f t="shared" si="26"/>
        <v>TC0244PE|SNP-16126-E1</v>
      </c>
      <c r="J810" t="str">
        <f t="shared" si="27"/>
        <v>SÍ</v>
      </c>
    </row>
    <row r="811" spans="1:10" x14ac:dyDescent="0.3">
      <c r="A811" t="s">
        <v>430</v>
      </c>
      <c r="B811" t="s">
        <v>431</v>
      </c>
      <c r="C811" t="s">
        <v>298</v>
      </c>
      <c r="D811" s="23">
        <v>46844.700740740736</v>
      </c>
      <c r="E811" t="s">
        <v>1635</v>
      </c>
      <c r="F811">
        <v>82.409300000000002</v>
      </c>
      <c r="G811" t="s">
        <v>40</v>
      </c>
      <c r="I811" t="str">
        <f t="shared" si="26"/>
        <v>MP10017|INFORME 05/26</v>
      </c>
      <c r="J811" t="str">
        <f t="shared" si="27"/>
        <v>SÍ</v>
      </c>
    </row>
    <row r="812" spans="1:10" x14ac:dyDescent="0.3">
      <c r="A812" t="s">
        <v>634</v>
      </c>
      <c r="B812" t="s">
        <v>803</v>
      </c>
      <c r="C812" t="s">
        <v>1333</v>
      </c>
      <c r="D812" s="23">
        <v>46356.870486111111</v>
      </c>
      <c r="E812" t="s">
        <v>1642</v>
      </c>
      <c r="F812">
        <v>12</v>
      </c>
      <c r="G812" t="s">
        <v>2169</v>
      </c>
      <c r="I812" t="str">
        <f t="shared" si="26"/>
        <v>RT0092PE|RN-09026-E1</v>
      </c>
      <c r="J812" t="str">
        <f t="shared" si="27"/>
        <v>SÍ</v>
      </c>
    </row>
    <row r="813" spans="1:10" x14ac:dyDescent="0.3">
      <c r="A813" t="s">
        <v>580</v>
      </c>
      <c r="B813" t="s">
        <v>749</v>
      </c>
      <c r="C813" t="s">
        <v>979</v>
      </c>
      <c r="D813" s="23">
        <v>46430.493194444447</v>
      </c>
      <c r="E813" t="s">
        <v>1642</v>
      </c>
      <c r="F813">
        <v>13</v>
      </c>
      <c r="G813" t="s">
        <v>2166</v>
      </c>
      <c r="I813" t="str">
        <f t="shared" si="26"/>
        <v>TC0004PE|SP-10826-E7</v>
      </c>
      <c r="J813" t="str">
        <f t="shared" si="27"/>
        <v>SÍ</v>
      </c>
    </row>
    <row r="814" spans="1:10" x14ac:dyDescent="0.3">
      <c r="A814" t="s">
        <v>582</v>
      </c>
      <c r="B814" t="s">
        <v>751</v>
      </c>
      <c r="C814" t="s">
        <v>1142</v>
      </c>
      <c r="D814" s="23">
        <v>46432.171770833331</v>
      </c>
      <c r="E814" t="s">
        <v>1642</v>
      </c>
      <c r="F814">
        <v>9</v>
      </c>
      <c r="G814" t="s">
        <v>2166</v>
      </c>
      <c r="I814" t="str">
        <f t="shared" si="26"/>
        <v>TC0006PE|SN-10426-E3</v>
      </c>
      <c r="J814" t="str">
        <f t="shared" si="27"/>
        <v>SÍ</v>
      </c>
    </row>
    <row r="815" spans="1:10" x14ac:dyDescent="0.3">
      <c r="A815" t="s">
        <v>586</v>
      </c>
      <c r="B815" t="s">
        <v>755</v>
      </c>
      <c r="C815" t="s">
        <v>946</v>
      </c>
      <c r="D815" s="23">
        <v>46432.174756944441</v>
      </c>
      <c r="E815" t="s">
        <v>1642</v>
      </c>
      <c r="F815">
        <v>12</v>
      </c>
      <c r="G815" t="s">
        <v>2169</v>
      </c>
      <c r="I815" t="str">
        <f t="shared" si="26"/>
        <v>TC0082PE|SN-10426-E2</v>
      </c>
      <c r="J815" t="str">
        <f t="shared" si="27"/>
        <v>SÍ</v>
      </c>
    </row>
    <row r="816" spans="1:10" x14ac:dyDescent="0.3">
      <c r="A816" t="s">
        <v>464</v>
      </c>
      <c r="B816" t="s">
        <v>465</v>
      </c>
      <c r="C816" t="s">
        <v>520</v>
      </c>
      <c r="D816" s="23">
        <v>46584.645150462973</v>
      </c>
      <c r="E816" t="s">
        <v>1635</v>
      </c>
      <c r="F816">
        <v>387</v>
      </c>
      <c r="G816" t="s">
        <v>11</v>
      </c>
      <c r="I816" t="str">
        <f t="shared" si="26"/>
        <v>EE10001|CT-14/26</v>
      </c>
      <c r="J816" t="str">
        <f t="shared" si="27"/>
        <v>SÍ</v>
      </c>
    </row>
    <row r="817" spans="1:10" x14ac:dyDescent="0.3">
      <c r="A817" t="s">
        <v>503</v>
      </c>
      <c r="B817" t="s">
        <v>504</v>
      </c>
      <c r="C817" t="s">
        <v>505</v>
      </c>
      <c r="D817" s="23">
        <v>46604.349641203713</v>
      </c>
      <c r="E817" t="s">
        <v>10</v>
      </c>
      <c r="F817">
        <v>628.71</v>
      </c>
      <c r="G817" t="s">
        <v>40</v>
      </c>
      <c r="I817" t="str">
        <f t="shared" si="26"/>
        <v>EE10182|LA-11/26</v>
      </c>
      <c r="J817" t="str">
        <f t="shared" si="27"/>
        <v>SÍ</v>
      </c>
    </row>
    <row r="818" spans="1:10" x14ac:dyDescent="0.3">
      <c r="A818" t="s">
        <v>688</v>
      </c>
      <c r="B818" t="s">
        <v>857</v>
      </c>
      <c r="C818" t="s">
        <v>1334</v>
      </c>
      <c r="D818" s="23">
        <v>46307</v>
      </c>
      <c r="E818" t="s">
        <v>1637</v>
      </c>
      <c r="F818">
        <v>1</v>
      </c>
      <c r="G818" t="s">
        <v>2181</v>
      </c>
      <c r="I818" t="str">
        <f t="shared" si="26"/>
        <v>RP0005PE|PFR-28525</v>
      </c>
      <c r="J818" t="str">
        <f t="shared" si="27"/>
        <v>SÍ</v>
      </c>
    </row>
    <row r="819" spans="1:10" x14ac:dyDescent="0.3">
      <c r="A819" t="s">
        <v>688</v>
      </c>
      <c r="B819" t="s">
        <v>857</v>
      </c>
      <c r="C819" t="s">
        <v>1335</v>
      </c>
      <c r="D819" s="23">
        <v>46302</v>
      </c>
      <c r="E819" t="s">
        <v>1637</v>
      </c>
      <c r="F819">
        <v>13</v>
      </c>
      <c r="G819" t="s">
        <v>2181</v>
      </c>
      <c r="I819" t="str">
        <f t="shared" si="26"/>
        <v>RP0005PE|PFR-28025</v>
      </c>
      <c r="J819" t="str">
        <f t="shared" si="27"/>
        <v>SÍ</v>
      </c>
    </row>
    <row r="820" spans="1:10" x14ac:dyDescent="0.3">
      <c r="A820" t="s">
        <v>350</v>
      </c>
      <c r="B820" t="s">
        <v>351</v>
      </c>
      <c r="C820" t="s">
        <v>258</v>
      </c>
      <c r="D820" s="23">
        <v>46341.524618055562</v>
      </c>
      <c r="E820" t="s">
        <v>1641</v>
      </c>
      <c r="F820">
        <v>3.6</v>
      </c>
      <c r="G820" t="s">
        <v>40</v>
      </c>
      <c r="I820" t="str">
        <f t="shared" si="26"/>
        <v>EE10297|INFORME 01/26</v>
      </c>
      <c r="J820" t="str">
        <f t="shared" si="27"/>
        <v>SÍ</v>
      </c>
    </row>
    <row r="821" spans="1:10" x14ac:dyDescent="0.3">
      <c r="A821" t="s">
        <v>693</v>
      </c>
      <c r="B821" t="s">
        <v>862</v>
      </c>
      <c r="C821" t="s">
        <v>1336</v>
      </c>
      <c r="D821" s="23">
        <v>46489.253379629627</v>
      </c>
      <c r="E821" t="s">
        <v>1637</v>
      </c>
      <c r="F821">
        <v>15</v>
      </c>
      <c r="G821" t="s">
        <v>2171</v>
      </c>
      <c r="I821" t="str">
        <f t="shared" si="26"/>
        <v>RT0122PE|RN-22426-E2</v>
      </c>
      <c r="J821" t="str">
        <f t="shared" si="27"/>
        <v>SÍ</v>
      </c>
    </row>
    <row r="822" spans="1:10" x14ac:dyDescent="0.3">
      <c r="A822" t="s">
        <v>404</v>
      </c>
      <c r="B822" t="s">
        <v>405</v>
      </c>
      <c r="C822" t="s">
        <v>507</v>
      </c>
      <c r="D822" s="23">
        <v>46966.396874999999</v>
      </c>
      <c r="E822" t="s">
        <v>10</v>
      </c>
      <c r="F822">
        <v>1000</v>
      </c>
      <c r="G822" t="s">
        <v>40</v>
      </c>
      <c r="I822" t="str">
        <f t="shared" si="26"/>
        <v>MP10027|HA-02/26</v>
      </c>
      <c r="J822" t="str">
        <f t="shared" si="27"/>
        <v>SÍ</v>
      </c>
    </row>
    <row r="823" spans="1:10" x14ac:dyDescent="0.3">
      <c r="A823" t="s">
        <v>581</v>
      </c>
      <c r="B823" t="s">
        <v>750</v>
      </c>
      <c r="C823" t="s">
        <v>1337</v>
      </c>
      <c r="D823" s="23">
        <v>46136</v>
      </c>
      <c r="E823" t="s">
        <v>1644</v>
      </c>
      <c r="F823">
        <v>0</v>
      </c>
      <c r="G823" t="s">
        <v>2168</v>
      </c>
      <c r="I823" t="str">
        <f t="shared" si="26"/>
        <v>TC0008MX|PJ-17525</v>
      </c>
      <c r="J823" t="str">
        <f t="shared" si="27"/>
        <v>SÍ</v>
      </c>
    </row>
    <row r="824" spans="1:10" x14ac:dyDescent="0.3">
      <c r="A824" t="s">
        <v>694</v>
      </c>
      <c r="B824" t="s">
        <v>863</v>
      </c>
      <c r="C824" t="s">
        <v>1338</v>
      </c>
      <c r="D824" s="23">
        <v>46543</v>
      </c>
      <c r="E824" t="s">
        <v>1641</v>
      </c>
      <c r="F824">
        <v>211.2</v>
      </c>
      <c r="G824" t="s">
        <v>40</v>
      </c>
      <c r="I824" t="str">
        <f t="shared" si="26"/>
        <v>INT0002-1|SN-21726-E4</v>
      </c>
      <c r="J824" t="str">
        <f t="shared" si="27"/>
        <v>SÍ</v>
      </c>
    </row>
    <row r="825" spans="1:10" x14ac:dyDescent="0.3">
      <c r="A825" t="s">
        <v>607</v>
      </c>
      <c r="B825" t="s">
        <v>776</v>
      </c>
      <c r="C825" t="s">
        <v>1272</v>
      </c>
      <c r="D825" s="23">
        <v>46428.999525462961</v>
      </c>
      <c r="E825" t="s">
        <v>1642</v>
      </c>
      <c r="F825">
        <v>25.5</v>
      </c>
      <c r="G825" t="s">
        <v>2174</v>
      </c>
      <c r="I825" t="str">
        <f t="shared" si="26"/>
        <v>TC0115PE|DUO-13426-E11</v>
      </c>
      <c r="J825" t="str">
        <f t="shared" si="27"/>
        <v>SÍ</v>
      </c>
    </row>
    <row r="826" spans="1:10" x14ac:dyDescent="0.3">
      <c r="A826" t="s">
        <v>622</v>
      </c>
      <c r="B826" t="s">
        <v>791</v>
      </c>
      <c r="C826" t="s">
        <v>1326</v>
      </c>
      <c r="D826" s="23">
        <v>46484.187789351847</v>
      </c>
      <c r="E826" t="s">
        <v>1642</v>
      </c>
      <c r="F826">
        <v>63</v>
      </c>
      <c r="G826" t="s">
        <v>2171</v>
      </c>
      <c r="I826" t="str">
        <f t="shared" si="26"/>
        <v>RT0123PE|RP-21926-E4</v>
      </c>
      <c r="J826" t="str">
        <f t="shared" si="27"/>
        <v>SÍ</v>
      </c>
    </row>
    <row r="827" spans="1:10" x14ac:dyDescent="0.3">
      <c r="A827" t="s">
        <v>663</v>
      </c>
      <c r="B827" t="s">
        <v>832</v>
      </c>
      <c r="C827" t="s">
        <v>1339</v>
      </c>
      <c r="D827" s="23">
        <v>46488.118113425917</v>
      </c>
      <c r="E827" t="s">
        <v>1642</v>
      </c>
      <c r="F827">
        <v>70</v>
      </c>
      <c r="G827" t="s">
        <v>2170</v>
      </c>
      <c r="I827" t="str">
        <f t="shared" si="26"/>
        <v>BS0001PE|BN-22326-E1</v>
      </c>
      <c r="J827" t="str">
        <f t="shared" si="27"/>
        <v>SÍ</v>
      </c>
    </row>
    <row r="828" spans="1:10" x14ac:dyDescent="0.3">
      <c r="A828" t="s">
        <v>663</v>
      </c>
      <c r="B828" t="s">
        <v>832</v>
      </c>
      <c r="C828" t="s">
        <v>1340</v>
      </c>
      <c r="D828" s="23">
        <v>46489.11886574074</v>
      </c>
      <c r="E828" t="s">
        <v>1642</v>
      </c>
      <c r="F828">
        <v>36</v>
      </c>
      <c r="G828" t="s">
        <v>2170</v>
      </c>
      <c r="I828" t="str">
        <f t="shared" si="26"/>
        <v>BS0001PE|BN-22426-E1</v>
      </c>
      <c r="J828" t="str">
        <f t="shared" si="27"/>
        <v>SÍ</v>
      </c>
    </row>
    <row r="829" spans="1:10" x14ac:dyDescent="0.3">
      <c r="A829" t="s">
        <v>663</v>
      </c>
      <c r="B829" t="s">
        <v>832</v>
      </c>
      <c r="C829" t="s">
        <v>1341</v>
      </c>
      <c r="D829" s="23">
        <v>46489.126342592594</v>
      </c>
      <c r="E829" t="s">
        <v>1642</v>
      </c>
      <c r="F829">
        <v>38</v>
      </c>
      <c r="G829" t="s">
        <v>2170</v>
      </c>
      <c r="I829" t="str">
        <f t="shared" si="26"/>
        <v>BS0001PE|BN-22426-E3</v>
      </c>
      <c r="J829" t="str">
        <f t="shared" si="27"/>
        <v>SÍ</v>
      </c>
    </row>
    <row r="830" spans="1:10" x14ac:dyDescent="0.3">
      <c r="A830" t="s">
        <v>622</v>
      </c>
      <c r="B830" t="s">
        <v>791</v>
      </c>
      <c r="C830" t="s">
        <v>1342</v>
      </c>
      <c r="D830" s="23">
        <v>46463</v>
      </c>
      <c r="E830" t="s">
        <v>1637</v>
      </c>
      <c r="F830">
        <v>1</v>
      </c>
      <c r="G830" t="s">
        <v>2171</v>
      </c>
      <c r="I830" t="str">
        <f t="shared" si="26"/>
        <v>RT0123PE|RP-19826-E5</v>
      </c>
      <c r="J830" t="str">
        <f t="shared" si="27"/>
        <v>SÍ</v>
      </c>
    </row>
    <row r="831" spans="1:10" x14ac:dyDescent="0.3">
      <c r="A831" t="s">
        <v>622</v>
      </c>
      <c r="B831" t="s">
        <v>791</v>
      </c>
      <c r="C831" t="s">
        <v>1343</v>
      </c>
      <c r="D831" s="23">
        <v>46454.202847222223</v>
      </c>
      <c r="E831" t="s">
        <v>1637</v>
      </c>
      <c r="F831">
        <v>1</v>
      </c>
      <c r="G831" t="s">
        <v>2171</v>
      </c>
      <c r="I831" t="str">
        <f t="shared" si="26"/>
        <v>RT0123PE|RP-18926-E8</v>
      </c>
      <c r="J831" t="str">
        <f t="shared" si="27"/>
        <v>SÍ</v>
      </c>
    </row>
    <row r="832" spans="1:10" x14ac:dyDescent="0.3">
      <c r="A832" t="s">
        <v>584</v>
      </c>
      <c r="B832" t="s">
        <v>753</v>
      </c>
      <c r="C832" t="s">
        <v>945</v>
      </c>
      <c r="D832" s="23">
        <v>46488.010358796288</v>
      </c>
      <c r="E832" t="s">
        <v>1636</v>
      </c>
      <c r="F832">
        <v>1</v>
      </c>
      <c r="G832" t="s">
        <v>2169</v>
      </c>
      <c r="I832" t="str">
        <f t="shared" si="26"/>
        <v>TQ0038PE|QB-10126-E5</v>
      </c>
      <c r="J832" t="str">
        <f t="shared" si="27"/>
        <v>SÍ</v>
      </c>
    </row>
    <row r="833" spans="1:10" x14ac:dyDescent="0.3">
      <c r="A833" t="s">
        <v>289</v>
      </c>
      <c r="B833" t="s">
        <v>290</v>
      </c>
      <c r="C833" t="s">
        <v>291</v>
      </c>
      <c r="D833" s="23">
        <v>46343.483182870368</v>
      </c>
      <c r="E833" t="s">
        <v>1635</v>
      </c>
      <c r="F833">
        <v>1.1949000000000001</v>
      </c>
      <c r="G833" t="s">
        <v>11</v>
      </c>
      <c r="I833" t="str">
        <f t="shared" si="26"/>
        <v>EE10250|INFORME 04/26</v>
      </c>
      <c r="J833" t="str">
        <f t="shared" si="27"/>
        <v>SÍ</v>
      </c>
    </row>
    <row r="834" spans="1:10" x14ac:dyDescent="0.3">
      <c r="A834" t="s">
        <v>692</v>
      </c>
      <c r="B834" t="s">
        <v>861</v>
      </c>
      <c r="C834" t="s">
        <v>1344</v>
      </c>
      <c r="D834" s="23">
        <v>46484</v>
      </c>
      <c r="E834" t="s">
        <v>1637</v>
      </c>
      <c r="F834">
        <v>17</v>
      </c>
      <c r="G834" t="s">
        <v>2171</v>
      </c>
      <c r="I834" t="str">
        <f t="shared" si="26"/>
        <v>RT0132PE|RJ-21926-E1</v>
      </c>
      <c r="J834" t="str">
        <f t="shared" si="27"/>
        <v>SÍ</v>
      </c>
    </row>
    <row r="835" spans="1:10" x14ac:dyDescent="0.3">
      <c r="A835" t="s">
        <v>693</v>
      </c>
      <c r="B835" t="s">
        <v>862</v>
      </c>
      <c r="C835" t="s">
        <v>1345</v>
      </c>
      <c r="D835" s="23">
        <v>46489.254479166673</v>
      </c>
      <c r="E835" t="s">
        <v>1637</v>
      </c>
      <c r="F835">
        <v>5</v>
      </c>
      <c r="G835" t="s">
        <v>2171</v>
      </c>
      <c r="I835" t="str">
        <f t="shared" si="26"/>
        <v>RT0122PE|RN-22426-E3</v>
      </c>
      <c r="J835" t="str">
        <f t="shared" si="27"/>
        <v>SÍ</v>
      </c>
    </row>
    <row r="836" spans="1:10" x14ac:dyDescent="0.3">
      <c r="A836" t="s">
        <v>354</v>
      </c>
      <c r="B836" t="s">
        <v>355</v>
      </c>
      <c r="C836" t="s">
        <v>508</v>
      </c>
      <c r="D836" s="23">
        <v>46603.399293981478</v>
      </c>
      <c r="E836" t="s">
        <v>10</v>
      </c>
      <c r="F836">
        <v>8640</v>
      </c>
      <c r="G836" t="s">
        <v>11</v>
      </c>
      <c r="I836" t="str">
        <f t="shared" si="26"/>
        <v>EE10058-1|TB-08/26</v>
      </c>
      <c r="J836" t="str">
        <f t="shared" si="27"/>
        <v>SÍ</v>
      </c>
    </row>
    <row r="837" spans="1:10" x14ac:dyDescent="0.3">
      <c r="A837" t="s">
        <v>373</v>
      </c>
      <c r="B837" t="s">
        <v>374</v>
      </c>
      <c r="C837" t="s">
        <v>288</v>
      </c>
      <c r="D837" s="23">
        <v>47024.688067129631</v>
      </c>
      <c r="E837" t="s">
        <v>10</v>
      </c>
      <c r="F837">
        <v>14</v>
      </c>
      <c r="G837" t="s">
        <v>11</v>
      </c>
      <c r="I837" t="str">
        <f t="shared" si="26"/>
        <v>EE10200|INFORME 03/26</v>
      </c>
      <c r="J837" t="str">
        <f t="shared" si="27"/>
        <v>SÍ</v>
      </c>
    </row>
    <row r="838" spans="1:10" x14ac:dyDescent="0.3">
      <c r="A838" t="s">
        <v>644</v>
      </c>
      <c r="B838" t="s">
        <v>813</v>
      </c>
      <c r="C838" t="s">
        <v>1346</v>
      </c>
      <c r="D838" s="23">
        <v>46487.073506944442</v>
      </c>
      <c r="E838" t="s">
        <v>1637</v>
      </c>
      <c r="F838">
        <v>13</v>
      </c>
      <c r="G838" t="s">
        <v>2170</v>
      </c>
      <c r="I838" t="str">
        <f t="shared" si="26"/>
        <v>BS0003PE|BJ-22226-E4</v>
      </c>
      <c r="J838" t="str">
        <f t="shared" si="27"/>
        <v>SÍ</v>
      </c>
    </row>
    <row r="839" spans="1:10" x14ac:dyDescent="0.3">
      <c r="A839" t="s">
        <v>644</v>
      </c>
      <c r="B839" t="s">
        <v>813</v>
      </c>
      <c r="C839" t="s">
        <v>1347</v>
      </c>
      <c r="D839" s="23">
        <v>46488.075370370367</v>
      </c>
      <c r="E839" t="s">
        <v>1637</v>
      </c>
      <c r="F839">
        <v>12</v>
      </c>
      <c r="G839" t="s">
        <v>2170</v>
      </c>
      <c r="I839" t="str">
        <f t="shared" si="26"/>
        <v>BS0003PE|BJ-22326-E4</v>
      </c>
      <c r="J839" t="str">
        <f t="shared" si="27"/>
        <v>SÍ</v>
      </c>
    </row>
    <row r="840" spans="1:10" x14ac:dyDescent="0.3">
      <c r="A840" t="s">
        <v>583</v>
      </c>
      <c r="B840" t="s">
        <v>752</v>
      </c>
      <c r="C840" t="s">
        <v>1348</v>
      </c>
      <c r="D840" s="23">
        <v>46543</v>
      </c>
      <c r="E840" t="s">
        <v>1637</v>
      </c>
      <c r="F840">
        <v>22</v>
      </c>
      <c r="G840" t="s">
        <v>2166</v>
      </c>
      <c r="I840" t="str">
        <f t="shared" si="26"/>
        <v>TC0016PE|SN-22026-E8</v>
      </c>
      <c r="J840" t="str">
        <f t="shared" si="27"/>
        <v>SÍ</v>
      </c>
    </row>
    <row r="841" spans="1:10" x14ac:dyDescent="0.3">
      <c r="A841" t="s">
        <v>583</v>
      </c>
      <c r="B841" t="s">
        <v>752</v>
      </c>
      <c r="C841" t="s">
        <v>1349</v>
      </c>
      <c r="D841" s="23">
        <v>46550.182997685188</v>
      </c>
      <c r="E841" t="s">
        <v>1637</v>
      </c>
      <c r="F841">
        <v>2</v>
      </c>
      <c r="G841" t="s">
        <v>2166</v>
      </c>
      <c r="I841" t="str">
        <f t="shared" si="26"/>
        <v>TC0016PE|SN-22426-E7</v>
      </c>
      <c r="J841" t="str">
        <f t="shared" si="27"/>
        <v>SÍ</v>
      </c>
    </row>
    <row r="842" spans="1:10" x14ac:dyDescent="0.3">
      <c r="A842" t="s">
        <v>643</v>
      </c>
      <c r="B842" t="s">
        <v>812</v>
      </c>
      <c r="C842" t="s">
        <v>1350</v>
      </c>
      <c r="D842" s="23">
        <v>46978.081446759257</v>
      </c>
      <c r="E842" t="s">
        <v>1637</v>
      </c>
      <c r="F842">
        <v>106</v>
      </c>
      <c r="G842" t="s">
        <v>2180</v>
      </c>
      <c r="I842" t="str">
        <f t="shared" si="26"/>
        <v>TP0001PE|PFT-22526-E9</v>
      </c>
      <c r="J842" t="str">
        <f t="shared" si="27"/>
        <v>SÍ</v>
      </c>
    </row>
    <row r="843" spans="1:10" x14ac:dyDescent="0.3">
      <c r="A843" t="s">
        <v>664</v>
      </c>
      <c r="B843" t="s">
        <v>833</v>
      </c>
      <c r="C843" t="s">
        <v>1349</v>
      </c>
      <c r="D843" s="23">
        <v>46550.177766203713</v>
      </c>
      <c r="E843" t="s">
        <v>1637</v>
      </c>
      <c r="F843">
        <v>34</v>
      </c>
      <c r="G843" t="s">
        <v>2166</v>
      </c>
      <c r="I843" t="str">
        <f t="shared" si="26"/>
        <v>TC0056PE|SN-22426-E7</v>
      </c>
      <c r="J843" t="str">
        <f t="shared" si="27"/>
        <v>SÍ</v>
      </c>
    </row>
    <row r="844" spans="1:10" x14ac:dyDescent="0.3">
      <c r="A844" t="s">
        <v>695</v>
      </c>
      <c r="B844" t="s">
        <v>864</v>
      </c>
      <c r="C844" t="s">
        <v>1351</v>
      </c>
      <c r="D844" s="23">
        <v>46150</v>
      </c>
      <c r="E844" t="s">
        <v>1636</v>
      </c>
      <c r="F844">
        <v>1</v>
      </c>
      <c r="G844" t="s">
        <v>2171</v>
      </c>
      <c r="I844" t="str">
        <f t="shared" si="26"/>
        <v>RT0075PE|RH-25125</v>
      </c>
      <c r="J844" t="str">
        <f t="shared" si="27"/>
        <v>SÍ</v>
      </c>
    </row>
    <row r="845" spans="1:10" x14ac:dyDescent="0.3">
      <c r="A845" t="s">
        <v>620</v>
      </c>
      <c r="B845" t="s">
        <v>789</v>
      </c>
      <c r="C845" t="s">
        <v>1352</v>
      </c>
      <c r="D845" s="23">
        <v>46397.883888888893</v>
      </c>
      <c r="E845" t="s">
        <v>1636</v>
      </c>
      <c r="F845">
        <v>1</v>
      </c>
      <c r="G845" t="s">
        <v>2168</v>
      </c>
      <c r="I845" t="str">
        <f t="shared" si="26"/>
        <v>TC0244PE|SNP-06926-E3</v>
      </c>
      <c r="J845" t="str">
        <f t="shared" si="27"/>
        <v>SÍ</v>
      </c>
    </row>
    <row r="846" spans="1:10" x14ac:dyDescent="0.3">
      <c r="A846" t="s">
        <v>646</v>
      </c>
      <c r="B846" t="s">
        <v>815</v>
      </c>
      <c r="C846" t="s">
        <v>1353</v>
      </c>
      <c r="D846" s="23">
        <v>45898</v>
      </c>
      <c r="E846" t="s">
        <v>1636</v>
      </c>
      <c r="F846">
        <v>25</v>
      </c>
      <c r="G846" t="s">
        <v>2181</v>
      </c>
      <c r="I846" t="str">
        <f t="shared" si="26"/>
        <v>RP0003PE|PF-24224</v>
      </c>
      <c r="J846" t="str">
        <f t="shared" si="27"/>
        <v>SÍ</v>
      </c>
    </row>
    <row r="847" spans="1:10" x14ac:dyDescent="0.3">
      <c r="A847" t="s">
        <v>643</v>
      </c>
      <c r="B847" t="s">
        <v>812</v>
      </c>
      <c r="C847" t="s">
        <v>1354</v>
      </c>
      <c r="D847" s="23">
        <v>46199.477395833332</v>
      </c>
      <c r="E847" t="s">
        <v>1642</v>
      </c>
      <c r="F847">
        <v>8</v>
      </c>
      <c r="G847" t="s">
        <v>2180</v>
      </c>
      <c r="I847" t="str">
        <f t="shared" si="26"/>
        <v>TP0001PE|PFT-18225</v>
      </c>
      <c r="J847" t="str">
        <f t="shared" si="27"/>
        <v>SÍ</v>
      </c>
    </row>
    <row r="848" spans="1:10" x14ac:dyDescent="0.3">
      <c r="A848" t="s">
        <v>682</v>
      </c>
      <c r="B848" t="s">
        <v>851</v>
      </c>
      <c r="C848" t="s">
        <v>1319</v>
      </c>
      <c r="D848" s="23">
        <v>46544</v>
      </c>
      <c r="E848" t="s">
        <v>1641</v>
      </c>
      <c r="F848">
        <v>1</v>
      </c>
      <c r="G848" t="s">
        <v>2168</v>
      </c>
      <c r="I848" t="str">
        <f t="shared" si="26"/>
        <v>TTS0001PE|TTN-21826-E4</v>
      </c>
      <c r="J848" t="str">
        <f t="shared" si="27"/>
        <v>SÍ</v>
      </c>
    </row>
    <row r="849" spans="1:10" x14ac:dyDescent="0.3">
      <c r="A849" t="s">
        <v>642</v>
      </c>
      <c r="B849" t="s">
        <v>811</v>
      </c>
      <c r="C849" t="s">
        <v>1323</v>
      </c>
      <c r="D849" s="23">
        <v>46544</v>
      </c>
      <c r="E849" t="s">
        <v>1641</v>
      </c>
      <c r="F849">
        <v>2</v>
      </c>
      <c r="G849" t="s">
        <v>2168</v>
      </c>
      <c r="I849" t="str">
        <f t="shared" si="26"/>
        <v>TTS0004PE|TTB-21826-E3</v>
      </c>
      <c r="J849" t="str">
        <f t="shared" si="27"/>
        <v>SÍ</v>
      </c>
    </row>
    <row r="850" spans="1:10" x14ac:dyDescent="0.3">
      <c r="A850" t="s">
        <v>623</v>
      </c>
      <c r="B850" t="s">
        <v>792</v>
      </c>
      <c r="C850" t="s">
        <v>1355</v>
      </c>
      <c r="D850" s="23">
        <v>46543.085717592592</v>
      </c>
      <c r="E850" t="s">
        <v>1637</v>
      </c>
      <c r="F850">
        <v>65</v>
      </c>
      <c r="G850" t="s">
        <v>2177</v>
      </c>
      <c r="I850" t="str">
        <f t="shared" ref="I850:I913" si="28">IF(A850="","",A850&amp;"|"&amp;C850)</f>
        <v>TC0246PE|SN-21726-E5</v>
      </c>
      <c r="J850" t="str">
        <f t="shared" ref="J850:J913" si="29">IF(A850&lt;&gt;"","SÍ","NO")</f>
        <v>SÍ</v>
      </c>
    </row>
    <row r="851" spans="1:10" x14ac:dyDescent="0.3">
      <c r="A851" t="s">
        <v>623</v>
      </c>
      <c r="B851" t="s">
        <v>792</v>
      </c>
      <c r="C851" t="s">
        <v>1055</v>
      </c>
      <c r="D851" s="23">
        <v>46516.936018518521</v>
      </c>
      <c r="E851" t="s">
        <v>1637</v>
      </c>
      <c r="F851">
        <v>40</v>
      </c>
      <c r="G851" t="s">
        <v>2177</v>
      </c>
      <c r="I851" t="str">
        <f t="shared" si="28"/>
        <v>TC0246PE|SN-19026-E5</v>
      </c>
      <c r="J851" t="str">
        <f t="shared" si="29"/>
        <v>SÍ</v>
      </c>
    </row>
    <row r="852" spans="1:10" x14ac:dyDescent="0.3">
      <c r="A852" t="s">
        <v>622</v>
      </c>
      <c r="B852" t="s">
        <v>791</v>
      </c>
      <c r="C852" t="s">
        <v>1356</v>
      </c>
      <c r="D852" s="23">
        <v>46491</v>
      </c>
      <c r="E852" t="s">
        <v>1637</v>
      </c>
      <c r="F852">
        <v>1</v>
      </c>
      <c r="G852" t="s">
        <v>2171</v>
      </c>
      <c r="I852" t="str">
        <f t="shared" si="28"/>
        <v>RT0123PE|RP-22626-E2</v>
      </c>
      <c r="J852" t="str">
        <f t="shared" si="29"/>
        <v>SÍ</v>
      </c>
    </row>
    <row r="853" spans="1:10" x14ac:dyDescent="0.3">
      <c r="A853" t="s">
        <v>692</v>
      </c>
      <c r="B853" t="s">
        <v>861</v>
      </c>
      <c r="C853" t="s">
        <v>1357</v>
      </c>
      <c r="D853" s="23">
        <v>46489</v>
      </c>
      <c r="E853" t="s">
        <v>1637</v>
      </c>
      <c r="F853">
        <v>18</v>
      </c>
      <c r="G853" t="s">
        <v>2171</v>
      </c>
      <c r="I853" t="str">
        <f t="shared" si="28"/>
        <v>RT0132PE|RJ-22426-E1</v>
      </c>
      <c r="J853" t="str">
        <f t="shared" si="29"/>
        <v>SÍ</v>
      </c>
    </row>
    <row r="854" spans="1:10" x14ac:dyDescent="0.3">
      <c r="A854" t="s">
        <v>692</v>
      </c>
      <c r="B854" t="s">
        <v>861</v>
      </c>
      <c r="C854" t="s">
        <v>1358</v>
      </c>
      <c r="D854" s="23">
        <v>46490</v>
      </c>
      <c r="E854" t="s">
        <v>1637</v>
      </c>
      <c r="F854">
        <v>118</v>
      </c>
      <c r="G854" t="s">
        <v>2171</v>
      </c>
      <c r="I854" t="str">
        <f t="shared" si="28"/>
        <v>RT0132PE|RJ-22526-E1</v>
      </c>
      <c r="J854" t="str">
        <f t="shared" si="29"/>
        <v>SÍ</v>
      </c>
    </row>
    <row r="855" spans="1:10" x14ac:dyDescent="0.3">
      <c r="A855" t="s">
        <v>687</v>
      </c>
      <c r="B855" t="s">
        <v>856</v>
      </c>
      <c r="C855" t="s">
        <v>1359</v>
      </c>
      <c r="D855" s="23">
        <v>46546.358553240738</v>
      </c>
      <c r="E855" t="s">
        <v>1637</v>
      </c>
      <c r="F855">
        <v>18</v>
      </c>
      <c r="G855" t="s">
        <v>2174</v>
      </c>
      <c r="I855" t="str">
        <f t="shared" si="28"/>
        <v>TC0222PE|SN-21826-E1</v>
      </c>
      <c r="J855" t="str">
        <f t="shared" si="29"/>
        <v>SÍ</v>
      </c>
    </row>
    <row r="856" spans="1:10" x14ac:dyDescent="0.3">
      <c r="A856" t="s">
        <v>670</v>
      </c>
      <c r="B856" t="s">
        <v>839</v>
      </c>
      <c r="C856" t="s">
        <v>1360</v>
      </c>
      <c r="D856" s="23">
        <v>46488</v>
      </c>
      <c r="E856" t="s">
        <v>1637</v>
      </c>
      <c r="F856">
        <v>8</v>
      </c>
      <c r="G856" t="s">
        <v>2170</v>
      </c>
      <c r="I856" t="str">
        <f t="shared" si="28"/>
        <v>BS0002PE|BP-22326-E5</v>
      </c>
      <c r="J856" t="str">
        <f t="shared" si="29"/>
        <v>SÍ</v>
      </c>
    </row>
    <row r="857" spans="1:10" x14ac:dyDescent="0.3">
      <c r="A857" t="s">
        <v>696</v>
      </c>
      <c r="B857" t="s">
        <v>865</v>
      </c>
      <c r="C857" t="s">
        <v>1361</v>
      </c>
      <c r="D857" s="23">
        <v>46549</v>
      </c>
      <c r="E857" t="s">
        <v>1637</v>
      </c>
      <c r="F857">
        <v>2</v>
      </c>
      <c r="G857" t="s">
        <v>2183</v>
      </c>
      <c r="I857" t="str">
        <f t="shared" si="28"/>
        <v>TC0090PE|SN-22426-E11</v>
      </c>
      <c r="J857" t="str">
        <f t="shared" si="29"/>
        <v>SÍ</v>
      </c>
    </row>
    <row r="858" spans="1:10" x14ac:dyDescent="0.3">
      <c r="A858" t="s">
        <v>696</v>
      </c>
      <c r="B858" t="s">
        <v>865</v>
      </c>
      <c r="C858" t="s">
        <v>1362</v>
      </c>
      <c r="D858" s="23">
        <v>46549</v>
      </c>
      <c r="E858" t="s">
        <v>1637</v>
      </c>
      <c r="F858">
        <v>1</v>
      </c>
      <c r="G858" t="s">
        <v>2183</v>
      </c>
      <c r="I858" t="str">
        <f t="shared" si="28"/>
        <v>TC0090PE|SN-22526-E11</v>
      </c>
      <c r="J858" t="str">
        <f t="shared" si="29"/>
        <v>SÍ</v>
      </c>
    </row>
    <row r="859" spans="1:10" x14ac:dyDescent="0.3">
      <c r="A859" t="s">
        <v>593</v>
      </c>
      <c r="B859" t="s">
        <v>762</v>
      </c>
      <c r="C859" t="s">
        <v>1363</v>
      </c>
      <c r="D859" s="23">
        <v>46552</v>
      </c>
      <c r="E859" t="s">
        <v>1637</v>
      </c>
      <c r="F859">
        <v>31</v>
      </c>
      <c r="G859" t="s">
        <v>2168</v>
      </c>
      <c r="I859" t="str">
        <f t="shared" si="28"/>
        <v>TC0123PE|SC-22626-E7</v>
      </c>
      <c r="J859" t="str">
        <f t="shared" si="29"/>
        <v>SÍ</v>
      </c>
    </row>
    <row r="860" spans="1:10" x14ac:dyDescent="0.3">
      <c r="A860" t="s">
        <v>595</v>
      </c>
      <c r="B860" t="s">
        <v>764</v>
      </c>
      <c r="C860" t="s">
        <v>1363</v>
      </c>
      <c r="D860" s="23">
        <v>46552</v>
      </c>
      <c r="E860" t="s">
        <v>1637</v>
      </c>
      <c r="F860">
        <v>18</v>
      </c>
      <c r="G860" t="s">
        <v>2168</v>
      </c>
      <c r="I860" t="str">
        <f t="shared" si="28"/>
        <v>TC0058PE|SC-22626-E7</v>
      </c>
      <c r="J860" t="str">
        <f t="shared" si="29"/>
        <v>SÍ</v>
      </c>
    </row>
    <row r="861" spans="1:10" x14ac:dyDescent="0.3">
      <c r="A861" t="s">
        <v>630</v>
      </c>
      <c r="B861" t="s">
        <v>799</v>
      </c>
      <c r="C861" t="s">
        <v>1364</v>
      </c>
      <c r="D861" s="23">
        <v>46491</v>
      </c>
      <c r="E861" t="s">
        <v>1637</v>
      </c>
      <c r="F861">
        <v>4</v>
      </c>
      <c r="G861" t="s">
        <v>2171</v>
      </c>
      <c r="I861" t="str">
        <f t="shared" si="28"/>
        <v>RT0124PE|RJ-22626-E5</v>
      </c>
      <c r="J861" t="str">
        <f t="shared" si="29"/>
        <v>SÍ</v>
      </c>
    </row>
    <row r="862" spans="1:10" x14ac:dyDescent="0.3">
      <c r="A862" t="s">
        <v>697</v>
      </c>
      <c r="B862" t="s">
        <v>866</v>
      </c>
      <c r="C862" t="s">
        <v>1365</v>
      </c>
      <c r="D862" s="23">
        <v>46552</v>
      </c>
      <c r="E862" t="s">
        <v>1637</v>
      </c>
      <c r="F862">
        <v>11</v>
      </c>
      <c r="G862" t="s">
        <v>2180</v>
      </c>
      <c r="I862" t="str">
        <f t="shared" si="28"/>
        <v>TC0239PE|SC-22626-E1</v>
      </c>
      <c r="J862" t="str">
        <f t="shared" si="29"/>
        <v>SÍ</v>
      </c>
    </row>
    <row r="863" spans="1:10" x14ac:dyDescent="0.3">
      <c r="A863" t="s">
        <v>690</v>
      </c>
      <c r="B863" t="s">
        <v>859</v>
      </c>
      <c r="C863" t="s">
        <v>1366</v>
      </c>
      <c r="D863" s="23">
        <v>46635</v>
      </c>
      <c r="E863" t="s">
        <v>1637</v>
      </c>
      <c r="F863">
        <v>1</v>
      </c>
      <c r="G863" t="s">
        <v>2181</v>
      </c>
      <c r="I863" t="str">
        <f t="shared" si="28"/>
        <v>TP0003PE|PFT-24825</v>
      </c>
      <c r="J863" t="str">
        <f t="shared" si="29"/>
        <v>SÍ</v>
      </c>
    </row>
    <row r="864" spans="1:10" x14ac:dyDescent="0.3">
      <c r="A864" t="s">
        <v>690</v>
      </c>
      <c r="B864" t="s">
        <v>859</v>
      </c>
      <c r="C864" t="s">
        <v>1367</v>
      </c>
      <c r="D864" s="23">
        <v>46415.098414351851</v>
      </c>
      <c r="E864" t="s">
        <v>1637</v>
      </c>
      <c r="F864">
        <v>96</v>
      </c>
      <c r="G864" t="s">
        <v>2181</v>
      </c>
      <c r="I864" t="str">
        <f t="shared" si="28"/>
        <v>TP0003PE|PFT-02826-E9</v>
      </c>
      <c r="J864" t="str">
        <f t="shared" si="29"/>
        <v>SÍ</v>
      </c>
    </row>
    <row r="865" spans="1:10" x14ac:dyDescent="0.3">
      <c r="A865" t="s">
        <v>690</v>
      </c>
      <c r="B865" t="s">
        <v>859</v>
      </c>
      <c r="C865" t="s">
        <v>1368</v>
      </c>
      <c r="D865" s="23">
        <v>46611</v>
      </c>
      <c r="E865" t="s">
        <v>1637</v>
      </c>
      <c r="F865">
        <v>161</v>
      </c>
      <c r="G865" t="s">
        <v>2181</v>
      </c>
      <c r="I865" t="str">
        <f t="shared" si="28"/>
        <v>TP0003PE|PFT-22425</v>
      </c>
      <c r="J865" t="str">
        <f t="shared" si="29"/>
        <v>SÍ</v>
      </c>
    </row>
    <row r="866" spans="1:10" x14ac:dyDescent="0.3">
      <c r="A866" t="s">
        <v>690</v>
      </c>
      <c r="B866" t="s">
        <v>859</v>
      </c>
      <c r="C866" t="s">
        <v>1369</v>
      </c>
      <c r="D866" s="23">
        <v>46789.112673611111</v>
      </c>
      <c r="E866" t="s">
        <v>1637</v>
      </c>
      <c r="F866">
        <v>34</v>
      </c>
      <c r="G866" t="s">
        <v>2181</v>
      </c>
      <c r="I866" t="str">
        <f t="shared" si="28"/>
        <v>TP0003PE|PFT-03726-E9</v>
      </c>
      <c r="J866" t="str">
        <f t="shared" si="29"/>
        <v>SÍ</v>
      </c>
    </row>
    <row r="867" spans="1:10" x14ac:dyDescent="0.3">
      <c r="A867" t="s">
        <v>690</v>
      </c>
      <c r="B867" t="s">
        <v>859</v>
      </c>
      <c r="C867" t="s">
        <v>1370</v>
      </c>
      <c r="D867" s="23">
        <v>46530.593182870369</v>
      </c>
      <c r="E867" t="s">
        <v>1637</v>
      </c>
      <c r="F867">
        <v>44</v>
      </c>
      <c r="G867" t="s">
        <v>2181</v>
      </c>
      <c r="I867" t="str">
        <f t="shared" si="28"/>
        <v>TP0003PE|PF-14826-E9</v>
      </c>
      <c r="J867" t="str">
        <f t="shared" si="29"/>
        <v>SÍ</v>
      </c>
    </row>
    <row r="868" spans="1:10" x14ac:dyDescent="0.3">
      <c r="A868" t="s">
        <v>688</v>
      </c>
      <c r="B868" t="s">
        <v>857</v>
      </c>
      <c r="C868" t="s">
        <v>1371</v>
      </c>
      <c r="D868" s="23">
        <v>46686.029293981483</v>
      </c>
      <c r="E868" t="s">
        <v>1637</v>
      </c>
      <c r="F868">
        <v>139</v>
      </c>
      <c r="G868" t="s">
        <v>2181</v>
      </c>
      <c r="I868" t="str">
        <f t="shared" si="28"/>
        <v>RP0005PE|PFR-29925</v>
      </c>
      <c r="J868" t="str">
        <f t="shared" si="29"/>
        <v>SÍ</v>
      </c>
    </row>
    <row r="869" spans="1:10" x14ac:dyDescent="0.3">
      <c r="A869" t="s">
        <v>688</v>
      </c>
      <c r="B869" t="s">
        <v>857</v>
      </c>
      <c r="C869" t="s">
        <v>1372</v>
      </c>
      <c r="D869" s="23">
        <v>46310</v>
      </c>
      <c r="E869" t="s">
        <v>1637</v>
      </c>
      <c r="F869">
        <v>58</v>
      </c>
      <c r="G869" t="s">
        <v>2181</v>
      </c>
      <c r="I869" t="str">
        <f t="shared" si="28"/>
        <v>RP0005PE|PFR-28825</v>
      </c>
      <c r="J869" t="str">
        <f t="shared" si="29"/>
        <v>SÍ</v>
      </c>
    </row>
    <row r="870" spans="1:10" x14ac:dyDescent="0.3">
      <c r="A870" t="s">
        <v>688</v>
      </c>
      <c r="B870" t="s">
        <v>857</v>
      </c>
      <c r="C870" t="s">
        <v>1373</v>
      </c>
      <c r="D870" s="23">
        <v>46313.080277777779</v>
      </c>
      <c r="E870" t="s">
        <v>1637</v>
      </c>
      <c r="F870">
        <v>120</v>
      </c>
      <c r="G870" t="s">
        <v>2181</v>
      </c>
      <c r="I870" t="str">
        <f t="shared" si="28"/>
        <v>RP0005PE|PFR-29125</v>
      </c>
      <c r="J870" t="str">
        <f t="shared" si="29"/>
        <v>SÍ</v>
      </c>
    </row>
    <row r="871" spans="1:10" x14ac:dyDescent="0.3">
      <c r="A871" t="s">
        <v>688</v>
      </c>
      <c r="B871" t="s">
        <v>857</v>
      </c>
      <c r="C871" t="s">
        <v>1374</v>
      </c>
      <c r="D871" s="23">
        <v>46685.217592592591</v>
      </c>
      <c r="E871" t="s">
        <v>1637</v>
      </c>
      <c r="F871">
        <v>240</v>
      </c>
      <c r="G871" t="s">
        <v>2181</v>
      </c>
      <c r="I871" t="str">
        <f t="shared" si="28"/>
        <v>RP0005PE|PFR-29825</v>
      </c>
      <c r="J871" t="str">
        <f t="shared" si="29"/>
        <v>SÍ</v>
      </c>
    </row>
    <row r="872" spans="1:10" x14ac:dyDescent="0.3">
      <c r="A872" t="s">
        <v>418</v>
      </c>
      <c r="B872" t="s">
        <v>419</v>
      </c>
      <c r="C872" t="s">
        <v>270</v>
      </c>
      <c r="D872" s="23">
        <v>46389.517372685194</v>
      </c>
      <c r="E872" t="s">
        <v>1635</v>
      </c>
      <c r="F872">
        <v>76.600399999999993</v>
      </c>
      <c r="G872" t="s">
        <v>40</v>
      </c>
      <c r="I872" t="str">
        <f t="shared" si="28"/>
        <v>EE10277|INFORME 02/26</v>
      </c>
      <c r="J872" t="str">
        <f t="shared" si="29"/>
        <v>SÍ</v>
      </c>
    </row>
    <row r="873" spans="1:10" x14ac:dyDescent="0.3">
      <c r="A873" t="s">
        <v>698</v>
      </c>
      <c r="B873" t="s">
        <v>867</v>
      </c>
      <c r="C873" t="s">
        <v>1375</v>
      </c>
      <c r="D873" s="23">
        <v>46552</v>
      </c>
      <c r="E873" t="s">
        <v>1637</v>
      </c>
      <c r="F873">
        <v>37</v>
      </c>
      <c r="G873" t="s">
        <v>2166</v>
      </c>
      <c r="I873" t="str">
        <f t="shared" si="28"/>
        <v>TC0238PE|LP-22626-E5</v>
      </c>
      <c r="J873" t="str">
        <f t="shared" si="29"/>
        <v>SÍ</v>
      </c>
    </row>
    <row r="874" spans="1:10" x14ac:dyDescent="0.3">
      <c r="A874" t="s">
        <v>589</v>
      </c>
      <c r="B874" t="s">
        <v>758</v>
      </c>
      <c r="C874" t="s">
        <v>1376</v>
      </c>
      <c r="D874" s="23">
        <v>46614</v>
      </c>
      <c r="E874" t="s">
        <v>1637</v>
      </c>
      <c r="F874">
        <v>143</v>
      </c>
      <c r="G874" t="s">
        <v>2167</v>
      </c>
      <c r="I874" t="str">
        <f t="shared" si="28"/>
        <v>TQ0034PE|QB-22726-E10</v>
      </c>
      <c r="J874" t="str">
        <f t="shared" si="29"/>
        <v>SÍ</v>
      </c>
    </row>
    <row r="875" spans="1:10" x14ac:dyDescent="0.3">
      <c r="A875" t="s">
        <v>589</v>
      </c>
      <c r="B875" t="s">
        <v>758</v>
      </c>
      <c r="C875" t="s">
        <v>1377</v>
      </c>
      <c r="D875" s="23">
        <v>46613</v>
      </c>
      <c r="E875" t="s">
        <v>1637</v>
      </c>
      <c r="F875">
        <v>64</v>
      </c>
      <c r="G875" t="s">
        <v>2167</v>
      </c>
      <c r="I875" t="str">
        <f t="shared" si="28"/>
        <v>TQ0034PE|QB-22626-E10</v>
      </c>
      <c r="J875" t="str">
        <f t="shared" si="29"/>
        <v>SÍ</v>
      </c>
    </row>
    <row r="876" spans="1:10" x14ac:dyDescent="0.3">
      <c r="A876" t="s">
        <v>668</v>
      </c>
      <c r="B876" t="s">
        <v>837</v>
      </c>
      <c r="C876" t="s">
        <v>1378</v>
      </c>
      <c r="D876" s="23">
        <v>46552</v>
      </c>
      <c r="E876" t="s">
        <v>1637</v>
      </c>
      <c r="F876">
        <v>8</v>
      </c>
      <c r="G876" t="s">
        <v>2166</v>
      </c>
      <c r="I876" t="str">
        <f t="shared" si="28"/>
        <v>TC0231PE|SC-22626-E5</v>
      </c>
      <c r="J876" t="str">
        <f t="shared" si="29"/>
        <v>SÍ</v>
      </c>
    </row>
    <row r="877" spans="1:10" x14ac:dyDescent="0.3">
      <c r="A877" t="s">
        <v>668</v>
      </c>
      <c r="B877" t="s">
        <v>837</v>
      </c>
      <c r="C877" t="s">
        <v>1379</v>
      </c>
      <c r="D877" s="23">
        <v>46582</v>
      </c>
      <c r="E877" t="s">
        <v>1637</v>
      </c>
      <c r="F877">
        <v>9</v>
      </c>
      <c r="G877" t="s">
        <v>2166</v>
      </c>
      <c r="I877" t="str">
        <f t="shared" si="28"/>
        <v>TC0231PE|SC-22526-E5</v>
      </c>
      <c r="J877" t="str">
        <f t="shared" si="29"/>
        <v>SÍ</v>
      </c>
    </row>
    <row r="878" spans="1:10" x14ac:dyDescent="0.3">
      <c r="A878" t="s">
        <v>595</v>
      </c>
      <c r="B878" t="s">
        <v>764</v>
      </c>
      <c r="C878" t="s">
        <v>1380</v>
      </c>
      <c r="D878" s="23">
        <v>46554.13490740741</v>
      </c>
      <c r="E878" t="s">
        <v>1637</v>
      </c>
      <c r="F878">
        <v>22</v>
      </c>
      <c r="G878" t="s">
        <v>2168</v>
      </c>
      <c r="I878" t="str">
        <f t="shared" si="28"/>
        <v>TC0058PE|SC-22826-E7</v>
      </c>
      <c r="J878" t="str">
        <f t="shared" si="29"/>
        <v>SÍ</v>
      </c>
    </row>
    <row r="879" spans="1:10" x14ac:dyDescent="0.3">
      <c r="A879" t="s">
        <v>595</v>
      </c>
      <c r="B879" t="s">
        <v>764</v>
      </c>
      <c r="C879" t="s">
        <v>1381</v>
      </c>
      <c r="D879" s="23">
        <v>46553</v>
      </c>
      <c r="E879" t="s">
        <v>1637</v>
      </c>
      <c r="F879">
        <v>116</v>
      </c>
      <c r="G879" t="s">
        <v>2168</v>
      </c>
      <c r="I879" t="str">
        <f t="shared" si="28"/>
        <v>TC0058PE|SC-22726-E7</v>
      </c>
      <c r="J879" t="str">
        <f t="shared" si="29"/>
        <v>SÍ</v>
      </c>
    </row>
    <row r="880" spans="1:10" x14ac:dyDescent="0.3">
      <c r="A880" t="s">
        <v>594</v>
      </c>
      <c r="B880" t="s">
        <v>763</v>
      </c>
      <c r="C880" t="s">
        <v>1382</v>
      </c>
      <c r="D880" s="23">
        <v>46551.120358796303</v>
      </c>
      <c r="E880" t="s">
        <v>1637</v>
      </c>
      <c r="F880">
        <v>5</v>
      </c>
      <c r="G880" t="s">
        <v>2166</v>
      </c>
      <c r="I880" t="str">
        <f t="shared" si="28"/>
        <v>TC0029PE|SC-22626-E8</v>
      </c>
      <c r="J880" t="str">
        <f t="shared" si="29"/>
        <v>SÍ</v>
      </c>
    </row>
    <row r="881" spans="1:10" x14ac:dyDescent="0.3">
      <c r="A881" t="s">
        <v>594</v>
      </c>
      <c r="B881" t="s">
        <v>763</v>
      </c>
      <c r="C881" t="s">
        <v>1383</v>
      </c>
      <c r="D881" s="23">
        <v>46552.121030092603</v>
      </c>
      <c r="E881" t="s">
        <v>1637</v>
      </c>
      <c r="F881">
        <v>74</v>
      </c>
      <c r="G881" t="s">
        <v>2166</v>
      </c>
      <c r="I881" t="str">
        <f t="shared" si="28"/>
        <v>TC0029PE|SC-22726-E8</v>
      </c>
      <c r="J881" t="str">
        <f t="shared" si="29"/>
        <v>SÍ</v>
      </c>
    </row>
    <row r="882" spans="1:10" x14ac:dyDescent="0.3">
      <c r="A882" t="s">
        <v>594</v>
      </c>
      <c r="B882" t="s">
        <v>763</v>
      </c>
      <c r="C882" t="s">
        <v>1384</v>
      </c>
      <c r="D882" s="23">
        <v>46553.125601851847</v>
      </c>
      <c r="E882" t="s">
        <v>1637</v>
      </c>
      <c r="F882">
        <v>40</v>
      </c>
      <c r="G882" t="s">
        <v>2166</v>
      </c>
      <c r="I882" t="str">
        <f t="shared" si="28"/>
        <v>TC0029PE|SC-22826-E8</v>
      </c>
      <c r="J882" t="str">
        <f t="shared" si="29"/>
        <v>SÍ</v>
      </c>
    </row>
    <row r="883" spans="1:10" x14ac:dyDescent="0.3">
      <c r="A883" t="s">
        <v>622</v>
      </c>
      <c r="B883" t="s">
        <v>791</v>
      </c>
      <c r="C883" t="s">
        <v>1385</v>
      </c>
      <c r="D883" s="23">
        <v>46492.10229166667</v>
      </c>
      <c r="E883" t="s">
        <v>1637</v>
      </c>
      <c r="F883">
        <v>3</v>
      </c>
      <c r="G883" t="s">
        <v>2171</v>
      </c>
      <c r="I883" t="str">
        <f t="shared" si="28"/>
        <v>RT0123PE|RP-22726-E2</v>
      </c>
      <c r="J883" t="str">
        <f t="shared" si="29"/>
        <v>SÍ</v>
      </c>
    </row>
    <row r="884" spans="1:10" x14ac:dyDescent="0.3">
      <c r="A884" t="s">
        <v>622</v>
      </c>
      <c r="B884" t="s">
        <v>791</v>
      </c>
      <c r="C884" t="s">
        <v>1386</v>
      </c>
      <c r="D884" s="23">
        <v>46492.18546296296</v>
      </c>
      <c r="E884" t="s">
        <v>1637</v>
      </c>
      <c r="F884">
        <v>1</v>
      </c>
      <c r="G884" t="s">
        <v>2171</v>
      </c>
      <c r="I884" t="str">
        <f t="shared" si="28"/>
        <v>RT0123PE|RP-22726-E3</v>
      </c>
      <c r="J884" t="str">
        <f t="shared" si="29"/>
        <v>SÍ</v>
      </c>
    </row>
    <row r="885" spans="1:10" x14ac:dyDescent="0.3">
      <c r="A885" t="s">
        <v>622</v>
      </c>
      <c r="B885" t="s">
        <v>791</v>
      </c>
      <c r="C885" t="s">
        <v>1387</v>
      </c>
      <c r="D885" s="23">
        <v>46493.186284722222</v>
      </c>
      <c r="E885" t="s">
        <v>1637</v>
      </c>
      <c r="F885">
        <v>1</v>
      </c>
      <c r="G885" t="s">
        <v>2171</v>
      </c>
      <c r="I885" t="str">
        <f t="shared" si="28"/>
        <v>RT0123PE|RP-22826-E3</v>
      </c>
      <c r="J885" t="str">
        <f t="shared" si="29"/>
        <v>SÍ</v>
      </c>
    </row>
    <row r="886" spans="1:10" x14ac:dyDescent="0.3">
      <c r="A886" t="s">
        <v>594</v>
      </c>
      <c r="B886" t="s">
        <v>763</v>
      </c>
      <c r="C886" t="s">
        <v>1388</v>
      </c>
      <c r="D886" s="23">
        <v>46553.191469907397</v>
      </c>
      <c r="E886" t="s">
        <v>1637</v>
      </c>
      <c r="F886">
        <v>10</v>
      </c>
      <c r="G886" t="s">
        <v>2166</v>
      </c>
      <c r="I886" t="str">
        <f t="shared" si="28"/>
        <v>TC0029PE|SC-22726-E1</v>
      </c>
      <c r="J886" t="str">
        <f t="shared" si="29"/>
        <v>SÍ</v>
      </c>
    </row>
    <row r="887" spans="1:10" x14ac:dyDescent="0.3">
      <c r="A887" t="s">
        <v>525</v>
      </c>
      <c r="B887" t="s">
        <v>526</v>
      </c>
      <c r="C887" t="s">
        <v>1389</v>
      </c>
      <c r="D887" s="23">
        <v>46254.959930555553</v>
      </c>
      <c r="E887" t="s">
        <v>1641</v>
      </c>
      <c r="F887">
        <v>8.0000000000000002E-3</v>
      </c>
      <c r="G887" t="s">
        <v>40</v>
      </c>
      <c r="I887" t="str">
        <f t="shared" si="28"/>
        <v>MP10005|INFORME 201/26</v>
      </c>
      <c r="J887" t="str">
        <f t="shared" si="29"/>
        <v>SÍ</v>
      </c>
    </row>
    <row r="888" spans="1:10" x14ac:dyDescent="0.3">
      <c r="A888" t="s">
        <v>375</v>
      </c>
      <c r="B888" t="s">
        <v>376</v>
      </c>
      <c r="C888" t="s">
        <v>312</v>
      </c>
      <c r="D888" s="23">
        <v>46542.732071759259</v>
      </c>
      <c r="E888" t="s">
        <v>1635</v>
      </c>
      <c r="F888">
        <v>495</v>
      </c>
      <c r="G888" t="s">
        <v>11</v>
      </c>
      <c r="I888" t="str">
        <f t="shared" si="28"/>
        <v>EE10012|INFORME 09/26</v>
      </c>
      <c r="J888" t="str">
        <f t="shared" si="29"/>
        <v>SÍ</v>
      </c>
    </row>
    <row r="889" spans="1:10" x14ac:dyDescent="0.3">
      <c r="A889" t="s">
        <v>643</v>
      </c>
      <c r="B889" t="s">
        <v>812</v>
      </c>
      <c r="C889" t="s">
        <v>1390</v>
      </c>
      <c r="D889" s="23">
        <v>46979.528009259258</v>
      </c>
      <c r="E889" t="s">
        <v>1637</v>
      </c>
      <c r="F889">
        <v>159</v>
      </c>
      <c r="G889" t="s">
        <v>2180</v>
      </c>
      <c r="I889" t="str">
        <f t="shared" si="28"/>
        <v>TP0001PE|PFT-22626-E9</v>
      </c>
      <c r="J889" t="str">
        <f t="shared" si="29"/>
        <v>SÍ</v>
      </c>
    </row>
    <row r="890" spans="1:10" x14ac:dyDescent="0.3">
      <c r="A890" t="s">
        <v>584</v>
      </c>
      <c r="B890" t="s">
        <v>753</v>
      </c>
      <c r="C890" t="s">
        <v>1391</v>
      </c>
      <c r="D890" s="23">
        <v>46615.535740740743</v>
      </c>
      <c r="E890" t="s">
        <v>1637</v>
      </c>
      <c r="F890">
        <v>78</v>
      </c>
      <c r="G890" t="s">
        <v>2169</v>
      </c>
      <c r="I890" t="str">
        <f t="shared" si="28"/>
        <v>TQ0038PE|QB-22826-E10</v>
      </c>
      <c r="J890" t="str">
        <f t="shared" si="29"/>
        <v>SÍ</v>
      </c>
    </row>
    <row r="891" spans="1:10" x14ac:dyDescent="0.3">
      <c r="A891" t="s">
        <v>601</v>
      </c>
      <c r="B891" t="s">
        <v>770</v>
      </c>
      <c r="C891" t="s">
        <v>1384</v>
      </c>
      <c r="D891" s="23">
        <v>46554.544861111113</v>
      </c>
      <c r="E891" t="s">
        <v>1637</v>
      </c>
      <c r="F891">
        <v>10</v>
      </c>
      <c r="G891" t="s">
        <v>2169</v>
      </c>
      <c r="I891" t="str">
        <f t="shared" si="28"/>
        <v>TC0227PE|SC-22826-E8</v>
      </c>
      <c r="J891" t="str">
        <f t="shared" si="29"/>
        <v>SÍ</v>
      </c>
    </row>
    <row r="892" spans="1:10" x14ac:dyDescent="0.3">
      <c r="A892" t="s">
        <v>601</v>
      </c>
      <c r="B892" t="s">
        <v>770</v>
      </c>
      <c r="C892" t="s">
        <v>1392</v>
      </c>
      <c r="D892" s="23">
        <v>46554.545185185183</v>
      </c>
      <c r="E892" t="s">
        <v>1637</v>
      </c>
      <c r="F892">
        <v>18</v>
      </c>
      <c r="G892" t="s">
        <v>2169</v>
      </c>
      <c r="I892" t="str">
        <f t="shared" si="28"/>
        <v>TC0227PE|SC-22826-E1</v>
      </c>
      <c r="J892" t="str">
        <f t="shared" si="29"/>
        <v>SÍ</v>
      </c>
    </row>
    <row r="893" spans="1:10" x14ac:dyDescent="0.3">
      <c r="A893" t="s">
        <v>608</v>
      </c>
      <c r="B893" t="s">
        <v>777</v>
      </c>
      <c r="C893" t="s">
        <v>1023</v>
      </c>
      <c r="D893" s="23">
        <v>46082.855219907397</v>
      </c>
      <c r="E893" t="s">
        <v>1645</v>
      </c>
      <c r="F893">
        <v>1</v>
      </c>
      <c r="G893" t="s">
        <v>2171</v>
      </c>
      <c r="I893" t="str">
        <f t="shared" si="28"/>
        <v>RT0105PE|RB-18226-E2</v>
      </c>
      <c r="J893" t="str">
        <f t="shared" si="29"/>
        <v>SÍ</v>
      </c>
    </row>
    <row r="894" spans="1:10" x14ac:dyDescent="0.3">
      <c r="A894" t="s">
        <v>612</v>
      </c>
      <c r="B894" t="s">
        <v>781</v>
      </c>
      <c r="C894" t="s">
        <v>1032</v>
      </c>
      <c r="D894" s="23">
        <v>46450.953645833331</v>
      </c>
      <c r="E894" t="s">
        <v>1645</v>
      </c>
      <c r="F894">
        <v>6</v>
      </c>
      <c r="G894" t="s">
        <v>2171</v>
      </c>
      <c r="I894" t="str">
        <f t="shared" si="28"/>
        <v>RT0131PE|RP-18526-E1</v>
      </c>
      <c r="J894" t="str">
        <f t="shared" si="29"/>
        <v>SÍ</v>
      </c>
    </row>
    <row r="895" spans="1:10" x14ac:dyDescent="0.3">
      <c r="A895" t="s">
        <v>612</v>
      </c>
      <c r="B895" t="s">
        <v>781</v>
      </c>
      <c r="C895" t="s">
        <v>1234</v>
      </c>
      <c r="D895" s="23">
        <v>46442</v>
      </c>
      <c r="E895" t="s">
        <v>1645</v>
      </c>
      <c r="F895">
        <v>11</v>
      </c>
      <c r="G895" t="s">
        <v>2171</v>
      </c>
      <c r="I895" t="str">
        <f t="shared" si="28"/>
        <v>RT0131PE|RP-17526-E4</v>
      </c>
      <c r="J895" t="str">
        <f t="shared" si="29"/>
        <v>SÍ</v>
      </c>
    </row>
    <row r="896" spans="1:10" x14ac:dyDescent="0.3">
      <c r="A896" t="s">
        <v>642</v>
      </c>
      <c r="B896" t="s">
        <v>811</v>
      </c>
      <c r="C896" t="s">
        <v>1323</v>
      </c>
      <c r="D896" s="23">
        <v>46544</v>
      </c>
      <c r="E896" t="s">
        <v>1646</v>
      </c>
      <c r="F896">
        <v>40</v>
      </c>
      <c r="G896" t="s">
        <v>2168</v>
      </c>
      <c r="I896" t="str">
        <f t="shared" si="28"/>
        <v>TTS0004PE|TTB-21826-E3</v>
      </c>
      <c r="J896" t="str">
        <f t="shared" si="29"/>
        <v>SÍ</v>
      </c>
    </row>
    <row r="897" spans="1:10" x14ac:dyDescent="0.3">
      <c r="A897" t="s">
        <v>612</v>
      </c>
      <c r="B897" t="s">
        <v>781</v>
      </c>
      <c r="C897" t="s">
        <v>1393</v>
      </c>
      <c r="D897" s="23">
        <v>46442</v>
      </c>
      <c r="E897" t="s">
        <v>1647</v>
      </c>
      <c r="F897">
        <v>17</v>
      </c>
      <c r="G897" t="s">
        <v>2171</v>
      </c>
      <c r="I897" t="str">
        <f t="shared" si="28"/>
        <v>RT0131PE|RP-17526-E1</v>
      </c>
      <c r="J897" t="str">
        <f t="shared" si="29"/>
        <v>SÍ</v>
      </c>
    </row>
    <row r="898" spans="1:10" x14ac:dyDescent="0.3">
      <c r="A898" t="s">
        <v>590</v>
      </c>
      <c r="B898" t="s">
        <v>759</v>
      </c>
      <c r="C898" t="s">
        <v>1040</v>
      </c>
      <c r="D898" s="23">
        <v>46544.012615740743</v>
      </c>
      <c r="E898" t="s">
        <v>1648</v>
      </c>
      <c r="F898">
        <v>40</v>
      </c>
      <c r="G898" t="s">
        <v>2166</v>
      </c>
      <c r="I898" t="str">
        <f t="shared" si="28"/>
        <v>TC0233PE|PJ-18726-E3</v>
      </c>
      <c r="J898" t="str">
        <f t="shared" si="29"/>
        <v>SÍ</v>
      </c>
    </row>
    <row r="899" spans="1:10" x14ac:dyDescent="0.3">
      <c r="A899" t="s">
        <v>578</v>
      </c>
      <c r="B899" t="s">
        <v>747</v>
      </c>
      <c r="C899" t="s">
        <v>1011</v>
      </c>
      <c r="D899" s="23">
        <v>46501</v>
      </c>
      <c r="E899" t="s">
        <v>1649</v>
      </c>
      <c r="F899">
        <v>40</v>
      </c>
      <c r="G899" t="s">
        <v>2168</v>
      </c>
      <c r="I899" t="str">
        <f t="shared" si="28"/>
        <v>TC0091PE|SN-17526-E8</v>
      </c>
      <c r="J899" t="str">
        <f t="shared" si="29"/>
        <v>SÍ</v>
      </c>
    </row>
    <row r="900" spans="1:10" x14ac:dyDescent="0.3">
      <c r="A900" t="s">
        <v>578</v>
      </c>
      <c r="B900" t="s">
        <v>747</v>
      </c>
      <c r="C900" t="s">
        <v>1018</v>
      </c>
      <c r="D900" s="23">
        <v>46502</v>
      </c>
      <c r="E900" t="s">
        <v>1649</v>
      </c>
      <c r="F900">
        <v>40</v>
      </c>
      <c r="G900" t="s">
        <v>2168</v>
      </c>
      <c r="I900" t="str">
        <f t="shared" si="28"/>
        <v>TC0091PE|SN-17626-E7</v>
      </c>
      <c r="J900" t="str">
        <f t="shared" si="29"/>
        <v>SÍ</v>
      </c>
    </row>
    <row r="901" spans="1:10" x14ac:dyDescent="0.3">
      <c r="A901" t="s">
        <v>676</v>
      </c>
      <c r="B901" t="s">
        <v>845</v>
      </c>
      <c r="C901" t="s">
        <v>1394</v>
      </c>
      <c r="D901" s="23">
        <v>46286.634594907409</v>
      </c>
      <c r="E901" t="s">
        <v>1650</v>
      </c>
      <c r="F901">
        <v>40</v>
      </c>
      <c r="G901" t="s">
        <v>2166</v>
      </c>
      <c r="I901" t="str">
        <f t="shared" si="28"/>
        <v>TC0094PE|SC-32525</v>
      </c>
      <c r="J901" t="str">
        <f t="shared" si="29"/>
        <v>SÍ</v>
      </c>
    </row>
    <row r="902" spans="1:10" x14ac:dyDescent="0.3">
      <c r="A902" t="s">
        <v>583</v>
      </c>
      <c r="B902" t="s">
        <v>752</v>
      </c>
      <c r="C902" t="s">
        <v>1318</v>
      </c>
      <c r="D902" s="23">
        <v>46543</v>
      </c>
      <c r="E902" t="s">
        <v>1651</v>
      </c>
      <c r="F902">
        <v>15</v>
      </c>
      <c r="G902" t="s">
        <v>2166</v>
      </c>
      <c r="I902" t="str">
        <f t="shared" si="28"/>
        <v>TC0016PE|SN-21726-E2</v>
      </c>
      <c r="J902" t="str">
        <f t="shared" si="29"/>
        <v>SÍ</v>
      </c>
    </row>
    <row r="903" spans="1:10" x14ac:dyDescent="0.3">
      <c r="A903" t="s">
        <v>583</v>
      </c>
      <c r="B903" t="s">
        <v>752</v>
      </c>
      <c r="C903" t="s">
        <v>1395</v>
      </c>
      <c r="D903" s="23">
        <v>46517.120185185187</v>
      </c>
      <c r="E903" t="s">
        <v>1651</v>
      </c>
      <c r="F903">
        <v>1</v>
      </c>
      <c r="G903" t="s">
        <v>2166</v>
      </c>
      <c r="I903" t="str">
        <f t="shared" si="28"/>
        <v>TC0016PE|SN-19126-E1</v>
      </c>
      <c r="J903" t="str">
        <f t="shared" si="29"/>
        <v>SÍ</v>
      </c>
    </row>
    <row r="904" spans="1:10" x14ac:dyDescent="0.3">
      <c r="A904" t="s">
        <v>578</v>
      </c>
      <c r="B904" t="s">
        <v>747</v>
      </c>
      <c r="C904" t="s">
        <v>1018</v>
      </c>
      <c r="D904" s="23">
        <v>46502</v>
      </c>
      <c r="E904" t="s">
        <v>1652</v>
      </c>
      <c r="F904">
        <v>40</v>
      </c>
      <c r="G904" t="s">
        <v>2168</v>
      </c>
      <c r="I904" t="str">
        <f t="shared" si="28"/>
        <v>TC0091PE|SN-17626-E7</v>
      </c>
      <c r="J904" t="str">
        <f t="shared" si="29"/>
        <v>SÍ</v>
      </c>
    </row>
    <row r="905" spans="1:10" x14ac:dyDescent="0.3">
      <c r="A905" t="s">
        <v>578</v>
      </c>
      <c r="B905" t="s">
        <v>747</v>
      </c>
      <c r="C905" t="s">
        <v>1146</v>
      </c>
      <c r="D905" s="23">
        <v>46502</v>
      </c>
      <c r="E905" t="s">
        <v>1652</v>
      </c>
      <c r="F905">
        <v>40</v>
      </c>
      <c r="G905" t="s">
        <v>2168</v>
      </c>
      <c r="I905" t="str">
        <f t="shared" si="28"/>
        <v>TC0091PE|SN-17626-E8</v>
      </c>
      <c r="J905" t="str">
        <f t="shared" si="29"/>
        <v>SÍ</v>
      </c>
    </row>
    <row r="906" spans="1:10" x14ac:dyDescent="0.3">
      <c r="A906" t="s">
        <v>587</v>
      </c>
      <c r="B906" t="s">
        <v>756</v>
      </c>
      <c r="C906" t="s">
        <v>1396</v>
      </c>
      <c r="D906" s="23">
        <v>46524</v>
      </c>
      <c r="E906" t="s">
        <v>1642</v>
      </c>
      <c r="F906">
        <v>8</v>
      </c>
      <c r="G906" t="s">
        <v>2168</v>
      </c>
      <c r="I906" t="str">
        <f t="shared" si="28"/>
        <v>TC0099PE|SP-19826-E7</v>
      </c>
      <c r="J906" t="str">
        <f t="shared" si="29"/>
        <v>SÍ</v>
      </c>
    </row>
    <row r="907" spans="1:10" x14ac:dyDescent="0.3">
      <c r="A907" t="s">
        <v>694</v>
      </c>
      <c r="B907" t="s">
        <v>863</v>
      </c>
      <c r="C907" t="s">
        <v>1397</v>
      </c>
      <c r="D907" s="23">
        <v>46549</v>
      </c>
      <c r="E907" t="s">
        <v>1641</v>
      </c>
      <c r="F907">
        <v>19.2</v>
      </c>
      <c r="G907" t="s">
        <v>40</v>
      </c>
      <c r="I907" t="str">
        <f t="shared" si="28"/>
        <v>INT0002-1|SN-22426</v>
      </c>
      <c r="J907" t="str">
        <f t="shared" si="29"/>
        <v>SÍ</v>
      </c>
    </row>
    <row r="908" spans="1:10" x14ac:dyDescent="0.3">
      <c r="A908" t="s">
        <v>676</v>
      </c>
      <c r="B908" t="s">
        <v>845</v>
      </c>
      <c r="C908" t="s">
        <v>1398</v>
      </c>
      <c r="D908" s="23">
        <v>46266.573958333327</v>
      </c>
      <c r="E908" t="s">
        <v>1653</v>
      </c>
      <c r="F908">
        <v>40</v>
      </c>
      <c r="G908" t="s">
        <v>2166</v>
      </c>
      <c r="I908" t="str">
        <f t="shared" si="28"/>
        <v>TC0094PE|SC-30525</v>
      </c>
      <c r="J908" t="str">
        <f t="shared" si="29"/>
        <v>SÍ</v>
      </c>
    </row>
    <row r="909" spans="1:10" x14ac:dyDescent="0.3">
      <c r="A909" t="s">
        <v>578</v>
      </c>
      <c r="B909" t="s">
        <v>747</v>
      </c>
      <c r="C909" t="s">
        <v>1018</v>
      </c>
      <c r="D909" s="23">
        <v>46502</v>
      </c>
      <c r="E909" t="s">
        <v>1654</v>
      </c>
      <c r="F909">
        <v>40</v>
      </c>
      <c r="G909" t="s">
        <v>2168</v>
      </c>
      <c r="I909" t="str">
        <f t="shared" si="28"/>
        <v>TC0091PE|SN-17626-E7</v>
      </c>
      <c r="J909" t="str">
        <f t="shared" si="29"/>
        <v>SÍ</v>
      </c>
    </row>
    <row r="910" spans="1:10" x14ac:dyDescent="0.3">
      <c r="A910" t="s">
        <v>578</v>
      </c>
      <c r="B910" t="s">
        <v>747</v>
      </c>
      <c r="C910" t="s">
        <v>1146</v>
      </c>
      <c r="D910" s="23">
        <v>46502</v>
      </c>
      <c r="E910" t="s">
        <v>1654</v>
      </c>
      <c r="F910">
        <v>40</v>
      </c>
      <c r="G910" t="s">
        <v>2168</v>
      </c>
      <c r="I910" t="str">
        <f t="shared" si="28"/>
        <v>TC0091PE|SN-17626-E8</v>
      </c>
      <c r="J910" t="str">
        <f t="shared" si="29"/>
        <v>SÍ</v>
      </c>
    </row>
    <row r="911" spans="1:10" x14ac:dyDescent="0.3">
      <c r="A911" t="s">
        <v>578</v>
      </c>
      <c r="B911" t="s">
        <v>747</v>
      </c>
      <c r="C911" t="s">
        <v>1018</v>
      </c>
      <c r="D911" s="23">
        <v>46502</v>
      </c>
      <c r="E911" t="s">
        <v>1655</v>
      </c>
      <c r="F911">
        <v>40</v>
      </c>
      <c r="G911" t="s">
        <v>2168</v>
      </c>
      <c r="I911" t="str">
        <f t="shared" si="28"/>
        <v>TC0091PE|SN-17626-E7</v>
      </c>
      <c r="J911" t="str">
        <f t="shared" si="29"/>
        <v>SÍ</v>
      </c>
    </row>
    <row r="912" spans="1:10" x14ac:dyDescent="0.3">
      <c r="A912" t="s">
        <v>578</v>
      </c>
      <c r="B912" t="s">
        <v>747</v>
      </c>
      <c r="C912" t="s">
        <v>1146</v>
      </c>
      <c r="D912" s="23">
        <v>46502</v>
      </c>
      <c r="E912" t="s">
        <v>1655</v>
      </c>
      <c r="F912">
        <v>40</v>
      </c>
      <c r="G912" t="s">
        <v>2168</v>
      </c>
      <c r="I912" t="str">
        <f t="shared" si="28"/>
        <v>TC0091PE|SN-17626-E8</v>
      </c>
      <c r="J912" t="str">
        <f t="shared" si="29"/>
        <v>SÍ</v>
      </c>
    </row>
    <row r="913" spans="1:10" x14ac:dyDescent="0.3">
      <c r="A913" t="s">
        <v>622</v>
      </c>
      <c r="B913" t="s">
        <v>791</v>
      </c>
      <c r="C913" t="s">
        <v>1325</v>
      </c>
      <c r="D913" s="23">
        <v>46484.188032407408</v>
      </c>
      <c r="E913" t="s">
        <v>1656</v>
      </c>
      <c r="F913">
        <v>120</v>
      </c>
      <c r="G913" t="s">
        <v>2171</v>
      </c>
      <c r="I913" t="str">
        <f t="shared" si="28"/>
        <v>RT0123PE|RP-21926-E5</v>
      </c>
      <c r="J913" t="str">
        <f t="shared" si="29"/>
        <v>SÍ</v>
      </c>
    </row>
    <row r="914" spans="1:10" x14ac:dyDescent="0.3">
      <c r="A914" t="s">
        <v>622</v>
      </c>
      <c r="B914" t="s">
        <v>791</v>
      </c>
      <c r="C914" t="s">
        <v>1326</v>
      </c>
      <c r="D914" s="23">
        <v>46484.187789351847</v>
      </c>
      <c r="E914" t="s">
        <v>1657</v>
      </c>
      <c r="F914">
        <v>60</v>
      </c>
      <c r="G914" t="s">
        <v>2171</v>
      </c>
      <c r="I914" t="str">
        <f t="shared" ref="I914:I977" si="30">IF(A914="","",A914&amp;"|"&amp;C914)</f>
        <v>RT0123PE|RP-21926-E4</v>
      </c>
      <c r="J914" t="str">
        <f t="shared" ref="J914:J977" si="31">IF(A914&lt;&gt;"","SÍ","NO")</f>
        <v>SÍ</v>
      </c>
    </row>
    <row r="915" spans="1:10" x14ac:dyDescent="0.3">
      <c r="A915" t="s">
        <v>699</v>
      </c>
      <c r="B915" t="s">
        <v>868</v>
      </c>
      <c r="C915" t="s">
        <v>1327</v>
      </c>
      <c r="D915" s="23">
        <v>46484.179236111107</v>
      </c>
      <c r="E915" t="s">
        <v>1658</v>
      </c>
      <c r="F915">
        <v>60</v>
      </c>
      <c r="G915" t="s">
        <v>2171</v>
      </c>
      <c r="I915" t="str">
        <f t="shared" si="30"/>
        <v>RT0119PE|RP-21926-E3</v>
      </c>
      <c r="J915" t="str">
        <f t="shared" si="31"/>
        <v>SÍ</v>
      </c>
    </row>
    <row r="916" spans="1:10" x14ac:dyDescent="0.3">
      <c r="A916" t="s">
        <v>612</v>
      </c>
      <c r="B916" t="s">
        <v>781</v>
      </c>
      <c r="C916" t="s">
        <v>1035</v>
      </c>
      <c r="D916" s="23">
        <v>46451</v>
      </c>
      <c r="E916" t="s">
        <v>1659</v>
      </c>
      <c r="F916">
        <v>30</v>
      </c>
      <c r="G916" t="s">
        <v>2171</v>
      </c>
      <c r="I916" t="str">
        <f t="shared" si="30"/>
        <v>RT0131PE|RP-18626-E3</v>
      </c>
      <c r="J916" t="str">
        <f t="shared" si="31"/>
        <v>SÍ</v>
      </c>
    </row>
    <row r="917" spans="1:10" x14ac:dyDescent="0.3">
      <c r="A917" t="s">
        <v>578</v>
      </c>
      <c r="B917" t="s">
        <v>747</v>
      </c>
      <c r="C917" t="s">
        <v>1018</v>
      </c>
      <c r="D917" s="23">
        <v>46502</v>
      </c>
      <c r="E917" t="s">
        <v>1660</v>
      </c>
      <c r="F917">
        <v>40</v>
      </c>
      <c r="G917" t="s">
        <v>2168</v>
      </c>
      <c r="I917" t="str">
        <f t="shared" si="30"/>
        <v>TC0091PE|SN-17626-E7</v>
      </c>
      <c r="J917" t="str">
        <f t="shared" si="31"/>
        <v>SÍ</v>
      </c>
    </row>
    <row r="918" spans="1:10" x14ac:dyDescent="0.3">
      <c r="A918" t="s">
        <v>578</v>
      </c>
      <c r="B918" t="s">
        <v>747</v>
      </c>
      <c r="C918" t="s">
        <v>1399</v>
      </c>
      <c r="D918" s="23">
        <v>46503</v>
      </c>
      <c r="E918" t="s">
        <v>1660</v>
      </c>
      <c r="F918">
        <v>40</v>
      </c>
      <c r="G918" t="s">
        <v>2168</v>
      </c>
      <c r="I918" t="str">
        <f t="shared" si="30"/>
        <v>TC0091PE|SN-17726-E7</v>
      </c>
      <c r="J918" t="str">
        <f t="shared" si="31"/>
        <v>SÍ</v>
      </c>
    </row>
    <row r="919" spans="1:10" x14ac:dyDescent="0.3">
      <c r="A919" t="s">
        <v>578</v>
      </c>
      <c r="B919" t="s">
        <v>747</v>
      </c>
      <c r="C919" t="s">
        <v>1146</v>
      </c>
      <c r="D919" s="23">
        <v>46502</v>
      </c>
      <c r="E919" t="s">
        <v>1661</v>
      </c>
      <c r="F919">
        <v>40</v>
      </c>
      <c r="G919" t="s">
        <v>2168</v>
      </c>
      <c r="I919" t="str">
        <f t="shared" si="30"/>
        <v>TC0091PE|SN-17626-E8</v>
      </c>
      <c r="J919" t="str">
        <f t="shared" si="31"/>
        <v>SÍ</v>
      </c>
    </row>
    <row r="920" spans="1:10" x14ac:dyDescent="0.3">
      <c r="A920" t="s">
        <v>578</v>
      </c>
      <c r="B920" t="s">
        <v>747</v>
      </c>
      <c r="C920" t="s">
        <v>1399</v>
      </c>
      <c r="D920" s="23">
        <v>46503</v>
      </c>
      <c r="E920" t="s">
        <v>1661</v>
      </c>
      <c r="F920">
        <v>40</v>
      </c>
      <c r="G920" t="s">
        <v>2168</v>
      </c>
      <c r="I920" t="str">
        <f t="shared" si="30"/>
        <v>TC0091PE|SN-17726-E7</v>
      </c>
      <c r="J920" t="str">
        <f t="shared" si="31"/>
        <v>SÍ</v>
      </c>
    </row>
    <row r="921" spans="1:10" x14ac:dyDescent="0.3">
      <c r="A921" t="s">
        <v>587</v>
      </c>
      <c r="B921" t="s">
        <v>756</v>
      </c>
      <c r="C921" t="s">
        <v>1031</v>
      </c>
      <c r="D921" s="23">
        <v>46510</v>
      </c>
      <c r="E921" t="s">
        <v>1662</v>
      </c>
      <c r="F921">
        <v>70</v>
      </c>
      <c r="G921" t="s">
        <v>2168</v>
      </c>
      <c r="I921" t="str">
        <f t="shared" si="30"/>
        <v>TC0099PE|SP-18526-E7</v>
      </c>
      <c r="J921" t="str">
        <f t="shared" si="31"/>
        <v>SÍ</v>
      </c>
    </row>
    <row r="922" spans="1:10" x14ac:dyDescent="0.3">
      <c r="A922" t="s">
        <v>587</v>
      </c>
      <c r="B922" t="s">
        <v>756</v>
      </c>
      <c r="C922" t="s">
        <v>1108</v>
      </c>
      <c r="D922" s="23">
        <v>46483</v>
      </c>
      <c r="E922" t="s">
        <v>1663</v>
      </c>
      <c r="F922">
        <v>17</v>
      </c>
      <c r="G922" t="s">
        <v>2168</v>
      </c>
      <c r="I922" t="str">
        <f t="shared" si="30"/>
        <v>TC0099PE|SP-15726-E7</v>
      </c>
      <c r="J922" t="str">
        <f t="shared" si="31"/>
        <v>SÍ</v>
      </c>
    </row>
    <row r="923" spans="1:10" x14ac:dyDescent="0.3">
      <c r="A923" t="s">
        <v>615</v>
      </c>
      <c r="B923" t="s">
        <v>784</v>
      </c>
      <c r="C923" t="s">
        <v>1400</v>
      </c>
      <c r="D923" s="23">
        <v>46455.287731481483</v>
      </c>
      <c r="E923" t="s">
        <v>1664</v>
      </c>
      <c r="F923">
        <v>62</v>
      </c>
      <c r="G923" t="s">
        <v>2168</v>
      </c>
      <c r="I923" t="str">
        <f t="shared" si="30"/>
        <v>TC0224PE|LP-12926-E3</v>
      </c>
      <c r="J923" t="str">
        <f t="shared" si="31"/>
        <v>SÍ</v>
      </c>
    </row>
    <row r="924" spans="1:10" x14ac:dyDescent="0.3">
      <c r="A924" t="s">
        <v>615</v>
      </c>
      <c r="B924" t="s">
        <v>784</v>
      </c>
      <c r="C924" t="s">
        <v>1401</v>
      </c>
      <c r="D924" s="23">
        <v>46454.071655092594</v>
      </c>
      <c r="E924" t="s">
        <v>1665</v>
      </c>
      <c r="F924">
        <v>56</v>
      </c>
      <c r="G924" t="s">
        <v>2168</v>
      </c>
      <c r="I924" t="str">
        <f t="shared" si="30"/>
        <v>TC0224PE|LP-12826-E4</v>
      </c>
      <c r="J924" t="str">
        <f t="shared" si="31"/>
        <v>SÍ</v>
      </c>
    </row>
    <row r="925" spans="1:10" x14ac:dyDescent="0.3">
      <c r="A925" t="s">
        <v>615</v>
      </c>
      <c r="B925" t="s">
        <v>784</v>
      </c>
      <c r="C925" t="s">
        <v>1402</v>
      </c>
      <c r="D925" s="23">
        <v>46455.072210648148</v>
      </c>
      <c r="E925" t="s">
        <v>1665</v>
      </c>
      <c r="F925">
        <v>14</v>
      </c>
      <c r="G925" t="s">
        <v>2168</v>
      </c>
      <c r="I925" t="str">
        <f t="shared" si="30"/>
        <v>TC0224PE|LP-12926-E4</v>
      </c>
      <c r="J925" t="str">
        <f t="shared" si="31"/>
        <v>SÍ</v>
      </c>
    </row>
    <row r="926" spans="1:10" x14ac:dyDescent="0.3">
      <c r="A926" t="s">
        <v>615</v>
      </c>
      <c r="B926" t="s">
        <v>784</v>
      </c>
      <c r="C926" t="s">
        <v>1400</v>
      </c>
      <c r="D926" s="23">
        <v>46455.287731481483</v>
      </c>
      <c r="E926" t="s">
        <v>1666</v>
      </c>
      <c r="F926">
        <v>80</v>
      </c>
      <c r="G926" t="s">
        <v>2168</v>
      </c>
      <c r="I926" t="str">
        <f t="shared" si="30"/>
        <v>TC0224PE|LP-12926-E3</v>
      </c>
      <c r="J926" t="str">
        <f t="shared" si="31"/>
        <v>SÍ</v>
      </c>
    </row>
    <row r="927" spans="1:10" x14ac:dyDescent="0.3">
      <c r="A927" t="s">
        <v>617</v>
      </c>
      <c r="B927" t="s">
        <v>786</v>
      </c>
      <c r="C927" t="s">
        <v>1042</v>
      </c>
      <c r="D927" s="23">
        <v>46544</v>
      </c>
      <c r="E927" t="s">
        <v>1667</v>
      </c>
      <c r="F927">
        <v>80</v>
      </c>
      <c r="G927" t="s">
        <v>2168</v>
      </c>
      <c r="I927" t="str">
        <f t="shared" si="30"/>
        <v>TC0223PE|PJ-18726-E5</v>
      </c>
      <c r="J927" t="str">
        <f t="shared" si="31"/>
        <v>SÍ</v>
      </c>
    </row>
    <row r="928" spans="1:10" x14ac:dyDescent="0.3">
      <c r="A928" t="s">
        <v>617</v>
      </c>
      <c r="B928" t="s">
        <v>786</v>
      </c>
      <c r="C928" t="s">
        <v>1042</v>
      </c>
      <c r="D928" s="23">
        <v>46544</v>
      </c>
      <c r="E928" t="s">
        <v>1668</v>
      </c>
      <c r="F928">
        <v>40</v>
      </c>
      <c r="G928" t="s">
        <v>2168</v>
      </c>
      <c r="I928" t="str">
        <f t="shared" si="30"/>
        <v>TC0223PE|PJ-18726-E5</v>
      </c>
      <c r="J928" t="str">
        <f t="shared" si="31"/>
        <v>SÍ</v>
      </c>
    </row>
    <row r="929" spans="1:10" x14ac:dyDescent="0.3">
      <c r="A929" t="s">
        <v>587</v>
      </c>
      <c r="B929" t="s">
        <v>756</v>
      </c>
      <c r="C929" t="s">
        <v>1403</v>
      </c>
      <c r="D929" s="23">
        <v>46525.507025462961</v>
      </c>
      <c r="E929" t="s">
        <v>1669</v>
      </c>
      <c r="F929">
        <v>28</v>
      </c>
      <c r="G929" t="s">
        <v>2168</v>
      </c>
      <c r="I929" t="str">
        <f t="shared" si="30"/>
        <v>TC0099PE|SP-19926-E7</v>
      </c>
      <c r="J929" t="str">
        <f t="shared" si="31"/>
        <v>SÍ</v>
      </c>
    </row>
    <row r="930" spans="1:10" x14ac:dyDescent="0.3">
      <c r="A930" t="s">
        <v>587</v>
      </c>
      <c r="B930" t="s">
        <v>756</v>
      </c>
      <c r="C930" t="s">
        <v>1396</v>
      </c>
      <c r="D930" s="23">
        <v>46524</v>
      </c>
      <c r="E930" t="s">
        <v>1669</v>
      </c>
      <c r="F930">
        <v>40</v>
      </c>
      <c r="G930" t="s">
        <v>2168</v>
      </c>
      <c r="I930" t="str">
        <f t="shared" si="30"/>
        <v>TC0099PE|SP-19826-E7</v>
      </c>
      <c r="J930" t="str">
        <f t="shared" si="31"/>
        <v>SÍ</v>
      </c>
    </row>
    <row r="931" spans="1:10" x14ac:dyDescent="0.3">
      <c r="A931" t="s">
        <v>617</v>
      </c>
      <c r="B931" t="s">
        <v>786</v>
      </c>
      <c r="C931" t="s">
        <v>1042</v>
      </c>
      <c r="D931" s="23">
        <v>46544</v>
      </c>
      <c r="E931" t="s">
        <v>1670</v>
      </c>
      <c r="F931">
        <v>40</v>
      </c>
      <c r="G931" t="s">
        <v>2168</v>
      </c>
      <c r="I931" t="str">
        <f t="shared" si="30"/>
        <v>TC0223PE|PJ-18726-E5</v>
      </c>
      <c r="J931" t="str">
        <f t="shared" si="31"/>
        <v>SÍ</v>
      </c>
    </row>
    <row r="932" spans="1:10" x14ac:dyDescent="0.3">
      <c r="A932" t="s">
        <v>617</v>
      </c>
      <c r="B932" t="s">
        <v>786</v>
      </c>
      <c r="C932" t="s">
        <v>1041</v>
      </c>
      <c r="D932" s="23">
        <v>46544.019733796304</v>
      </c>
      <c r="E932" t="s">
        <v>1670</v>
      </c>
      <c r="F932">
        <v>40</v>
      </c>
      <c r="G932" t="s">
        <v>2168</v>
      </c>
      <c r="I932" t="str">
        <f t="shared" si="30"/>
        <v>TC0223PE|PJ-18726-E4</v>
      </c>
      <c r="J932" t="str">
        <f t="shared" si="31"/>
        <v>SÍ</v>
      </c>
    </row>
    <row r="933" spans="1:10" x14ac:dyDescent="0.3">
      <c r="A933" t="s">
        <v>617</v>
      </c>
      <c r="B933" t="s">
        <v>786</v>
      </c>
      <c r="C933" t="s">
        <v>1266</v>
      </c>
      <c r="D933" s="23">
        <v>46455.063460648147</v>
      </c>
      <c r="E933" t="s">
        <v>1671</v>
      </c>
      <c r="F933">
        <v>31</v>
      </c>
      <c r="G933" t="s">
        <v>2168</v>
      </c>
      <c r="I933" t="str">
        <f t="shared" si="30"/>
        <v>TC0223PE|PJ-12926-E1</v>
      </c>
      <c r="J933" t="str">
        <f t="shared" si="31"/>
        <v>SÍ</v>
      </c>
    </row>
    <row r="934" spans="1:10" x14ac:dyDescent="0.3">
      <c r="A934" t="s">
        <v>582</v>
      </c>
      <c r="B934" t="s">
        <v>751</v>
      </c>
      <c r="C934" t="s">
        <v>1404</v>
      </c>
      <c r="D934" s="23">
        <v>46514</v>
      </c>
      <c r="E934" t="s">
        <v>1672</v>
      </c>
      <c r="F934">
        <v>40</v>
      </c>
      <c r="G934" t="s">
        <v>2166</v>
      </c>
      <c r="I934" t="str">
        <f t="shared" si="30"/>
        <v>TC0006PE|SN-18826-E2</v>
      </c>
      <c r="J934" t="str">
        <f t="shared" si="31"/>
        <v>SÍ</v>
      </c>
    </row>
    <row r="935" spans="1:10" x14ac:dyDescent="0.3">
      <c r="A935" t="s">
        <v>582</v>
      </c>
      <c r="B935" t="s">
        <v>751</v>
      </c>
      <c r="C935" t="s">
        <v>1045</v>
      </c>
      <c r="D935" s="23">
        <v>46514</v>
      </c>
      <c r="E935" t="s">
        <v>1672</v>
      </c>
      <c r="F935">
        <v>40</v>
      </c>
      <c r="G935" t="s">
        <v>2166</v>
      </c>
      <c r="I935" t="str">
        <f t="shared" si="30"/>
        <v>TC0006PE|SN-18826-E3</v>
      </c>
      <c r="J935" t="str">
        <f t="shared" si="31"/>
        <v>SÍ</v>
      </c>
    </row>
    <row r="936" spans="1:10" x14ac:dyDescent="0.3">
      <c r="A936" t="s">
        <v>582</v>
      </c>
      <c r="B936" t="s">
        <v>751</v>
      </c>
      <c r="C936" t="s">
        <v>1404</v>
      </c>
      <c r="D936" s="23">
        <v>46514</v>
      </c>
      <c r="E936" t="s">
        <v>1673</v>
      </c>
      <c r="F936">
        <v>80</v>
      </c>
      <c r="G936" t="s">
        <v>2166</v>
      </c>
      <c r="I936" t="str">
        <f t="shared" si="30"/>
        <v>TC0006PE|SN-18826-E2</v>
      </c>
      <c r="J936" t="str">
        <f t="shared" si="31"/>
        <v>SÍ</v>
      </c>
    </row>
    <row r="937" spans="1:10" x14ac:dyDescent="0.3">
      <c r="A937" t="s">
        <v>587</v>
      </c>
      <c r="B937" t="s">
        <v>756</v>
      </c>
      <c r="C937" t="s">
        <v>1396</v>
      </c>
      <c r="D937" s="23">
        <v>46524</v>
      </c>
      <c r="E937" t="s">
        <v>1674</v>
      </c>
      <c r="F937">
        <v>28</v>
      </c>
      <c r="G937" t="s">
        <v>2168</v>
      </c>
      <c r="I937" t="str">
        <f t="shared" si="30"/>
        <v>TC0099PE|SP-19826-E7</v>
      </c>
      <c r="J937" t="str">
        <f t="shared" si="31"/>
        <v>SÍ</v>
      </c>
    </row>
    <row r="938" spans="1:10" x14ac:dyDescent="0.3">
      <c r="A938" t="s">
        <v>582</v>
      </c>
      <c r="B938" t="s">
        <v>751</v>
      </c>
      <c r="C938" t="s">
        <v>1037</v>
      </c>
      <c r="D938" s="23">
        <v>46508</v>
      </c>
      <c r="E938" t="s">
        <v>1675</v>
      </c>
      <c r="F938">
        <v>80</v>
      </c>
      <c r="G938" t="s">
        <v>2166</v>
      </c>
      <c r="I938" t="str">
        <f t="shared" si="30"/>
        <v>TC0006PE|SN-18626-E7</v>
      </c>
      <c r="J938" t="str">
        <f t="shared" si="31"/>
        <v>SÍ</v>
      </c>
    </row>
    <row r="939" spans="1:10" x14ac:dyDescent="0.3">
      <c r="A939" t="s">
        <v>582</v>
      </c>
      <c r="B939" t="s">
        <v>751</v>
      </c>
      <c r="C939" t="s">
        <v>1036</v>
      </c>
      <c r="D939" s="23">
        <v>46512</v>
      </c>
      <c r="E939" t="s">
        <v>1676</v>
      </c>
      <c r="F939">
        <v>80</v>
      </c>
      <c r="G939" t="s">
        <v>2166</v>
      </c>
      <c r="I939" t="str">
        <f t="shared" si="30"/>
        <v>TC0006PE|SN-18626-E8</v>
      </c>
      <c r="J939" t="str">
        <f t="shared" si="31"/>
        <v>SÍ</v>
      </c>
    </row>
    <row r="940" spans="1:10" x14ac:dyDescent="0.3">
      <c r="A940" t="s">
        <v>582</v>
      </c>
      <c r="B940" t="s">
        <v>751</v>
      </c>
      <c r="C940" t="s">
        <v>1036</v>
      </c>
      <c r="D940" s="23">
        <v>46512</v>
      </c>
      <c r="E940" t="s">
        <v>1677</v>
      </c>
      <c r="F940">
        <v>1</v>
      </c>
      <c r="G940" t="s">
        <v>2166</v>
      </c>
      <c r="I940" t="str">
        <f t="shared" si="30"/>
        <v>TC0006PE|SN-18626-E8</v>
      </c>
      <c r="J940" t="str">
        <f t="shared" si="31"/>
        <v>SÍ</v>
      </c>
    </row>
    <row r="941" spans="1:10" x14ac:dyDescent="0.3">
      <c r="A941" t="s">
        <v>582</v>
      </c>
      <c r="B941" t="s">
        <v>751</v>
      </c>
      <c r="C941" t="s">
        <v>1052</v>
      </c>
      <c r="D941" s="23">
        <v>46516</v>
      </c>
      <c r="E941" t="s">
        <v>1677</v>
      </c>
      <c r="F941">
        <v>1</v>
      </c>
      <c r="G941" t="s">
        <v>2166</v>
      </c>
      <c r="I941" t="str">
        <f t="shared" si="30"/>
        <v>TC0006PE|SN-19026-E4</v>
      </c>
      <c r="J941" t="str">
        <f t="shared" si="31"/>
        <v>SÍ</v>
      </c>
    </row>
    <row r="942" spans="1:10" x14ac:dyDescent="0.3">
      <c r="A942" t="s">
        <v>582</v>
      </c>
      <c r="B942" t="s">
        <v>751</v>
      </c>
      <c r="C942" t="s">
        <v>1142</v>
      </c>
      <c r="D942" s="23">
        <v>46432.171770833331</v>
      </c>
      <c r="E942" t="s">
        <v>1677</v>
      </c>
      <c r="F942">
        <v>1</v>
      </c>
      <c r="G942" t="s">
        <v>2166</v>
      </c>
      <c r="I942" t="str">
        <f t="shared" si="30"/>
        <v>TC0006PE|SN-10426-E3</v>
      </c>
      <c r="J942" t="str">
        <f t="shared" si="31"/>
        <v>SÍ</v>
      </c>
    </row>
    <row r="943" spans="1:10" x14ac:dyDescent="0.3">
      <c r="A943" t="s">
        <v>582</v>
      </c>
      <c r="B943" t="s">
        <v>751</v>
      </c>
      <c r="C943" t="s">
        <v>987</v>
      </c>
      <c r="D943" s="23">
        <v>46452.106631944444</v>
      </c>
      <c r="E943" t="s">
        <v>1677</v>
      </c>
      <c r="F943">
        <v>1</v>
      </c>
      <c r="G943" t="s">
        <v>2166</v>
      </c>
      <c r="I943" t="str">
        <f t="shared" si="30"/>
        <v>TC0006PE|SN-12626-E3</v>
      </c>
      <c r="J943" t="str">
        <f t="shared" si="31"/>
        <v>SÍ</v>
      </c>
    </row>
    <row r="944" spans="1:10" x14ac:dyDescent="0.3">
      <c r="A944" t="s">
        <v>587</v>
      </c>
      <c r="B944" t="s">
        <v>756</v>
      </c>
      <c r="C944" t="s">
        <v>1403</v>
      </c>
      <c r="D944" s="23">
        <v>46525.507025462961</v>
      </c>
      <c r="E944" t="s">
        <v>1678</v>
      </c>
      <c r="F944">
        <v>80</v>
      </c>
      <c r="G944" t="s">
        <v>2168</v>
      </c>
      <c r="I944" t="str">
        <f t="shared" si="30"/>
        <v>TC0099PE|SP-19926-E7</v>
      </c>
      <c r="J944" t="str">
        <f t="shared" si="31"/>
        <v>SÍ</v>
      </c>
    </row>
    <row r="945" spans="1:10" x14ac:dyDescent="0.3">
      <c r="A945" t="s">
        <v>587</v>
      </c>
      <c r="B945" t="s">
        <v>756</v>
      </c>
      <c r="C945" t="s">
        <v>1403</v>
      </c>
      <c r="D945" s="23">
        <v>46525.507025462961</v>
      </c>
      <c r="E945" t="s">
        <v>1679</v>
      </c>
      <c r="F945">
        <v>40</v>
      </c>
      <c r="G945" t="s">
        <v>2168</v>
      </c>
      <c r="I945" t="str">
        <f t="shared" si="30"/>
        <v>TC0099PE|SP-19926-E7</v>
      </c>
      <c r="J945" t="str">
        <f t="shared" si="31"/>
        <v>SÍ</v>
      </c>
    </row>
    <row r="946" spans="1:10" x14ac:dyDescent="0.3">
      <c r="A946" t="s">
        <v>587</v>
      </c>
      <c r="B946" t="s">
        <v>756</v>
      </c>
      <c r="C946" t="s">
        <v>1396</v>
      </c>
      <c r="D946" s="23">
        <v>46524</v>
      </c>
      <c r="E946" t="s">
        <v>1680</v>
      </c>
      <c r="F946">
        <v>4</v>
      </c>
      <c r="G946" t="s">
        <v>2168</v>
      </c>
      <c r="I946" t="str">
        <f t="shared" si="30"/>
        <v>TC0099PE|SP-19826-E7</v>
      </c>
      <c r="J946" t="str">
        <f t="shared" si="31"/>
        <v>SÍ</v>
      </c>
    </row>
    <row r="947" spans="1:10" x14ac:dyDescent="0.3">
      <c r="A947" t="s">
        <v>582</v>
      </c>
      <c r="B947" t="s">
        <v>751</v>
      </c>
      <c r="C947" t="s">
        <v>1045</v>
      </c>
      <c r="D947" s="23">
        <v>46514</v>
      </c>
      <c r="E947" t="s">
        <v>1681</v>
      </c>
      <c r="F947">
        <v>36</v>
      </c>
      <c r="G947" t="s">
        <v>2166</v>
      </c>
      <c r="I947" t="str">
        <f t="shared" si="30"/>
        <v>TC0006PE|SN-18826-E3</v>
      </c>
      <c r="J947" t="str">
        <f t="shared" si="31"/>
        <v>SÍ</v>
      </c>
    </row>
    <row r="948" spans="1:10" x14ac:dyDescent="0.3">
      <c r="A948" t="s">
        <v>582</v>
      </c>
      <c r="B948" t="s">
        <v>751</v>
      </c>
      <c r="C948" t="s">
        <v>1053</v>
      </c>
      <c r="D948" s="23">
        <v>46516</v>
      </c>
      <c r="E948" t="s">
        <v>1682</v>
      </c>
      <c r="F948">
        <v>80</v>
      </c>
      <c r="G948" t="s">
        <v>2166</v>
      </c>
      <c r="I948" t="str">
        <f t="shared" si="30"/>
        <v>TC0006PE|SN-19026-E2</v>
      </c>
      <c r="J948" t="str">
        <f t="shared" si="31"/>
        <v>SÍ</v>
      </c>
    </row>
    <row r="949" spans="1:10" x14ac:dyDescent="0.3">
      <c r="A949" t="s">
        <v>582</v>
      </c>
      <c r="B949" t="s">
        <v>751</v>
      </c>
      <c r="C949" t="s">
        <v>1049</v>
      </c>
      <c r="D949" s="23">
        <v>46515.179490740738</v>
      </c>
      <c r="E949" t="s">
        <v>1683</v>
      </c>
      <c r="F949">
        <v>80</v>
      </c>
      <c r="G949" t="s">
        <v>2166</v>
      </c>
      <c r="I949" t="str">
        <f t="shared" si="30"/>
        <v>TC0006PE|SN-18926-E3</v>
      </c>
      <c r="J949" t="str">
        <f t="shared" si="31"/>
        <v>SÍ</v>
      </c>
    </row>
    <row r="950" spans="1:10" x14ac:dyDescent="0.3">
      <c r="A950" t="s">
        <v>582</v>
      </c>
      <c r="B950" t="s">
        <v>751</v>
      </c>
      <c r="C950" t="s">
        <v>1404</v>
      </c>
      <c r="D950" s="23">
        <v>46514</v>
      </c>
      <c r="E950" t="s">
        <v>1684</v>
      </c>
      <c r="F950">
        <v>40</v>
      </c>
      <c r="G950" t="s">
        <v>2166</v>
      </c>
      <c r="I950" t="str">
        <f t="shared" si="30"/>
        <v>TC0006PE|SN-18826-E2</v>
      </c>
      <c r="J950" t="str">
        <f t="shared" si="31"/>
        <v>SÍ</v>
      </c>
    </row>
    <row r="951" spans="1:10" x14ac:dyDescent="0.3">
      <c r="A951" t="s">
        <v>582</v>
      </c>
      <c r="B951" t="s">
        <v>751</v>
      </c>
      <c r="C951" t="s">
        <v>1024</v>
      </c>
      <c r="D951" s="23">
        <v>46508.841921296298</v>
      </c>
      <c r="E951" t="s">
        <v>1685</v>
      </c>
      <c r="F951">
        <v>55</v>
      </c>
      <c r="G951" t="s">
        <v>2166</v>
      </c>
      <c r="I951" t="str">
        <f t="shared" si="30"/>
        <v>TC0006PE|SN-18226-E8</v>
      </c>
      <c r="J951" t="str">
        <f t="shared" si="31"/>
        <v>SÍ</v>
      </c>
    </row>
    <row r="952" spans="1:10" x14ac:dyDescent="0.3">
      <c r="A952" t="s">
        <v>624</v>
      </c>
      <c r="B952" t="s">
        <v>793</v>
      </c>
      <c r="C952" t="s">
        <v>1073</v>
      </c>
      <c r="D952" s="23">
        <v>46521.494375000002</v>
      </c>
      <c r="E952" t="s">
        <v>1686</v>
      </c>
      <c r="F952">
        <v>4</v>
      </c>
      <c r="G952" t="s">
        <v>2175</v>
      </c>
      <c r="I952" t="str">
        <f t="shared" si="30"/>
        <v>TC0200PE|TIY-19826-E7</v>
      </c>
      <c r="J952" t="str">
        <f t="shared" si="31"/>
        <v>SÍ</v>
      </c>
    </row>
    <row r="953" spans="1:10" x14ac:dyDescent="0.3">
      <c r="A953" t="s">
        <v>624</v>
      </c>
      <c r="B953" t="s">
        <v>793</v>
      </c>
      <c r="C953" t="s">
        <v>1071</v>
      </c>
      <c r="D953" s="23">
        <v>46521.703981481478</v>
      </c>
      <c r="E953" t="s">
        <v>1686</v>
      </c>
      <c r="F953">
        <v>25</v>
      </c>
      <c r="G953" t="s">
        <v>2175</v>
      </c>
      <c r="I953" t="str">
        <f t="shared" si="30"/>
        <v>TC0200PE|TIY-19726-E7</v>
      </c>
      <c r="J953" t="str">
        <f t="shared" si="31"/>
        <v>SÍ</v>
      </c>
    </row>
    <row r="954" spans="1:10" x14ac:dyDescent="0.3">
      <c r="A954" t="s">
        <v>638</v>
      </c>
      <c r="B954" t="s">
        <v>807</v>
      </c>
      <c r="C954" t="s">
        <v>1030</v>
      </c>
      <c r="D954" s="23">
        <v>46510</v>
      </c>
      <c r="E954" t="s">
        <v>1687</v>
      </c>
      <c r="F954">
        <v>10</v>
      </c>
      <c r="G954" t="s">
        <v>2166</v>
      </c>
      <c r="I954" t="str">
        <f t="shared" si="30"/>
        <v>TC0003PE|SC-18426-E8</v>
      </c>
      <c r="J954" t="str">
        <f t="shared" si="31"/>
        <v>SÍ</v>
      </c>
    </row>
    <row r="955" spans="1:10" x14ac:dyDescent="0.3">
      <c r="A955" t="s">
        <v>582</v>
      </c>
      <c r="B955" t="s">
        <v>751</v>
      </c>
      <c r="C955" t="s">
        <v>1049</v>
      </c>
      <c r="D955" s="23">
        <v>46515.179490740738</v>
      </c>
      <c r="E955" t="s">
        <v>1688</v>
      </c>
      <c r="F955">
        <v>36</v>
      </c>
      <c r="G955" t="s">
        <v>2166</v>
      </c>
      <c r="I955" t="str">
        <f t="shared" si="30"/>
        <v>TC0006PE|SN-18926-E3</v>
      </c>
      <c r="J955" t="str">
        <f t="shared" si="31"/>
        <v>SÍ</v>
      </c>
    </row>
    <row r="956" spans="1:10" x14ac:dyDescent="0.3">
      <c r="A956" t="s">
        <v>582</v>
      </c>
      <c r="B956" t="s">
        <v>751</v>
      </c>
      <c r="C956" t="s">
        <v>1057</v>
      </c>
      <c r="D956" s="23">
        <v>46517.137627314813</v>
      </c>
      <c r="E956" t="s">
        <v>1688</v>
      </c>
      <c r="F956">
        <v>9</v>
      </c>
      <c r="G956" t="s">
        <v>2166</v>
      </c>
      <c r="I956" t="str">
        <f t="shared" si="30"/>
        <v>TC0006PE|SN-19126-E4</v>
      </c>
      <c r="J956" t="str">
        <f t="shared" si="31"/>
        <v>SÍ</v>
      </c>
    </row>
    <row r="957" spans="1:10" x14ac:dyDescent="0.3">
      <c r="A957" t="s">
        <v>582</v>
      </c>
      <c r="B957" t="s">
        <v>751</v>
      </c>
      <c r="C957" t="s">
        <v>1053</v>
      </c>
      <c r="D957" s="23">
        <v>46516</v>
      </c>
      <c r="E957" t="s">
        <v>1688</v>
      </c>
      <c r="F957">
        <v>13</v>
      </c>
      <c r="G957" t="s">
        <v>2166</v>
      </c>
      <c r="I957" t="str">
        <f t="shared" si="30"/>
        <v>TC0006PE|SN-19026-E2</v>
      </c>
      <c r="J957" t="str">
        <f t="shared" si="31"/>
        <v>SÍ</v>
      </c>
    </row>
    <row r="958" spans="1:10" x14ac:dyDescent="0.3">
      <c r="A958" t="s">
        <v>624</v>
      </c>
      <c r="B958" t="s">
        <v>793</v>
      </c>
      <c r="C958" t="s">
        <v>1071</v>
      </c>
      <c r="D958" s="23">
        <v>46521.703981481478</v>
      </c>
      <c r="E958" t="s">
        <v>1689</v>
      </c>
      <c r="F958">
        <v>80</v>
      </c>
      <c r="G958" t="s">
        <v>2175</v>
      </c>
      <c r="I958" t="str">
        <f t="shared" si="30"/>
        <v>TC0200PE|TIY-19726-E7</v>
      </c>
      <c r="J958" t="str">
        <f t="shared" si="31"/>
        <v>SÍ</v>
      </c>
    </row>
    <row r="959" spans="1:10" x14ac:dyDescent="0.3">
      <c r="A959" t="s">
        <v>624</v>
      </c>
      <c r="B959" t="s">
        <v>793</v>
      </c>
      <c r="C959" t="s">
        <v>1071</v>
      </c>
      <c r="D959" s="23">
        <v>46521.703981481478</v>
      </c>
      <c r="E959" t="s">
        <v>1690</v>
      </c>
      <c r="F959">
        <v>5</v>
      </c>
      <c r="G959" t="s">
        <v>2175</v>
      </c>
      <c r="I959" t="str">
        <f t="shared" si="30"/>
        <v>TC0200PE|TIY-19726-E7</v>
      </c>
      <c r="J959" t="str">
        <f t="shared" si="31"/>
        <v>SÍ</v>
      </c>
    </row>
    <row r="960" spans="1:10" x14ac:dyDescent="0.3">
      <c r="A960" t="s">
        <v>617</v>
      </c>
      <c r="B960" t="s">
        <v>786</v>
      </c>
      <c r="C960" t="s">
        <v>1044</v>
      </c>
      <c r="D960" s="23">
        <v>46545</v>
      </c>
      <c r="E960" t="s">
        <v>1691</v>
      </c>
      <c r="F960">
        <v>63</v>
      </c>
      <c r="G960" t="s">
        <v>2168</v>
      </c>
      <c r="I960" t="str">
        <f t="shared" si="30"/>
        <v>TC0223PE|PJ-18826-E4</v>
      </c>
      <c r="J960" t="str">
        <f t="shared" si="31"/>
        <v>SÍ</v>
      </c>
    </row>
    <row r="961" spans="1:10" x14ac:dyDescent="0.3">
      <c r="A961" t="s">
        <v>624</v>
      </c>
      <c r="B961" t="s">
        <v>793</v>
      </c>
      <c r="C961" t="s">
        <v>1073</v>
      </c>
      <c r="D961" s="23">
        <v>46521.494375000002</v>
      </c>
      <c r="E961" t="s">
        <v>1692</v>
      </c>
      <c r="F961">
        <v>40</v>
      </c>
      <c r="G961" t="s">
        <v>2175</v>
      </c>
      <c r="I961" t="str">
        <f t="shared" si="30"/>
        <v>TC0200PE|TIY-19826-E7</v>
      </c>
      <c r="J961" t="str">
        <f t="shared" si="31"/>
        <v>SÍ</v>
      </c>
    </row>
    <row r="962" spans="1:10" x14ac:dyDescent="0.3">
      <c r="A962" t="s">
        <v>624</v>
      </c>
      <c r="B962" t="s">
        <v>793</v>
      </c>
      <c r="C962" t="s">
        <v>1071</v>
      </c>
      <c r="D962" s="23">
        <v>46521.703981481478</v>
      </c>
      <c r="E962" t="s">
        <v>1693</v>
      </c>
      <c r="F962">
        <v>80</v>
      </c>
      <c r="G962" t="s">
        <v>2175</v>
      </c>
      <c r="I962" t="str">
        <f t="shared" si="30"/>
        <v>TC0200PE|TIY-19726-E7</v>
      </c>
      <c r="J962" t="str">
        <f t="shared" si="31"/>
        <v>SÍ</v>
      </c>
    </row>
    <row r="963" spans="1:10" x14ac:dyDescent="0.3">
      <c r="A963" t="s">
        <v>583</v>
      </c>
      <c r="B963" t="s">
        <v>752</v>
      </c>
      <c r="C963" t="s">
        <v>1405</v>
      </c>
      <c r="D963" s="23">
        <v>46542</v>
      </c>
      <c r="E963" t="s">
        <v>1694</v>
      </c>
      <c r="F963">
        <v>40</v>
      </c>
      <c r="G963" t="s">
        <v>2166</v>
      </c>
      <c r="I963" t="str">
        <f t="shared" si="30"/>
        <v>TC0016PE|SN-21626-E5</v>
      </c>
      <c r="J963" t="str">
        <f t="shared" si="31"/>
        <v>SÍ</v>
      </c>
    </row>
    <row r="964" spans="1:10" x14ac:dyDescent="0.3">
      <c r="A964" t="s">
        <v>583</v>
      </c>
      <c r="B964" t="s">
        <v>752</v>
      </c>
      <c r="C964" t="s">
        <v>1349</v>
      </c>
      <c r="D964" s="23">
        <v>46550.182997685188</v>
      </c>
      <c r="E964" t="s">
        <v>1695</v>
      </c>
      <c r="F964">
        <v>60</v>
      </c>
      <c r="G964" t="s">
        <v>2166</v>
      </c>
      <c r="I964" t="str">
        <f t="shared" si="30"/>
        <v>TC0016PE|SN-22426-E7</v>
      </c>
      <c r="J964" t="str">
        <f t="shared" si="31"/>
        <v>SÍ</v>
      </c>
    </row>
    <row r="965" spans="1:10" x14ac:dyDescent="0.3">
      <c r="A965" t="s">
        <v>578</v>
      </c>
      <c r="B965" t="s">
        <v>747</v>
      </c>
      <c r="C965" t="s">
        <v>919</v>
      </c>
      <c r="D965" s="23">
        <v>46429.140798611108</v>
      </c>
      <c r="E965" t="s">
        <v>1696</v>
      </c>
      <c r="F965">
        <v>40</v>
      </c>
      <c r="G965" t="s">
        <v>2168</v>
      </c>
      <c r="I965" t="str">
        <f t="shared" si="30"/>
        <v>TC0091PE|SN-10126-E4</v>
      </c>
      <c r="J965" t="str">
        <f t="shared" si="31"/>
        <v>SÍ</v>
      </c>
    </row>
    <row r="966" spans="1:10" x14ac:dyDescent="0.3">
      <c r="A966" t="s">
        <v>578</v>
      </c>
      <c r="B966" t="s">
        <v>747</v>
      </c>
      <c r="C966" t="s">
        <v>918</v>
      </c>
      <c r="D966" s="23">
        <v>46429.140925925924</v>
      </c>
      <c r="E966" t="s">
        <v>1696</v>
      </c>
      <c r="F966">
        <v>40</v>
      </c>
      <c r="G966" t="s">
        <v>2168</v>
      </c>
      <c r="I966" t="str">
        <f t="shared" si="30"/>
        <v>TC0091PE|SN-10126-E3</v>
      </c>
      <c r="J966" t="str">
        <f t="shared" si="31"/>
        <v>SÍ</v>
      </c>
    </row>
    <row r="967" spans="1:10" x14ac:dyDescent="0.3">
      <c r="A967" t="s">
        <v>578</v>
      </c>
      <c r="B967" t="s">
        <v>747</v>
      </c>
      <c r="C967" t="s">
        <v>1003</v>
      </c>
      <c r="D967" s="23">
        <v>46489.204525462963</v>
      </c>
      <c r="E967" t="s">
        <v>1697</v>
      </c>
      <c r="F967">
        <v>80</v>
      </c>
      <c r="G967" t="s">
        <v>2168</v>
      </c>
      <c r="I967" t="str">
        <f t="shared" si="30"/>
        <v>TC0091PE|SN-16326-E2</v>
      </c>
      <c r="J967" t="str">
        <f t="shared" si="31"/>
        <v>SÍ</v>
      </c>
    </row>
    <row r="968" spans="1:10" x14ac:dyDescent="0.3">
      <c r="A968" t="s">
        <v>578</v>
      </c>
      <c r="B968" t="s">
        <v>747</v>
      </c>
      <c r="C968" t="s">
        <v>994</v>
      </c>
      <c r="D968" s="23">
        <v>46487.143692129634</v>
      </c>
      <c r="E968" t="s">
        <v>1698</v>
      </c>
      <c r="F968">
        <v>80</v>
      </c>
      <c r="G968" t="s">
        <v>2168</v>
      </c>
      <c r="I968" t="str">
        <f t="shared" si="30"/>
        <v>TC0091PE|SN-16126-E5</v>
      </c>
      <c r="J968" t="str">
        <f t="shared" si="31"/>
        <v>SÍ</v>
      </c>
    </row>
    <row r="969" spans="1:10" x14ac:dyDescent="0.3">
      <c r="A969" t="s">
        <v>578</v>
      </c>
      <c r="B969" t="s">
        <v>747</v>
      </c>
      <c r="C969" t="s">
        <v>994</v>
      </c>
      <c r="D969" s="23">
        <v>46487.143692129634</v>
      </c>
      <c r="E969" t="s">
        <v>1699</v>
      </c>
      <c r="F969">
        <v>40</v>
      </c>
      <c r="G969" t="s">
        <v>2168</v>
      </c>
      <c r="I969" t="str">
        <f t="shared" si="30"/>
        <v>TC0091PE|SN-16126-E5</v>
      </c>
      <c r="J969" t="str">
        <f t="shared" si="31"/>
        <v>SÍ</v>
      </c>
    </row>
    <row r="970" spans="1:10" x14ac:dyDescent="0.3">
      <c r="A970" t="s">
        <v>578</v>
      </c>
      <c r="B970" t="s">
        <v>747</v>
      </c>
      <c r="C970" t="s">
        <v>994</v>
      </c>
      <c r="D970" s="23">
        <v>46487.143692129634</v>
      </c>
      <c r="E970" t="s">
        <v>1700</v>
      </c>
      <c r="F970">
        <v>40</v>
      </c>
      <c r="G970" t="s">
        <v>2168</v>
      </c>
      <c r="I970" t="str">
        <f t="shared" si="30"/>
        <v>TC0091PE|SN-16126-E5</v>
      </c>
      <c r="J970" t="str">
        <f t="shared" si="31"/>
        <v>SÍ</v>
      </c>
    </row>
    <row r="971" spans="1:10" x14ac:dyDescent="0.3">
      <c r="A971" t="s">
        <v>578</v>
      </c>
      <c r="B971" t="s">
        <v>747</v>
      </c>
      <c r="C971" t="s">
        <v>918</v>
      </c>
      <c r="D971" s="23">
        <v>46429.140925925924</v>
      </c>
      <c r="E971" t="s">
        <v>1701</v>
      </c>
      <c r="F971">
        <v>80</v>
      </c>
      <c r="G971" t="s">
        <v>2168</v>
      </c>
      <c r="I971" t="str">
        <f t="shared" si="30"/>
        <v>TC0091PE|SN-10126-E3</v>
      </c>
      <c r="J971" t="str">
        <f t="shared" si="31"/>
        <v>SÍ</v>
      </c>
    </row>
    <row r="972" spans="1:10" x14ac:dyDescent="0.3">
      <c r="A972" t="s">
        <v>578</v>
      </c>
      <c r="B972" t="s">
        <v>747</v>
      </c>
      <c r="C972" t="s">
        <v>1052</v>
      </c>
      <c r="D972" s="23">
        <v>46516</v>
      </c>
      <c r="E972" t="s">
        <v>1702</v>
      </c>
      <c r="F972">
        <v>40</v>
      </c>
      <c r="G972" t="s">
        <v>2168</v>
      </c>
      <c r="I972" t="str">
        <f t="shared" si="30"/>
        <v>TC0091PE|SN-19026-E4</v>
      </c>
      <c r="J972" t="str">
        <f t="shared" si="31"/>
        <v>SÍ</v>
      </c>
    </row>
    <row r="973" spans="1:10" x14ac:dyDescent="0.3">
      <c r="A973" t="s">
        <v>578</v>
      </c>
      <c r="B973" t="s">
        <v>747</v>
      </c>
      <c r="C973" t="s">
        <v>918</v>
      </c>
      <c r="D973" s="23">
        <v>46429.140925925924</v>
      </c>
      <c r="E973" t="s">
        <v>1702</v>
      </c>
      <c r="F973">
        <v>40</v>
      </c>
      <c r="G973" t="s">
        <v>2168</v>
      </c>
      <c r="I973" t="str">
        <f t="shared" si="30"/>
        <v>TC0091PE|SN-10126-E3</v>
      </c>
      <c r="J973" t="str">
        <f t="shared" si="31"/>
        <v>SÍ</v>
      </c>
    </row>
    <row r="974" spans="1:10" x14ac:dyDescent="0.3">
      <c r="A974" t="s">
        <v>578</v>
      </c>
      <c r="B974" t="s">
        <v>747</v>
      </c>
      <c r="C974" t="s">
        <v>1006</v>
      </c>
      <c r="D974" s="23">
        <v>46489.215787037043</v>
      </c>
      <c r="E974" t="s">
        <v>1703</v>
      </c>
      <c r="F974">
        <v>80</v>
      </c>
      <c r="G974" t="s">
        <v>2168</v>
      </c>
      <c r="I974" t="str">
        <f t="shared" si="30"/>
        <v>TC0091PE|SN-16326-E4</v>
      </c>
      <c r="J974" t="str">
        <f t="shared" si="31"/>
        <v>SÍ</v>
      </c>
    </row>
    <row r="975" spans="1:10" x14ac:dyDescent="0.3">
      <c r="A975" t="s">
        <v>578</v>
      </c>
      <c r="B975" t="s">
        <v>747</v>
      </c>
      <c r="C975" t="s">
        <v>1007</v>
      </c>
      <c r="D975" s="23">
        <v>46489.219027777777</v>
      </c>
      <c r="E975" t="s">
        <v>1704</v>
      </c>
      <c r="F975">
        <v>40</v>
      </c>
      <c r="G975" t="s">
        <v>2168</v>
      </c>
      <c r="I975" t="str">
        <f t="shared" si="30"/>
        <v>TC0091PE|SN-16326-E5</v>
      </c>
      <c r="J975" t="str">
        <f t="shared" si="31"/>
        <v>SÍ</v>
      </c>
    </row>
    <row r="976" spans="1:10" x14ac:dyDescent="0.3">
      <c r="A976" t="s">
        <v>578</v>
      </c>
      <c r="B976" t="s">
        <v>747</v>
      </c>
      <c r="C976" t="s">
        <v>1406</v>
      </c>
      <c r="D976" s="23">
        <v>46490.988298611112</v>
      </c>
      <c r="E976" t="s">
        <v>1705</v>
      </c>
      <c r="F976">
        <v>40</v>
      </c>
      <c r="G976" t="s">
        <v>2168</v>
      </c>
      <c r="I976" t="str">
        <f t="shared" si="30"/>
        <v>TC0091PE|SN-16426-E4</v>
      </c>
      <c r="J976" t="str">
        <f t="shared" si="31"/>
        <v>SÍ</v>
      </c>
    </row>
    <row r="977" spans="1:10" x14ac:dyDescent="0.3">
      <c r="A977" t="s">
        <v>578</v>
      </c>
      <c r="B977" t="s">
        <v>747</v>
      </c>
      <c r="C977" t="s">
        <v>1007</v>
      </c>
      <c r="D977" s="23">
        <v>46489.219027777777</v>
      </c>
      <c r="E977" t="s">
        <v>1706</v>
      </c>
      <c r="F977">
        <v>80</v>
      </c>
      <c r="G977" t="s">
        <v>2168</v>
      </c>
      <c r="I977" t="str">
        <f t="shared" si="30"/>
        <v>TC0091PE|SN-16326-E5</v>
      </c>
      <c r="J977" t="str">
        <f t="shared" si="31"/>
        <v>SÍ</v>
      </c>
    </row>
    <row r="978" spans="1:10" x14ac:dyDescent="0.3">
      <c r="A978" t="s">
        <v>578</v>
      </c>
      <c r="B978" t="s">
        <v>747</v>
      </c>
      <c r="C978" t="s">
        <v>1006</v>
      </c>
      <c r="D978" s="23">
        <v>46489.215787037043</v>
      </c>
      <c r="E978" t="s">
        <v>1707</v>
      </c>
      <c r="F978">
        <v>80</v>
      </c>
      <c r="G978" t="s">
        <v>2168</v>
      </c>
      <c r="I978" t="str">
        <f t="shared" ref="I978:I1041" si="32">IF(A978="","",A978&amp;"|"&amp;C978)</f>
        <v>TC0091PE|SN-16326-E4</v>
      </c>
      <c r="J978" t="str">
        <f t="shared" ref="J978:J1041" si="33">IF(A978&lt;&gt;"","SÍ","NO")</f>
        <v>SÍ</v>
      </c>
    </row>
    <row r="979" spans="1:10" x14ac:dyDescent="0.3">
      <c r="A979" t="s">
        <v>578</v>
      </c>
      <c r="B979" t="s">
        <v>747</v>
      </c>
      <c r="C979" t="s">
        <v>1000</v>
      </c>
      <c r="D979" s="23">
        <v>46487.187928240739</v>
      </c>
      <c r="E979" t="s">
        <v>1708</v>
      </c>
      <c r="F979">
        <v>80</v>
      </c>
      <c r="G979" t="s">
        <v>2168</v>
      </c>
      <c r="I979" t="str">
        <f t="shared" si="32"/>
        <v>TC0091PE|SN-16226-E2</v>
      </c>
      <c r="J979" t="str">
        <f t="shared" si="33"/>
        <v>SÍ</v>
      </c>
    </row>
    <row r="980" spans="1:10" x14ac:dyDescent="0.3">
      <c r="A980" t="s">
        <v>578</v>
      </c>
      <c r="B980" t="s">
        <v>747</v>
      </c>
      <c r="C980" t="s">
        <v>1005</v>
      </c>
      <c r="D980" s="23">
        <v>46488.212071759262</v>
      </c>
      <c r="E980" t="s">
        <v>1709</v>
      </c>
      <c r="F980">
        <v>40</v>
      </c>
      <c r="G980" t="s">
        <v>2168</v>
      </c>
      <c r="I980" t="str">
        <f t="shared" si="32"/>
        <v>TC0091PE|SN-16326-E3</v>
      </c>
      <c r="J980" t="str">
        <f t="shared" si="33"/>
        <v>SÍ</v>
      </c>
    </row>
    <row r="981" spans="1:10" x14ac:dyDescent="0.3">
      <c r="A981" t="s">
        <v>578</v>
      </c>
      <c r="B981" t="s">
        <v>747</v>
      </c>
      <c r="C981" t="s">
        <v>1287</v>
      </c>
      <c r="D981" s="23">
        <v>46488.195868055547</v>
      </c>
      <c r="E981" t="s">
        <v>1710</v>
      </c>
      <c r="F981">
        <v>40</v>
      </c>
      <c r="G981" t="s">
        <v>2168</v>
      </c>
      <c r="I981" t="str">
        <f t="shared" si="32"/>
        <v>TC0091PE|SN-16226-E4</v>
      </c>
      <c r="J981" t="str">
        <f t="shared" si="33"/>
        <v>SÍ</v>
      </c>
    </row>
    <row r="982" spans="1:10" x14ac:dyDescent="0.3">
      <c r="A982" t="s">
        <v>578</v>
      </c>
      <c r="B982" t="s">
        <v>747</v>
      </c>
      <c r="C982" t="s">
        <v>1002</v>
      </c>
      <c r="D982" s="23">
        <v>46488</v>
      </c>
      <c r="E982" t="s">
        <v>1711</v>
      </c>
      <c r="F982">
        <v>40</v>
      </c>
      <c r="G982" t="s">
        <v>2168</v>
      </c>
      <c r="I982" t="str">
        <f t="shared" si="32"/>
        <v>TC0091PE|SN-16226-E1</v>
      </c>
      <c r="J982" t="str">
        <f t="shared" si="33"/>
        <v>SÍ</v>
      </c>
    </row>
    <row r="983" spans="1:10" x14ac:dyDescent="0.3">
      <c r="A983" t="s">
        <v>578</v>
      </c>
      <c r="B983" t="s">
        <v>747</v>
      </c>
      <c r="C983" t="s">
        <v>1000</v>
      </c>
      <c r="D983" s="23">
        <v>46487.187928240739</v>
      </c>
      <c r="E983" t="s">
        <v>1711</v>
      </c>
      <c r="F983">
        <v>40</v>
      </c>
      <c r="G983" t="s">
        <v>2168</v>
      </c>
      <c r="I983" t="str">
        <f t="shared" si="32"/>
        <v>TC0091PE|SN-16226-E2</v>
      </c>
      <c r="J983" t="str">
        <f t="shared" si="33"/>
        <v>SÍ</v>
      </c>
    </row>
    <row r="984" spans="1:10" x14ac:dyDescent="0.3">
      <c r="A984" t="s">
        <v>578</v>
      </c>
      <c r="B984" t="s">
        <v>747</v>
      </c>
      <c r="C984" t="s">
        <v>1001</v>
      </c>
      <c r="D984" s="23">
        <v>46488.196759259263</v>
      </c>
      <c r="E984" t="s">
        <v>1712</v>
      </c>
      <c r="F984">
        <v>80</v>
      </c>
      <c r="G984" t="s">
        <v>2168</v>
      </c>
      <c r="I984" t="str">
        <f t="shared" si="32"/>
        <v>TC0091PE|SN-16226-E5</v>
      </c>
      <c r="J984" t="str">
        <f t="shared" si="33"/>
        <v>SÍ</v>
      </c>
    </row>
    <row r="985" spans="1:10" x14ac:dyDescent="0.3">
      <c r="A985" t="s">
        <v>578</v>
      </c>
      <c r="B985" t="s">
        <v>747</v>
      </c>
      <c r="C985" t="s">
        <v>1001</v>
      </c>
      <c r="D985" s="23">
        <v>46488.196759259263</v>
      </c>
      <c r="E985" t="s">
        <v>1713</v>
      </c>
      <c r="F985">
        <v>40</v>
      </c>
      <c r="G985" t="s">
        <v>2168</v>
      </c>
      <c r="I985" t="str">
        <f t="shared" si="32"/>
        <v>TC0091PE|SN-16226-E5</v>
      </c>
      <c r="J985" t="str">
        <f t="shared" si="33"/>
        <v>SÍ</v>
      </c>
    </row>
    <row r="986" spans="1:10" x14ac:dyDescent="0.3">
      <c r="A986" t="s">
        <v>578</v>
      </c>
      <c r="B986" t="s">
        <v>747</v>
      </c>
      <c r="C986" t="s">
        <v>1003</v>
      </c>
      <c r="D986" s="23">
        <v>46489.204525462963</v>
      </c>
      <c r="E986" t="s">
        <v>1713</v>
      </c>
      <c r="F986">
        <v>40</v>
      </c>
      <c r="G986" t="s">
        <v>2168</v>
      </c>
      <c r="I986" t="str">
        <f t="shared" si="32"/>
        <v>TC0091PE|SN-16326-E2</v>
      </c>
      <c r="J986" t="str">
        <f t="shared" si="33"/>
        <v>SÍ</v>
      </c>
    </row>
    <row r="987" spans="1:10" x14ac:dyDescent="0.3">
      <c r="A987" t="s">
        <v>578</v>
      </c>
      <c r="B987" t="s">
        <v>747</v>
      </c>
      <c r="C987" t="s">
        <v>1005</v>
      </c>
      <c r="D987" s="23">
        <v>46488.212071759262</v>
      </c>
      <c r="E987" t="s">
        <v>1714</v>
      </c>
      <c r="F987">
        <v>40</v>
      </c>
      <c r="G987" t="s">
        <v>2168</v>
      </c>
      <c r="I987" t="str">
        <f t="shared" si="32"/>
        <v>TC0091PE|SN-16326-E3</v>
      </c>
      <c r="J987" t="str">
        <f t="shared" si="33"/>
        <v>SÍ</v>
      </c>
    </row>
    <row r="988" spans="1:10" x14ac:dyDescent="0.3">
      <c r="A988" t="s">
        <v>578</v>
      </c>
      <c r="B988" t="s">
        <v>747</v>
      </c>
      <c r="C988" t="s">
        <v>1052</v>
      </c>
      <c r="D988" s="23">
        <v>46516</v>
      </c>
      <c r="E988" t="s">
        <v>1715</v>
      </c>
      <c r="F988">
        <v>40</v>
      </c>
      <c r="G988" t="s">
        <v>2168</v>
      </c>
      <c r="I988" t="str">
        <f t="shared" si="32"/>
        <v>TC0091PE|SN-19026-E4</v>
      </c>
      <c r="J988" t="str">
        <f t="shared" si="33"/>
        <v>SÍ</v>
      </c>
    </row>
    <row r="989" spans="1:10" x14ac:dyDescent="0.3">
      <c r="A989" t="s">
        <v>578</v>
      </c>
      <c r="B989" t="s">
        <v>747</v>
      </c>
      <c r="C989" t="s">
        <v>1000</v>
      </c>
      <c r="D989" s="23">
        <v>46487.187928240739</v>
      </c>
      <c r="E989" t="s">
        <v>1716</v>
      </c>
      <c r="F989">
        <v>40</v>
      </c>
      <c r="G989" t="s">
        <v>2168</v>
      </c>
      <c r="I989" t="str">
        <f t="shared" si="32"/>
        <v>TC0091PE|SN-16226-E2</v>
      </c>
      <c r="J989" t="str">
        <f t="shared" si="33"/>
        <v>SÍ</v>
      </c>
    </row>
    <row r="990" spans="1:10" x14ac:dyDescent="0.3">
      <c r="A990" t="s">
        <v>578</v>
      </c>
      <c r="B990" t="s">
        <v>747</v>
      </c>
      <c r="C990" t="s">
        <v>1001</v>
      </c>
      <c r="D990" s="23">
        <v>46488.196759259263</v>
      </c>
      <c r="E990" t="s">
        <v>1716</v>
      </c>
      <c r="F990">
        <v>40</v>
      </c>
      <c r="G990" t="s">
        <v>2168</v>
      </c>
      <c r="I990" t="str">
        <f t="shared" si="32"/>
        <v>TC0091PE|SN-16226-E5</v>
      </c>
      <c r="J990" t="str">
        <f t="shared" si="33"/>
        <v>SÍ</v>
      </c>
    </row>
    <row r="991" spans="1:10" x14ac:dyDescent="0.3">
      <c r="A991" t="s">
        <v>578</v>
      </c>
      <c r="B991" t="s">
        <v>747</v>
      </c>
      <c r="C991" t="s">
        <v>1001</v>
      </c>
      <c r="D991" s="23">
        <v>46488.196759259263</v>
      </c>
      <c r="E991" t="s">
        <v>1717</v>
      </c>
      <c r="F991">
        <v>40</v>
      </c>
      <c r="G991" t="s">
        <v>2168</v>
      </c>
      <c r="I991" t="str">
        <f t="shared" si="32"/>
        <v>TC0091PE|SN-16226-E5</v>
      </c>
      <c r="J991" t="str">
        <f t="shared" si="33"/>
        <v>SÍ</v>
      </c>
    </row>
    <row r="992" spans="1:10" x14ac:dyDescent="0.3">
      <c r="A992" t="s">
        <v>578</v>
      </c>
      <c r="B992" t="s">
        <v>747</v>
      </c>
      <c r="C992" t="s">
        <v>1007</v>
      </c>
      <c r="D992" s="23">
        <v>46489.219027777777</v>
      </c>
      <c r="E992" t="s">
        <v>1718</v>
      </c>
      <c r="F992">
        <v>80</v>
      </c>
      <c r="G992" t="s">
        <v>2168</v>
      </c>
      <c r="I992" t="str">
        <f t="shared" si="32"/>
        <v>TC0091PE|SN-16326-E5</v>
      </c>
      <c r="J992" t="str">
        <f t="shared" si="33"/>
        <v>SÍ</v>
      </c>
    </row>
    <row r="993" spans="1:10" x14ac:dyDescent="0.3">
      <c r="A993" t="s">
        <v>578</v>
      </c>
      <c r="B993" t="s">
        <v>747</v>
      </c>
      <c r="C993" t="s">
        <v>1003</v>
      </c>
      <c r="D993" s="23">
        <v>46489.204525462963</v>
      </c>
      <c r="E993" t="s">
        <v>1719</v>
      </c>
      <c r="F993">
        <v>40</v>
      </c>
      <c r="G993" t="s">
        <v>2168</v>
      </c>
      <c r="I993" t="str">
        <f t="shared" si="32"/>
        <v>TC0091PE|SN-16326-E2</v>
      </c>
      <c r="J993" t="str">
        <f t="shared" si="33"/>
        <v>SÍ</v>
      </c>
    </row>
    <row r="994" spans="1:10" x14ac:dyDescent="0.3">
      <c r="A994" t="s">
        <v>578</v>
      </c>
      <c r="B994" t="s">
        <v>747</v>
      </c>
      <c r="C994" t="s">
        <v>1009</v>
      </c>
      <c r="D994" s="23">
        <v>46490.985231481478</v>
      </c>
      <c r="E994" t="s">
        <v>1720</v>
      </c>
      <c r="F994">
        <v>40</v>
      </c>
      <c r="G994" t="s">
        <v>2168</v>
      </c>
      <c r="I994" t="str">
        <f t="shared" si="32"/>
        <v>TC0091PE|SN-16426-E3</v>
      </c>
      <c r="J994" t="str">
        <f t="shared" si="33"/>
        <v>SÍ</v>
      </c>
    </row>
    <row r="995" spans="1:10" x14ac:dyDescent="0.3">
      <c r="A995" t="s">
        <v>578</v>
      </c>
      <c r="B995" t="s">
        <v>747</v>
      </c>
      <c r="C995" t="s">
        <v>1003</v>
      </c>
      <c r="D995" s="23">
        <v>46489.204525462963</v>
      </c>
      <c r="E995" t="s">
        <v>1721</v>
      </c>
      <c r="F995">
        <v>80</v>
      </c>
      <c r="G995" t="s">
        <v>2168</v>
      </c>
      <c r="I995" t="str">
        <f t="shared" si="32"/>
        <v>TC0091PE|SN-16326-E2</v>
      </c>
      <c r="J995" t="str">
        <f t="shared" si="33"/>
        <v>SÍ</v>
      </c>
    </row>
    <row r="996" spans="1:10" x14ac:dyDescent="0.3">
      <c r="A996" t="s">
        <v>578</v>
      </c>
      <c r="B996" t="s">
        <v>747</v>
      </c>
      <c r="C996" t="s">
        <v>1005</v>
      </c>
      <c r="D996" s="23">
        <v>46488.212071759262</v>
      </c>
      <c r="E996" t="s">
        <v>1722</v>
      </c>
      <c r="F996">
        <v>80</v>
      </c>
      <c r="G996" t="s">
        <v>2168</v>
      </c>
      <c r="I996" t="str">
        <f t="shared" si="32"/>
        <v>TC0091PE|SN-16326-E3</v>
      </c>
      <c r="J996" t="str">
        <f t="shared" si="33"/>
        <v>SÍ</v>
      </c>
    </row>
    <row r="997" spans="1:10" x14ac:dyDescent="0.3">
      <c r="A997" t="s">
        <v>578</v>
      </c>
      <c r="B997" t="s">
        <v>747</v>
      </c>
      <c r="C997" t="s">
        <v>1000</v>
      </c>
      <c r="D997" s="23">
        <v>46487.187928240739</v>
      </c>
      <c r="E997" t="s">
        <v>1723</v>
      </c>
      <c r="F997">
        <v>80</v>
      </c>
      <c r="G997" t="s">
        <v>2168</v>
      </c>
      <c r="I997" t="str">
        <f t="shared" si="32"/>
        <v>TC0091PE|SN-16226-E2</v>
      </c>
      <c r="J997" t="str">
        <f t="shared" si="33"/>
        <v>SÍ</v>
      </c>
    </row>
    <row r="998" spans="1:10" x14ac:dyDescent="0.3">
      <c r="A998" t="s">
        <v>578</v>
      </c>
      <c r="B998" t="s">
        <v>747</v>
      </c>
      <c r="C998" t="s">
        <v>1004</v>
      </c>
      <c r="D998" s="23">
        <v>46488.182858796303</v>
      </c>
      <c r="E998" t="s">
        <v>1724</v>
      </c>
      <c r="F998">
        <v>40</v>
      </c>
      <c r="G998" t="s">
        <v>2168</v>
      </c>
      <c r="I998" t="str">
        <f t="shared" si="32"/>
        <v>TC0091PE|SN-16226-E3</v>
      </c>
      <c r="J998" t="str">
        <f t="shared" si="33"/>
        <v>SÍ</v>
      </c>
    </row>
    <row r="999" spans="1:10" x14ac:dyDescent="0.3">
      <c r="A999" t="s">
        <v>578</v>
      </c>
      <c r="B999" t="s">
        <v>747</v>
      </c>
      <c r="C999" t="s">
        <v>1005</v>
      </c>
      <c r="D999" s="23">
        <v>46488.212071759262</v>
      </c>
      <c r="E999" t="s">
        <v>1725</v>
      </c>
      <c r="F999">
        <v>30</v>
      </c>
      <c r="G999" t="s">
        <v>2168</v>
      </c>
      <c r="I999" t="str">
        <f t="shared" si="32"/>
        <v>TC0091PE|SN-16326-E3</v>
      </c>
      <c r="J999" t="str">
        <f t="shared" si="33"/>
        <v>SÍ</v>
      </c>
    </row>
    <row r="1000" spans="1:10" x14ac:dyDescent="0.3">
      <c r="A1000" t="s">
        <v>578</v>
      </c>
      <c r="B1000" t="s">
        <v>747</v>
      </c>
      <c r="C1000" t="s">
        <v>1004</v>
      </c>
      <c r="D1000" s="23">
        <v>46488.182858796303</v>
      </c>
      <c r="E1000" t="s">
        <v>1725</v>
      </c>
      <c r="F1000">
        <v>10</v>
      </c>
      <c r="G1000" t="s">
        <v>2168</v>
      </c>
      <c r="I1000" t="str">
        <f t="shared" si="32"/>
        <v>TC0091PE|SN-16226-E3</v>
      </c>
      <c r="J1000" t="str">
        <f t="shared" si="33"/>
        <v>SÍ</v>
      </c>
    </row>
    <row r="1001" spans="1:10" x14ac:dyDescent="0.3">
      <c r="A1001" t="s">
        <v>578</v>
      </c>
      <c r="B1001" t="s">
        <v>747</v>
      </c>
      <c r="C1001" t="s">
        <v>1007</v>
      </c>
      <c r="D1001" s="23">
        <v>46489.219027777777</v>
      </c>
      <c r="E1001" t="s">
        <v>1726</v>
      </c>
      <c r="F1001">
        <v>80</v>
      </c>
      <c r="G1001" t="s">
        <v>2168</v>
      </c>
      <c r="I1001" t="str">
        <f t="shared" si="32"/>
        <v>TC0091PE|SN-16326-E5</v>
      </c>
      <c r="J1001" t="str">
        <f t="shared" si="33"/>
        <v>SÍ</v>
      </c>
    </row>
    <row r="1002" spans="1:10" x14ac:dyDescent="0.3">
      <c r="A1002" t="s">
        <v>578</v>
      </c>
      <c r="B1002" t="s">
        <v>747</v>
      </c>
      <c r="C1002" t="s">
        <v>1001</v>
      </c>
      <c r="D1002" s="23">
        <v>46488.196759259263</v>
      </c>
      <c r="E1002" t="s">
        <v>1727</v>
      </c>
      <c r="F1002">
        <v>80</v>
      </c>
      <c r="G1002" t="s">
        <v>2168</v>
      </c>
      <c r="I1002" t="str">
        <f t="shared" si="32"/>
        <v>TC0091PE|SN-16226-E5</v>
      </c>
      <c r="J1002" t="str">
        <f t="shared" si="33"/>
        <v>SÍ</v>
      </c>
    </row>
    <row r="1003" spans="1:10" x14ac:dyDescent="0.3">
      <c r="A1003" t="s">
        <v>578</v>
      </c>
      <c r="B1003" t="s">
        <v>747</v>
      </c>
      <c r="C1003" t="s">
        <v>1001</v>
      </c>
      <c r="D1003" s="23">
        <v>46488.196759259263</v>
      </c>
      <c r="E1003" t="s">
        <v>1728</v>
      </c>
      <c r="F1003">
        <v>40</v>
      </c>
      <c r="G1003" t="s">
        <v>2168</v>
      </c>
      <c r="I1003" t="str">
        <f t="shared" si="32"/>
        <v>TC0091PE|SN-16226-E5</v>
      </c>
      <c r="J1003" t="str">
        <f t="shared" si="33"/>
        <v>SÍ</v>
      </c>
    </row>
    <row r="1004" spans="1:10" x14ac:dyDescent="0.3">
      <c r="A1004" t="s">
        <v>578</v>
      </c>
      <c r="B1004" t="s">
        <v>747</v>
      </c>
      <c r="C1004" t="s">
        <v>1000</v>
      </c>
      <c r="D1004" s="23">
        <v>46487.187928240739</v>
      </c>
      <c r="E1004" t="s">
        <v>1728</v>
      </c>
      <c r="F1004">
        <v>40</v>
      </c>
      <c r="G1004" t="s">
        <v>2168</v>
      </c>
      <c r="I1004" t="str">
        <f t="shared" si="32"/>
        <v>TC0091PE|SN-16226-E2</v>
      </c>
      <c r="J1004" t="str">
        <f t="shared" si="33"/>
        <v>SÍ</v>
      </c>
    </row>
    <row r="1005" spans="1:10" x14ac:dyDescent="0.3">
      <c r="A1005" t="s">
        <v>578</v>
      </c>
      <c r="B1005" t="s">
        <v>747</v>
      </c>
      <c r="C1005" t="s">
        <v>1006</v>
      </c>
      <c r="D1005" s="23">
        <v>46489.215787037043</v>
      </c>
      <c r="E1005" t="s">
        <v>1729</v>
      </c>
      <c r="F1005">
        <v>40</v>
      </c>
      <c r="G1005" t="s">
        <v>2168</v>
      </c>
      <c r="I1005" t="str">
        <f t="shared" si="32"/>
        <v>TC0091PE|SN-16326-E4</v>
      </c>
      <c r="J1005" t="str">
        <f t="shared" si="33"/>
        <v>SÍ</v>
      </c>
    </row>
    <row r="1006" spans="1:10" x14ac:dyDescent="0.3">
      <c r="A1006" t="s">
        <v>578</v>
      </c>
      <c r="B1006" t="s">
        <v>747</v>
      </c>
      <c r="C1006" t="s">
        <v>1055</v>
      </c>
      <c r="D1006" s="23">
        <v>46515</v>
      </c>
      <c r="E1006" t="s">
        <v>1730</v>
      </c>
      <c r="F1006">
        <v>40</v>
      </c>
      <c r="G1006" t="s">
        <v>2168</v>
      </c>
      <c r="I1006" t="str">
        <f t="shared" si="32"/>
        <v>TC0091PE|SN-19026-E5</v>
      </c>
      <c r="J1006" t="str">
        <f t="shared" si="33"/>
        <v>SÍ</v>
      </c>
    </row>
    <row r="1007" spans="1:10" x14ac:dyDescent="0.3">
      <c r="A1007" t="s">
        <v>578</v>
      </c>
      <c r="B1007" t="s">
        <v>747</v>
      </c>
      <c r="C1007" t="s">
        <v>1006</v>
      </c>
      <c r="D1007" s="23">
        <v>46489.215787037043</v>
      </c>
      <c r="E1007" t="s">
        <v>1731</v>
      </c>
      <c r="F1007">
        <v>80</v>
      </c>
      <c r="G1007" t="s">
        <v>2168</v>
      </c>
      <c r="I1007" t="str">
        <f t="shared" si="32"/>
        <v>TC0091PE|SN-16326-E4</v>
      </c>
      <c r="J1007" t="str">
        <f t="shared" si="33"/>
        <v>SÍ</v>
      </c>
    </row>
    <row r="1008" spans="1:10" x14ac:dyDescent="0.3">
      <c r="A1008" t="s">
        <v>578</v>
      </c>
      <c r="B1008" t="s">
        <v>747</v>
      </c>
      <c r="C1008" t="s">
        <v>1003</v>
      </c>
      <c r="D1008" s="23">
        <v>46489.204525462963</v>
      </c>
      <c r="E1008" t="s">
        <v>1732</v>
      </c>
      <c r="F1008">
        <v>40</v>
      </c>
      <c r="G1008" t="s">
        <v>2168</v>
      </c>
      <c r="I1008" t="str">
        <f t="shared" si="32"/>
        <v>TC0091PE|SN-16326-E2</v>
      </c>
      <c r="J1008" t="str">
        <f t="shared" si="33"/>
        <v>SÍ</v>
      </c>
    </row>
    <row r="1009" spans="1:10" x14ac:dyDescent="0.3">
      <c r="A1009" t="s">
        <v>578</v>
      </c>
      <c r="B1009" t="s">
        <v>747</v>
      </c>
      <c r="C1009" t="s">
        <v>1287</v>
      </c>
      <c r="D1009" s="23">
        <v>46488.195868055547</v>
      </c>
      <c r="E1009" t="s">
        <v>1732</v>
      </c>
      <c r="F1009">
        <v>40</v>
      </c>
      <c r="G1009" t="s">
        <v>2168</v>
      </c>
      <c r="I1009" t="str">
        <f t="shared" si="32"/>
        <v>TC0091PE|SN-16226-E4</v>
      </c>
      <c r="J1009" t="str">
        <f t="shared" si="33"/>
        <v>SÍ</v>
      </c>
    </row>
    <row r="1010" spans="1:10" x14ac:dyDescent="0.3">
      <c r="A1010" t="s">
        <v>578</v>
      </c>
      <c r="B1010" t="s">
        <v>747</v>
      </c>
      <c r="C1010" t="s">
        <v>1001</v>
      </c>
      <c r="D1010" s="23">
        <v>46488.196759259263</v>
      </c>
      <c r="E1010" t="s">
        <v>1733</v>
      </c>
      <c r="F1010">
        <v>80</v>
      </c>
      <c r="G1010" t="s">
        <v>2168</v>
      </c>
      <c r="I1010" t="str">
        <f t="shared" si="32"/>
        <v>TC0091PE|SN-16226-E5</v>
      </c>
      <c r="J1010" t="str">
        <f t="shared" si="33"/>
        <v>SÍ</v>
      </c>
    </row>
    <row r="1011" spans="1:10" x14ac:dyDescent="0.3">
      <c r="A1011" t="s">
        <v>578</v>
      </c>
      <c r="B1011" t="s">
        <v>747</v>
      </c>
      <c r="C1011" t="s">
        <v>1006</v>
      </c>
      <c r="D1011" s="23">
        <v>46489.215787037043</v>
      </c>
      <c r="E1011" t="s">
        <v>1734</v>
      </c>
      <c r="F1011">
        <v>40</v>
      </c>
      <c r="G1011" t="s">
        <v>2168</v>
      </c>
      <c r="I1011" t="str">
        <f t="shared" si="32"/>
        <v>TC0091PE|SN-16326-E4</v>
      </c>
      <c r="J1011" t="str">
        <f t="shared" si="33"/>
        <v>SÍ</v>
      </c>
    </row>
    <row r="1012" spans="1:10" x14ac:dyDescent="0.3">
      <c r="A1012" t="s">
        <v>578</v>
      </c>
      <c r="B1012" t="s">
        <v>747</v>
      </c>
      <c r="C1012" t="s">
        <v>1399</v>
      </c>
      <c r="D1012" s="23">
        <v>46503</v>
      </c>
      <c r="E1012" t="s">
        <v>1735</v>
      </c>
      <c r="F1012">
        <v>21</v>
      </c>
      <c r="G1012" t="s">
        <v>2168</v>
      </c>
      <c r="I1012" t="str">
        <f t="shared" si="32"/>
        <v>TC0091PE|SN-17726-E7</v>
      </c>
      <c r="J1012" t="str">
        <f t="shared" si="33"/>
        <v>SÍ</v>
      </c>
    </row>
    <row r="1013" spans="1:10" x14ac:dyDescent="0.3">
      <c r="A1013" t="s">
        <v>578</v>
      </c>
      <c r="B1013" t="s">
        <v>747</v>
      </c>
      <c r="C1013" t="s">
        <v>1407</v>
      </c>
      <c r="D1013" s="23">
        <v>46486</v>
      </c>
      <c r="E1013" t="s">
        <v>1736</v>
      </c>
      <c r="F1013">
        <v>46</v>
      </c>
      <c r="G1013" t="s">
        <v>2168</v>
      </c>
      <c r="I1013" t="str">
        <f t="shared" si="32"/>
        <v>TC0091PE|SN-16026-E5</v>
      </c>
      <c r="J1013" t="str">
        <f t="shared" si="33"/>
        <v>SÍ</v>
      </c>
    </row>
    <row r="1014" spans="1:10" x14ac:dyDescent="0.3">
      <c r="A1014" t="s">
        <v>578</v>
      </c>
      <c r="B1014" t="s">
        <v>747</v>
      </c>
      <c r="C1014" t="s">
        <v>994</v>
      </c>
      <c r="D1014" s="23">
        <v>46487.143692129634</v>
      </c>
      <c r="E1014" t="s">
        <v>1736</v>
      </c>
      <c r="F1014">
        <v>34</v>
      </c>
      <c r="G1014" t="s">
        <v>2168</v>
      </c>
      <c r="I1014" t="str">
        <f t="shared" si="32"/>
        <v>TC0091PE|SN-16126-E5</v>
      </c>
      <c r="J1014" t="str">
        <f t="shared" si="33"/>
        <v>SÍ</v>
      </c>
    </row>
    <row r="1015" spans="1:10" x14ac:dyDescent="0.3">
      <c r="A1015" t="s">
        <v>578</v>
      </c>
      <c r="B1015" t="s">
        <v>747</v>
      </c>
      <c r="C1015" t="s">
        <v>1002</v>
      </c>
      <c r="D1015" s="23">
        <v>46488</v>
      </c>
      <c r="E1015" t="s">
        <v>1737</v>
      </c>
      <c r="F1015">
        <v>80</v>
      </c>
      <c r="G1015" t="s">
        <v>2168</v>
      </c>
      <c r="I1015" t="str">
        <f t="shared" si="32"/>
        <v>TC0091PE|SN-16226-E1</v>
      </c>
      <c r="J1015" t="str">
        <f t="shared" si="33"/>
        <v>SÍ</v>
      </c>
    </row>
    <row r="1016" spans="1:10" x14ac:dyDescent="0.3">
      <c r="A1016" t="s">
        <v>578</v>
      </c>
      <c r="B1016" t="s">
        <v>747</v>
      </c>
      <c r="C1016" t="s">
        <v>1055</v>
      </c>
      <c r="D1016" s="23">
        <v>46515</v>
      </c>
      <c r="E1016" t="s">
        <v>1738</v>
      </c>
      <c r="F1016">
        <v>40</v>
      </c>
      <c r="G1016" t="s">
        <v>2168</v>
      </c>
      <c r="I1016" t="str">
        <f t="shared" si="32"/>
        <v>TC0091PE|SN-19026-E5</v>
      </c>
      <c r="J1016" t="str">
        <f t="shared" si="33"/>
        <v>SÍ</v>
      </c>
    </row>
    <row r="1017" spans="1:10" x14ac:dyDescent="0.3">
      <c r="A1017" t="s">
        <v>578</v>
      </c>
      <c r="B1017" t="s">
        <v>747</v>
      </c>
      <c r="C1017" t="s">
        <v>1000</v>
      </c>
      <c r="D1017" s="23">
        <v>46487.187928240739</v>
      </c>
      <c r="E1017" t="s">
        <v>1738</v>
      </c>
      <c r="F1017">
        <v>40</v>
      </c>
      <c r="G1017" t="s">
        <v>2168</v>
      </c>
      <c r="I1017" t="str">
        <f t="shared" si="32"/>
        <v>TC0091PE|SN-16226-E2</v>
      </c>
      <c r="J1017" t="str">
        <f t="shared" si="33"/>
        <v>SÍ</v>
      </c>
    </row>
    <row r="1018" spans="1:10" x14ac:dyDescent="0.3">
      <c r="A1018" t="s">
        <v>578</v>
      </c>
      <c r="B1018" t="s">
        <v>747</v>
      </c>
      <c r="C1018" t="s">
        <v>1008</v>
      </c>
      <c r="D1018" s="23">
        <v>46490.983275462961</v>
      </c>
      <c r="E1018" t="s">
        <v>1739</v>
      </c>
      <c r="F1018">
        <v>40</v>
      </c>
      <c r="G1018" t="s">
        <v>2168</v>
      </c>
      <c r="I1018" t="str">
        <f t="shared" si="32"/>
        <v>TC0091PE|SN-16426-E2</v>
      </c>
      <c r="J1018" t="str">
        <f t="shared" si="33"/>
        <v>SÍ</v>
      </c>
    </row>
    <row r="1019" spans="1:10" x14ac:dyDescent="0.3">
      <c r="A1019" t="s">
        <v>578</v>
      </c>
      <c r="B1019" t="s">
        <v>747</v>
      </c>
      <c r="C1019" t="s">
        <v>1007</v>
      </c>
      <c r="D1019" s="23">
        <v>46489.219027777777</v>
      </c>
      <c r="E1019" t="s">
        <v>1740</v>
      </c>
      <c r="F1019">
        <v>40</v>
      </c>
      <c r="G1019" t="s">
        <v>2168</v>
      </c>
      <c r="I1019" t="str">
        <f t="shared" si="32"/>
        <v>TC0091PE|SN-16326-E5</v>
      </c>
      <c r="J1019" t="str">
        <f t="shared" si="33"/>
        <v>SÍ</v>
      </c>
    </row>
    <row r="1020" spans="1:10" x14ac:dyDescent="0.3">
      <c r="A1020" t="s">
        <v>578</v>
      </c>
      <c r="B1020" t="s">
        <v>747</v>
      </c>
      <c r="C1020" t="s">
        <v>932</v>
      </c>
      <c r="D1020" s="23">
        <v>46434.201840277783</v>
      </c>
      <c r="E1020" t="s">
        <v>1740</v>
      </c>
      <c r="F1020">
        <v>40</v>
      </c>
      <c r="G1020" t="s">
        <v>2168</v>
      </c>
      <c r="I1020" t="str">
        <f t="shared" si="32"/>
        <v>TC0091PE|SN-11226-E4</v>
      </c>
      <c r="J1020" t="str">
        <f t="shared" si="33"/>
        <v>SÍ</v>
      </c>
    </row>
    <row r="1021" spans="1:10" x14ac:dyDescent="0.3">
      <c r="A1021" t="s">
        <v>578</v>
      </c>
      <c r="B1021" t="s">
        <v>747</v>
      </c>
      <c r="C1021" t="s">
        <v>1000</v>
      </c>
      <c r="D1021" s="23">
        <v>46487.187928240739</v>
      </c>
      <c r="E1021" t="s">
        <v>1741</v>
      </c>
      <c r="F1021">
        <v>64</v>
      </c>
      <c r="G1021" t="s">
        <v>2168</v>
      </c>
      <c r="I1021" t="str">
        <f t="shared" si="32"/>
        <v>TC0091PE|SN-16226-E2</v>
      </c>
      <c r="J1021" t="str">
        <f t="shared" si="33"/>
        <v>SÍ</v>
      </c>
    </row>
    <row r="1022" spans="1:10" x14ac:dyDescent="0.3">
      <c r="A1022" t="s">
        <v>578</v>
      </c>
      <c r="B1022" t="s">
        <v>747</v>
      </c>
      <c r="C1022" t="s">
        <v>995</v>
      </c>
      <c r="D1022" s="23">
        <v>46487.961805555547</v>
      </c>
      <c r="E1022" t="s">
        <v>1741</v>
      </c>
      <c r="F1022">
        <v>16</v>
      </c>
      <c r="G1022" t="s">
        <v>2168</v>
      </c>
      <c r="I1022" t="str">
        <f t="shared" si="32"/>
        <v>TC0091PE|SN-16126-E2</v>
      </c>
      <c r="J1022" t="str">
        <f t="shared" si="33"/>
        <v>SÍ</v>
      </c>
    </row>
    <row r="1023" spans="1:10" x14ac:dyDescent="0.3">
      <c r="A1023" t="s">
        <v>578</v>
      </c>
      <c r="B1023" t="s">
        <v>747</v>
      </c>
      <c r="C1023" t="s">
        <v>1001</v>
      </c>
      <c r="D1023" s="23">
        <v>46488.196759259263</v>
      </c>
      <c r="E1023" t="s">
        <v>1742</v>
      </c>
      <c r="F1023">
        <v>80</v>
      </c>
      <c r="G1023" t="s">
        <v>2168</v>
      </c>
      <c r="I1023" t="str">
        <f t="shared" si="32"/>
        <v>TC0091PE|SN-16226-E5</v>
      </c>
      <c r="J1023" t="str">
        <f t="shared" si="33"/>
        <v>SÍ</v>
      </c>
    </row>
    <row r="1024" spans="1:10" x14ac:dyDescent="0.3">
      <c r="A1024" t="s">
        <v>578</v>
      </c>
      <c r="B1024" t="s">
        <v>747</v>
      </c>
      <c r="C1024" t="s">
        <v>1000</v>
      </c>
      <c r="D1024" s="23">
        <v>46487.187928240739</v>
      </c>
      <c r="E1024" t="s">
        <v>1743</v>
      </c>
      <c r="F1024">
        <v>77</v>
      </c>
      <c r="G1024" t="s">
        <v>2168</v>
      </c>
      <c r="I1024" t="str">
        <f t="shared" si="32"/>
        <v>TC0091PE|SN-16226-E2</v>
      </c>
      <c r="J1024" t="str">
        <f t="shared" si="33"/>
        <v>SÍ</v>
      </c>
    </row>
    <row r="1025" spans="1:10" x14ac:dyDescent="0.3">
      <c r="A1025" t="s">
        <v>578</v>
      </c>
      <c r="B1025" t="s">
        <v>747</v>
      </c>
      <c r="C1025" t="s">
        <v>1005</v>
      </c>
      <c r="D1025" s="23">
        <v>46488.212071759262</v>
      </c>
      <c r="E1025" t="s">
        <v>1744</v>
      </c>
      <c r="F1025">
        <v>40</v>
      </c>
      <c r="G1025" t="s">
        <v>2168</v>
      </c>
      <c r="I1025" t="str">
        <f t="shared" si="32"/>
        <v>TC0091PE|SN-16326-E3</v>
      </c>
      <c r="J1025" t="str">
        <f t="shared" si="33"/>
        <v>SÍ</v>
      </c>
    </row>
    <row r="1026" spans="1:10" x14ac:dyDescent="0.3">
      <c r="A1026" t="s">
        <v>578</v>
      </c>
      <c r="B1026" t="s">
        <v>747</v>
      </c>
      <c r="C1026" t="s">
        <v>1006</v>
      </c>
      <c r="D1026" s="23">
        <v>46489.215787037043</v>
      </c>
      <c r="E1026" t="s">
        <v>1745</v>
      </c>
      <c r="F1026">
        <v>40</v>
      </c>
      <c r="G1026" t="s">
        <v>2168</v>
      </c>
      <c r="I1026" t="str">
        <f t="shared" si="32"/>
        <v>TC0091PE|SN-16326-E4</v>
      </c>
      <c r="J1026" t="str">
        <f t="shared" si="33"/>
        <v>SÍ</v>
      </c>
    </row>
    <row r="1027" spans="1:10" x14ac:dyDescent="0.3">
      <c r="A1027" t="s">
        <v>578</v>
      </c>
      <c r="B1027" t="s">
        <v>747</v>
      </c>
      <c r="C1027" t="s">
        <v>1407</v>
      </c>
      <c r="D1027" s="23">
        <v>46486</v>
      </c>
      <c r="E1027" t="s">
        <v>1746</v>
      </c>
      <c r="F1027">
        <v>80</v>
      </c>
      <c r="G1027" t="s">
        <v>2168</v>
      </c>
      <c r="I1027" t="str">
        <f t="shared" si="32"/>
        <v>TC0091PE|SN-16026-E5</v>
      </c>
      <c r="J1027" t="str">
        <f t="shared" si="33"/>
        <v>SÍ</v>
      </c>
    </row>
    <row r="1028" spans="1:10" x14ac:dyDescent="0.3">
      <c r="A1028" t="s">
        <v>578</v>
      </c>
      <c r="B1028" t="s">
        <v>747</v>
      </c>
      <c r="C1028" t="s">
        <v>1001</v>
      </c>
      <c r="D1028" s="23">
        <v>46488.196759259263</v>
      </c>
      <c r="E1028" t="s">
        <v>1747</v>
      </c>
      <c r="F1028">
        <v>80</v>
      </c>
      <c r="G1028" t="s">
        <v>2168</v>
      </c>
      <c r="I1028" t="str">
        <f t="shared" si="32"/>
        <v>TC0091PE|SN-16226-E5</v>
      </c>
      <c r="J1028" t="str">
        <f t="shared" si="33"/>
        <v>SÍ</v>
      </c>
    </row>
    <row r="1029" spans="1:10" x14ac:dyDescent="0.3">
      <c r="A1029" t="s">
        <v>578</v>
      </c>
      <c r="B1029" t="s">
        <v>747</v>
      </c>
      <c r="C1029" t="s">
        <v>1016</v>
      </c>
      <c r="D1029" s="23">
        <v>46492.573333333326</v>
      </c>
      <c r="E1029" t="s">
        <v>1748</v>
      </c>
      <c r="F1029">
        <v>40</v>
      </c>
      <c r="G1029" t="s">
        <v>2168</v>
      </c>
      <c r="I1029" t="str">
        <f t="shared" si="32"/>
        <v>TC0091PE|SN-17026-E7</v>
      </c>
      <c r="J1029" t="str">
        <f t="shared" si="33"/>
        <v>SÍ</v>
      </c>
    </row>
    <row r="1030" spans="1:10" x14ac:dyDescent="0.3">
      <c r="A1030" t="s">
        <v>578</v>
      </c>
      <c r="B1030" t="s">
        <v>747</v>
      </c>
      <c r="C1030" t="s">
        <v>995</v>
      </c>
      <c r="D1030" s="23">
        <v>46487.961805555547</v>
      </c>
      <c r="E1030" t="s">
        <v>1749</v>
      </c>
      <c r="F1030">
        <v>80</v>
      </c>
      <c r="G1030" t="s">
        <v>2168</v>
      </c>
      <c r="I1030" t="str">
        <f t="shared" si="32"/>
        <v>TC0091PE|SN-16126-E2</v>
      </c>
      <c r="J1030" t="str">
        <f t="shared" si="33"/>
        <v>SÍ</v>
      </c>
    </row>
    <row r="1031" spans="1:10" x14ac:dyDescent="0.3">
      <c r="A1031" t="s">
        <v>578</v>
      </c>
      <c r="B1031" t="s">
        <v>747</v>
      </c>
      <c r="C1031" t="s">
        <v>995</v>
      </c>
      <c r="D1031" s="23">
        <v>46487.961805555547</v>
      </c>
      <c r="E1031" t="s">
        <v>1750</v>
      </c>
      <c r="F1031">
        <v>40</v>
      </c>
      <c r="G1031" t="s">
        <v>2168</v>
      </c>
      <c r="I1031" t="str">
        <f t="shared" si="32"/>
        <v>TC0091PE|SN-16126-E2</v>
      </c>
      <c r="J1031" t="str">
        <f t="shared" si="33"/>
        <v>SÍ</v>
      </c>
    </row>
    <row r="1032" spans="1:10" x14ac:dyDescent="0.3">
      <c r="A1032" t="s">
        <v>578</v>
      </c>
      <c r="B1032" t="s">
        <v>747</v>
      </c>
      <c r="C1032" t="s">
        <v>994</v>
      </c>
      <c r="D1032" s="23">
        <v>46487.143692129634</v>
      </c>
      <c r="E1032" t="s">
        <v>1750</v>
      </c>
      <c r="F1032">
        <v>40</v>
      </c>
      <c r="G1032" t="s">
        <v>2168</v>
      </c>
      <c r="I1032" t="str">
        <f t="shared" si="32"/>
        <v>TC0091PE|SN-16126-E5</v>
      </c>
      <c r="J1032" t="str">
        <f t="shared" si="33"/>
        <v>SÍ</v>
      </c>
    </row>
    <row r="1033" spans="1:10" x14ac:dyDescent="0.3">
      <c r="A1033" t="s">
        <v>578</v>
      </c>
      <c r="B1033" t="s">
        <v>747</v>
      </c>
      <c r="C1033" t="s">
        <v>1407</v>
      </c>
      <c r="D1033" s="23">
        <v>46486</v>
      </c>
      <c r="E1033" t="s">
        <v>1751</v>
      </c>
      <c r="F1033">
        <v>80</v>
      </c>
      <c r="G1033" t="s">
        <v>2168</v>
      </c>
      <c r="I1033" t="str">
        <f t="shared" si="32"/>
        <v>TC0091PE|SN-16026-E5</v>
      </c>
      <c r="J1033" t="str">
        <f t="shared" si="33"/>
        <v>SÍ</v>
      </c>
    </row>
    <row r="1034" spans="1:10" x14ac:dyDescent="0.3">
      <c r="A1034" t="s">
        <v>578</v>
      </c>
      <c r="B1034" t="s">
        <v>747</v>
      </c>
      <c r="C1034" t="s">
        <v>1055</v>
      </c>
      <c r="D1034" s="23">
        <v>46515</v>
      </c>
      <c r="E1034" t="s">
        <v>1752</v>
      </c>
      <c r="F1034">
        <v>40</v>
      </c>
      <c r="G1034" t="s">
        <v>2168</v>
      </c>
      <c r="I1034" t="str">
        <f t="shared" si="32"/>
        <v>TC0091PE|SN-19026-E5</v>
      </c>
      <c r="J1034" t="str">
        <f t="shared" si="33"/>
        <v>SÍ</v>
      </c>
    </row>
    <row r="1035" spans="1:10" x14ac:dyDescent="0.3">
      <c r="A1035" t="s">
        <v>578</v>
      </c>
      <c r="B1035" t="s">
        <v>747</v>
      </c>
      <c r="C1035" t="s">
        <v>1055</v>
      </c>
      <c r="D1035" s="23">
        <v>46515</v>
      </c>
      <c r="E1035" t="s">
        <v>1753</v>
      </c>
      <c r="F1035">
        <v>40</v>
      </c>
      <c r="G1035" t="s">
        <v>2168</v>
      </c>
      <c r="I1035" t="str">
        <f t="shared" si="32"/>
        <v>TC0091PE|SN-19026-E5</v>
      </c>
      <c r="J1035" t="str">
        <f t="shared" si="33"/>
        <v>SÍ</v>
      </c>
    </row>
    <row r="1036" spans="1:10" x14ac:dyDescent="0.3">
      <c r="A1036" t="s">
        <v>578</v>
      </c>
      <c r="B1036" t="s">
        <v>747</v>
      </c>
      <c r="C1036" t="s">
        <v>994</v>
      </c>
      <c r="D1036" s="23">
        <v>46487.143692129634</v>
      </c>
      <c r="E1036" t="s">
        <v>1754</v>
      </c>
      <c r="F1036">
        <v>80</v>
      </c>
      <c r="G1036" t="s">
        <v>2168</v>
      </c>
      <c r="I1036" t="str">
        <f t="shared" si="32"/>
        <v>TC0091PE|SN-16126-E5</v>
      </c>
      <c r="J1036" t="str">
        <f t="shared" si="33"/>
        <v>SÍ</v>
      </c>
    </row>
    <row r="1037" spans="1:10" x14ac:dyDescent="0.3">
      <c r="A1037" t="s">
        <v>578</v>
      </c>
      <c r="B1037" t="s">
        <v>747</v>
      </c>
      <c r="C1037" t="s">
        <v>995</v>
      </c>
      <c r="D1037" s="23">
        <v>46487.961805555547</v>
      </c>
      <c r="E1037" t="s">
        <v>1755</v>
      </c>
      <c r="F1037">
        <v>40</v>
      </c>
      <c r="G1037" t="s">
        <v>2168</v>
      </c>
      <c r="I1037" t="str">
        <f t="shared" si="32"/>
        <v>TC0091PE|SN-16126-E2</v>
      </c>
      <c r="J1037" t="str">
        <f t="shared" si="33"/>
        <v>SÍ</v>
      </c>
    </row>
    <row r="1038" spans="1:10" x14ac:dyDescent="0.3">
      <c r="A1038" t="s">
        <v>578</v>
      </c>
      <c r="B1038" t="s">
        <v>747</v>
      </c>
      <c r="C1038" t="s">
        <v>994</v>
      </c>
      <c r="D1038" s="23">
        <v>46487.143692129634</v>
      </c>
      <c r="E1038" t="s">
        <v>1755</v>
      </c>
      <c r="F1038">
        <v>40</v>
      </c>
      <c r="G1038" t="s">
        <v>2168</v>
      </c>
      <c r="I1038" t="str">
        <f t="shared" si="32"/>
        <v>TC0091PE|SN-16126-E5</v>
      </c>
      <c r="J1038" t="str">
        <f t="shared" si="33"/>
        <v>SÍ</v>
      </c>
    </row>
    <row r="1039" spans="1:10" x14ac:dyDescent="0.3">
      <c r="A1039" t="s">
        <v>578</v>
      </c>
      <c r="B1039" t="s">
        <v>747</v>
      </c>
      <c r="C1039" t="s">
        <v>1408</v>
      </c>
      <c r="D1039" s="23">
        <v>46455.718506944453</v>
      </c>
      <c r="E1039" t="s">
        <v>1756</v>
      </c>
      <c r="F1039">
        <v>56</v>
      </c>
      <c r="G1039" t="s">
        <v>2168</v>
      </c>
      <c r="I1039" t="str">
        <f t="shared" si="32"/>
        <v>TC0091PE|SN-12926-E3</v>
      </c>
      <c r="J1039" t="str">
        <f t="shared" si="33"/>
        <v>SÍ</v>
      </c>
    </row>
    <row r="1040" spans="1:10" x14ac:dyDescent="0.3">
      <c r="A1040" t="s">
        <v>578</v>
      </c>
      <c r="B1040" t="s">
        <v>747</v>
      </c>
      <c r="C1040" t="s">
        <v>1409</v>
      </c>
      <c r="D1040" s="23">
        <v>46456.721643518518</v>
      </c>
      <c r="E1040" t="s">
        <v>1756</v>
      </c>
      <c r="F1040">
        <v>24</v>
      </c>
      <c r="G1040" t="s">
        <v>2168</v>
      </c>
      <c r="I1040" t="str">
        <f t="shared" si="32"/>
        <v>TC0091PE|SN-13026-E3</v>
      </c>
      <c r="J1040" t="str">
        <f t="shared" si="33"/>
        <v>SÍ</v>
      </c>
    </row>
    <row r="1041" spans="1:10" x14ac:dyDescent="0.3">
      <c r="A1041" t="s">
        <v>578</v>
      </c>
      <c r="B1041" t="s">
        <v>747</v>
      </c>
      <c r="C1041" t="s">
        <v>1006</v>
      </c>
      <c r="D1041" s="23">
        <v>46489.215787037043</v>
      </c>
      <c r="E1041" t="s">
        <v>1757</v>
      </c>
      <c r="F1041">
        <v>40</v>
      </c>
      <c r="G1041" t="s">
        <v>2168</v>
      </c>
      <c r="I1041" t="str">
        <f t="shared" si="32"/>
        <v>TC0091PE|SN-16326-E4</v>
      </c>
      <c r="J1041" t="str">
        <f t="shared" si="33"/>
        <v>SÍ</v>
      </c>
    </row>
    <row r="1042" spans="1:10" x14ac:dyDescent="0.3">
      <c r="A1042" t="s">
        <v>578</v>
      </c>
      <c r="B1042" t="s">
        <v>747</v>
      </c>
      <c r="C1042" t="s">
        <v>1407</v>
      </c>
      <c r="D1042" s="23">
        <v>46486</v>
      </c>
      <c r="E1042" t="s">
        <v>1757</v>
      </c>
      <c r="F1042">
        <v>40</v>
      </c>
      <c r="G1042" t="s">
        <v>2168</v>
      </c>
      <c r="I1042" t="str">
        <f t="shared" ref="I1042:I1105" si="34">IF(A1042="","",A1042&amp;"|"&amp;C1042)</f>
        <v>TC0091PE|SN-16026-E5</v>
      </c>
      <c r="J1042" t="str">
        <f t="shared" ref="J1042:J1105" si="35">IF(A1042&lt;&gt;"","SÍ","NO")</f>
        <v>SÍ</v>
      </c>
    </row>
    <row r="1043" spans="1:10" x14ac:dyDescent="0.3">
      <c r="A1043" t="s">
        <v>578</v>
      </c>
      <c r="B1043" t="s">
        <v>747</v>
      </c>
      <c r="C1043" t="s">
        <v>1406</v>
      </c>
      <c r="D1043" s="23">
        <v>46490.988298611112</v>
      </c>
      <c r="E1043" t="s">
        <v>1758</v>
      </c>
      <c r="F1043">
        <v>80</v>
      </c>
      <c r="G1043" t="s">
        <v>2168</v>
      </c>
      <c r="I1043" t="str">
        <f t="shared" si="34"/>
        <v>TC0091PE|SN-16426-E4</v>
      </c>
      <c r="J1043" t="str">
        <f t="shared" si="35"/>
        <v>SÍ</v>
      </c>
    </row>
    <row r="1044" spans="1:10" x14ac:dyDescent="0.3">
      <c r="A1044" t="s">
        <v>578</v>
      </c>
      <c r="B1044" t="s">
        <v>747</v>
      </c>
      <c r="C1044" t="s">
        <v>1055</v>
      </c>
      <c r="D1044" s="23">
        <v>46515</v>
      </c>
      <c r="E1044" t="s">
        <v>1759</v>
      </c>
      <c r="F1044">
        <v>40</v>
      </c>
      <c r="G1044" t="s">
        <v>2168</v>
      </c>
      <c r="I1044" t="str">
        <f t="shared" si="34"/>
        <v>TC0091PE|SN-19026-E5</v>
      </c>
      <c r="J1044" t="str">
        <f t="shared" si="35"/>
        <v>SÍ</v>
      </c>
    </row>
    <row r="1045" spans="1:10" x14ac:dyDescent="0.3">
      <c r="A1045" t="s">
        <v>578</v>
      </c>
      <c r="B1045" t="s">
        <v>747</v>
      </c>
      <c r="C1045" t="s">
        <v>1007</v>
      </c>
      <c r="D1045" s="23">
        <v>46489.219027777777</v>
      </c>
      <c r="E1045" t="s">
        <v>1759</v>
      </c>
      <c r="F1045">
        <v>40</v>
      </c>
      <c r="G1045" t="s">
        <v>2168</v>
      </c>
      <c r="I1045" t="str">
        <f t="shared" si="34"/>
        <v>TC0091PE|SN-16326-E5</v>
      </c>
      <c r="J1045" t="str">
        <f t="shared" si="35"/>
        <v>SÍ</v>
      </c>
    </row>
    <row r="1046" spans="1:10" x14ac:dyDescent="0.3">
      <c r="A1046" t="s">
        <v>578</v>
      </c>
      <c r="B1046" t="s">
        <v>747</v>
      </c>
      <c r="C1046" t="s">
        <v>1013</v>
      </c>
      <c r="D1046" s="23">
        <v>46498</v>
      </c>
      <c r="E1046" t="s">
        <v>1760</v>
      </c>
      <c r="F1046">
        <v>40</v>
      </c>
      <c r="G1046" t="s">
        <v>2168</v>
      </c>
      <c r="I1046" t="str">
        <f t="shared" si="34"/>
        <v>TC0091PE|SN-17226-E7</v>
      </c>
      <c r="J1046" t="str">
        <f t="shared" si="35"/>
        <v>SÍ</v>
      </c>
    </row>
    <row r="1047" spans="1:10" x14ac:dyDescent="0.3">
      <c r="A1047" t="s">
        <v>578</v>
      </c>
      <c r="B1047" t="s">
        <v>747</v>
      </c>
      <c r="C1047" t="s">
        <v>1410</v>
      </c>
      <c r="D1047" s="23">
        <v>46454.628101851849</v>
      </c>
      <c r="E1047" t="s">
        <v>1760</v>
      </c>
      <c r="F1047">
        <v>40</v>
      </c>
      <c r="G1047" t="s">
        <v>2168</v>
      </c>
      <c r="I1047" t="str">
        <f t="shared" si="34"/>
        <v>TC0091PE|SN-12826-E5</v>
      </c>
      <c r="J1047" t="str">
        <f t="shared" si="35"/>
        <v>SÍ</v>
      </c>
    </row>
    <row r="1048" spans="1:10" x14ac:dyDescent="0.3">
      <c r="A1048" t="s">
        <v>578</v>
      </c>
      <c r="B1048" t="s">
        <v>747</v>
      </c>
      <c r="C1048" t="s">
        <v>1046</v>
      </c>
      <c r="D1048" s="23">
        <v>46514</v>
      </c>
      <c r="E1048" t="s">
        <v>1761</v>
      </c>
      <c r="F1048">
        <v>40</v>
      </c>
      <c r="G1048" t="s">
        <v>2168</v>
      </c>
      <c r="I1048" t="str">
        <f t="shared" si="34"/>
        <v>TC0091PE|SN-18826-E4</v>
      </c>
      <c r="J1048" t="str">
        <f t="shared" si="35"/>
        <v>SÍ</v>
      </c>
    </row>
    <row r="1049" spans="1:10" x14ac:dyDescent="0.3">
      <c r="A1049" t="s">
        <v>578</v>
      </c>
      <c r="B1049" t="s">
        <v>747</v>
      </c>
      <c r="C1049" t="s">
        <v>1050</v>
      </c>
      <c r="D1049" s="23">
        <v>46515.183495370373</v>
      </c>
      <c r="E1049" t="s">
        <v>1762</v>
      </c>
      <c r="F1049">
        <v>40</v>
      </c>
      <c r="G1049" t="s">
        <v>2168</v>
      </c>
      <c r="I1049" t="str">
        <f t="shared" si="34"/>
        <v>TC0091PE|SN-18926-E4</v>
      </c>
      <c r="J1049" t="str">
        <f t="shared" si="35"/>
        <v>SÍ</v>
      </c>
    </row>
    <row r="1050" spans="1:10" x14ac:dyDescent="0.3">
      <c r="A1050" t="s">
        <v>578</v>
      </c>
      <c r="B1050" t="s">
        <v>747</v>
      </c>
      <c r="C1050" t="s">
        <v>1411</v>
      </c>
      <c r="D1050" s="23">
        <v>46448.098449074067</v>
      </c>
      <c r="E1050" t="s">
        <v>1763</v>
      </c>
      <c r="F1050">
        <v>20</v>
      </c>
      <c r="G1050" t="s">
        <v>2168</v>
      </c>
      <c r="I1050" t="str">
        <f t="shared" si="34"/>
        <v>TC0091PE|SN-12526-E5</v>
      </c>
      <c r="J1050" t="str">
        <f t="shared" si="35"/>
        <v>SÍ</v>
      </c>
    </row>
    <row r="1051" spans="1:10" x14ac:dyDescent="0.3">
      <c r="A1051" t="s">
        <v>578</v>
      </c>
      <c r="B1051" t="s">
        <v>747</v>
      </c>
      <c r="C1051" t="s">
        <v>961</v>
      </c>
      <c r="D1051" s="23">
        <v>46452.10229166667</v>
      </c>
      <c r="E1051" t="s">
        <v>1763</v>
      </c>
      <c r="F1051">
        <v>20</v>
      </c>
      <c r="G1051" t="s">
        <v>2168</v>
      </c>
      <c r="I1051" t="str">
        <f t="shared" si="34"/>
        <v>TC0091PE|SN-12626-E5</v>
      </c>
      <c r="J1051" t="str">
        <f t="shared" si="35"/>
        <v>SÍ</v>
      </c>
    </row>
    <row r="1052" spans="1:10" x14ac:dyDescent="0.3">
      <c r="A1052" t="s">
        <v>578</v>
      </c>
      <c r="B1052" t="s">
        <v>747</v>
      </c>
      <c r="C1052" t="s">
        <v>1009</v>
      </c>
      <c r="D1052" s="23">
        <v>46490.985231481478</v>
      </c>
      <c r="E1052" t="s">
        <v>1763</v>
      </c>
      <c r="F1052">
        <v>40</v>
      </c>
      <c r="G1052" t="s">
        <v>2168</v>
      </c>
      <c r="I1052" t="str">
        <f t="shared" si="34"/>
        <v>TC0091PE|SN-16426-E3</v>
      </c>
      <c r="J1052" t="str">
        <f t="shared" si="35"/>
        <v>SÍ</v>
      </c>
    </row>
    <row r="1053" spans="1:10" x14ac:dyDescent="0.3">
      <c r="A1053" t="s">
        <v>578</v>
      </c>
      <c r="B1053" t="s">
        <v>747</v>
      </c>
      <c r="C1053" t="s">
        <v>1412</v>
      </c>
      <c r="D1053" s="23">
        <v>46446.854328703703</v>
      </c>
      <c r="E1053" t="s">
        <v>1764</v>
      </c>
      <c r="F1053">
        <v>40</v>
      </c>
      <c r="G1053" t="s">
        <v>2168</v>
      </c>
      <c r="I1053" t="str">
        <f t="shared" si="34"/>
        <v>TC0091PE|SN-11826-E5</v>
      </c>
      <c r="J1053" t="str">
        <f t="shared" si="35"/>
        <v>SÍ</v>
      </c>
    </row>
    <row r="1054" spans="1:10" x14ac:dyDescent="0.3">
      <c r="A1054" t="s">
        <v>578</v>
      </c>
      <c r="B1054" t="s">
        <v>747</v>
      </c>
      <c r="C1054" t="s">
        <v>1010</v>
      </c>
      <c r="D1054" s="23">
        <v>46490.990300925929</v>
      </c>
      <c r="E1054" t="s">
        <v>1764</v>
      </c>
      <c r="F1054">
        <v>40</v>
      </c>
      <c r="G1054" t="s">
        <v>2168</v>
      </c>
      <c r="I1054" t="str">
        <f t="shared" si="34"/>
        <v>TC0091PE|SN-16426-E5</v>
      </c>
      <c r="J1054" t="str">
        <f t="shared" si="35"/>
        <v>SÍ</v>
      </c>
    </row>
    <row r="1055" spans="1:10" x14ac:dyDescent="0.3">
      <c r="A1055" t="s">
        <v>578</v>
      </c>
      <c r="B1055" t="s">
        <v>747</v>
      </c>
      <c r="C1055" t="s">
        <v>1014</v>
      </c>
      <c r="D1055" s="23">
        <v>46497</v>
      </c>
      <c r="E1055" t="s">
        <v>1765</v>
      </c>
      <c r="F1055">
        <v>40</v>
      </c>
      <c r="G1055" t="s">
        <v>2168</v>
      </c>
      <c r="I1055" t="str">
        <f t="shared" si="34"/>
        <v>TC0091PE|SN-17126-E7</v>
      </c>
      <c r="J1055" t="str">
        <f t="shared" si="35"/>
        <v>SÍ</v>
      </c>
    </row>
    <row r="1056" spans="1:10" x14ac:dyDescent="0.3">
      <c r="A1056" t="s">
        <v>578</v>
      </c>
      <c r="B1056" t="s">
        <v>747</v>
      </c>
      <c r="C1056" t="s">
        <v>1009</v>
      </c>
      <c r="D1056" s="23">
        <v>46490.985231481478</v>
      </c>
      <c r="E1056" t="s">
        <v>1765</v>
      </c>
      <c r="F1056">
        <v>40</v>
      </c>
      <c r="G1056" t="s">
        <v>2168</v>
      </c>
      <c r="I1056" t="str">
        <f t="shared" si="34"/>
        <v>TC0091PE|SN-16426-E3</v>
      </c>
      <c r="J1056" t="str">
        <f t="shared" si="35"/>
        <v>SÍ</v>
      </c>
    </row>
    <row r="1057" spans="1:10" x14ac:dyDescent="0.3">
      <c r="A1057" t="s">
        <v>578</v>
      </c>
      <c r="B1057" t="s">
        <v>747</v>
      </c>
      <c r="C1057" t="s">
        <v>959</v>
      </c>
      <c r="D1057" s="23">
        <v>46447.720416666663</v>
      </c>
      <c r="E1057" t="s">
        <v>1766</v>
      </c>
      <c r="F1057">
        <v>40</v>
      </c>
      <c r="G1057" t="s">
        <v>2168</v>
      </c>
      <c r="I1057" t="str">
        <f t="shared" si="34"/>
        <v>TC0091PE|SN-12526-E1</v>
      </c>
      <c r="J1057" t="str">
        <f t="shared" si="35"/>
        <v>SÍ</v>
      </c>
    </row>
    <row r="1058" spans="1:10" x14ac:dyDescent="0.3">
      <c r="A1058" t="s">
        <v>578</v>
      </c>
      <c r="B1058" t="s">
        <v>747</v>
      </c>
      <c r="C1058" t="s">
        <v>1000</v>
      </c>
      <c r="D1058" s="23">
        <v>46487.187928240739</v>
      </c>
      <c r="E1058" t="s">
        <v>1766</v>
      </c>
      <c r="F1058">
        <v>40</v>
      </c>
      <c r="G1058" t="s">
        <v>2168</v>
      </c>
      <c r="I1058" t="str">
        <f t="shared" si="34"/>
        <v>TC0091PE|SN-16226-E2</v>
      </c>
      <c r="J1058" t="str">
        <f t="shared" si="35"/>
        <v>SÍ</v>
      </c>
    </row>
    <row r="1059" spans="1:10" x14ac:dyDescent="0.3">
      <c r="A1059" t="s">
        <v>578</v>
      </c>
      <c r="B1059" t="s">
        <v>747</v>
      </c>
      <c r="C1059" t="s">
        <v>1050</v>
      </c>
      <c r="D1059" s="23">
        <v>46515.183495370373</v>
      </c>
      <c r="E1059" t="s">
        <v>1767</v>
      </c>
      <c r="F1059">
        <v>40</v>
      </c>
      <c r="G1059" t="s">
        <v>2168</v>
      </c>
      <c r="I1059" t="str">
        <f t="shared" si="34"/>
        <v>TC0091PE|SN-18926-E4</v>
      </c>
      <c r="J1059" t="str">
        <f t="shared" si="35"/>
        <v>SÍ</v>
      </c>
    </row>
    <row r="1060" spans="1:10" x14ac:dyDescent="0.3">
      <c r="A1060" t="s">
        <v>578</v>
      </c>
      <c r="B1060" t="s">
        <v>747</v>
      </c>
      <c r="C1060" t="s">
        <v>1009</v>
      </c>
      <c r="D1060" s="23">
        <v>46490.985231481478</v>
      </c>
      <c r="E1060" t="s">
        <v>1767</v>
      </c>
      <c r="F1060">
        <v>40</v>
      </c>
      <c r="G1060" t="s">
        <v>2168</v>
      </c>
      <c r="I1060" t="str">
        <f t="shared" si="34"/>
        <v>TC0091PE|SN-16426-E3</v>
      </c>
      <c r="J1060" t="str">
        <f t="shared" si="35"/>
        <v>SÍ</v>
      </c>
    </row>
    <row r="1061" spans="1:10" x14ac:dyDescent="0.3">
      <c r="A1061" t="s">
        <v>578</v>
      </c>
      <c r="B1061" t="s">
        <v>747</v>
      </c>
      <c r="C1061" t="s">
        <v>1015</v>
      </c>
      <c r="D1061" s="23">
        <v>46497</v>
      </c>
      <c r="E1061" t="s">
        <v>1768</v>
      </c>
      <c r="F1061">
        <v>40</v>
      </c>
      <c r="G1061" t="s">
        <v>2168</v>
      </c>
      <c r="I1061" t="str">
        <f t="shared" si="34"/>
        <v>TC0091PE|SN-17126-E8</v>
      </c>
      <c r="J1061" t="str">
        <f t="shared" si="35"/>
        <v>SÍ</v>
      </c>
    </row>
    <row r="1062" spans="1:10" x14ac:dyDescent="0.3">
      <c r="A1062" t="s">
        <v>578</v>
      </c>
      <c r="B1062" t="s">
        <v>747</v>
      </c>
      <c r="C1062" t="s">
        <v>1412</v>
      </c>
      <c r="D1062" s="23">
        <v>46446.854328703703</v>
      </c>
      <c r="E1062" t="s">
        <v>1768</v>
      </c>
      <c r="F1062">
        <v>16</v>
      </c>
      <c r="G1062" t="s">
        <v>2168</v>
      </c>
      <c r="I1062" t="str">
        <f t="shared" si="34"/>
        <v>TC0091PE|SN-11826-E5</v>
      </c>
      <c r="J1062" t="str">
        <f t="shared" si="35"/>
        <v>SÍ</v>
      </c>
    </row>
    <row r="1063" spans="1:10" x14ac:dyDescent="0.3">
      <c r="A1063" t="s">
        <v>578</v>
      </c>
      <c r="B1063" t="s">
        <v>747</v>
      </c>
      <c r="C1063" t="s">
        <v>1413</v>
      </c>
      <c r="D1063" s="23">
        <v>46514.184212962973</v>
      </c>
      <c r="E1063" t="s">
        <v>1769</v>
      </c>
      <c r="F1063">
        <v>7</v>
      </c>
      <c r="G1063" t="s">
        <v>2168</v>
      </c>
      <c r="I1063" t="str">
        <f t="shared" si="34"/>
        <v>TC0091PE|SN-18826-E5</v>
      </c>
      <c r="J1063" t="str">
        <f t="shared" si="35"/>
        <v>SÍ</v>
      </c>
    </row>
    <row r="1064" spans="1:10" x14ac:dyDescent="0.3">
      <c r="A1064" t="s">
        <v>578</v>
      </c>
      <c r="B1064" t="s">
        <v>747</v>
      </c>
      <c r="C1064" t="s">
        <v>1007</v>
      </c>
      <c r="D1064" s="23">
        <v>46489.219027777777</v>
      </c>
      <c r="E1064" t="s">
        <v>1769</v>
      </c>
      <c r="F1064">
        <v>1</v>
      </c>
      <c r="G1064" t="s">
        <v>2168</v>
      </c>
      <c r="I1064" t="str">
        <f t="shared" si="34"/>
        <v>TC0091PE|SN-16326-E5</v>
      </c>
      <c r="J1064" t="str">
        <f t="shared" si="35"/>
        <v>SÍ</v>
      </c>
    </row>
    <row r="1065" spans="1:10" x14ac:dyDescent="0.3">
      <c r="A1065" t="s">
        <v>578</v>
      </c>
      <c r="B1065" t="s">
        <v>747</v>
      </c>
      <c r="C1065" t="s">
        <v>1050</v>
      </c>
      <c r="D1065" s="23">
        <v>46515.183495370373</v>
      </c>
      <c r="E1065" t="s">
        <v>1769</v>
      </c>
      <c r="F1065">
        <v>1</v>
      </c>
      <c r="G1065" t="s">
        <v>2168</v>
      </c>
      <c r="I1065" t="str">
        <f t="shared" si="34"/>
        <v>TC0091PE|SN-18926-E4</v>
      </c>
      <c r="J1065" t="str">
        <f t="shared" si="35"/>
        <v>SÍ</v>
      </c>
    </row>
    <row r="1066" spans="1:10" x14ac:dyDescent="0.3">
      <c r="A1066" t="s">
        <v>578</v>
      </c>
      <c r="B1066" t="s">
        <v>747</v>
      </c>
      <c r="C1066" t="s">
        <v>1050</v>
      </c>
      <c r="D1066" s="23">
        <v>46515.183495370373</v>
      </c>
      <c r="E1066" t="s">
        <v>1770</v>
      </c>
      <c r="F1066">
        <v>80</v>
      </c>
      <c r="G1066" t="s">
        <v>2168</v>
      </c>
      <c r="I1066" t="str">
        <f t="shared" si="34"/>
        <v>TC0091PE|SN-18926-E4</v>
      </c>
      <c r="J1066" t="str">
        <f t="shared" si="35"/>
        <v>SÍ</v>
      </c>
    </row>
    <row r="1067" spans="1:10" x14ac:dyDescent="0.3">
      <c r="A1067" t="s">
        <v>578</v>
      </c>
      <c r="B1067" t="s">
        <v>747</v>
      </c>
      <c r="C1067" t="s">
        <v>1046</v>
      </c>
      <c r="D1067" s="23">
        <v>46514</v>
      </c>
      <c r="E1067" t="s">
        <v>1771</v>
      </c>
      <c r="F1067">
        <v>40</v>
      </c>
      <c r="G1067" t="s">
        <v>2168</v>
      </c>
      <c r="I1067" t="str">
        <f t="shared" si="34"/>
        <v>TC0091PE|SN-18826-E4</v>
      </c>
      <c r="J1067" t="str">
        <f t="shared" si="35"/>
        <v>SÍ</v>
      </c>
    </row>
    <row r="1068" spans="1:10" x14ac:dyDescent="0.3">
      <c r="A1068" t="s">
        <v>578</v>
      </c>
      <c r="B1068" t="s">
        <v>747</v>
      </c>
      <c r="C1068" t="s">
        <v>1050</v>
      </c>
      <c r="D1068" s="23">
        <v>46515.183495370373</v>
      </c>
      <c r="E1068" t="s">
        <v>1771</v>
      </c>
      <c r="F1068">
        <v>40</v>
      </c>
      <c r="G1068" t="s">
        <v>2168</v>
      </c>
      <c r="I1068" t="str">
        <f t="shared" si="34"/>
        <v>TC0091PE|SN-18926-E4</v>
      </c>
      <c r="J1068" t="str">
        <f t="shared" si="35"/>
        <v>SÍ</v>
      </c>
    </row>
    <row r="1069" spans="1:10" x14ac:dyDescent="0.3">
      <c r="A1069" t="s">
        <v>578</v>
      </c>
      <c r="B1069" t="s">
        <v>747</v>
      </c>
      <c r="C1069" t="s">
        <v>1011</v>
      </c>
      <c r="D1069" s="23">
        <v>46501</v>
      </c>
      <c r="E1069" t="s">
        <v>1772</v>
      </c>
      <c r="F1069">
        <v>40</v>
      </c>
      <c r="G1069" t="s">
        <v>2168</v>
      </c>
      <c r="I1069" t="str">
        <f t="shared" si="34"/>
        <v>TC0091PE|SN-17526-E8</v>
      </c>
      <c r="J1069" t="str">
        <f t="shared" si="35"/>
        <v>SÍ</v>
      </c>
    </row>
    <row r="1070" spans="1:10" x14ac:dyDescent="0.3">
      <c r="A1070" t="s">
        <v>578</v>
      </c>
      <c r="B1070" t="s">
        <v>747</v>
      </c>
      <c r="C1070" t="s">
        <v>1027</v>
      </c>
      <c r="D1070" s="23">
        <v>46476</v>
      </c>
      <c r="E1070" t="s">
        <v>1772</v>
      </c>
      <c r="F1070">
        <v>40</v>
      </c>
      <c r="G1070" t="s">
        <v>2168</v>
      </c>
      <c r="I1070" t="str">
        <f t="shared" si="34"/>
        <v>TC0091PE|SN-15026-E7</v>
      </c>
      <c r="J1070" t="str">
        <f t="shared" si="35"/>
        <v>SÍ</v>
      </c>
    </row>
    <row r="1071" spans="1:10" x14ac:dyDescent="0.3">
      <c r="A1071" t="s">
        <v>578</v>
      </c>
      <c r="B1071" t="s">
        <v>747</v>
      </c>
      <c r="C1071" t="s">
        <v>1014</v>
      </c>
      <c r="D1071" s="23">
        <v>46497</v>
      </c>
      <c r="E1071" t="s">
        <v>1773</v>
      </c>
      <c r="F1071">
        <v>40</v>
      </c>
      <c r="G1071" t="s">
        <v>2168</v>
      </c>
      <c r="I1071" t="str">
        <f t="shared" si="34"/>
        <v>TC0091PE|SN-17126-E7</v>
      </c>
      <c r="J1071" t="str">
        <f t="shared" si="35"/>
        <v>SÍ</v>
      </c>
    </row>
    <row r="1072" spans="1:10" x14ac:dyDescent="0.3">
      <c r="A1072" t="s">
        <v>578</v>
      </c>
      <c r="B1072" t="s">
        <v>747</v>
      </c>
      <c r="C1072" t="s">
        <v>1014</v>
      </c>
      <c r="D1072" s="23">
        <v>46497</v>
      </c>
      <c r="E1072" t="s">
        <v>1774</v>
      </c>
      <c r="F1072">
        <v>40</v>
      </c>
      <c r="G1072" t="s">
        <v>2168</v>
      </c>
      <c r="I1072" t="str">
        <f t="shared" si="34"/>
        <v>TC0091PE|SN-17126-E7</v>
      </c>
      <c r="J1072" t="str">
        <f t="shared" si="35"/>
        <v>SÍ</v>
      </c>
    </row>
    <row r="1073" spans="1:10" x14ac:dyDescent="0.3">
      <c r="A1073" t="s">
        <v>578</v>
      </c>
      <c r="B1073" t="s">
        <v>747</v>
      </c>
      <c r="C1073" t="s">
        <v>929</v>
      </c>
      <c r="D1073" s="23">
        <v>46439.238854166673</v>
      </c>
      <c r="E1073" t="s">
        <v>1775</v>
      </c>
      <c r="F1073">
        <v>7</v>
      </c>
      <c r="G1073" t="s">
        <v>2168</v>
      </c>
      <c r="I1073" t="str">
        <f t="shared" si="34"/>
        <v>TC0091PE|SN-11126-E2</v>
      </c>
      <c r="J1073" t="str">
        <f t="shared" si="35"/>
        <v>SÍ</v>
      </c>
    </row>
    <row r="1074" spans="1:10" x14ac:dyDescent="0.3">
      <c r="A1074" t="s">
        <v>578</v>
      </c>
      <c r="B1074" t="s">
        <v>747</v>
      </c>
      <c r="C1074" t="s">
        <v>1006</v>
      </c>
      <c r="D1074" s="23">
        <v>46489.215787037043</v>
      </c>
      <c r="E1074" t="s">
        <v>1776</v>
      </c>
      <c r="F1074">
        <v>9</v>
      </c>
      <c r="G1074" t="s">
        <v>2168</v>
      </c>
      <c r="I1074" t="str">
        <f t="shared" si="34"/>
        <v>TC0091PE|SN-16326-E4</v>
      </c>
      <c r="J1074" t="str">
        <f t="shared" si="35"/>
        <v>SÍ</v>
      </c>
    </row>
    <row r="1075" spans="1:10" x14ac:dyDescent="0.3">
      <c r="A1075" t="s">
        <v>578</v>
      </c>
      <c r="B1075" t="s">
        <v>747</v>
      </c>
      <c r="C1075" t="s">
        <v>1007</v>
      </c>
      <c r="D1075" s="23">
        <v>46489.219027777777</v>
      </c>
      <c r="E1075" t="s">
        <v>1776</v>
      </c>
      <c r="F1075">
        <v>40</v>
      </c>
      <c r="G1075" t="s">
        <v>2168</v>
      </c>
      <c r="I1075" t="str">
        <f t="shared" si="34"/>
        <v>TC0091PE|SN-16326-E5</v>
      </c>
      <c r="J1075" t="str">
        <f t="shared" si="35"/>
        <v>SÍ</v>
      </c>
    </row>
    <row r="1076" spans="1:10" x14ac:dyDescent="0.3">
      <c r="A1076" t="s">
        <v>578</v>
      </c>
      <c r="B1076" t="s">
        <v>747</v>
      </c>
      <c r="C1076" t="s">
        <v>1055</v>
      </c>
      <c r="D1076" s="23">
        <v>46515</v>
      </c>
      <c r="E1076" t="s">
        <v>1777</v>
      </c>
      <c r="F1076">
        <v>40</v>
      </c>
      <c r="G1076" t="s">
        <v>2168</v>
      </c>
      <c r="I1076" t="str">
        <f t="shared" si="34"/>
        <v>TC0091PE|SN-19026-E5</v>
      </c>
      <c r="J1076" t="str">
        <f t="shared" si="35"/>
        <v>SÍ</v>
      </c>
    </row>
    <row r="1077" spans="1:10" x14ac:dyDescent="0.3">
      <c r="A1077" t="s">
        <v>578</v>
      </c>
      <c r="B1077" t="s">
        <v>747</v>
      </c>
      <c r="C1077" t="s">
        <v>1010</v>
      </c>
      <c r="D1077" s="23">
        <v>46490.990300925929</v>
      </c>
      <c r="E1077" t="s">
        <v>1778</v>
      </c>
      <c r="F1077">
        <v>40</v>
      </c>
      <c r="G1077" t="s">
        <v>2168</v>
      </c>
      <c r="I1077" t="str">
        <f t="shared" si="34"/>
        <v>TC0091PE|SN-16426-E5</v>
      </c>
      <c r="J1077" t="str">
        <f t="shared" si="35"/>
        <v>SÍ</v>
      </c>
    </row>
    <row r="1078" spans="1:10" x14ac:dyDescent="0.3">
      <c r="A1078" t="s">
        <v>578</v>
      </c>
      <c r="B1078" t="s">
        <v>747</v>
      </c>
      <c r="C1078" t="s">
        <v>1014</v>
      </c>
      <c r="D1078" s="23">
        <v>46497</v>
      </c>
      <c r="E1078" t="s">
        <v>1778</v>
      </c>
      <c r="F1078">
        <v>40</v>
      </c>
      <c r="G1078" t="s">
        <v>2168</v>
      </c>
      <c r="I1078" t="str">
        <f t="shared" si="34"/>
        <v>TC0091PE|SN-17126-E7</v>
      </c>
      <c r="J1078" t="str">
        <f t="shared" si="35"/>
        <v>SÍ</v>
      </c>
    </row>
    <row r="1079" spans="1:10" x14ac:dyDescent="0.3">
      <c r="A1079" t="s">
        <v>578</v>
      </c>
      <c r="B1079" t="s">
        <v>747</v>
      </c>
      <c r="C1079" t="s">
        <v>1015</v>
      </c>
      <c r="D1079" s="23">
        <v>46497</v>
      </c>
      <c r="E1079" t="s">
        <v>1779</v>
      </c>
      <c r="F1079">
        <v>80</v>
      </c>
      <c r="G1079" t="s">
        <v>2168</v>
      </c>
      <c r="I1079" t="str">
        <f t="shared" si="34"/>
        <v>TC0091PE|SN-17126-E8</v>
      </c>
      <c r="J1079" t="str">
        <f t="shared" si="35"/>
        <v>SÍ</v>
      </c>
    </row>
    <row r="1080" spans="1:10" x14ac:dyDescent="0.3">
      <c r="A1080" t="s">
        <v>578</v>
      </c>
      <c r="B1080" t="s">
        <v>747</v>
      </c>
      <c r="C1080" t="s">
        <v>927</v>
      </c>
      <c r="D1080" s="23">
        <v>46430.49355324074</v>
      </c>
      <c r="E1080" t="s">
        <v>1780</v>
      </c>
      <c r="F1080">
        <v>80</v>
      </c>
      <c r="G1080" t="s">
        <v>2168</v>
      </c>
      <c r="I1080" t="str">
        <f t="shared" si="34"/>
        <v>TC0091PE|SN-10826-E3</v>
      </c>
      <c r="J1080" t="str">
        <f t="shared" si="35"/>
        <v>SÍ</v>
      </c>
    </row>
    <row r="1081" spans="1:10" x14ac:dyDescent="0.3">
      <c r="A1081" t="s">
        <v>578</v>
      </c>
      <c r="B1081" t="s">
        <v>747</v>
      </c>
      <c r="C1081" t="s">
        <v>1050</v>
      </c>
      <c r="D1081" s="23">
        <v>46515.183495370373</v>
      </c>
      <c r="E1081" t="s">
        <v>1781</v>
      </c>
      <c r="F1081">
        <v>30</v>
      </c>
      <c r="G1081" t="s">
        <v>2168</v>
      </c>
      <c r="I1081" t="str">
        <f t="shared" si="34"/>
        <v>TC0091PE|SN-18926-E4</v>
      </c>
      <c r="J1081" t="str">
        <f t="shared" si="35"/>
        <v>SÍ</v>
      </c>
    </row>
    <row r="1082" spans="1:10" x14ac:dyDescent="0.3">
      <c r="A1082" t="s">
        <v>578</v>
      </c>
      <c r="B1082" t="s">
        <v>747</v>
      </c>
      <c r="C1082" t="s">
        <v>926</v>
      </c>
      <c r="D1082" s="23">
        <v>46436.283379629633</v>
      </c>
      <c r="E1082" t="s">
        <v>1782</v>
      </c>
      <c r="F1082">
        <v>80</v>
      </c>
      <c r="G1082" t="s">
        <v>2168</v>
      </c>
      <c r="I1082" t="str">
        <f t="shared" si="34"/>
        <v>TC0091PE|SN-10826-E2</v>
      </c>
      <c r="J1082" t="str">
        <f t="shared" si="35"/>
        <v>SÍ</v>
      </c>
    </row>
    <row r="1083" spans="1:10" x14ac:dyDescent="0.3">
      <c r="A1083" t="s">
        <v>578</v>
      </c>
      <c r="B1083" t="s">
        <v>747</v>
      </c>
      <c r="C1083" t="s">
        <v>926</v>
      </c>
      <c r="D1083" s="23">
        <v>46436.283379629633</v>
      </c>
      <c r="E1083" t="s">
        <v>1783</v>
      </c>
      <c r="F1083">
        <v>76</v>
      </c>
      <c r="G1083" t="s">
        <v>2168</v>
      </c>
      <c r="I1083" t="str">
        <f t="shared" si="34"/>
        <v>TC0091PE|SN-10826-E2</v>
      </c>
      <c r="J1083" t="str">
        <f t="shared" si="35"/>
        <v>SÍ</v>
      </c>
    </row>
    <row r="1084" spans="1:10" x14ac:dyDescent="0.3">
      <c r="A1084" t="s">
        <v>578</v>
      </c>
      <c r="B1084" t="s">
        <v>747</v>
      </c>
      <c r="C1084" t="s">
        <v>927</v>
      </c>
      <c r="D1084" s="23">
        <v>46430.49355324074</v>
      </c>
      <c r="E1084" t="s">
        <v>1784</v>
      </c>
      <c r="F1084">
        <v>40</v>
      </c>
      <c r="G1084" t="s">
        <v>2168</v>
      </c>
      <c r="I1084" t="str">
        <f t="shared" si="34"/>
        <v>TC0091PE|SN-10826-E3</v>
      </c>
      <c r="J1084" t="str">
        <f t="shared" si="35"/>
        <v>SÍ</v>
      </c>
    </row>
    <row r="1085" spans="1:10" x14ac:dyDescent="0.3">
      <c r="A1085" t="s">
        <v>578</v>
      </c>
      <c r="B1085" t="s">
        <v>747</v>
      </c>
      <c r="C1085" t="s">
        <v>926</v>
      </c>
      <c r="D1085" s="23">
        <v>46436.283379629633</v>
      </c>
      <c r="E1085" t="s">
        <v>1784</v>
      </c>
      <c r="F1085">
        <v>40</v>
      </c>
      <c r="G1085" t="s">
        <v>2168</v>
      </c>
      <c r="I1085" t="str">
        <f t="shared" si="34"/>
        <v>TC0091PE|SN-10826-E2</v>
      </c>
      <c r="J1085" t="str">
        <f t="shared" si="35"/>
        <v>SÍ</v>
      </c>
    </row>
    <row r="1086" spans="1:10" x14ac:dyDescent="0.3">
      <c r="A1086" t="s">
        <v>578</v>
      </c>
      <c r="B1086" t="s">
        <v>747</v>
      </c>
      <c r="C1086" t="s">
        <v>1014</v>
      </c>
      <c r="D1086" s="23">
        <v>46497</v>
      </c>
      <c r="E1086" t="s">
        <v>1785</v>
      </c>
      <c r="F1086">
        <v>33</v>
      </c>
      <c r="G1086" t="s">
        <v>2168</v>
      </c>
      <c r="I1086" t="str">
        <f t="shared" si="34"/>
        <v>TC0091PE|SN-17126-E7</v>
      </c>
      <c r="J1086" t="str">
        <f t="shared" si="35"/>
        <v>SÍ</v>
      </c>
    </row>
    <row r="1087" spans="1:10" x14ac:dyDescent="0.3">
      <c r="A1087" t="s">
        <v>578</v>
      </c>
      <c r="B1087" t="s">
        <v>747</v>
      </c>
      <c r="C1087" t="s">
        <v>1399</v>
      </c>
      <c r="D1087" s="23">
        <v>46503</v>
      </c>
      <c r="E1087" t="s">
        <v>1786</v>
      </c>
      <c r="F1087">
        <v>40</v>
      </c>
      <c r="G1087" t="s">
        <v>2168</v>
      </c>
      <c r="I1087" t="str">
        <f t="shared" si="34"/>
        <v>TC0091PE|SN-17726-E7</v>
      </c>
      <c r="J1087" t="str">
        <f t="shared" si="35"/>
        <v>SÍ</v>
      </c>
    </row>
    <row r="1088" spans="1:10" x14ac:dyDescent="0.3">
      <c r="A1088" t="s">
        <v>578</v>
      </c>
      <c r="B1088" t="s">
        <v>747</v>
      </c>
      <c r="C1088" t="s">
        <v>1414</v>
      </c>
      <c r="D1088" s="23">
        <v>46503.44253472222</v>
      </c>
      <c r="E1088" t="s">
        <v>1786</v>
      </c>
      <c r="F1088">
        <v>40</v>
      </c>
      <c r="G1088" t="s">
        <v>2168</v>
      </c>
      <c r="I1088" t="str">
        <f t="shared" si="34"/>
        <v>TC0091PE|SN-17726-E8</v>
      </c>
      <c r="J1088" t="str">
        <f t="shared" si="35"/>
        <v>SÍ</v>
      </c>
    </row>
    <row r="1089" spans="1:10" x14ac:dyDescent="0.3">
      <c r="A1089" t="s">
        <v>578</v>
      </c>
      <c r="B1089" t="s">
        <v>747</v>
      </c>
      <c r="C1089" t="s">
        <v>924</v>
      </c>
      <c r="D1089" s="23">
        <v>46435.110879629632</v>
      </c>
      <c r="E1089" t="s">
        <v>1787</v>
      </c>
      <c r="F1089">
        <v>9</v>
      </c>
      <c r="G1089" t="s">
        <v>2168</v>
      </c>
      <c r="I1089" t="str">
        <f t="shared" si="34"/>
        <v>TC0091PE|SN-10726-E1</v>
      </c>
      <c r="J1089" t="str">
        <f t="shared" si="35"/>
        <v>SÍ</v>
      </c>
    </row>
    <row r="1090" spans="1:10" x14ac:dyDescent="0.3">
      <c r="A1090" t="s">
        <v>578</v>
      </c>
      <c r="B1090" t="s">
        <v>747</v>
      </c>
      <c r="C1090" t="s">
        <v>925</v>
      </c>
      <c r="D1090" s="23">
        <v>46435.109895833331</v>
      </c>
      <c r="E1090" t="s">
        <v>1788</v>
      </c>
      <c r="F1090">
        <v>40</v>
      </c>
      <c r="G1090" t="s">
        <v>2168</v>
      </c>
      <c r="I1090" t="str">
        <f t="shared" si="34"/>
        <v>TC0091PE|SN-10726-E2</v>
      </c>
      <c r="J1090" t="str">
        <f t="shared" si="35"/>
        <v>SÍ</v>
      </c>
    </row>
    <row r="1091" spans="1:10" x14ac:dyDescent="0.3">
      <c r="A1091" t="s">
        <v>578</v>
      </c>
      <c r="B1091" t="s">
        <v>747</v>
      </c>
      <c r="C1091" t="s">
        <v>1014</v>
      </c>
      <c r="D1091" s="23">
        <v>46497</v>
      </c>
      <c r="E1091" t="s">
        <v>1788</v>
      </c>
      <c r="F1091">
        <v>40</v>
      </c>
      <c r="G1091" t="s">
        <v>2168</v>
      </c>
      <c r="I1091" t="str">
        <f t="shared" si="34"/>
        <v>TC0091PE|SN-17126-E7</v>
      </c>
      <c r="J1091" t="str">
        <f t="shared" si="35"/>
        <v>SÍ</v>
      </c>
    </row>
    <row r="1092" spans="1:10" x14ac:dyDescent="0.3">
      <c r="A1092" t="s">
        <v>578</v>
      </c>
      <c r="B1092" t="s">
        <v>747</v>
      </c>
      <c r="C1092" t="s">
        <v>1055</v>
      </c>
      <c r="D1092" s="23">
        <v>46515</v>
      </c>
      <c r="E1092" t="s">
        <v>1789</v>
      </c>
      <c r="F1092">
        <v>28</v>
      </c>
      <c r="G1092" t="s">
        <v>2168</v>
      </c>
      <c r="I1092" t="str">
        <f t="shared" si="34"/>
        <v>TC0091PE|SN-19026-E5</v>
      </c>
      <c r="J1092" t="str">
        <f t="shared" si="35"/>
        <v>SÍ</v>
      </c>
    </row>
    <row r="1093" spans="1:10" x14ac:dyDescent="0.3">
      <c r="A1093" t="s">
        <v>578</v>
      </c>
      <c r="B1093" t="s">
        <v>747</v>
      </c>
      <c r="C1093" t="s">
        <v>930</v>
      </c>
      <c r="D1093" s="23">
        <v>46439.242395833331</v>
      </c>
      <c r="E1093" t="s">
        <v>1789</v>
      </c>
      <c r="F1093">
        <v>2</v>
      </c>
      <c r="G1093" t="s">
        <v>2168</v>
      </c>
      <c r="I1093" t="str">
        <f t="shared" si="34"/>
        <v>TC0091PE|SN-11126-E3</v>
      </c>
      <c r="J1093" t="str">
        <f t="shared" si="35"/>
        <v>SÍ</v>
      </c>
    </row>
    <row r="1094" spans="1:10" x14ac:dyDescent="0.3">
      <c r="A1094" t="s">
        <v>578</v>
      </c>
      <c r="B1094" t="s">
        <v>747</v>
      </c>
      <c r="C1094" t="s">
        <v>1415</v>
      </c>
      <c r="D1094" s="23">
        <v>46437.242025462961</v>
      </c>
      <c r="E1094" t="s">
        <v>1789</v>
      </c>
      <c r="F1094">
        <v>1</v>
      </c>
      <c r="G1094" t="s">
        <v>2168</v>
      </c>
      <c r="I1094" t="str">
        <f t="shared" si="34"/>
        <v>TC0091PE|SN-10926-E3</v>
      </c>
      <c r="J1094" t="str">
        <f t="shared" si="35"/>
        <v>SÍ</v>
      </c>
    </row>
    <row r="1095" spans="1:10" x14ac:dyDescent="0.3">
      <c r="A1095" t="s">
        <v>578</v>
      </c>
      <c r="B1095" t="s">
        <v>747</v>
      </c>
      <c r="C1095" t="s">
        <v>925</v>
      </c>
      <c r="D1095" s="23">
        <v>46435.109895833331</v>
      </c>
      <c r="E1095" t="s">
        <v>1790</v>
      </c>
      <c r="F1095">
        <v>14</v>
      </c>
      <c r="G1095" t="s">
        <v>2168</v>
      </c>
      <c r="I1095" t="str">
        <f t="shared" si="34"/>
        <v>TC0091PE|SN-10726-E2</v>
      </c>
      <c r="J1095" t="str">
        <f t="shared" si="35"/>
        <v>SÍ</v>
      </c>
    </row>
    <row r="1096" spans="1:10" x14ac:dyDescent="0.3">
      <c r="A1096" t="s">
        <v>578</v>
      </c>
      <c r="B1096" t="s">
        <v>747</v>
      </c>
      <c r="C1096" t="s">
        <v>1415</v>
      </c>
      <c r="D1096" s="23">
        <v>46437.242025462961</v>
      </c>
      <c r="E1096" t="s">
        <v>1791</v>
      </c>
      <c r="F1096">
        <v>40</v>
      </c>
      <c r="G1096" t="s">
        <v>2168</v>
      </c>
      <c r="I1096" t="str">
        <f t="shared" si="34"/>
        <v>TC0091PE|SN-10926-E3</v>
      </c>
      <c r="J1096" t="str">
        <f t="shared" si="35"/>
        <v>SÍ</v>
      </c>
    </row>
    <row r="1097" spans="1:10" x14ac:dyDescent="0.3">
      <c r="A1097" t="s">
        <v>578</v>
      </c>
      <c r="B1097" t="s">
        <v>747</v>
      </c>
      <c r="C1097" t="s">
        <v>925</v>
      </c>
      <c r="D1097" s="23">
        <v>46435.109895833331</v>
      </c>
      <c r="E1097" t="s">
        <v>1791</v>
      </c>
      <c r="F1097">
        <v>40</v>
      </c>
      <c r="G1097" t="s">
        <v>2168</v>
      </c>
      <c r="I1097" t="str">
        <f t="shared" si="34"/>
        <v>TC0091PE|SN-10726-E2</v>
      </c>
      <c r="J1097" t="str">
        <f t="shared" si="35"/>
        <v>SÍ</v>
      </c>
    </row>
    <row r="1098" spans="1:10" x14ac:dyDescent="0.3">
      <c r="A1098" t="s">
        <v>578</v>
      </c>
      <c r="B1098" t="s">
        <v>747</v>
      </c>
      <c r="C1098" t="s">
        <v>1005</v>
      </c>
      <c r="D1098" s="23">
        <v>46488.212071759262</v>
      </c>
      <c r="E1098" t="s">
        <v>1792</v>
      </c>
      <c r="F1098">
        <v>40</v>
      </c>
      <c r="G1098" t="s">
        <v>2168</v>
      </c>
      <c r="I1098" t="str">
        <f t="shared" si="34"/>
        <v>TC0091PE|SN-16326-E3</v>
      </c>
      <c r="J1098" t="str">
        <f t="shared" si="35"/>
        <v>SÍ</v>
      </c>
    </row>
    <row r="1099" spans="1:10" x14ac:dyDescent="0.3">
      <c r="A1099" t="s">
        <v>578</v>
      </c>
      <c r="B1099" t="s">
        <v>747</v>
      </c>
      <c r="C1099" t="s">
        <v>1005</v>
      </c>
      <c r="D1099" s="23">
        <v>46488.212071759262</v>
      </c>
      <c r="E1099" t="s">
        <v>1793</v>
      </c>
      <c r="F1099">
        <v>40</v>
      </c>
      <c r="G1099" t="s">
        <v>2168</v>
      </c>
      <c r="I1099" t="str">
        <f t="shared" si="34"/>
        <v>TC0091PE|SN-16326-E3</v>
      </c>
      <c r="J1099" t="str">
        <f t="shared" si="35"/>
        <v>SÍ</v>
      </c>
    </row>
    <row r="1100" spans="1:10" x14ac:dyDescent="0.3">
      <c r="A1100" t="s">
        <v>578</v>
      </c>
      <c r="B1100" t="s">
        <v>747</v>
      </c>
      <c r="C1100" t="s">
        <v>924</v>
      </c>
      <c r="D1100" s="23">
        <v>46435.110879629632</v>
      </c>
      <c r="E1100" t="s">
        <v>1794</v>
      </c>
      <c r="F1100">
        <v>40</v>
      </c>
      <c r="G1100" t="s">
        <v>2168</v>
      </c>
      <c r="I1100" t="str">
        <f t="shared" si="34"/>
        <v>TC0091PE|SN-10726-E1</v>
      </c>
      <c r="J1100" t="str">
        <f t="shared" si="35"/>
        <v>SÍ</v>
      </c>
    </row>
    <row r="1101" spans="1:10" x14ac:dyDescent="0.3">
      <c r="A1101" t="s">
        <v>578</v>
      </c>
      <c r="B1101" t="s">
        <v>747</v>
      </c>
      <c r="C1101" t="s">
        <v>1007</v>
      </c>
      <c r="D1101" s="23">
        <v>46489.219027777777</v>
      </c>
      <c r="E1101" t="s">
        <v>1795</v>
      </c>
      <c r="F1101">
        <v>40</v>
      </c>
      <c r="G1101" t="s">
        <v>2168</v>
      </c>
      <c r="I1101" t="str">
        <f t="shared" si="34"/>
        <v>TC0091PE|SN-16326-E5</v>
      </c>
      <c r="J1101" t="str">
        <f t="shared" si="35"/>
        <v>SÍ</v>
      </c>
    </row>
    <row r="1102" spans="1:10" x14ac:dyDescent="0.3">
      <c r="A1102" t="s">
        <v>578</v>
      </c>
      <c r="B1102" t="s">
        <v>747</v>
      </c>
      <c r="C1102" t="s">
        <v>1006</v>
      </c>
      <c r="D1102" s="23">
        <v>46489.215787037043</v>
      </c>
      <c r="E1102" t="s">
        <v>1796</v>
      </c>
      <c r="F1102">
        <v>40</v>
      </c>
      <c r="G1102" t="s">
        <v>2168</v>
      </c>
      <c r="I1102" t="str">
        <f t="shared" si="34"/>
        <v>TC0091PE|SN-16326-E4</v>
      </c>
      <c r="J1102" t="str">
        <f t="shared" si="35"/>
        <v>SÍ</v>
      </c>
    </row>
    <row r="1103" spans="1:10" x14ac:dyDescent="0.3">
      <c r="A1103" t="s">
        <v>578</v>
      </c>
      <c r="B1103" t="s">
        <v>747</v>
      </c>
      <c r="C1103" t="s">
        <v>1416</v>
      </c>
      <c r="D1103" s="23">
        <v>46434.06349537037</v>
      </c>
      <c r="E1103" t="s">
        <v>1797</v>
      </c>
      <c r="F1103">
        <v>80</v>
      </c>
      <c r="G1103" t="s">
        <v>2168</v>
      </c>
      <c r="I1103" t="str">
        <f t="shared" si="34"/>
        <v>TC0091PE|SN-10626-E2</v>
      </c>
      <c r="J1103" t="str">
        <f t="shared" si="35"/>
        <v>SÍ</v>
      </c>
    </row>
    <row r="1104" spans="1:10" x14ac:dyDescent="0.3">
      <c r="A1104" t="s">
        <v>578</v>
      </c>
      <c r="B1104" t="s">
        <v>747</v>
      </c>
      <c r="C1104" t="s">
        <v>1416</v>
      </c>
      <c r="D1104" s="23">
        <v>46434.06349537037</v>
      </c>
      <c r="E1104" t="s">
        <v>1798</v>
      </c>
      <c r="F1104">
        <v>80</v>
      </c>
      <c r="G1104" t="s">
        <v>2168</v>
      </c>
      <c r="I1104" t="str">
        <f t="shared" si="34"/>
        <v>TC0091PE|SN-10626-E2</v>
      </c>
      <c r="J1104" t="str">
        <f t="shared" si="35"/>
        <v>SÍ</v>
      </c>
    </row>
    <row r="1105" spans="1:10" x14ac:dyDescent="0.3">
      <c r="A1105" t="s">
        <v>578</v>
      </c>
      <c r="B1105" t="s">
        <v>747</v>
      </c>
      <c r="C1105" t="s">
        <v>1017</v>
      </c>
      <c r="D1105" s="23">
        <v>46496</v>
      </c>
      <c r="E1105" t="s">
        <v>1799</v>
      </c>
      <c r="F1105">
        <v>40</v>
      </c>
      <c r="G1105" t="s">
        <v>2168</v>
      </c>
      <c r="I1105" t="str">
        <f t="shared" si="34"/>
        <v>TC0091PE|SN-17026-E8</v>
      </c>
      <c r="J1105" t="str">
        <f t="shared" si="35"/>
        <v>SÍ</v>
      </c>
    </row>
    <row r="1106" spans="1:10" x14ac:dyDescent="0.3">
      <c r="A1106" t="s">
        <v>578</v>
      </c>
      <c r="B1106" t="s">
        <v>747</v>
      </c>
      <c r="C1106" t="s">
        <v>1014</v>
      </c>
      <c r="D1106" s="23">
        <v>46497</v>
      </c>
      <c r="E1106" t="s">
        <v>1800</v>
      </c>
      <c r="F1106">
        <v>40</v>
      </c>
      <c r="G1106" t="s">
        <v>2168</v>
      </c>
      <c r="I1106" t="str">
        <f t="shared" ref="I1106:I1169" si="36">IF(A1106="","",A1106&amp;"|"&amp;C1106)</f>
        <v>TC0091PE|SN-17126-E7</v>
      </c>
      <c r="J1106" t="str">
        <f t="shared" ref="J1106:J1169" si="37">IF(A1106&lt;&gt;"","SÍ","NO")</f>
        <v>SÍ</v>
      </c>
    </row>
    <row r="1107" spans="1:10" x14ac:dyDescent="0.3">
      <c r="A1107" t="s">
        <v>578</v>
      </c>
      <c r="B1107" t="s">
        <v>747</v>
      </c>
      <c r="C1107" t="s">
        <v>922</v>
      </c>
      <c r="D1107" s="23">
        <v>46434.06459490741</v>
      </c>
      <c r="E1107" t="s">
        <v>1801</v>
      </c>
      <c r="F1107">
        <v>80</v>
      </c>
      <c r="G1107" t="s">
        <v>2168</v>
      </c>
      <c r="I1107" t="str">
        <f t="shared" si="36"/>
        <v>TC0091PE|SN-10626-E1</v>
      </c>
      <c r="J1107" t="str">
        <f t="shared" si="37"/>
        <v>SÍ</v>
      </c>
    </row>
    <row r="1108" spans="1:10" x14ac:dyDescent="0.3">
      <c r="A1108" t="s">
        <v>578</v>
      </c>
      <c r="B1108" t="s">
        <v>747</v>
      </c>
      <c r="C1108" t="s">
        <v>923</v>
      </c>
      <c r="D1108" s="23">
        <v>46428.065532407411</v>
      </c>
      <c r="E1108" t="s">
        <v>1802</v>
      </c>
      <c r="F1108">
        <v>80</v>
      </c>
      <c r="G1108" t="s">
        <v>2168</v>
      </c>
      <c r="I1108" t="str">
        <f t="shared" si="36"/>
        <v>TC0091PE|SN-10626-E3</v>
      </c>
      <c r="J1108" t="str">
        <f t="shared" si="37"/>
        <v>SÍ</v>
      </c>
    </row>
    <row r="1109" spans="1:10" x14ac:dyDescent="0.3">
      <c r="A1109" t="s">
        <v>578</v>
      </c>
      <c r="B1109" t="s">
        <v>747</v>
      </c>
      <c r="C1109" t="s">
        <v>1015</v>
      </c>
      <c r="D1109" s="23">
        <v>46497</v>
      </c>
      <c r="E1109" t="s">
        <v>1803</v>
      </c>
      <c r="F1109">
        <v>40</v>
      </c>
      <c r="G1109" t="s">
        <v>2168</v>
      </c>
      <c r="I1109" t="str">
        <f t="shared" si="36"/>
        <v>TC0091PE|SN-17126-E8</v>
      </c>
      <c r="J1109" t="str">
        <f t="shared" si="37"/>
        <v>SÍ</v>
      </c>
    </row>
    <row r="1110" spans="1:10" x14ac:dyDescent="0.3">
      <c r="A1110" t="s">
        <v>578</v>
      </c>
      <c r="B1110" t="s">
        <v>747</v>
      </c>
      <c r="C1110" t="s">
        <v>922</v>
      </c>
      <c r="D1110" s="23">
        <v>46434.06459490741</v>
      </c>
      <c r="E1110" t="s">
        <v>1804</v>
      </c>
      <c r="F1110">
        <v>80</v>
      </c>
      <c r="G1110" t="s">
        <v>2168</v>
      </c>
      <c r="I1110" t="str">
        <f t="shared" si="36"/>
        <v>TC0091PE|SN-10626-E1</v>
      </c>
      <c r="J1110" t="str">
        <f t="shared" si="37"/>
        <v>SÍ</v>
      </c>
    </row>
    <row r="1111" spans="1:10" x14ac:dyDescent="0.3">
      <c r="A1111" t="s">
        <v>578</v>
      </c>
      <c r="B1111" t="s">
        <v>747</v>
      </c>
      <c r="C1111" t="s">
        <v>923</v>
      </c>
      <c r="D1111" s="23">
        <v>46428.065532407411</v>
      </c>
      <c r="E1111" t="s">
        <v>1805</v>
      </c>
      <c r="F1111">
        <v>80</v>
      </c>
      <c r="G1111" t="s">
        <v>2168</v>
      </c>
      <c r="I1111" t="str">
        <f t="shared" si="36"/>
        <v>TC0091PE|SN-10626-E3</v>
      </c>
      <c r="J1111" t="str">
        <f t="shared" si="37"/>
        <v>SÍ</v>
      </c>
    </row>
    <row r="1112" spans="1:10" x14ac:dyDescent="0.3">
      <c r="A1112" t="s">
        <v>578</v>
      </c>
      <c r="B1112" t="s">
        <v>747</v>
      </c>
      <c r="C1112" t="s">
        <v>1002</v>
      </c>
      <c r="D1112" s="23">
        <v>46488</v>
      </c>
      <c r="E1112" t="s">
        <v>1806</v>
      </c>
      <c r="F1112">
        <v>20</v>
      </c>
      <c r="G1112" t="s">
        <v>2168</v>
      </c>
      <c r="I1112" t="str">
        <f t="shared" si="36"/>
        <v>TC0091PE|SN-16226-E1</v>
      </c>
      <c r="J1112" t="str">
        <f t="shared" si="37"/>
        <v>SÍ</v>
      </c>
    </row>
    <row r="1113" spans="1:10" x14ac:dyDescent="0.3">
      <c r="A1113" t="s">
        <v>578</v>
      </c>
      <c r="B1113" t="s">
        <v>747</v>
      </c>
      <c r="C1113" t="s">
        <v>924</v>
      </c>
      <c r="D1113" s="23">
        <v>46435.110879629632</v>
      </c>
      <c r="E1113" t="s">
        <v>1806</v>
      </c>
      <c r="F1113">
        <v>20</v>
      </c>
      <c r="G1113" t="s">
        <v>2168</v>
      </c>
      <c r="I1113" t="str">
        <f t="shared" si="36"/>
        <v>TC0091PE|SN-10726-E1</v>
      </c>
      <c r="J1113" t="str">
        <f t="shared" si="37"/>
        <v>SÍ</v>
      </c>
    </row>
    <row r="1114" spans="1:10" x14ac:dyDescent="0.3">
      <c r="A1114" t="s">
        <v>578</v>
      </c>
      <c r="B1114" t="s">
        <v>747</v>
      </c>
      <c r="C1114" t="s">
        <v>923</v>
      </c>
      <c r="D1114" s="23">
        <v>46428.065532407411</v>
      </c>
      <c r="E1114" t="s">
        <v>1806</v>
      </c>
      <c r="F1114">
        <v>40</v>
      </c>
      <c r="G1114" t="s">
        <v>2168</v>
      </c>
      <c r="I1114" t="str">
        <f t="shared" si="36"/>
        <v>TC0091PE|SN-10626-E3</v>
      </c>
      <c r="J1114" t="str">
        <f t="shared" si="37"/>
        <v>SÍ</v>
      </c>
    </row>
    <row r="1115" spans="1:10" x14ac:dyDescent="0.3">
      <c r="A1115" t="s">
        <v>578</v>
      </c>
      <c r="B1115" t="s">
        <v>747</v>
      </c>
      <c r="C1115" t="s">
        <v>1016</v>
      </c>
      <c r="D1115" s="23">
        <v>46492.573333333326</v>
      </c>
      <c r="E1115" t="s">
        <v>1807</v>
      </c>
      <c r="F1115">
        <v>32</v>
      </c>
      <c r="G1115" t="s">
        <v>2168</v>
      </c>
      <c r="I1115" t="str">
        <f t="shared" si="36"/>
        <v>TC0091PE|SN-17026-E7</v>
      </c>
      <c r="J1115" t="str">
        <f t="shared" si="37"/>
        <v>SÍ</v>
      </c>
    </row>
    <row r="1116" spans="1:10" x14ac:dyDescent="0.3">
      <c r="A1116" t="s">
        <v>578</v>
      </c>
      <c r="B1116" t="s">
        <v>747</v>
      </c>
      <c r="C1116" t="s">
        <v>1014</v>
      </c>
      <c r="D1116" s="23">
        <v>46497</v>
      </c>
      <c r="E1116" t="s">
        <v>1807</v>
      </c>
      <c r="F1116">
        <v>8</v>
      </c>
      <c r="G1116" t="s">
        <v>2168</v>
      </c>
      <c r="I1116" t="str">
        <f t="shared" si="36"/>
        <v>TC0091PE|SN-17126-E7</v>
      </c>
      <c r="J1116" t="str">
        <f t="shared" si="37"/>
        <v>SÍ</v>
      </c>
    </row>
    <row r="1117" spans="1:10" x14ac:dyDescent="0.3">
      <c r="A1117" t="s">
        <v>578</v>
      </c>
      <c r="B1117" t="s">
        <v>747</v>
      </c>
      <c r="C1117" t="s">
        <v>1003</v>
      </c>
      <c r="D1117" s="23">
        <v>46489.204525462963</v>
      </c>
      <c r="E1117" t="s">
        <v>1808</v>
      </c>
      <c r="F1117">
        <v>40</v>
      </c>
      <c r="G1117" t="s">
        <v>2168</v>
      </c>
      <c r="I1117" t="str">
        <f t="shared" si="36"/>
        <v>TC0091PE|SN-16326-E2</v>
      </c>
      <c r="J1117" t="str">
        <f t="shared" si="37"/>
        <v>SÍ</v>
      </c>
    </row>
    <row r="1118" spans="1:10" x14ac:dyDescent="0.3">
      <c r="A1118" t="s">
        <v>578</v>
      </c>
      <c r="B1118" t="s">
        <v>747</v>
      </c>
      <c r="C1118" t="s">
        <v>920</v>
      </c>
      <c r="D1118" s="23">
        <v>46433.109756944446</v>
      </c>
      <c r="E1118" t="s">
        <v>1809</v>
      </c>
      <c r="F1118">
        <v>80</v>
      </c>
      <c r="G1118" t="s">
        <v>2168</v>
      </c>
      <c r="I1118" t="str">
        <f t="shared" si="36"/>
        <v>TC0091PE|SN-10526-E2</v>
      </c>
      <c r="J1118" t="str">
        <f t="shared" si="37"/>
        <v>SÍ</v>
      </c>
    </row>
    <row r="1119" spans="1:10" x14ac:dyDescent="0.3">
      <c r="A1119" t="s">
        <v>578</v>
      </c>
      <c r="B1119" t="s">
        <v>747</v>
      </c>
      <c r="C1119" t="s">
        <v>1009</v>
      </c>
      <c r="D1119" s="23">
        <v>46490.985231481478</v>
      </c>
      <c r="E1119" t="s">
        <v>1810</v>
      </c>
      <c r="F1119">
        <v>80</v>
      </c>
      <c r="G1119" t="s">
        <v>2168</v>
      </c>
      <c r="I1119" t="str">
        <f t="shared" si="36"/>
        <v>TC0091PE|SN-16426-E3</v>
      </c>
      <c r="J1119" t="str">
        <f t="shared" si="37"/>
        <v>SÍ</v>
      </c>
    </row>
    <row r="1120" spans="1:10" x14ac:dyDescent="0.3">
      <c r="A1120" t="s">
        <v>578</v>
      </c>
      <c r="B1120" t="s">
        <v>747</v>
      </c>
      <c r="C1120" t="s">
        <v>1416</v>
      </c>
      <c r="D1120" s="23">
        <v>46434.06349537037</v>
      </c>
      <c r="E1120" t="s">
        <v>1811</v>
      </c>
      <c r="F1120">
        <v>40</v>
      </c>
      <c r="G1120" t="s">
        <v>2168</v>
      </c>
      <c r="I1120" t="str">
        <f t="shared" si="36"/>
        <v>TC0091PE|SN-10626-E2</v>
      </c>
      <c r="J1120" t="str">
        <f t="shared" si="37"/>
        <v>SÍ</v>
      </c>
    </row>
    <row r="1121" spans="1:10" x14ac:dyDescent="0.3">
      <c r="A1121" t="s">
        <v>578</v>
      </c>
      <c r="B1121" t="s">
        <v>747</v>
      </c>
      <c r="C1121" t="s">
        <v>1014</v>
      </c>
      <c r="D1121" s="23">
        <v>46497</v>
      </c>
      <c r="E1121" t="s">
        <v>1811</v>
      </c>
      <c r="F1121">
        <v>40</v>
      </c>
      <c r="G1121" t="s">
        <v>2168</v>
      </c>
      <c r="I1121" t="str">
        <f t="shared" si="36"/>
        <v>TC0091PE|SN-17126-E7</v>
      </c>
      <c r="J1121" t="str">
        <f t="shared" si="37"/>
        <v>SÍ</v>
      </c>
    </row>
    <row r="1122" spans="1:10" x14ac:dyDescent="0.3">
      <c r="A1122" t="s">
        <v>578</v>
      </c>
      <c r="B1122" t="s">
        <v>747</v>
      </c>
      <c r="C1122" t="s">
        <v>1005</v>
      </c>
      <c r="D1122" s="23">
        <v>46488.212071759262</v>
      </c>
      <c r="E1122" t="s">
        <v>1812</v>
      </c>
      <c r="F1122">
        <v>40</v>
      </c>
      <c r="G1122" t="s">
        <v>2168</v>
      </c>
      <c r="I1122" t="str">
        <f t="shared" si="36"/>
        <v>TC0091PE|SN-16326-E3</v>
      </c>
      <c r="J1122" t="str">
        <f t="shared" si="37"/>
        <v>SÍ</v>
      </c>
    </row>
    <row r="1123" spans="1:10" x14ac:dyDescent="0.3">
      <c r="A1123" t="s">
        <v>578</v>
      </c>
      <c r="B1123" t="s">
        <v>747</v>
      </c>
      <c r="C1123" t="s">
        <v>1013</v>
      </c>
      <c r="D1123" s="23">
        <v>46498</v>
      </c>
      <c r="E1123" t="s">
        <v>1813</v>
      </c>
      <c r="F1123">
        <v>40</v>
      </c>
      <c r="G1123" t="s">
        <v>2168</v>
      </c>
      <c r="I1123" t="str">
        <f t="shared" si="36"/>
        <v>TC0091PE|SN-17226-E7</v>
      </c>
      <c r="J1123" t="str">
        <f t="shared" si="37"/>
        <v>SÍ</v>
      </c>
    </row>
    <row r="1124" spans="1:10" x14ac:dyDescent="0.3">
      <c r="A1124" t="s">
        <v>578</v>
      </c>
      <c r="B1124" t="s">
        <v>747</v>
      </c>
      <c r="C1124" t="s">
        <v>921</v>
      </c>
      <c r="D1124" s="23">
        <v>46427.486064814817</v>
      </c>
      <c r="E1124" t="s">
        <v>1814</v>
      </c>
      <c r="F1124">
        <v>40</v>
      </c>
      <c r="G1124" t="s">
        <v>2168</v>
      </c>
      <c r="I1124" t="str">
        <f t="shared" si="36"/>
        <v>TC0091PE|SN-10526-E1</v>
      </c>
      <c r="J1124" t="str">
        <f t="shared" si="37"/>
        <v>SÍ</v>
      </c>
    </row>
    <row r="1125" spans="1:10" x14ac:dyDescent="0.3">
      <c r="A1125" t="s">
        <v>578</v>
      </c>
      <c r="B1125" t="s">
        <v>747</v>
      </c>
      <c r="C1125" t="s">
        <v>920</v>
      </c>
      <c r="D1125" s="23">
        <v>46433.109756944446</v>
      </c>
      <c r="E1125" t="s">
        <v>1814</v>
      </c>
      <c r="F1125">
        <v>40</v>
      </c>
      <c r="G1125" t="s">
        <v>2168</v>
      </c>
      <c r="I1125" t="str">
        <f t="shared" si="36"/>
        <v>TC0091PE|SN-10526-E2</v>
      </c>
      <c r="J1125" t="str">
        <f t="shared" si="37"/>
        <v>SÍ</v>
      </c>
    </row>
    <row r="1126" spans="1:10" x14ac:dyDescent="0.3">
      <c r="A1126" t="s">
        <v>578</v>
      </c>
      <c r="B1126" t="s">
        <v>747</v>
      </c>
      <c r="C1126" t="s">
        <v>921</v>
      </c>
      <c r="D1126" s="23">
        <v>46427.486064814817</v>
      </c>
      <c r="E1126" t="s">
        <v>1815</v>
      </c>
      <c r="F1126">
        <v>80</v>
      </c>
      <c r="G1126" t="s">
        <v>2168</v>
      </c>
      <c r="I1126" t="str">
        <f t="shared" si="36"/>
        <v>TC0091PE|SN-10526-E1</v>
      </c>
      <c r="J1126" t="str">
        <f t="shared" si="37"/>
        <v>SÍ</v>
      </c>
    </row>
    <row r="1127" spans="1:10" x14ac:dyDescent="0.3">
      <c r="A1127" t="s">
        <v>578</v>
      </c>
      <c r="B1127" t="s">
        <v>747</v>
      </c>
      <c r="C1127" t="s">
        <v>922</v>
      </c>
      <c r="D1127" s="23">
        <v>46434.06459490741</v>
      </c>
      <c r="E1127" t="s">
        <v>1815</v>
      </c>
      <c r="F1127">
        <v>21</v>
      </c>
      <c r="G1127" t="s">
        <v>2168</v>
      </c>
      <c r="I1127" t="str">
        <f t="shared" si="36"/>
        <v>TC0091PE|SN-10626-E1</v>
      </c>
      <c r="J1127" t="str">
        <f t="shared" si="37"/>
        <v>SÍ</v>
      </c>
    </row>
    <row r="1128" spans="1:10" x14ac:dyDescent="0.3">
      <c r="A1128" t="s">
        <v>578</v>
      </c>
      <c r="B1128" t="s">
        <v>747</v>
      </c>
      <c r="C1128" t="s">
        <v>1416</v>
      </c>
      <c r="D1128" s="23">
        <v>46434.06349537037</v>
      </c>
      <c r="E1128" t="s">
        <v>1816</v>
      </c>
      <c r="F1128">
        <v>80</v>
      </c>
      <c r="G1128" t="s">
        <v>2168</v>
      </c>
      <c r="I1128" t="str">
        <f t="shared" si="36"/>
        <v>TC0091PE|SN-10626-E2</v>
      </c>
      <c r="J1128" t="str">
        <f t="shared" si="37"/>
        <v>SÍ</v>
      </c>
    </row>
    <row r="1129" spans="1:10" x14ac:dyDescent="0.3">
      <c r="A1129" t="s">
        <v>578</v>
      </c>
      <c r="B1129" t="s">
        <v>747</v>
      </c>
      <c r="C1129" t="s">
        <v>1008</v>
      </c>
      <c r="D1129" s="23">
        <v>46490.983275462961</v>
      </c>
      <c r="E1129" t="s">
        <v>1817</v>
      </c>
      <c r="F1129">
        <v>40</v>
      </c>
      <c r="G1129" t="s">
        <v>2168</v>
      </c>
      <c r="I1129" t="str">
        <f t="shared" si="36"/>
        <v>TC0091PE|SN-16426-E2</v>
      </c>
      <c r="J1129" t="str">
        <f t="shared" si="37"/>
        <v>SÍ</v>
      </c>
    </row>
    <row r="1130" spans="1:10" x14ac:dyDescent="0.3">
      <c r="A1130" t="s">
        <v>578</v>
      </c>
      <c r="B1130" t="s">
        <v>747</v>
      </c>
      <c r="C1130" t="s">
        <v>1008</v>
      </c>
      <c r="D1130" s="23">
        <v>46490.983275462961</v>
      </c>
      <c r="E1130" t="s">
        <v>1818</v>
      </c>
      <c r="F1130">
        <v>40</v>
      </c>
      <c r="G1130" t="s">
        <v>2168</v>
      </c>
      <c r="I1130" t="str">
        <f t="shared" si="36"/>
        <v>TC0091PE|SN-16426-E2</v>
      </c>
      <c r="J1130" t="str">
        <f t="shared" si="37"/>
        <v>SÍ</v>
      </c>
    </row>
    <row r="1131" spans="1:10" x14ac:dyDescent="0.3">
      <c r="A1131" t="s">
        <v>578</v>
      </c>
      <c r="B1131" t="s">
        <v>747</v>
      </c>
      <c r="C1131" t="s">
        <v>1002</v>
      </c>
      <c r="D1131" s="23">
        <v>46488</v>
      </c>
      <c r="E1131" t="s">
        <v>1819</v>
      </c>
      <c r="F1131">
        <v>80</v>
      </c>
      <c r="G1131" t="s">
        <v>2168</v>
      </c>
      <c r="I1131" t="str">
        <f t="shared" si="36"/>
        <v>TC0091PE|SN-16226-E1</v>
      </c>
      <c r="J1131" t="str">
        <f t="shared" si="37"/>
        <v>SÍ</v>
      </c>
    </row>
    <row r="1132" spans="1:10" x14ac:dyDescent="0.3">
      <c r="A1132" t="s">
        <v>578</v>
      </c>
      <c r="B1132" t="s">
        <v>747</v>
      </c>
      <c r="C1132" t="s">
        <v>1416</v>
      </c>
      <c r="D1132" s="23">
        <v>46434.06349537037</v>
      </c>
      <c r="E1132" t="s">
        <v>1819</v>
      </c>
      <c r="F1132">
        <v>80</v>
      </c>
      <c r="G1132" t="s">
        <v>2168</v>
      </c>
      <c r="I1132" t="str">
        <f t="shared" si="36"/>
        <v>TC0091PE|SN-10626-E2</v>
      </c>
      <c r="J1132" t="str">
        <f t="shared" si="37"/>
        <v>SÍ</v>
      </c>
    </row>
    <row r="1133" spans="1:10" x14ac:dyDescent="0.3">
      <c r="A1133" t="s">
        <v>578</v>
      </c>
      <c r="B1133" t="s">
        <v>747</v>
      </c>
      <c r="C1133" t="s">
        <v>1013</v>
      </c>
      <c r="D1133" s="23">
        <v>46498</v>
      </c>
      <c r="E1133" t="s">
        <v>1820</v>
      </c>
      <c r="F1133">
        <v>23</v>
      </c>
      <c r="G1133" t="s">
        <v>2168</v>
      </c>
      <c r="I1133" t="str">
        <f t="shared" si="36"/>
        <v>TC0091PE|SN-17226-E7</v>
      </c>
      <c r="J1133" t="str">
        <f t="shared" si="37"/>
        <v>SÍ</v>
      </c>
    </row>
    <row r="1134" spans="1:10" x14ac:dyDescent="0.3">
      <c r="A1134" t="s">
        <v>578</v>
      </c>
      <c r="B1134" t="s">
        <v>747</v>
      </c>
      <c r="C1134" t="s">
        <v>1014</v>
      </c>
      <c r="D1134" s="23">
        <v>46497</v>
      </c>
      <c r="E1134" t="s">
        <v>1820</v>
      </c>
      <c r="F1134">
        <v>17</v>
      </c>
      <c r="G1134" t="s">
        <v>2168</v>
      </c>
      <c r="I1134" t="str">
        <f t="shared" si="36"/>
        <v>TC0091PE|SN-17126-E7</v>
      </c>
      <c r="J1134" t="str">
        <f t="shared" si="37"/>
        <v>SÍ</v>
      </c>
    </row>
    <row r="1135" spans="1:10" x14ac:dyDescent="0.3">
      <c r="A1135" t="s">
        <v>578</v>
      </c>
      <c r="B1135" t="s">
        <v>747</v>
      </c>
      <c r="C1135" t="s">
        <v>920</v>
      </c>
      <c r="D1135" s="23">
        <v>46433.109756944446</v>
      </c>
      <c r="E1135" t="s">
        <v>1821</v>
      </c>
      <c r="F1135">
        <v>80</v>
      </c>
      <c r="G1135" t="s">
        <v>2168</v>
      </c>
      <c r="I1135" t="str">
        <f t="shared" si="36"/>
        <v>TC0091PE|SN-10526-E2</v>
      </c>
      <c r="J1135" t="str">
        <f t="shared" si="37"/>
        <v>SÍ</v>
      </c>
    </row>
    <row r="1136" spans="1:10" x14ac:dyDescent="0.3">
      <c r="A1136" t="s">
        <v>578</v>
      </c>
      <c r="B1136" t="s">
        <v>747</v>
      </c>
      <c r="C1136" t="s">
        <v>1008</v>
      </c>
      <c r="D1136" s="23">
        <v>46490.983275462961</v>
      </c>
      <c r="E1136" t="s">
        <v>1822</v>
      </c>
      <c r="F1136">
        <v>80</v>
      </c>
      <c r="G1136" t="s">
        <v>2168</v>
      </c>
      <c r="I1136" t="str">
        <f t="shared" si="36"/>
        <v>TC0091PE|SN-16426-E2</v>
      </c>
      <c r="J1136" t="str">
        <f t="shared" si="37"/>
        <v>SÍ</v>
      </c>
    </row>
    <row r="1137" spans="1:10" x14ac:dyDescent="0.3">
      <c r="A1137" t="s">
        <v>578</v>
      </c>
      <c r="B1137" t="s">
        <v>747</v>
      </c>
      <c r="C1137" t="s">
        <v>1410</v>
      </c>
      <c r="D1137" s="23">
        <v>46454.628101851849</v>
      </c>
      <c r="E1137" t="s">
        <v>1823</v>
      </c>
      <c r="F1137">
        <v>40</v>
      </c>
      <c r="G1137" t="s">
        <v>2168</v>
      </c>
      <c r="I1137" t="str">
        <f t="shared" si="36"/>
        <v>TC0091PE|SN-12826-E5</v>
      </c>
      <c r="J1137" t="str">
        <f t="shared" si="37"/>
        <v>SÍ</v>
      </c>
    </row>
    <row r="1138" spans="1:10" x14ac:dyDescent="0.3">
      <c r="A1138" t="s">
        <v>578</v>
      </c>
      <c r="B1138" t="s">
        <v>747</v>
      </c>
      <c r="C1138" t="s">
        <v>1409</v>
      </c>
      <c r="D1138" s="23">
        <v>46456.721643518518</v>
      </c>
      <c r="E1138" t="s">
        <v>1823</v>
      </c>
      <c r="F1138">
        <v>39</v>
      </c>
      <c r="G1138" t="s">
        <v>2168</v>
      </c>
      <c r="I1138" t="str">
        <f t="shared" si="36"/>
        <v>TC0091PE|SN-13026-E3</v>
      </c>
      <c r="J1138" t="str">
        <f t="shared" si="37"/>
        <v>SÍ</v>
      </c>
    </row>
    <row r="1139" spans="1:10" x14ac:dyDescent="0.3">
      <c r="A1139" t="s">
        <v>578</v>
      </c>
      <c r="B1139" t="s">
        <v>747</v>
      </c>
      <c r="C1139" t="s">
        <v>1009</v>
      </c>
      <c r="D1139" s="23">
        <v>46490.985231481478</v>
      </c>
      <c r="E1139" t="s">
        <v>1824</v>
      </c>
      <c r="F1139">
        <v>40</v>
      </c>
      <c r="G1139" t="s">
        <v>2168</v>
      </c>
      <c r="I1139" t="str">
        <f t="shared" si="36"/>
        <v>TC0091PE|SN-16426-E3</v>
      </c>
      <c r="J1139" t="str">
        <f t="shared" si="37"/>
        <v>SÍ</v>
      </c>
    </row>
    <row r="1140" spans="1:10" x14ac:dyDescent="0.3">
      <c r="A1140" t="s">
        <v>578</v>
      </c>
      <c r="B1140" t="s">
        <v>747</v>
      </c>
      <c r="C1140" t="s">
        <v>1410</v>
      </c>
      <c r="D1140" s="23">
        <v>46454.628101851849</v>
      </c>
      <c r="E1140" t="s">
        <v>1825</v>
      </c>
      <c r="F1140">
        <v>40</v>
      </c>
      <c r="G1140" t="s">
        <v>2168</v>
      </c>
      <c r="I1140" t="str">
        <f t="shared" si="36"/>
        <v>TC0091PE|SN-12826-E5</v>
      </c>
      <c r="J1140" t="str">
        <f t="shared" si="37"/>
        <v>SÍ</v>
      </c>
    </row>
    <row r="1141" spans="1:10" x14ac:dyDescent="0.3">
      <c r="A1141" t="s">
        <v>578</v>
      </c>
      <c r="B1141" t="s">
        <v>747</v>
      </c>
      <c r="C1141" t="s">
        <v>1088</v>
      </c>
      <c r="D1141" s="23">
        <v>46450.197766203702</v>
      </c>
      <c r="E1141" t="s">
        <v>1825</v>
      </c>
      <c r="F1141">
        <v>40</v>
      </c>
      <c r="G1141" t="s">
        <v>2168</v>
      </c>
      <c r="I1141" t="str">
        <f t="shared" si="36"/>
        <v>TC0091PE|SN-12826-E1</v>
      </c>
      <c r="J1141" t="str">
        <f t="shared" si="37"/>
        <v>SÍ</v>
      </c>
    </row>
    <row r="1142" spans="1:10" x14ac:dyDescent="0.3">
      <c r="A1142" t="s">
        <v>578</v>
      </c>
      <c r="B1142" t="s">
        <v>747</v>
      </c>
      <c r="C1142" t="s">
        <v>1008</v>
      </c>
      <c r="D1142" s="23">
        <v>46490.983275462961</v>
      </c>
      <c r="E1142" t="s">
        <v>1826</v>
      </c>
      <c r="F1142">
        <v>80</v>
      </c>
      <c r="G1142" t="s">
        <v>2168</v>
      </c>
      <c r="I1142" t="str">
        <f t="shared" si="36"/>
        <v>TC0091PE|SN-16426-E2</v>
      </c>
      <c r="J1142" t="str">
        <f t="shared" si="37"/>
        <v>SÍ</v>
      </c>
    </row>
    <row r="1143" spans="1:10" x14ac:dyDescent="0.3">
      <c r="A1143" t="s">
        <v>578</v>
      </c>
      <c r="B1143" t="s">
        <v>747</v>
      </c>
      <c r="C1143" t="s">
        <v>932</v>
      </c>
      <c r="D1143" s="23">
        <v>46434.201840277783</v>
      </c>
      <c r="E1143" t="s">
        <v>1827</v>
      </c>
      <c r="F1143">
        <v>32</v>
      </c>
      <c r="G1143" t="s">
        <v>2168</v>
      </c>
      <c r="I1143" t="str">
        <f t="shared" si="36"/>
        <v>TC0091PE|SN-11226-E4</v>
      </c>
      <c r="J1143" t="str">
        <f t="shared" si="37"/>
        <v>SÍ</v>
      </c>
    </row>
    <row r="1144" spans="1:10" x14ac:dyDescent="0.3">
      <c r="A1144" t="s">
        <v>578</v>
      </c>
      <c r="B1144" t="s">
        <v>747</v>
      </c>
      <c r="C1144" t="s">
        <v>1007</v>
      </c>
      <c r="D1144" s="23">
        <v>46489.219027777777</v>
      </c>
      <c r="E1144" t="s">
        <v>1828</v>
      </c>
      <c r="F1144">
        <v>40</v>
      </c>
      <c r="G1144" t="s">
        <v>2168</v>
      </c>
      <c r="I1144" t="str">
        <f t="shared" si="36"/>
        <v>TC0091PE|SN-16326-E5</v>
      </c>
      <c r="J1144" t="str">
        <f t="shared" si="37"/>
        <v>SÍ</v>
      </c>
    </row>
    <row r="1145" spans="1:10" x14ac:dyDescent="0.3">
      <c r="A1145" t="s">
        <v>578</v>
      </c>
      <c r="B1145" t="s">
        <v>747</v>
      </c>
      <c r="C1145" t="s">
        <v>1410</v>
      </c>
      <c r="D1145" s="23">
        <v>46454.628101851849</v>
      </c>
      <c r="E1145" t="s">
        <v>1829</v>
      </c>
      <c r="F1145">
        <v>80</v>
      </c>
      <c r="G1145" t="s">
        <v>2168</v>
      </c>
      <c r="I1145" t="str">
        <f t="shared" si="36"/>
        <v>TC0091PE|SN-12826-E5</v>
      </c>
      <c r="J1145" t="str">
        <f t="shared" si="37"/>
        <v>SÍ</v>
      </c>
    </row>
    <row r="1146" spans="1:10" x14ac:dyDescent="0.3">
      <c r="A1146" t="s">
        <v>578</v>
      </c>
      <c r="B1146" t="s">
        <v>747</v>
      </c>
      <c r="C1146" t="s">
        <v>1417</v>
      </c>
      <c r="D1146" s="23">
        <v>46434.19604166667</v>
      </c>
      <c r="E1146" t="s">
        <v>1830</v>
      </c>
      <c r="F1146">
        <v>9</v>
      </c>
      <c r="G1146" t="s">
        <v>2168</v>
      </c>
      <c r="I1146" t="str">
        <f t="shared" si="36"/>
        <v>TC0091PE|SN-11226-E2</v>
      </c>
      <c r="J1146" t="str">
        <f t="shared" si="37"/>
        <v>SÍ</v>
      </c>
    </row>
    <row r="1147" spans="1:10" x14ac:dyDescent="0.3">
      <c r="A1147" t="s">
        <v>578</v>
      </c>
      <c r="B1147" t="s">
        <v>747</v>
      </c>
      <c r="C1147" t="s">
        <v>931</v>
      </c>
      <c r="D1147" s="23">
        <v>46434.197881944441</v>
      </c>
      <c r="E1147" t="s">
        <v>1830</v>
      </c>
      <c r="F1147">
        <v>2</v>
      </c>
      <c r="G1147" t="s">
        <v>2168</v>
      </c>
      <c r="I1147" t="str">
        <f t="shared" si="36"/>
        <v>TC0091PE|SN-11226-E3</v>
      </c>
      <c r="J1147" t="str">
        <f t="shared" si="37"/>
        <v>SÍ</v>
      </c>
    </row>
    <row r="1148" spans="1:10" x14ac:dyDescent="0.3">
      <c r="A1148" t="s">
        <v>578</v>
      </c>
      <c r="B1148" t="s">
        <v>747</v>
      </c>
      <c r="C1148" t="s">
        <v>932</v>
      </c>
      <c r="D1148" s="23">
        <v>46434.201840277783</v>
      </c>
      <c r="E1148" t="s">
        <v>1830</v>
      </c>
      <c r="F1148">
        <v>2</v>
      </c>
      <c r="G1148" t="s">
        <v>2168</v>
      </c>
      <c r="I1148" t="str">
        <f t="shared" si="36"/>
        <v>TC0091PE|SN-11226-E4</v>
      </c>
      <c r="J1148" t="str">
        <f t="shared" si="37"/>
        <v>SÍ</v>
      </c>
    </row>
    <row r="1149" spans="1:10" x14ac:dyDescent="0.3">
      <c r="A1149" t="s">
        <v>578</v>
      </c>
      <c r="B1149" t="s">
        <v>747</v>
      </c>
      <c r="C1149" t="s">
        <v>1007</v>
      </c>
      <c r="D1149" s="23">
        <v>46489.219027777777</v>
      </c>
      <c r="E1149" t="s">
        <v>1831</v>
      </c>
      <c r="F1149">
        <v>40</v>
      </c>
      <c r="G1149" t="s">
        <v>2168</v>
      </c>
      <c r="I1149" t="str">
        <f t="shared" si="36"/>
        <v>TC0091PE|SN-16326-E5</v>
      </c>
      <c r="J1149" t="str">
        <f t="shared" si="37"/>
        <v>SÍ</v>
      </c>
    </row>
    <row r="1150" spans="1:10" x14ac:dyDescent="0.3">
      <c r="A1150" t="s">
        <v>578</v>
      </c>
      <c r="B1150" t="s">
        <v>747</v>
      </c>
      <c r="C1150" t="s">
        <v>1003</v>
      </c>
      <c r="D1150" s="23">
        <v>46489.204525462963</v>
      </c>
      <c r="E1150" t="s">
        <v>1831</v>
      </c>
      <c r="F1150">
        <v>40</v>
      </c>
      <c r="G1150" t="s">
        <v>2168</v>
      </c>
      <c r="I1150" t="str">
        <f t="shared" si="36"/>
        <v>TC0091PE|SN-16326-E2</v>
      </c>
      <c r="J1150" t="str">
        <f t="shared" si="37"/>
        <v>SÍ</v>
      </c>
    </row>
    <row r="1151" spans="1:10" x14ac:dyDescent="0.3">
      <c r="A1151" t="s">
        <v>578</v>
      </c>
      <c r="B1151" t="s">
        <v>747</v>
      </c>
      <c r="C1151" t="s">
        <v>1008</v>
      </c>
      <c r="D1151" s="23">
        <v>46490.983275462961</v>
      </c>
      <c r="E1151" t="s">
        <v>1832</v>
      </c>
      <c r="F1151">
        <v>80</v>
      </c>
      <c r="G1151" t="s">
        <v>2168</v>
      </c>
      <c r="I1151" t="str">
        <f t="shared" si="36"/>
        <v>TC0091PE|SN-16426-E2</v>
      </c>
      <c r="J1151" t="str">
        <f t="shared" si="37"/>
        <v>SÍ</v>
      </c>
    </row>
    <row r="1152" spans="1:10" x14ac:dyDescent="0.3">
      <c r="A1152" t="s">
        <v>578</v>
      </c>
      <c r="B1152" t="s">
        <v>747</v>
      </c>
      <c r="C1152" t="s">
        <v>1050</v>
      </c>
      <c r="D1152" s="23">
        <v>46515.183495370373</v>
      </c>
      <c r="E1152" t="s">
        <v>1833</v>
      </c>
      <c r="F1152">
        <v>40</v>
      </c>
      <c r="G1152" t="s">
        <v>2168</v>
      </c>
      <c r="I1152" t="str">
        <f t="shared" si="36"/>
        <v>TC0091PE|SN-18926-E4</v>
      </c>
      <c r="J1152" t="str">
        <f t="shared" si="37"/>
        <v>SÍ</v>
      </c>
    </row>
    <row r="1153" spans="1:10" x14ac:dyDescent="0.3">
      <c r="A1153" t="s">
        <v>578</v>
      </c>
      <c r="B1153" t="s">
        <v>747</v>
      </c>
      <c r="C1153" t="s">
        <v>1005</v>
      </c>
      <c r="D1153" s="23">
        <v>46488.212071759262</v>
      </c>
      <c r="E1153" t="s">
        <v>1834</v>
      </c>
      <c r="F1153">
        <v>40</v>
      </c>
      <c r="G1153" t="s">
        <v>2168</v>
      </c>
      <c r="I1153" t="str">
        <f t="shared" si="36"/>
        <v>TC0091PE|SN-16326-E3</v>
      </c>
      <c r="J1153" t="str">
        <f t="shared" si="37"/>
        <v>SÍ</v>
      </c>
    </row>
    <row r="1154" spans="1:10" x14ac:dyDescent="0.3">
      <c r="A1154" t="s">
        <v>578</v>
      </c>
      <c r="B1154" t="s">
        <v>747</v>
      </c>
      <c r="C1154" t="s">
        <v>1007</v>
      </c>
      <c r="D1154" s="23">
        <v>46489.219027777777</v>
      </c>
      <c r="E1154" t="s">
        <v>1834</v>
      </c>
      <c r="F1154">
        <v>40</v>
      </c>
      <c r="G1154" t="s">
        <v>2168</v>
      </c>
      <c r="I1154" t="str">
        <f t="shared" si="36"/>
        <v>TC0091PE|SN-16326-E5</v>
      </c>
      <c r="J1154" t="str">
        <f t="shared" si="37"/>
        <v>SÍ</v>
      </c>
    </row>
    <row r="1155" spans="1:10" x14ac:dyDescent="0.3">
      <c r="A1155" t="s">
        <v>578</v>
      </c>
      <c r="B1155" t="s">
        <v>747</v>
      </c>
      <c r="C1155" t="s">
        <v>1007</v>
      </c>
      <c r="D1155" s="23">
        <v>46489.219027777777</v>
      </c>
      <c r="E1155" t="s">
        <v>1835</v>
      </c>
      <c r="F1155">
        <v>40</v>
      </c>
      <c r="G1155" t="s">
        <v>2168</v>
      </c>
      <c r="I1155" t="str">
        <f t="shared" si="36"/>
        <v>TC0091PE|SN-16326-E5</v>
      </c>
      <c r="J1155" t="str">
        <f t="shared" si="37"/>
        <v>SÍ</v>
      </c>
    </row>
    <row r="1156" spans="1:10" x14ac:dyDescent="0.3">
      <c r="A1156" t="s">
        <v>578</v>
      </c>
      <c r="B1156" t="s">
        <v>747</v>
      </c>
      <c r="C1156" t="s">
        <v>1006</v>
      </c>
      <c r="D1156" s="23">
        <v>46489.215787037043</v>
      </c>
      <c r="E1156" t="s">
        <v>1835</v>
      </c>
      <c r="F1156">
        <v>40</v>
      </c>
      <c r="G1156" t="s">
        <v>2168</v>
      </c>
      <c r="I1156" t="str">
        <f t="shared" si="36"/>
        <v>TC0091PE|SN-16326-E4</v>
      </c>
      <c r="J1156" t="str">
        <f t="shared" si="37"/>
        <v>SÍ</v>
      </c>
    </row>
    <row r="1157" spans="1:10" x14ac:dyDescent="0.3">
      <c r="A1157" t="s">
        <v>578</v>
      </c>
      <c r="B1157" t="s">
        <v>747</v>
      </c>
      <c r="C1157" t="s">
        <v>1418</v>
      </c>
      <c r="D1157" s="23">
        <v>46489.8828125</v>
      </c>
      <c r="E1157" t="s">
        <v>1836</v>
      </c>
      <c r="F1157">
        <v>21</v>
      </c>
      <c r="G1157" t="s">
        <v>2168</v>
      </c>
      <c r="I1157" t="str">
        <f t="shared" si="36"/>
        <v>TC0091PE|SN-16326-E1</v>
      </c>
      <c r="J1157" t="str">
        <f t="shared" si="37"/>
        <v>SÍ</v>
      </c>
    </row>
    <row r="1158" spans="1:10" x14ac:dyDescent="0.3">
      <c r="A1158" t="s">
        <v>578</v>
      </c>
      <c r="B1158" t="s">
        <v>747</v>
      </c>
      <c r="C1158" t="s">
        <v>1006</v>
      </c>
      <c r="D1158" s="23">
        <v>46489.215787037043</v>
      </c>
      <c r="E1158" t="s">
        <v>1836</v>
      </c>
      <c r="F1158">
        <v>40</v>
      </c>
      <c r="G1158" t="s">
        <v>2168</v>
      </c>
      <c r="I1158" t="str">
        <f t="shared" si="36"/>
        <v>TC0091PE|SN-16326-E4</v>
      </c>
      <c r="J1158" t="str">
        <f t="shared" si="37"/>
        <v>SÍ</v>
      </c>
    </row>
    <row r="1159" spans="1:10" x14ac:dyDescent="0.3">
      <c r="A1159" t="s">
        <v>578</v>
      </c>
      <c r="B1159" t="s">
        <v>747</v>
      </c>
      <c r="C1159" t="s">
        <v>1005</v>
      </c>
      <c r="D1159" s="23">
        <v>46488.212071759262</v>
      </c>
      <c r="E1159" t="s">
        <v>1837</v>
      </c>
      <c r="F1159">
        <v>40</v>
      </c>
      <c r="G1159" t="s">
        <v>2168</v>
      </c>
      <c r="I1159" t="str">
        <f t="shared" si="36"/>
        <v>TC0091PE|SN-16326-E3</v>
      </c>
      <c r="J1159" t="str">
        <f t="shared" si="37"/>
        <v>SÍ</v>
      </c>
    </row>
    <row r="1160" spans="1:10" x14ac:dyDescent="0.3">
      <c r="A1160" t="s">
        <v>578</v>
      </c>
      <c r="B1160" t="s">
        <v>747</v>
      </c>
      <c r="C1160" t="s">
        <v>1006</v>
      </c>
      <c r="D1160" s="23">
        <v>46489.215787037043</v>
      </c>
      <c r="E1160" t="s">
        <v>1837</v>
      </c>
      <c r="F1160">
        <v>40</v>
      </c>
      <c r="G1160" t="s">
        <v>2168</v>
      </c>
      <c r="I1160" t="str">
        <f t="shared" si="36"/>
        <v>TC0091PE|SN-16326-E4</v>
      </c>
      <c r="J1160" t="str">
        <f t="shared" si="37"/>
        <v>SÍ</v>
      </c>
    </row>
    <row r="1161" spans="1:10" x14ac:dyDescent="0.3">
      <c r="A1161" t="s">
        <v>578</v>
      </c>
      <c r="B1161" t="s">
        <v>747</v>
      </c>
      <c r="C1161" t="s">
        <v>1417</v>
      </c>
      <c r="D1161" s="23">
        <v>46434.19604166667</v>
      </c>
      <c r="E1161" t="s">
        <v>1838</v>
      </c>
      <c r="F1161">
        <v>26</v>
      </c>
      <c r="G1161" t="s">
        <v>2168</v>
      </c>
      <c r="I1161" t="str">
        <f t="shared" si="36"/>
        <v>TC0091PE|SN-11226-E2</v>
      </c>
      <c r="J1161" t="str">
        <f t="shared" si="37"/>
        <v>SÍ</v>
      </c>
    </row>
    <row r="1162" spans="1:10" x14ac:dyDescent="0.3">
      <c r="A1162" t="s">
        <v>578</v>
      </c>
      <c r="B1162" t="s">
        <v>747</v>
      </c>
      <c r="C1162" t="s">
        <v>932</v>
      </c>
      <c r="D1162" s="23">
        <v>46434.201840277783</v>
      </c>
      <c r="E1162" t="s">
        <v>1839</v>
      </c>
      <c r="F1162">
        <v>8</v>
      </c>
      <c r="G1162" t="s">
        <v>2168</v>
      </c>
      <c r="I1162" t="str">
        <f t="shared" si="36"/>
        <v>TC0091PE|SN-11226-E4</v>
      </c>
      <c r="J1162" t="str">
        <f t="shared" si="37"/>
        <v>SÍ</v>
      </c>
    </row>
    <row r="1163" spans="1:10" x14ac:dyDescent="0.3">
      <c r="A1163" t="s">
        <v>578</v>
      </c>
      <c r="B1163" t="s">
        <v>747</v>
      </c>
      <c r="C1163" t="s">
        <v>918</v>
      </c>
      <c r="D1163" s="23">
        <v>46429.140925925924</v>
      </c>
      <c r="E1163" t="s">
        <v>1840</v>
      </c>
      <c r="F1163">
        <v>80</v>
      </c>
      <c r="G1163" t="s">
        <v>2168</v>
      </c>
      <c r="I1163" t="str">
        <f t="shared" si="36"/>
        <v>TC0091PE|SN-10126-E3</v>
      </c>
      <c r="J1163" t="str">
        <f t="shared" si="37"/>
        <v>SÍ</v>
      </c>
    </row>
    <row r="1164" spans="1:10" x14ac:dyDescent="0.3">
      <c r="A1164" t="s">
        <v>578</v>
      </c>
      <c r="B1164" t="s">
        <v>747</v>
      </c>
      <c r="C1164" t="s">
        <v>931</v>
      </c>
      <c r="D1164" s="23">
        <v>46434.197881944441</v>
      </c>
      <c r="E1164" t="s">
        <v>1841</v>
      </c>
      <c r="F1164">
        <v>40</v>
      </c>
      <c r="G1164" t="s">
        <v>2168</v>
      </c>
      <c r="I1164" t="str">
        <f t="shared" si="36"/>
        <v>TC0091PE|SN-11226-E3</v>
      </c>
      <c r="J1164" t="str">
        <f t="shared" si="37"/>
        <v>SÍ</v>
      </c>
    </row>
    <row r="1165" spans="1:10" x14ac:dyDescent="0.3">
      <c r="A1165" t="s">
        <v>578</v>
      </c>
      <c r="B1165" t="s">
        <v>747</v>
      </c>
      <c r="C1165" t="s">
        <v>1417</v>
      </c>
      <c r="D1165" s="23">
        <v>46434.19604166667</v>
      </c>
      <c r="E1165" t="s">
        <v>1842</v>
      </c>
      <c r="F1165">
        <v>8</v>
      </c>
      <c r="G1165" t="s">
        <v>2168</v>
      </c>
      <c r="I1165" t="str">
        <f t="shared" si="36"/>
        <v>TC0091PE|SN-11226-E2</v>
      </c>
      <c r="J1165" t="str">
        <f t="shared" si="37"/>
        <v>SÍ</v>
      </c>
    </row>
    <row r="1166" spans="1:10" x14ac:dyDescent="0.3">
      <c r="A1166" t="s">
        <v>578</v>
      </c>
      <c r="B1166" t="s">
        <v>747</v>
      </c>
      <c r="C1166" t="s">
        <v>919</v>
      </c>
      <c r="D1166" s="23">
        <v>46429.140798611108</v>
      </c>
      <c r="E1166" t="s">
        <v>1843</v>
      </c>
      <c r="F1166">
        <v>80</v>
      </c>
      <c r="G1166" t="s">
        <v>2168</v>
      </c>
      <c r="I1166" t="str">
        <f t="shared" si="36"/>
        <v>TC0091PE|SN-10126-E4</v>
      </c>
      <c r="J1166" t="str">
        <f t="shared" si="37"/>
        <v>SÍ</v>
      </c>
    </row>
    <row r="1167" spans="1:10" x14ac:dyDescent="0.3">
      <c r="A1167" t="s">
        <v>578</v>
      </c>
      <c r="B1167" t="s">
        <v>747</v>
      </c>
      <c r="C1167" t="s">
        <v>1050</v>
      </c>
      <c r="D1167" s="23">
        <v>46515.183495370373</v>
      </c>
      <c r="E1167" t="s">
        <v>1844</v>
      </c>
      <c r="F1167">
        <v>12</v>
      </c>
      <c r="G1167" t="s">
        <v>2168</v>
      </c>
      <c r="I1167" t="str">
        <f t="shared" si="36"/>
        <v>TC0091PE|SN-18926-E4</v>
      </c>
      <c r="J1167" t="str">
        <f t="shared" si="37"/>
        <v>SÍ</v>
      </c>
    </row>
    <row r="1168" spans="1:10" x14ac:dyDescent="0.3">
      <c r="A1168" t="s">
        <v>578</v>
      </c>
      <c r="B1168" t="s">
        <v>747</v>
      </c>
      <c r="C1168" t="s">
        <v>1052</v>
      </c>
      <c r="D1168" s="23">
        <v>46516</v>
      </c>
      <c r="E1168" t="s">
        <v>1844</v>
      </c>
      <c r="F1168">
        <v>28</v>
      </c>
      <c r="G1168" t="s">
        <v>2168</v>
      </c>
      <c r="I1168" t="str">
        <f t="shared" si="36"/>
        <v>TC0091PE|SN-19026-E4</v>
      </c>
      <c r="J1168" t="str">
        <f t="shared" si="37"/>
        <v>SÍ</v>
      </c>
    </row>
    <row r="1169" spans="1:10" x14ac:dyDescent="0.3">
      <c r="A1169" t="s">
        <v>578</v>
      </c>
      <c r="B1169" t="s">
        <v>747</v>
      </c>
      <c r="C1169" t="s">
        <v>1052</v>
      </c>
      <c r="D1169" s="23">
        <v>46516</v>
      </c>
      <c r="E1169" t="s">
        <v>1845</v>
      </c>
      <c r="F1169">
        <v>40</v>
      </c>
      <c r="G1169" t="s">
        <v>2168</v>
      </c>
      <c r="I1169" t="str">
        <f t="shared" si="36"/>
        <v>TC0091PE|SN-19026-E4</v>
      </c>
      <c r="J1169" t="str">
        <f t="shared" si="37"/>
        <v>SÍ</v>
      </c>
    </row>
    <row r="1170" spans="1:10" x14ac:dyDescent="0.3">
      <c r="A1170" t="s">
        <v>577</v>
      </c>
      <c r="B1170" t="s">
        <v>746</v>
      </c>
      <c r="C1170" t="s">
        <v>1061</v>
      </c>
      <c r="D1170" s="23">
        <v>46517.947175925918</v>
      </c>
      <c r="E1170" t="s">
        <v>1846</v>
      </c>
      <c r="F1170">
        <v>30</v>
      </c>
      <c r="G1170" t="s">
        <v>2168</v>
      </c>
      <c r="I1170" t="str">
        <f t="shared" ref="I1170:I1233" si="38">IF(A1170="","",A1170&amp;"|"&amp;C1170)</f>
        <v>TC0232PE|PC-19126-E8</v>
      </c>
      <c r="J1170" t="str">
        <f t="shared" ref="J1170:J1233" si="39">IF(A1170&lt;&gt;"","SÍ","NO")</f>
        <v>SÍ</v>
      </c>
    </row>
    <row r="1171" spans="1:10" x14ac:dyDescent="0.3">
      <c r="A1171" t="s">
        <v>577</v>
      </c>
      <c r="B1171" t="s">
        <v>746</v>
      </c>
      <c r="C1171" t="s">
        <v>1061</v>
      </c>
      <c r="D1171" s="23">
        <v>46517.947175925918</v>
      </c>
      <c r="E1171" t="s">
        <v>1847</v>
      </c>
      <c r="F1171">
        <v>80</v>
      </c>
      <c r="G1171" t="s">
        <v>2168</v>
      </c>
      <c r="I1171" t="str">
        <f t="shared" si="38"/>
        <v>TC0232PE|PC-19126-E8</v>
      </c>
      <c r="J1171" t="str">
        <f t="shared" si="39"/>
        <v>SÍ</v>
      </c>
    </row>
    <row r="1172" spans="1:10" x14ac:dyDescent="0.3">
      <c r="A1172" t="s">
        <v>686</v>
      </c>
      <c r="B1172" t="s">
        <v>855</v>
      </c>
      <c r="C1172" t="s">
        <v>1281</v>
      </c>
      <c r="D1172" s="23">
        <v>46451.934224537043</v>
      </c>
      <c r="E1172" t="s">
        <v>1848</v>
      </c>
      <c r="F1172">
        <v>17</v>
      </c>
      <c r="G1172" t="s">
        <v>2174</v>
      </c>
      <c r="I1172" t="str">
        <f t="shared" si="38"/>
        <v>TC0118PE|DUO-13826</v>
      </c>
      <c r="J1172" t="str">
        <f t="shared" si="39"/>
        <v>SÍ</v>
      </c>
    </row>
    <row r="1173" spans="1:10" x14ac:dyDescent="0.3">
      <c r="A1173" t="s">
        <v>638</v>
      </c>
      <c r="B1173" t="s">
        <v>807</v>
      </c>
      <c r="C1173" t="s">
        <v>1030</v>
      </c>
      <c r="D1173" s="23">
        <v>46510</v>
      </c>
      <c r="E1173" t="s">
        <v>1849</v>
      </c>
      <c r="F1173">
        <v>74</v>
      </c>
      <c r="G1173" t="s">
        <v>2166</v>
      </c>
      <c r="I1173" t="str">
        <f t="shared" si="38"/>
        <v>TC0003PE|SC-18426-E8</v>
      </c>
      <c r="J1173" t="str">
        <f t="shared" si="39"/>
        <v>SÍ</v>
      </c>
    </row>
    <row r="1174" spans="1:10" x14ac:dyDescent="0.3">
      <c r="A1174" t="s">
        <v>638</v>
      </c>
      <c r="B1174" t="s">
        <v>807</v>
      </c>
      <c r="C1174" t="s">
        <v>1030</v>
      </c>
      <c r="D1174" s="23">
        <v>46510</v>
      </c>
      <c r="E1174" t="s">
        <v>1850</v>
      </c>
      <c r="F1174">
        <v>58</v>
      </c>
      <c r="G1174" t="s">
        <v>2166</v>
      </c>
      <c r="I1174" t="str">
        <f t="shared" si="38"/>
        <v>TC0003PE|SC-18426-E8</v>
      </c>
      <c r="J1174" t="str">
        <f t="shared" si="39"/>
        <v>SÍ</v>
      </c>
    </row>
    <row r="1175" spans="1:10" x14ac:dyDescent="0.3">
      <c r="A1175" t="s">
        <v>574</v>
      </c>
      <c r="B1175" t="s">
        <v>743</v>
      </c>
      <c r="C1175" t="s">
        <v>977</v>
      </c>
      <c r="D1175" s="23">
        <v>46441.921701388892</v>
      </c>
      <c r="E1175" t="s">
        <v>1851</v>
      </c>
      <c r="F1175">
        <v>40</v>
      </c>
      <c r="G1175" t="s">
        <v>2166</v>
      </c>
      <c r="I1175" t="str">
        <f t="shared" si="38"/>
        <v>TC0054PE|SP-11926-E7</v>
      </c>
      <c r="J1175" t="str">
        <f t="shared" si="39"/>
        <v>SÍ</v>
      </c>
    </row>
    <row r="1176" spans="1:10" x14ac:dyDescent="0.3">
      <c r="A1176" t="s">
        <v>638</v>
      </c>
      <c r="B1176" t="s">
        <v>807</v>
      </c>
      <c r="C1176" t="s">
        <v>1332</v>
      </c>
      <c r="D1176" s="23">
        <v>46496.502384259264</v>
      </c>
      <c r="E1176" t="s">
        <v>1852</v>
      </c>
      <c r="F1176">
        <v>8</v>
      </c>
      <c r="G1176" t="s">
        <v>2166</v>
      </c>
      <c r="I1176" t="str">
        <f t="shared" si="38"/>
        <v>TC0003PE|SC-17026-E8</v>
      </c>
      <c r="J1176" t="str">
        <f t="shared" si="39"/>
        <v>SÍ</v>
      </c>
    </row>
    <row r="1177" spans="1:10" x14ac:dyDescent="0.3">
      <c r="A1177" t="s">
        <v>586</v>
      </c>
      <c r="B1177" t="s">
        <v>755</v>
      </c>
      <c r="C1177" t="s">
        <v>1104</v>
      </c>
      <c r="D1177" s="23">
        <v>46482.754525462973</v>
      </c>
      <c r="E1177" t="s">
        <v>1853</v>
      </c>
      <c r="F1177">
        <v>3</v>
      </c>
      <c r="G1177" t="s">
        <v>2169</v>
      </c>
      <c r="I1177" t="str">
        <f t="shared" si="38"/>
        <v>TC0082PE|SN-16026-E3</v>
      </c>
      <c r="J1177" t="str">
        <f t="shared" si="39"/>
        <v>SÍ</v>
      </c>
    </row>
    <row r="1178" spans="1:10" x14ac:dyDescent="0.3">
      <c r="A1178" t="s">
        <v>624</v>
      </c>
      <c r="B1178" t="s">
        <v>793</v>
      </c>
      <c r="C1178" t="s">
        <v>1419</v>
      </c>
      <c r="D1178" s="23">
        <v>46511.052615740737</v>
      </c>
      <c r="E1178" t="s">
        <v>1854</v>
      </c>
      <c r="F1178">
        <v>80</v>
      </c>
      <c r="G1178" t="s">
        <v>2175</v>
      </c>
      <c r="I1178" t="str">
        <f t="shared" si="38"/>
        <v>TC0200PE|TIY-19226-E7</v>
      </c>
      <c r="J1178" t="str">
        <f t="shared" si="39"/>
        <v>SÍ</v>
      </c>
    </row>
    <row r="1179" spans="1:10" x14ac:dyDescent="0.3">
      <c r="A1179" t="s">
        <v>624</v>
      </c>
      <c r="B1179" t="s">
        <v>793</v>
      </c>
      <c r="C1179" t="s">
        <v>1060</v>
      </c>
      <c r="D1179" s="23">
        <v>46511.945104166669</v>
      </c>
      <c r="E1179" t="s">
        <v>1855</v>
      </c>
      <c r="F1179">
        <v>80</v>
      </c>
      <c r="G1179" t="s">
        <v>2175</v>
      </c>
      <c r="I1179" t="str">
        <f t="shared" si="38"/>
        <v>TC0200PE|TIY-19126-E7</v>
      </c>
      <c r="J1179" t="str">
        <f t="shared" si="39"/>
        <v>SÍ</v>
      </c>
    </row>
    <row r="1180" spans="1:10" x14ac:dyDescent="0.3">
      <c r="A1180" t="s">
        <v>624</v>
      </c>
      <c r="B1180" t="s">
        <v>793</v>
      </c>
      <c r="C1180" t="s">
        <v>1063</v>
      </c>
      <c r="D1180" s="23">
        <v>46511.99559027778</v>
      </c>
      <c r="E1180" t="s">
        <v>1856</v>
      </c>
      <c r="F1180">
        <v>40</v>
      </c>
      <c r="G1180" t="s">
        <v>2175</v>
      </c>
      <c r="I1180" t="str">
        <f t="shared" si="38"/>
        <v>TC0200PE|TIY-19226-E8</v>
      </c>
      <c r="J1180" t="str">
        <f t="shared" si="39"/>
        <v>SÍ</v>
      </c>
    </row>
    <row r="1181" spans="1:10" x14ac:dyDescent="0.3">
      <c r="A1181" t="s">
        <v>624</v>
      </c>
      <c r="B1181" t="s">
        <v>793</v>
      </c>
      <c r="C1181" t="s">
        <v>1060</v>
      </c>
      <c r="D1181" s="23">
        <v>46511.945104166669</v>
      </c>
      <c r="E1181" t="s">
        <v>1856</v>
      </c>
      <c r="F1181">
        <v>40</v>
      </c>
      <c r="G1181" t="s">
        <v>2175</v>
      </c>
      <c r="I1181" t="str">
        <f t="shared" si="38"/>
        <v>TC0200PE|TIY-19126-E7</v>
      </c>
      <c r="J1181" t="str">
        <f t="shared" si="39"/>
        <v>SÍ</v>
      </c>
    </row>
    <row r="1182" spans="1:10" x14ac:dyDescent="0.3">
      <c r="A1182" t="s">
        <v>624</v>
      </c>
      <c r="B1182" t="s">
        <v>793</v>
      </c>
      <c r="C1182" t="s">
        <v>1419</v>
      </c>
      <c r="D1182" s="23">
        <v>46511.052615740737</v>
      </c>
      <c r="E1182" t="s">
        <v>1857</v>
      </c>
      <c r="F1182">
        <v>80</v>
      </c>
      <c r="G1182" t="s">
        <v>2175</v>
      </c>
      <c r="I1182" t="str">
        <f t="shared" si="38"/>
        <v>TC0200PE|TIY-19226-E7</v>
      </c>
      <c r="J1182" t="str">
        <f t="shared" si="39"/>
        <v>SÍ</v>
      </c>
    </row>
    <row r="1183" spans="1:10" x14ac:dyDescent="0.3">
      <c r="A1183" t="s">
        <v>624</v>
      </c>
      <c r="B1183" t="s">
        <v>793</v>
      </c>
      <c r="C1183" t="s">
        <v>1063</v>
      </c>
      <c r="D1183" s="23">
        <v>46511.99559027778</v>
      </c>
      <c r="E1183" t="s">
        <v>1858</v>
      </c>
      <c r="F1183">
        <v>80</v>
      </c>
      <c r="G1183" t="s">
        <v>2175</v>
      </c>
      <c r="I1183" t="str">
        <f t="shared" si="38"/>
        <v>TC0200PE|TIY-19226-E8</v>
      </c>
      <c r="J1183" t="str">
        <f t="shared" si="39"/>
        <v>SÍ</v>
      </c>
    </row>
    <row r="1184" spans="1:10" x14ac:dyDescent="0.3">
      <c r="A1184" t="s">
        <v>624</v>
      </c>
      <c r="B1184" t="s">
        <v>793</v>
      </c>
      <c r="C1184" t="s">
        <v>1071</v>
      </c>
      <c r="D1184" s="23">
        <v>46521.703981481478</v>
      </c>
      <c r="E1184" t="s">
        <v>1859</v>
      </c>
      <c r="F1184">
        <v>40</v>
      </c>
      <c r="G1184" t="s">
        <v>2175</v>
      </c>
      <c r="I1184" t="str">
        <f t="shared" si="38"/>
        <v>TC0200PE|TIY-19726-E7</v>
      </c>
      <c r="J1184" t="str">
        <f t="shared" si="39"/>
        <v>SÍ</v>
      </c>
    </row>
    <row r="1185" spans="1:10" x14ac:dyDescent="0.3">
      <c r="A1185" t="s">
        <v>595</v>
      </c>
      <c r="B1185" t="s">
        <v>764</v>
      </c>
      <c r="C1185" t="s">
        <v>1381</v>
      </c>
      <c r="D1185" s="23">
        <v>46553</v>
      </c>
      <c r="E1185" t="s">
        <v>1860</v>
      </c>
      <c r="F1185">
        <v>80</v>
      </c>
      <c r="G1185" t="s">
        <v>2168</v>
      </c>
      <c r="I1185" t="str">
        <f t="shared" si="38"/>
        <v>TC0058PE|SC-22726-E7</v>
      </c>
      <c r="J1185" t="str">
        <f t="shared" si="39"/>
        <v>SÍ</v>
      </c>
    </row>
    <row r="1186" spans="1:10" x14ac:dyDescent="0.3">
      <c r="A1186" t="s">
        <v>594</v>
      </c>
      <c r="B1186" t="s">
        <v>763</v>
      </c>
      <c r="C1186" t="s">
        <v>1030</v>
      </c>
      <c r="D1186" s="23">
        <v>46510</v>
      </c>
      <c r="E1186" t="s">
        <v>1861</v>
      </c>
      <c r="F1186">
        <v>10</v>
      </c>
      <c r="G1186" t="s">
        <v>2166</v>
      </c>
      <c r="I1186" t="str">
        <f t="shared" si="38"/>
        <v>TC0029PE|SC-18426-E8</v>
      </c>
      <c r="J1186" t="str">
        <f t="shared" si="39"/>
        <v>SÍ</v>
      </c>
    </row>
    <row r="1187" spans="1:10" x14ac:dyDescent="0.3">
      <c r="A1187" t="s">
        <v>591</v>
      </c>
      <c r="B1187" t="s">
        <v>760</v>
      </c>
      <c r="C1187" t="s">
        <v>1420</v>
      </c>
      <c r="D1187" s="23">
        <v>46510</v>
      </c>
      <c r="E1187" t="s">
        <v>1862</v>
      </c>
      <c r="F1187">
        <v>17</v>
      </c>
      <c r="G1187" t="s">
        <v>2169</v>
      </c>
      <c r="I1187" t="str">
        <f t="shared" si="38"/>
        <v>TC0087PE|SP-18426-E7</v>
      </c>
      <c r="J1187" t="str">
        <f t="shared" si="39"/>
        <v>SÍ</v>
      </c>
    </row>
    <row r="1188" spans="1:10" x14ac:dyDescent="0.3">
      <c r="A1188" t="s">
        <v>686</v>
      </c>
      <c r="B1188" t="s">
        <v>855</v>
      </c>
      <c r="C1188" t="s">
        <v>1278</v>
      </c>
      <c r="D1188" s="23">
        <v>46365.456967592603</v>
      </c>
      <c r="E1188" t="s">
        <v>1863</v>
      </c>
      <c r="F1188">
        <v>1</v>
      </c>
      <c r="G1188" t="s">
        <v>2174</v>
      </c>
      <c r="I1188" t="str">
        <f t="shared" si="38"/>
        <v>TC0118PE|DUO-11626</v>
      </c>
      <c r="J1188" t="str">
        <f t="shared" si="39"/>
        <v>SÍ</v>
      </c>
    </row>
    <row r="1189" spans="1:10" x14ac:dyDescent="0.3">
      <c r="A1189" t="s">
        <v>686</v>
      </c>
      <c r="B1189" t="s">
        <v>855</v>
      </c>
      <c r="C1189" t="s">
        <v>1281</v>
      </c>
      <c r="D1189" s="23">
        <v>46451.934224537043</v>
      </c>
      <c r="E1189" t="s">
        <v>1863</v>
      </c>
      <c r="F1189">
        <v>1</v>
      </c>
      <c r="G1189" t="s">
        <v>2174</v>
      </c>
      <c r="I1189" t="str">
        <f t="shared" si="38"/>
        <v>TC0118PE|DUO-13826</v>
      </c>
      <c r="J1189" t="str">
        <f t="shared" si="39"/>
        <v>SÍ</v>
      </c>
    </row>
    <row r="1190" spans="1:10" x14ac:dyDescent="0.3">
      <c r="A1190" t="s">
        <v>664</v>
      </c>
      <c r="B1190" t="s">
        <v>833</v>
      </c>
      <c r="C1190" t="s">
        <v>1349</v>
      </c>
      <c r="D1190" s="23">
        <v>46550.177766203713</v>
      </c>
      <c r="E1190" t="s">
        <v>1864</v>
      </c>
      <c r="F1190">
        <v>40</v>
      </c>
      <c r="G1190" t="s">
        <v>2166</v>
      </c>
      <c r="I1190" t="str">
        <f t="shared" si="38"/>
        <v>TC0056PE|SN-22426-E7</v>
      </c>
      <c r="J1190" t="str">
        <f t="shared" si="39"/>
        <v>SÍ</v>
      </c>
    </row>
    <row r="1191" spans="1:10" x14ac:dyDescent="0.3">
      <c r="A1191" t="s">
        <v>686</v>
      </c>
      <c r="B1191" t="s">
        <v>855</v>
      </c>
      <c r="C1191" t="s">
        <v>1281</v>
      </c>
      <c r="D1191" s="23">
        <v>46451.934224537043</v>
      </c>
      <c r="E1191" t="s">
        <v>1865</v>
      </c>
      <c r="F1191">
        <v>80</v>
      </c>
      <c r="G1191" t="s">
        <v>2174</v>
      </c>
      <c r="I1191" t="str">
        <f t="shared" si="38"/>
        <v>TC0118PE|DUO-13826</v>
      </c>
      <c r="J1191" t="str">
        <f t="shared" si="39"/>
        <v>SÍ</v>
      </c>
    </row>
    <row r="1192" spans="1:10" x14ac:dyDescent="0.3">
      <c r="A1192" t="s">
        <v>667</v>
      </c>
      <c r="B1192" t="s">
        <v>836</v>
      </c>
      <c r="C1192" t="s">
        <v>1210</v>
      </c>
      <c r="D1192" s="23">
        <v>46491.286805555559</v>
      </c>
      <c r="E1192" t="s">
        <v>1866</v>
      </c>
      <c r="F1192">
        <v>36</v>
      </c>
      <c r="G1192" t="s">
        <v>2166</v>
      </c>
      <c r="I1192" t="str">
        <f t="shared" si="38"/>
        <v>TC0234PE|LP-16526-E5</v>
      </c>
      <c r="J1192" t="str">
        <f t="shared" si="39"/>
        <v>SÍ</v>
      </c>
    </row>
    <row r="1193" spans="1:10" x14ac:dyDescent="0.3">
      <c r="A1193" t="s">
        <v>578</v>
      </c>
      <c r="B1193" t="s">
        <v>747</v>
      </c>
      <c r="C1193" t="s">
        <v>1421</v>
      </c>
      <c r="D1193" s="23">
        <v>46541.846041666657</v>
      </c>
      <c r="E1193" t="s">
        <v>1867</v>
      </c>
      <c r="F1193">
        <v>14</v>
      </c>
      <c r="G1193" t="s">
        <v>2168</v>
      </c>
      <c r="I1193" t="str">
        <f t="shared" si="38"/>
        <v>TC0091PE|SN-21526-E2</v>
      </c>
      <c r="J1193" t="str">
        <f t="shared" si="39"/>
        <v>SÍ</v>
      </c>
    </row>
    <row r="1194" spans="1:10" x14ac:dyDescent="0.3">
      <c r="A1194" t="s">
        <v>577</v>
      </c>
      <c r="B1194" t="s">
        <v>746</v>
      </c>
      <c r="C1194" t="s">
        <v>1075</v>
      </c>
      <c r="D1194" s="23">
        <v>46521</v>
      </c>
      <c r="E1194" t="s">
        <v>1868</v>
      </c>
      <c r="F1194">
        <v>20</v>
      </c>
      <c r="G1194" t="s">
        <v>2168</v>
      </c>
      <c r="I1194" t="str">
        <f t="shared" si="38"/>
        <v>TC0232PE|PC-19826-E8</v>
      </c>
      <c r="J1194" t="str">
        <f t="shared" si="39"/>
        <v>SÍ</v>
      </c>
    </row>
    <row r="1195" spans="1:10" x14ac:dyDescent="0.3">
      <c r="A1195" t="s">
        <v>667</v>
      </c>
      <c r="B1195" t="s">
        <v>836</v>
      </c>
      <c r="C1195" t="s">
        <v>1210</v>
      </c>
      <c r="D1195" s="23">
        <v>46491.286805555559</v>
      </c>
      <c r="E1195" t="s">
        <v>1869</v>
      </c>
      <c r="F1195">
        <v>40</v>
      </c>
      <c r="G1195" t="s">
        <v>2166</v>
      </c>
      <c r="I1195" t="str">
        <f t="shared" si="38"/>
        <v>TC0234PE|LP-16526-E5</v>
      </c>
      <c r="J1195" t="str">
        <f t="shared" si="39"/>
        <v>SÍ</v>
      </c>
    </row>
    <row r="1196" spans="1:10" x14ac:dyDescent="0.3">
      <c r="A1196" t="s">
        <v>615</v>
      </c>
      <c r="B1196" t="s">
        <v>784</v>
      </c>
      <c r="C1196" t="s">
        <v>1039</v>
      </c>
      <c r="D1196" s="23">
        <v>46513</v>
      </c>
      <c r="E1196" t="s">
        <v>1870</v>
      </c>
      <c r="F1196">
        <v>2</v>
      </c>
      <c r="G1196" t="s">
        <v>2168</v>
      </c>
      <c r="I1196" t="str">
        <f t="shared" si="38"/>
        <v>TC0224PE|LP-18726-E2</v>
      </c>
      <c r="J1196" t="str">
        <f t="shared" si="39"/>
        <v>SÍ</v>
      </c>
    </row>
    <row r="1197" spans="1:10" x14ac:dyDescent="0.3">
      <c r="A1197" t="s">
        <v>578</v>
      </c>
      <c r="B1197" t="s">
        <v>747</v>
      </c>
      <c r="C1197" t="s">
        <v>1005</v>
      </c>
      <c r="D1197" s="23">
        <v>46488.212071759262</v>
      </c>
      <c r="E1197" t="s">
        <v>1871</v>
      </c>
      <c r="F1197">
        <v>40</v>
      </c>
      <c r="G1197" t="s">
        <v>2168</v>
      </c>
      <c r="I1197" t="str">
        <f t="shared" si="38"/>
        <v>TC0091PE|SN-16326-E3</v>
      </c>
      <c r="J1197" t="str">
        <f t="shared" si="39"/>
        <v>SÍ</v>
      </c>
    </row>
    <row r="1198" spans="1:10" x14ac:dyDescent="0.3">
      <c r="A1198" t="s">
        <v>641</v>
      </c>
      <c r="B1198" t="s">
        <v>810</v>
      </c>
      <c r="C1198" t="s">
        <v>1180</v>
      </c>
      <c r="D1198" s="23">
        <v>46257</v>
      </c>
      <c r="E1198" t="s">
        <v>1872</v>
      </c>
      <c r="F1198">
        <v>35</v>
      </c>
      <c r="G1198" t="s">
        <v>2167</v>
      </c>
      <c r="I1198" t="str">
        <f t="shared" si="38"/>
        <v>TQ0036PE|QP-23525</v>
      </c>
      <c r="J1198" t="str">
        <f t="shared" si="39"/>
        <v>SÍ</v>
      </c>
    </row>
    <row r="1199" spans="1:10" x14ac:dyDescent="0.3">
      <c r="A1199" t="s">
        <v>700</v>
      </c>
      <c r="B1199" t="s">
        <v>869</v>
      </c>
      <c r="C1199" t="s">
        <v>1422</v>
      </c>
      <c r="D1199" s="23">
        <v>46481</v>
      </c>
      <c r="E1199" t="s">
        <v>1873</v>
      </c>
      <c r="F1199">
        <v>2.2652999999999999</v>
      </c>
      <c r="G1199" t="s">
        <v>2184</v>
      </c>
      <c r="I1199" t="str">
        <f t="shared" si="38"/>
        <v>TC0100PE|PACK-17026</v>
      </c>
      <c r="J1199" t="str">
        <f t="shared" si="39"/>
        <v>SÍ</v>
      </c>
    </row>
    <row r="1200" spans="1:10" x14ac:dyDescent="0.3">
      <c r="A1200" t="s">
        <v>701</v>
      </c>
      <c r="B1200" t="s">
        <v>870</v>
      </c>
      <c r="C1200" t="s">
        <v>1423</v>
      </c>
      <c r="D1200" s="23">
        <v>46487</v>
      </c>
      <c r="E1200" t="s">
        <v>1874</v>
      </c>
      <c r="F1200">
        <v>8</v>
      </c>
      <c r="G1200" t="s">
        <v>2174</v>
      </c>
      <c r="I1200" t="str">
        <f t="shared" si="38"/>
        <v>TC0120PE|DUO-17326</v>
      </c>
      <c r="J1200" t="str">
        <f t="shared" si="39"/>
        <v>SÍ</v>
      </c>
    </row>
    <row r="1201" spans="1:10" x14ac:dyDescent="0.3">
      <c r="A1201" t="s">
        <v>588</v>
      </c>
      <c r="B1201" t="s">
        <v>757</v>
      </c>
      <c r="C1201" t="s">
        <v>1144</v>
      </c>
      <c r="D1201" s="23">
        <v>46479.970416666663</v>
      </c>
      <c r="E1201" t="s">
        <v>1875</v>
      </c>
      <c r="F1201">
        <v>80</v>
      </c>
      <c r="G1201" t="s">
        <v>2169</v>
      </c>
      <c r="I1201" t="str">
        <f t="shared" si="38"/>
        <v>TC0086PE|SC-18326-E7</v>
      </c>
      <c r="J1201" t="str">
        <f t="shared" si="39"/>
        <v>SÍ</v>
      </c>
    </row>
    <row r="1202" spans="1:10" x14ac:dyDescent="0.3">
      <c r="A1202" t="s">
        <v>588</v>
      </c>
      <c r="B1202" t="s">
        <v>757</v>
      </c>
      <c r="C1202" t="s">
        <v>1424</v>
      </c>
      <c r="D1202" s="23">
        <v>46509.115694444437</v>
      </c>
      <c r="E1202" t="s">
        <v>1876</v>
      </c>
      <c r="F1202">
        <v>80</v>
      </c>
      <c r="G1202" t="s">
        <v>2169</v>
      </c>
      <c r="I1202" t="str">
        <f t="shared" si="38"/>
        <v>TC0086PE|SC-18326-E8</v>
      </c>
      <c r="J1202" t="str">
        <f t="shared" si="39"/>
        <v>SÍ</v>
      </c>
    </row>
    <row r="1203" spans="1:10" x14ac:dyDescent="0.3">
      <c r="A1203" t="s">
        <v>588</v>
      </c>
      <c r="B1203" t="s">
        <v>757</v>
      </c>
      <c r="C1203" t="s">
        <v>1030</v>
      </c>
      <c r="D1203" s="23">
        <v>46510.173136574071</v>
      </c>
      <c r="E1203" t="s">
        <v>1877</v>
      </c>
      <c r="F1203">
        <v>80</v>
      </c>
      <c r="G1203" t="s">
        <v>2169</v>
      </c>
      <c r="I1203" t="str">
        <f t="shared" si="38"/>
        <v>TC0086PE|SC-18426-E8</v>
      </c>
      <c r="J1203" t="str">
        <f t="shared" si="39"/>
        <v>SÍ</v>
      </c>
    </row>
    <row r="1204" spans="1:10" x14ac:dyDescent="0.3">
      <c r="A1204" t="s">
        <v>588</v>
      </c>
      <c r="B1204" t="s">
        <v>757</v>
      </c>
      <c r="C1204" t="s">
        <v>1144</v>
      </c>
      <c r="D1204" s="23">
        <v>46479.970416666663</v>
      </c>
      <c r="E1204" t="s">
        <v>1878</v>
      </c>
      <c r="F1204">
        <v>40</v>
      </c>
      <c r="G1204" t="s">
        <v>2169</v>
      </c>
      <c r="I1204" t="str">
        <f t="shared" si="38"/>
        <v>TC0086PE|SC-18326-E7</v>
      </c>
      <c r="J1204" t="str">
        <f t="shared" si="39"/>
        <v>SÍ</v>
      </c>
    </row>
    <row r="1205" spans="1:10" x14ac:dyDescent="0.3">
      <c r="A1205" t="s">
        <v>588</v>
      </c>
      <c r="B1205" t="s">
        <v>757</v>
      </c>
      <c r="C1205" t="s">
        <v>1424</v>
      </c>
      <c r="D1205" s="23">
        <v>46509.115694444437</v>
      </c>
      <c r="E1205" t="s">
        <v>1879</v>
      </c>
      <c r="F1205">
        <v>40</v>
      </c>
      <c r="G1205" t="s">
        <v>2169</v>
      </c>
      <c r="I1205" t="str">
        <f t="shared" si="38"/>
        <v>TC0086PE|SC-18326-E8</v>
      </c>
      <c r="J1205" t="str">
        <f t="shared" si="39"/>
        <v>SÍ</v>
      </c>
    </row>
    <row r="1206" spans="1:10" x14ac:dyDescent="0.3">
      <c r="A1206" t="s">
        <v>588</v>
      </c>
      <c r="B1206" t="s">
        <v>757</v>
      </c>
      <c r="C1206" t="s">
        <v>1144</v>
      </c>
      <c r="D1206" s="23">
        <v>46479.970416666663</v>
      </c>
      <c r="E1206" t="s">
        <v>1880</v>
      </c>
      <c r="F1206">
        <v>80</v>
      </c>
      <c r="G1206" t="s">
        <v>2169</v>
      </c>
      <c r="I1206" t="str">
        <f t="shared" si="38"/>
        <v>TC0086PE|SC-18326-E7</v>
      </c>
      <c r="J1206" t="str">
        <f t="shared" si="39"/>
        <v>SÍ</v>
      </c>
    </row>
    <row r="1207" spans="1:10" x14ac:dyDescent="0.3">
      <c r="A1207" t="s">
        <v>588</v>
      </c>
      <c r="B1207" t="s">
        <v>757</v>
      </c>
      <c r="C1207" t="s">
        <v>1144</v>
      </c>
      <c r="D1207" s="23">
        <v>46479.970416666663</v>
      </c>
      <c r="E1207" t="s">
        <v>1881</v>
      </c>
      <c r="F1207">
        <v>40</v>
      </c>
      <c r="G1207" t="s">
        <v>2169</v>
      </c>
      <c r="I1207" t="str">
        <f t="shared" si="38"/>
        <v>TC0086PE|SC-18326-E7</v>
      </c>
      <c r="J1207" t="str">
        <f t="shared" si="39"/>
        <v>SÍ</v>
      </c>
    </row>
    <row r="1208" spans="1:10" x14ac:dyDescent="0.3">
      <c r="A1208" t="s">
        <v>573</v>
      </c>
      <c r="B1208" t="s">
        <v>742</v>
      </c>
      <c r="C1208" t="s">
        <v>996</v>
      </c>
      <c r="D1208" s="23">
        <v>46264.58011574074</v>
      </c>
      <c r="E1208" t="s">
        <v>1882</v>
      </c>
      <c r="F1208">
        <v>11</v>
      </c>
      <c r="G1208" t="s">
        <v>2166</v>
      </c>
      <c r="I1208" t="str">
        <f t="shared" si="38"/>
        <v>TC0103PE|SP-30525</v>
      </c>
      <c r="J1208" t="str">
        <f t="shared" si="39"/>
        <v>SÍ</v>
      </c>
    </row>
    <row r="1209" spans="1:10" x14ac:dyDescent="0.3">
      <c r="A1209" t="s">
        <v>588</v>
      </c>
      <c r="B1209" t="s">
        <v>757</v>
      </c>
      <c r="C1209" t="s">
        <v>1424</v>
      </c>
      <c r="D1209" s="23">
        <v>46509.115694444437</v>
      </c>
      <c r="E1209" t="s">
        <v>1883</v>
      </c>
      <c r="F1209">
        <v>80</v>
      </c>
      <c r="G1209" t="s">
        <v>2169</v>
      </c>
      <c r="I1209" t="str">
        <f t="shared" si="38"/>
        <v>TC0086PE|SC-18326-E8</v>
      </c>
      <c r="J1209" t="str">
        <f t="shared" si="39"/>
        <v>SÍ</v>
      </c>
    </row>
    <row r="1210" spans="1:10" x14ac:dyDescent="0.3">
      <c r="A1210" t="s">
        <v>588</v>
      </c>
      <c r="B1210" t="s">
        <v>757</v>
      </c>
      <c r="C1210" t="s">
        <v>1030</v>
      </c>
      <c r="D1210" s="23">
        <v>46510.173136574071</v>
      </c>
      <c r="E1210" t="s">
        <v>1884</v>
      </c>
      <c r="F1210">
        <v>40</v>
      </c>
      <c r="G1210" t="s">
        <v>2169</v>
      </c>
      <c r="I1210" t="str">
        <f t="shared" si="38"/>
        <v>TC0086PE|SC-18426-E8</v>
      </c>
      <c r="J1210" t="str">
        <f t="shared" si="39"/>
        <v>SÍ</v>
      </c>
    </row>
    <row r="1211" spans="1:10" x14ac:dyDescent="0.3">
      <c r="A1211" t="s">
        <v>588</v>
      </c>
      <c r="B1211" t="s">
        <v>757</v>
      </c>
      <c r="C1211" t="s">
        <v>1424</v>
      </c>
      <c r="D1211" s="23">
        <v>46509.115694444437</v>
      </c>
      <c r="E1211" t="s">
        <v>1884</v>
      </c>
      <c r="F1211">
        <v>40</v>
      </c>
      <c r="G1211" t="s">
        <v>2169</v>
      </c>
      <c r="I1211" t="str">
        <f t="shared" si="38"/>
        <v>TC0086PE|SC-18326-E8</v>
      </c>
      <c r="J1211" t="str">
        <f t="shared" si="39"/>
        <v>SÍ</v>
      </c>
    </row>
    <row r="1212" spans="1:10" x14ac:dyDescent="0.3">
      <c r="A1212" t="s">
        <v>620</v>
      </c>
      <c r="B1212" t="s">
        <v>789</v>
      </c>
      <c r="C1212" t="s">
        <v>1112</v>
      </c>
      <c r="D1212" s="23">
        <v>46487</v>
      </c>
      <c r="E1212" t="s">
        <v>1885</v>
      </c>
      <c r="F1212">
        <v>14</v>
      </c>
      <c r="G1212" t="s">
        <v>2168</v>
      </c>
      <c r="I1212" t="str">
        <f t="shared" si="38"/>
        <v>TC0244PE|SNP-16126-E1</v>
      </c>
      <c r="J1212" t="str">
        <f t="shared" si="39"/>
        <v>SÍ</v>
      </c>
    </row>
    <row r="1213" spans="1:10" x14ac:dyDescent="0.3">
      <c r="A1213" t="s">
        <v>620</v>
      </c>
      <c r="B1213" t="s">
        <v>789</v>
      </c>
      <c r="C1213" t="s">
        <v>1051</v>
      </c>
      <c r="D1213" s="23">
        <v>46515</v>
      </c>
      <c r="E1213" t="s">
        <v>1885</v>
      </c>
      <c r="F1213">
        <v>40</v>
      </c>
      <c r="G1213" t="s">
        <v>2168</v>
      </c>
      <c r="I1213" t="str">
        <f t="shared" si="38"/>
        <v>TC0244PE|SNP-18926-E1</v>
      </c>
      <c r="J1213" t="str">
        <f t="shared" si="39"/>
        <v>SÍ</v>
      </c>
    </row>
    <row r="1214" spans="1:10" x14ac:dyDescent="0.3">
      <c r="A1214" t="s">
        <v>625</v>
      </c>
      <c r="B1214" t="s">
        <v>794</v>
      </c>
      <c r="C1214" t="s">
        <v>1065</v>
      </c>
      <c r="D1214" s="23">
        <v>46519.225289351853</v>
      </c>
      <c r="E1214" t="s">
        <v>1886</v>
      </c>
      <c r="F1214">
        <v>5</v>
      </c>
      <c r="G1214" t="s">
        <v>2168</v>
      </c>
      <c r="I1214" t="str">
        <f t="shared" si="38"/>
        <v>TTS0002PE|TTJ-19326-E4</v>
      </c>
      <c r="J1214" t="str">
        <f t="shared" si="39"/>
        <v>SÍ</v>
      </c>
    </row>
    <row r="1215" spans="1:10" x14ac:dyDescent="0.3">
      <c r="A1215" t="s">
        <v>625</v>
      </c>
      <c r="B1215" t="s">
        <v>794</v>
      </c>
      <c r="C1215" t="s">
        <v>1425</v>
      </c>
      <c r="D1215" s="23">
        <v>46544.010474537034</v>
      </c>
      <c r="E1215" t="s">
        <v>1886</v>
      </c>
      <c r="F1215">
        <v>3</v>
      </c>
      <c r="G1215" t="s">
        <v>2168</v>
      </c>
      <c r="I1215" t="str">
        <f t="shared" si="38"/>
        <v>TTS0002PE|TTJ-21826-E5</v>
      </c>
      <c r="J1215" t="str">
        <f t="shared" si="39"/>
        <v>SÍ</v>
      </c>
    </row>
    <row r="1216" spans="1:10" x14ac:dyDescent="0.3">
      <c r="A1216" t="s">
        <v>620</v>
      </c>
      <c r="B1216" t="s">
        <v>789</v>
      </c>
      <c r="C1216" t="s">
        <v>1051</v>
      </c>
      <c r="D1216" s="23">
        <v>46515</v>
      </c>
      <c r="E1216" t="s">
        <v>1887</v>
      </c>
      <c r="F1216">
        <v>10</v>
      </c>
      <c r="G1216" t="s">
        <v>2168</v>
      </c>
      <c r="I1216" t="str">
        <f t="shared" si="38"/>
        <v>TC0244PE|SNP-18926-E1</v>
      </c>
      <c r="J1216" t="str">
        <f t="shared" si="39"/>
        <v>SÍ</v>
      </c>
    </row>
    <row r="1217" spans="1:10" x14ac:dyDescent="0.3">
      <c r="A1217" t="s">
        <v>607</v>
      </c>
      <c r="B1217" t="s">
        <v>776</v>
      </c>
      <c r="C1217" t="s">
        <v>1272</v>
      </c>
      <c r="D1217" s="23">
        <v>46428.999525462961</v>
      </c>
      <c r="E1217" t="s">
        <v>1888</v>
      </c>
      <c r="F1217">
        <v>5</v>
      </c>
      <c r="G1217" t="s">
        <v>2174</v>
      </c>
      <c r="I1217" t="str">
        <f t="shared" si="38"/>
        <v>TC0115PE|DUO-13426-E11</v>
      </c>
      <c r="J1217" t="str">
        <f t="shared" si="39"/>
        <v>SÍ</v>
      </c>
    </row>
    <row r="1218" spans="1:10" x14ac:dyDescent="0.3">
      <c r="A1218" t="s">
        <v>607</v>
      </c>
      <c r="B1218" t="s">
        <v>776</v>
      </c>
      <c r="C1218" t="s">
        <v>1426</v>
      </c>
      <c r="D1218" s="23">
        <v>46483</v>
      </c>
      <c r="E1218" t="s">
        <v>1889</v>
      </c>
      <c r="F1218">
        <v>3</v>
      </c>
      <c r="G1218" t="s">
        <v>2174</v>
      </c>
      <c r="I1218" t="str">
        <f t="shared" si="38"/>
        <v>TC0115PE|DUO-18326</v>
      </c>
      <c r="J1218" t="str">
        <f t="shared" si="39"/>
        <v>SÍ</v>
      </c>
    </row>
    <row r="1219" spans="1:10" x14ac:dyDescent="0.3">
      <c r="A1219" t="s">
        <v>607</v>
      </c>
      <c r="B1219" t="s">
        <v>776</v>
      </c>
      <c r="C1219" t="s">
        <v>1265</v>
      </c>
      <c r="D1219" s="23">
        <v>46356.199907407397</v>
      </c>
      <c r="E1219" t="s">
        <v>1889</v>
      </c>
      <c r="F1219">
        <v>1</v>
      </c>
      <c r="G1219" t="s">
        <v>2174</v>
      </c>
      <c r="I1219" t="str">
        <f t="shared" si="38"/>
        <v>TC0115PE|DUO-11326-E11</v>
      </c>
      <c r="J1219" t="str">
        <f t="shared" si="39"/>
        <v>SÍ</v>
      </c>
    </row>
    <row r="1220" spans="1:10" x14ac:dyDescent="0.3">
      <c r="A1220" t="s">
        <v>607</v>
      </c>
      <c r="B1220" t="s">
        <v>776</v>
      </c>
      <c r="C1220" t="s">
        <v>1427</v>
      </c>
      <c r="D1220" s="23">
        <v>46428.232754629629</v>
      </c>
      <c r="E1220" t="s">
        <v>1890</v>
      </c>
      <c r="F1220">
        <v>2</v>
      </c>
      <c r="G1220" t="s">
        <v>2174</v>
      </c>
      <c r="I1220" t="str">
        <f t="shared" si="38"/>
        <v>TC0115PE|DUO-13526-E11</v>
      </c>
      <c r="J1220" t="str">
        <f t="shared" si="39"/>
        <v>SÍ</v>
      </c>
    </row>
    <row r="1221" spans="1:10" x14ac:dyDescent="0.3">
      <c r="A1221" t="s">
        <v>586</v>
      </c>
      <c r="B1221" t="s">
        <v>755</v>
      </c>
      <c r="C1221" t="s">
        <v>1054</v>
      </c>
      <c r="D1221" s="23">
        <v>46516</v>
      </c>
      <c r="E1221" t="s">
        <v>1891</v>
      </c>
      <c r="F1221">
        <v>7</v>
      </c>
      <c r="G1221" t="s">
        <v>2169</v>
      </c>
      <c r="I1221" t="str">
        <f t="shared" si="38"/>
        <v>TC0082PE|SN-20426-E7</v>
      </c>
      <c r="J1221" t="str">
        <f t="shared" si="39"/>
        <v>SÍ</v>
      </c>
    </row>
    <row r="1222" spans="1:10" x14ac:dyDescent="0.3">
      <c r="A1222" t="s">
        <v>586</v>
      </c>
      <c r="B1222" t="s">
        <v>755</v>
      </c>
      <c r="C1222" t="s">
        <v>1104</v>
      </c>
      <c r="D1222" s="23">
        <v>46482.754525462973</v>
      </c>
      <c r="E1222" t="s">
        <v>1891</v>
      </c>
      <c r="F1222">
        <v>12</v>
      </c>
      <c r="G1222" t="s">
        <v>2169</v>
      </c>
      <c r="I1222" t="str">
        <f t="shared" si="38"/>
        <v>TC0082PE|SN-16026-E3</v>
      </c>
      <c r="J1222" t="str">
        <f t="shared" si="39"/>
        <v>SÍ</v>
      </c>
    </row>
    <row r="1223" spans="1:10" x14ac:dyDescent="0.3">
      <c r="A1223" t="s">
        <v>607</v>
      </c>
      <c r="B1223" t="s">
        <v>776</v>
      </c>
      <c r="C1223" t="s">
        <v>1427</v>
      </c>
      <c r="D1223" s="23">
        <v>46428.232754629629</v>
      </c>
      <c r="E1223" t="s">
        <v>1891</v>
      </c>
      <c r="F1223">
        <v>1</v>
      </c>
      <c r="G1223" t="s">
        <v>2174</v>
      </c>
      <c r="I1223" t="str">
        <f t="shared" si="38"/>
        <v>TC0115PE|DUO-13526-E11</v>
      </c>
      <c r="J1223" t="str">
        <f t="shared" si="39"/>
        <v>SÍ</v>
      </c>
    </row>
    <row r="1224" spans="1:10" x14ac:dyDescent="0.3">
      <c r="A1224" t="s">
        <v>595</v>
      </c>
      <c r="B1224" t="s">
        <v>764</v>
      </c>
      <c r="C1224" t="s">
        <v>1380</v>
      </c>
      <c r="D1224" s="23">
        <v>46554.13490740741</v>
      </c>
      <c r="E1224" t="s">
        <v>1892</v>
      </c>
      <c r="F1224">
        <v>36</v>
      </c>
      <c r="G1224" t="s">
        <v>2168</v>
      </c>
      <c r="I1224" t="str">
        <f t="shared" si="38"/>
        <v>TC0058PE|SC-22826-E7</v>
      </c>
      <c r="J1224" t="str">
        <f t="shared" si="39"/>
        <v>SÍ</v>
      </c>
    </row>
    <row r="1225" spans="1:10" x14ac:dyDescent="0.3">
      <c r="A1225" t="s">
        <v>619</v>
      </c>
      <c r="B1225" t="s">
        <v>788</v>
      </c>
      <c r="C1225" t="s">
        <v>1309</v>
      </c>
      <c r="D1225" s="23">
        <v>46541</v>
      </c>
      <c r="E1225" t="s">
        <v>1893</v>
      </c>
      <c r="F1225">
        <v>30</v>
      </c>
      <c r="G1225" t="s">
        <v>2176</v>
      </c>
      <c r="I1225" t="str">
        <f t="shared" si="38"/>
        <v>TC0242PE|SN-21526-E1</v>
      </c>
      <c r="J1225" t="str">
        <f t="shared" si="39"/>
        <v>SÍ</v>
      </c>
    </row>
    <row r="1226" spans="1:10" x14ac:dyDescent="0.3">
      <c r="A1226" t="s">
        <v>595</v>
      </c>
      <c r="B1226" t="s">
        <v>764</v>
      </c>
      <c r="C1226" t="s">
        <v>1381</v>
      </c>
      <c r="D1226" s="23">
        <v>46553</v>
      </c>
      <c r="E1226" t="s">
        <v>1894</v>
      </c>
      <c r="F1226">
        <v>40</v>
      </c>
      <c r="G1226" t="s">
        <v>2168</v>
      </c>
      <c r="I1226" t="str">
        <f t="shared" si="38"/>
        <v>TC0058PE|SC-22726-E7</v>
      </c>
      <c r="J1226" t="str">
        <f t="shared" si="39"/>
        <v>SÍ</v>
      </c>
    </row>
    <row r="1227" spans="1:10" x14ac:dyDescent="0.3">
      <c r="A1227" t="s">
        <v>586</v>
      </c>
      <c r="B1227" t="s">
        <v>755</v>
      </c>
      <c r="C1227" t="s">
        <v>1104</v>
      </c>
      <c r="D1227" s="23">
        <v>46482.754525462973</v>
      </c>
      <c r="E1227" t="s">
        <v>1895</v>
      </c>
      <c r="F1227">
        <v>7</v>
      </c>
      <c r="G1227" t="s">
        <v>2169</v>
      </c>
      <c r="I1227" t="str">
        <f t="shared" si="38"/>
        <v>TC0082PE|SN-16026-E3</v>
      </c>
      <c r="J1227" t="str">
        <f t="shared" si="39"/>
        <v>SÍ</v>
      </c>
    </row>
    <row r="1228" spans="1:10" x14ac:dyDescent="0.3">
      <c r="A1228" t="s">
        <v>573</v>
      </c>
      <c r="B1228" t="s">
        <v>742</v>
      </c>
      <c r="C1228" t="s">
        <v>996</v>
      </c>
      <c r="D1228" s="23">
        <v>46264.58011574074</v>
      </c>
      <c r="E1228" t="s">
        <v>1896</v>
      </c>
      <c r="F1228">
        <v>40</v>
      </c>
      <c r="G1228" t="s">
        <v>2166</v>
      </c>
      <c r="I1228" t="str">
        <f t="shared" si="38"/>
        <v>TC0103PE|SP-30525</v>
      </c>
      <c r="J1228" t="str">
        <f t="shared" si="39"/>
        <v>SÍ</v>
      </c>
    </row>
    <row r="1229" spans="1:10" x14ac:dyDescent="0.3">
      <c r="A1229" t="s">
        <v>586</v>
      </c>
      <c r="B1229" t="s">
        <v>755</v>
      </c>
      <c r="C1229" t="s">
        <v>1087</v>
      </c>
      <c r="D1229" s="23">
        <v>46463.193379629629</v>
      </c>
      <c r="E1229" t="s">
        <v>1897</v>
      </c>
      <c r="F1229">
        <v>80</v>
      </c>
      <c r="G1229" t="s">
        <v>2169</v>
      </c>
      <c r="I1229" t="str">
        <f t="shared" si="38"/>
        <v>TC0082PE|SN-14126-E8</v>
      </c>
      <c r="J1229" t="str">
        <f t="shared" si="39"/>
        <v>SÍ</v>
      </c>
    </row>
    <row r="1230" spans="1:10" x14ac:dyDescent="0.3">
      <c r="A1230" t="s">
        <v>578</v>
      </c>
      <c r="B1230" t="s">
        <v>747</v>
      </c>
      <c r="C1230" t="s">
        <v>932</v>
      </c>
      <c r="D1230" s="23">
        <v>46434.201840277783</v>
      </c>
      <c r="E1230" t="s">
        <v>1898</v>
      </c>
      <c r="F1230">
        <v>32</v>
      </c>
      <c r="G1230" t="s">
        <v>2168</v>
      </c>
      <c r="I1230" t="str">
        <f t="shared" si="38"/>
        <v>TC0091PE|SN-11226-E4</v>
      </c>
      <c r="J1230" t="str">
        <f t="shared" si="39"/>
        <v>SÍ</v>
      </c>
    </row>
    <row r="1231" spans="1:10" x14ac:dyDescent="0.3">
      <c r="A1231" t="s">
        <v>586</v>
      </c>
      <c r="B1231" t="s">
        <v>755</v>
      </c>
      <c r="C1231" t="s">
        <v>1087</v>
      </c>
      <c r="D1231" s="23">
        <v>46463.193379629629</v>
      </c>
      <c r="E1231" t="s">
        <v>1899</v>
      </c>
      <c r="F1231">
        <v>10</v>
      </c>
      <c r="G1231" t="s">
        <v>2169</v>
      </c>
      <c r="I1231" t="str">
        <f t="shared" si="38"/>
        <v>TC0082PE|SN-14126-E8</v>
      </c>
      <c r="J1231" t="str">
        <f t="shared" si="39"/>
        <v>SÍ</v>
      </c>
    </row>
    <row r="1232" spans="1:10" x14ac:dyDescent="0.3">
      <c r="A1232" t="s">
        <v>586</v>
      </c>
      <c r="B1232" t="s">
        <v>755</v>
      </c>
      <c r="C1232" t="s">
        <v>1025</v>
      </c>
      <c r="D1232" s="23">
        <v>46464.190763888888</v>
      </c>
      <c r="E1232" t="s">
        <v>1899</v>
      </c>
      <c r="F1232">
        <v>40</v>
      </c>
      <c r="G1232" t="s">
        <v>2169</v>
      </c>
      <c r="I1232" t="str">
        <f t="shared" si="38"/>
        <v>TC0082PE|SN-14226-E8</v>
      </c>
      <c r="J1232" t="str">
        <f t="shared" si="39"/>
        <v>SÍ</v>
      </c>
    </row>
    <row r="1233" spans="1:10" x14ac:dyDescent="0.3">
      <c r="A1233" t="s">
        <v>578</v>
      </c>
      <c r="B1233" t="s">
        <v>747</v>
      </c>
      <c r="C1233" t="s">
        <v>1417</v>
      </c>
      <c r="D1233" s="23">
        <v>46434.19604166667</v>
      </c>
      <c r="E1233" t="s">
        <v>1900</v>
      </c>
      <c r="F1233">
        <v>32</v>
      </c>
      <c r="G1233" t="s">
        <v>2168</v>
      </c>
      <c r="I1233" t="str">
        <f t="shared" si="38"/>
        <v>TC0091PE|SN-11226-E2</v>
      </c>
      <c r="J1233" t="str">
        <f t="shared" si="39"/>
        <v>SÍ</v>
      </c>
    </row>
    <row r="1234" spans="1:10" x14ac:dyDescent="0.3">
      <c r="A1234" t="s">
        <v>618</v>
      </c>
      <c r="B1234" t="s">
        <v>787</v>
      </c>
      <c r="C1234" t="s">
        <v>1141</v>
      </c>
      <c r="D1234" s="23">
        <v>46500</v>
      </c>
      <c r="E1234" t="s">
        <v>1901</v>
      </c>
      <c r="F1234">
        <v>18</v>
      </c>
      <c r="G1234" t="s">
        <v>2166</v>
      </c>
      <c r="I1234" t="str">
        <f t="shared" ref="I1234:I1297" si="40">IF(A1234="","",A1234&amp;"|"&amp;C1234)</f>
        <v>TC0028PE|SP-17426-E7</v>
      </c>
      <c r="J1234" t="str">
        <f t="shared" ref="J1234:J1297" si="41">IF(A1234&lt;&gt;"","SÍ","NO")</f>
        <v>SÍ</v>
      </c>
    </row>
    <row r="1235" spans="1:10" x14ac:dyDescent="0.3">
      <c r="A1235" t="s">
        <v>682</v>
      </c>
      <c r="B1235" t="s">
        <v>851</v>
      </c>
      <c r="C1235" t="s">
        <v>1319</v>
      </c>
      <c r="D1235" s="23">
        <v>46544</v>
      </c>
      <c r="E1235" t="s">
        <v>1902</v>
      </c>
      <c r="F1235">
        <v>40</v>
      </c>
      <c r="G1235" t="s">
        <v>2168</v>
      </c>
      <c r="I1235" t="str">
        <f t="shared" si="40"/>
        <v>TTS0001PE|TTN-21826-E4</v>
      </c>
      <c r="J1235" t="str">
        <f t="shared" si="41"/>
        <v>SÍ</v>
      </c>
    </row>
    <row r="1236" spans="1:10" x14ac:dyDescent="0.3">
      <c r="A1236" t="s">
        <v>583</v>
      </c>
      <c r="B1236" t="s">
        <v>752</v>
      </c>
      <c r="C1236" t="s">
        <v>1428</v>
      </c>
      <c r="D1236" s="23">
        <v>46542</v>
      </c>
      <c r="E1236" t="s">
        <v>1903</v>
      </c>
      <c r="F1236">
        <v>39</v>
      </c>
      <c r="G1236" t="s">
        <v>2166</v>
      </c>
      <c r="I1236" t="str">
        <f t="shared" si="40"/>
        <v>TC0016PE|SN-21626-E4</v>
      </c>
      <c r="J1236" t="str">
        <f t="shared" si="41"/>
        <v>SÍ</v>
      </c>
    </row>
    <row r="1237" spans="1:10" x14ac:dyDescent="0.3">
      <c r="A1237" t="s">
        <v>687</v>
      </c>
      <c r="B1237" t="s">
        <v>856</v>
      </c>
      <c r="C1237" t="s">
        <v>1048</v>
      </c>
      <c r="D1237" s="23">
        <v>46514</v>
      </c>
      <c r="E1237" t="s">
        <v>1904</v>
      </c>
      <c r="F1237">
        <v>24</v>
      </c>
      <c r="G1237" t="s">
        <v>2174</v>
      </c>
      <c r="I1237" t="str">
        <f t="shared" si="40"/>
        <v>TC0222PE|SN-18826-E1</v>
      </c>
      <c r="J1237" t="str">
        <f t="shared" si="41"/>
        <v>SÍ</v>
      </c>
    </row>
    <row r="1238" spans="1:10" x14ac:dyDescent="0.3">
      <c r="A1238" t="s">
        <v>583</v>
      </c>
      <c r="B1238" t="s">
        <v>752</v>
      </c>
      <c r="C1238" t="s">
        <v>1338</v>
      </c>
      <c r="D1238" s="23">
        <v>46543.1953587963</v>
      </c>
      <c r="E1238" t="s">
        <v>1905</v>
      </c>
      <c r="F1238">
        <v>9</v>
      </c>
      <c r="G1238" t="s">
        <v>2166</v>
      </c>
      <c r="I1238" t="str">
        <f t="shared" si="40"/>
        <v>TC0016PE|SN-21726-E4</v>
      </c>
      <c r="J1238" t="str">
        <f t="shared" si="41"/>
        <v>SÍ</v>
      </c>
    </row>
    <row r="1239" spans="1:10" x14ac:dyDescent="0.3">
      <c r="A1239" t="s">
        <v>583</v>
      </c>
      <c r="B1239" t="s">
        <v>752</v>
      </c>
      <c r="C1239" t="s">
        <v>1355</v>
      </c>
      <c r="D1239" s="23">
        <v>46543.198368055557</v>
      </c>
      <c r="E1239" t="s">
        <v>1905</v>
      </c>
      <c r="F1239">
        <v>40</v>
      </c>
      <c r="G1239" t="s">
        <v>2166</v>
      </c>
      <c r="I1239" t="str">
        <f t="shared" si="40"/>
        <v>TC0016PE|SN-21726-E5</v>
      </c>
      <c r="J1239" t="str">
        <f t="shared" si="41"/>
        <v>SÍ</v>
      </c>
    </row>
    <row r="1240" spans="1:10" x14ac:dyDescent="0.3">
      <c r="A1240" t="s">
        <v>583</v>
      </c>
      <c r="B1240" t="s">
        <v>752</v>
      </c>
      <c r="C1240" t="s">
        <v>1338</v>
      </c>
      <c r="D1240" s="23">
        <v>46543.1953587963</v>
      </c>
      <c r="E1240" t="s">
        <v>1906</v>
      </c>
      <c r="F1240">
        <v>18</v>
      </c>
      <c r="G1240" t="s">
        <v>2166</v>
      </c>
      <c r="I1240" t="str">
        <f t="shared" si="40"/>
        <v>TC0016PE|SN-21726-E4</v>
      </c>
      <c r="J1240" t="str">
        <f t="shared" si="41"/>
        <v>SÍ</v>
      </c>
    </row>
    <row r="1241" spans="1:10" x14ac:dyDescent="0.3">
      <c r="A1241" t="s">
        <v>583</v>
      </c>
      <c r="B1241" t="s">
        <v>752</v>
      </c>
      <c r="C1241" t="s">
        <v>1318</v>
      </c>
      <c r="D1241" s="23">
        <v>46543</v>
      </c>
      <c r="E1241" t="s">
        <v>1906</v>
      </c>
      <c r="F1241">
        <v>40</v>
      </c>
      <c r="G1241" t="s">
        <v>2166</v>
      </c>
      <c r="I1241" t="str">
        <f t="shared" si="40"/>
        <v>TC0016PE|SN-21726-E2</v>
      </c>
      <c r="J1241" t="str">
        <f t="shared" si="41"/>
        <v>SÍ</v>
      </c>
    </row>
    <row r="1242" spans="1:10" x14ac:dyDescent="0.3">
      <c r="A1242" t="s">
        <v>583</v>
      </c>
      <c r="B1242" t="s">
        <v>752</v>
      </c>
      <c r="C1242" t="s">
        <v>1355</v>
      </c>
      <c r="D1242" s="23">
        <v>46543.198368055557</v>
      </c>
      <c r="E1242" t="s">
        <v>1907</v>
      </c>
      <c r="F1242">
        <v>30</v>
      </c>
      <c r="G1242" t="s">
        <v>2166</v>
      </c>
      <c r="I1242" t="str">
        <f t="shared" si="40"/>
        <v>TC0016PE|SN-21726-E5</v>
      </c>
      <c r="J1242" t="str">
        <f t="shared" si="41"/>
        <v>SÍ</v>
      </c>
    </row>
    <row r="1243" spans="1:10" x14ac:dyDescent="0.3">
      <c r="A1243" t="s">
        <v>583</v>
      </c>
      <c r="B1243" t="s">
        <v>752</v>
      </c>
      <c r="C1243" t="s">
        <v>1318</v>
      </c>
      <c r="D1243" s="23">
        <v>46543</v>
      </c>
      <c r="E1243" t="s">
        <v>1907</v>
      </c>
      <c r="F1243">
        <v>40</v>
      </c>
      <c r="G1243" t="s">
        <v>2166</v>
      </c>
      <c r="I1243" t="str">
        <f t="shared" si="40"/>
        <v>TC0016PE|SN-21726-E2</v>
      </c>
      <c r="J1243" t="str">
        <f t="shared" si="41"/>
        <v>SÍ</v>
      </c>
    </row>
    <row r="1244" spans="1:10" x14ac:dyDescent="0.3">
      <c r="A1244" t="s">
        <v>583</v>
      </c>
      <c r="B1244" t="s">
        <v>752</v>
      </c>
      <c r="C1244" t="s">
        <v>1429</v>
      </c>
      <c r="D1244" s="23">
        <v>46542</v>
      </c>
      <c r="E1244" t="s">
        <v>1908</v>
      </c>
      <c r="F1244">
        <v>80</v>
      </c>
      <c r="G1244" t="s">
        <v>2166</v>
      </c>
      <c r="I1244" t="str">
        <f t="shared" si="40"/>
        <v>TC0016PE|SN-21626-E3</v>
      </c>
      <c r="J1244" t="str">
        <f t="shared" si="41"/>
        <v>SÍ</v>
      </c>
    </row>
    <row r="1245" spans="1:10" x14ac:dyDescent="0.3">
      <c r="A1245" t="s">
        <v>583</v>
      </c>
      <c r="B1245" t="s">
        <v>752</v>
      </c>
      <c r="C1245" t="s">
        <v>1429</v>
      </c>
      <c r="D1245" s="23">
        <v>46542</v>
      </c>
      <c r="E1245" t="s">
        <v>1909</v>
      </c>
      <c r="F1245">
        <v>15</v>
      </c>
      <c r="G1245" t="s">
        <v>2166</v>
      </c>
      <c r="I1245" t="str">
        <f t="shared" si="40"/>
        <v>TC0016PE|SN-21626-E3</v>
      </c>
      <c r="J1245" t="str">
        <f t="shared" si="41"/>
        <v>SÍ</v>
      </c>
    </row>
    <row r="1246" spans="1:10" x14ac:dyDescent="0.3">
      <c r="A1246" t="s">
        <v>583</v>
      </c>
      <c r="B1246" t="s">
        <v>752</v>
      </c>
      <c r="C1246" t="s">
        <v>1312</v>
      </c>
      <c r="D1246" s="23">
        <v>46543.189641203702</v>
      </c>
      <c r="E1246" t="s">
        <v>1909</v>
      </c>
      <c r="F1246">
        <v>50</v>
      </c>
      <c r="G1246" t="s">
        <v>2166</v>
      </c>
      <c r="I1246" t="str">
        <f t="shared" si="40"/>
        <v>TC0016PE|SN-21726-E3</v>
      </c>
      <c r="J1246" t="str">
        <f t="shared" si="41"/>
        <v>SÍ</v>
      </c>
    </row>
    <row r="1247" spans="1:10" x14ac:dyDescent="0.3">
      <c r="A1247" t="s">
        <v>677</v>
      </c>
      <c r="B1247" t="s">
        <v>846</v>
      </c>
      <c r="C1247" t="s">
        <v>1430</v>
      </c>
      <c r="D1247" s="23">
        <v>46577.965520833342</v>
      </c>
      <c r="E1247" t="s">
        <v>1910</v>
      </c>
      <c r="F1247">
        <v>37</v>
      </c>
      <c r="G1247" t="s">
        <v>2167</v>
      </c>
      <c r="I1247" t="str">
        <f t="shared" si="40"/>
        <v>TQ0041PE|QP-19026-E10</v>
      </c>
      <c r="J1247" t="str">
        <f t="shared" si="41"/>
        <v>SÍ</v>
      </c>
    </row>
    <row r="1248" spans="1:10" x14ac:dyDescent="0.3">
      <c r="A1248" t="s">
        <v>583</v>
      </c>
      <c r="B1248" t="s">
        <v>752</v>
      </c>
      <c r="C1248" t="s">
        <v>1312</v>
      </c>
      <c r="D1248" s="23">
        <v>46543.189641203702</v>
      </c>
      <c r="E1248" t="s">
        <v>1911</v>
      </c>
      <c r="F1248">
        <v>40</v>
      </c>
      <c r="G1248" t="s">
        <v>2166</v>
      </c>
      <c r="I1248" t="str">
        <f t="shared" si="40"/>
        <v>TC0016PE|SN-21726-E3</v>
      </c>
      <c r="J1248" t="str">
        <f t="shared" si="41"/>
        <v>SÍ</v>
      </c>
    </row>
    <row r="1249" spans="1:10" x14ac:dyDescent="0.3">
      <c r="A1249" t="s">
        <v>583</v>
      </c>
      <c r="B1249" t="s">
        <v>752</v>
      </c>
      <c r="C1249" t="s">
        <v>1355</v>
      </c>
      <c r="D1249" s="23">
        <v>46543.198368055557</v>
      </c>
      <c r="E1249" t="s">
        <v>1911</v>
      </c>
      <c r="F1249">
        <v>40</v>
      </c>
      <c r="G1249" t="s">
        <v>2166</v>
      </c>
      <c r="I1249" t="str">
        <f t="shared" si="40"/>
        <v>TC0016PE|SN-21726-E5</v>
      </c>
      <c r="J1249" t="str">
        <f t="shared" si="41"/>
        <v>SÍ</v>
      </c>
    </row>
    <row r="1250" spans="1:10" x14ac:dyDescent="0.3">
      <c r="A1250" t="s">
        <v>583</v>
      </c>
      <c r="B1250" t="s">
        <v>752</v>
      </c>
      <c r="C1250" t="s">
        <v>1431</v>
      </c>
      <c r="D1250" s="23">
        <v>46543.076979166668</v>
      </c>
      <c r="E1250" t="s">
        <v>1912</v>
      </c>
      <c r="F1250">
        <v>80</v>
      </c>
      <c r="G1250" t="s">
        <v>2166</v>
      </c>
      <c r="I1250" t="str">
        <f t="shared" si="40"/>
        <v>TC0016PE|SN-21726-E1</v>
      </c>
      <c r="J1250" t="str">
        <f t="shared" si="41"/>
        <v>SÍ</v>
      </c>
    </row>
    <row r="1251" spans="1:10" x14ac:dyDescent="0.3">
      <c r="A1251" t="s">
        <v>592</v>
      </c>
      <c r="B1251" t="s">
        <v>761</v>
      </c>
      <c r="C1251" t="s">
        <v>1141</v>
      </c>
      <c r="D1251" s="23">
        <v>46500</v>
      </c>
      <c r="E1251" t="s">
        <v>1913</v>
      </c>
      <c r="F1251">
        <v>22</v>
      </c>
      <c r="G1251" t="s">
        <v>2168</v>
      </c>
      <c r="I1251" t="str">
        <f t="shared" si="40"/>
        <v>TC0113PE|SP-17426-E7</v>
      </c>
      <c r="J1251" t="str">
        <f t="shared" si="41"/>
        <v>SÍ</v>
      </c>
    </row>
    <row r="1252" spans="1:10" x14ac:dyDescent="0.3">
      <c r="A1252" t="s">
        <v>670</v>
      </c>
      <c r="B1252" t="s">
        <v>839</v>
      </c>
      <c r="C1252" t="s">
        <v>1200</v>
      </c>
      <c r="D1252" s="23">
        <v>46499.996932870366</v>
      </c>
      <c r="E1252" t="s">
        <v>1914</v>
      </c>
      <c r="F1252">
        <v>5</v>
      </c>
      <c r="G1252" t="s">
        <v>2170</v>
      </c>
      <c r="I1252" t="str">
        <f t="shared" si="40"/>
        <v>BS0002PE|BP-13526-E5</v>
      </c>
      <c r="J1252" t="str">
        <f t="shared" si="41"/>
        <v>SÍ</v>
      </c>
    </row>
    <row r="1253" spans="1:10" x14ac:dyDescent="0.3">
      <c r="A1253" t="s">
        <v>666</v>
      </c>
      <c r="B1253" t="s">
        <v>835</v>
      </c>
      <c r="C1253" t="s">
        <v>1432</v>
      </c>
      <c r="D1253" s="23">
        <v>46556</v>
      </c>
      <c r="E1253" t="s">
        <v>1915</v>
      </c>
      <c r="F1253">
        <v>40</v>
      </c>
      <c r="G1253" t="s">
        <v>2169</v>
      </c>
      <c r="I1253" t="str">
        <f t="shared" si="40"/>
        <v>TQ0042PE|QN-16926-E10</v>
      </c>
      <c r="J1253" t="str">
        <f t="shared" si="41"/>
        <v>SÍ</v>
      </c>
    </row>
    <row r="1254" spans="1:10" x14ac:dyDescent="0.3">
      <c r="A1254" t="s">
        <v>702</v>
      </c>
      <c r="B1254" t="s">
        <v>871</v>
      </c>
      <c r="C1254" t="s">
        <v>1433</v>
      </c>
      <c r="D1254" s="23">
        <v>46500</v>
      </c>
      <c r="E1254" t="s">
        <v>1916</v>
      </c>
      <c r="F1254">
        <v>10</v>
      </c>
      <c r="G1254" t="s">
        <v>2176</v>
      </c>
      <c r="I1254" t="str">
        <f t="shared" si="40"/>
        <v>TC0129PE|SP-17426-E5</v>
      </c>
      <c r="J1254" t="str">
        <f t="shared" si="41"/>
        <v>SÍ</v>
      </c>
    </row>
    <row r="1255" spans="1:10" x14ac:dyDescent="0.3">
      <c r="A1255" t="s">
        <v>589</v>
      </c>
      <c r="B1255" t="s">
        <v>758</v>
      </c>
      <c r="C1255" t="s">
        <v>1434</v>
      </c>
      <c r="D1255" s="23">
        <v>46604.174768518518</v>
      </c>
      <c r="E1255" t="s">
        <v>1917</v>
      </c>
      <c r="F1255">
        <v>40</v>
      </c>
      <c r="G1255" t="s">
        <v>2167</v>
      </c>
      <c r="I1255" t="str">
        <f t="shared" si="40"/>
        <v>TQ0034PE|QB-21726-E10</v>
      </c>
      <c r="J1255" t="str">
        <f t="shared" si="41"/>
        <v>SÍ</v>
      </c>
    </row>
    <row r="1256" spans="1:10" x14ac:dyDescent="0.3">
      <c r="A1256" t="s">
        <v>589</v>
      </c>
      <c r="B1256" t="s">
        <v>758</v>
      </c>
      <c r="C1256" t="s">
        <v>1434</v>
      </c>
      <c r="D1256" s="23">
        <v>46604.174768518518</v>
      </c>
      <c r="E1256" t="s">
        <v>1918</v>
      </c>
      <c r="F1256">
        <v>36</v>
      </c>
      <c r="G1256" t="s">
        <v>2167</v>
      </c>
      <c r="I1256" t="str">
        <f t="shared" si="40"/>
        <v>TQ0034PE|QB-21726-E10</v>
      </c>
      <c r="J1256" t="str">
        <f t="shared" si="41"/>
        <v>SÍ</v>
      </c>
    </row>
    <row r="1257" spans="1:10" x14ac:dyDescent="0.3">
      <c r="A1257" t="s">
        <v>638</v>
      </c>
      <c r="B1257" t="s">
        <v>807</v>
      </c>
      <c r="C1257" t="s">
        <v>1030</v>
      </c>
      <c r="D1257" s="23">
        <v>46510</v>
      </c>
      <c r="E1257" t="s">
        <v>1919</v>
      </c>
      <c r="F1257">
        <v>4</v>
      </c>
      <c r="G1257" t="s">
        <v>2166</v>
      </c>
      <c r="I1257" t="str">
        <f t="shared" si="40"/>
        <v>TC0003PE|SC-18426-E8</v>
      </c>
      <c r="J1257" t="str">
        <f t="shared" si="41"/>
        <v>SÍ</v>
      </c>
    </row>
    <row r="1258" spans="1:10" x14ac:dyDescent="0.3">
      <c r="A1258" t="s">
        <v>703</v>
      </c>
      <c r="B1258" t="s">
        <v>872</v>
      </c>
      <c r="C1258" t="s">
        <v>1435</v>
      </c>
      <c r="D1258" s="23">
        <v>46511.170972222222</v>
      </c>
      <c r="E1258" t="s">
        <v>1920</v>
      </c>
      <c r="F1258">
        <v>12</v>
      </c>
      <c r="G1258" t="s">
        <v>2169</v>
      </c>
      <c r="I1258" t="str">
        <f t="shared" si="40"/>
        <v>TC0083PE|SN-18926-E2</v>
      </c>
      <c r="J1258" t="str">
        <f t="shared" si="41"/>
        <v>SÍ</v>
      </c>
    </row>
    <row r="1259" spans="1:10" x14ac:dyDescent="0.3">
      <c r="A1259" t="s">
        <v>704</v>
      </c>
      <c r="B1259" t="s">
        <v>873</v>
      </c>
      <c r="C1259" t="s">
        <v>1189</v>
      </c>
      <c r="D1259" s="23">
        <v>46556</v>
      </c>
      <c r="E1259" t="s">
        <v>1921</v>
      </c>
      <c r="F1259">
        <v>6</v>
      </c>
      <c r="G1259" t="s">
        <v>2167</v>
      </c>
      <c r="I1259" t="str">
        <f t="shared" si="40"/>
        <v>TQ0039PE|QB-16926-E10</v>
      </c>
      <c r="J1259" t="str">
        <f t="shared" si="41"/>
        <v>SÍ</v>
      </c>
    </row>
    <row r="1260" spans="1:10" x14ac:dyDescent="0.3">
      <c r="A1260" t="s">
        <v>613</v>
      </c>
      <c r="B1260" t="s">
        <v>782</v>
      </c>
      <c r="C1260" t="s">
        <v>1436</v>
      </c>
      <c r="D1260" s="23">
        <v>46496</v>
      </c>
      <c r="E1260" t="s">
        <v>1921</v>
      </c>
      <c r="F1260">
        <v>3</v>
      </c>
      <c r="G1260" t="s">
        <v>2175</v>
      </c>
      <c r="I1260" t="str">
        <f t="shared" si="40"/>
        <v>TC0201PE|TIY-17426-E5</v>
      </c>
      <c r="J1260" t="str">
        <f t="shared" si="41"/>
        <v>SÍ</v>
      </c>
    </row>
    <row r="1261" spans="1:10" x14ac:dyDescent="0.3">
      <c r="A1261" t="s">
        <v>613</v>
      </c>
      <c r="B1261" t="s">
        <v>782</v>
      </c>
      <c r="C1261" t="s">
        <v>1073</v>
      </c>
      <c r="D1261" s="23">
        <v>46521.700069444443</v>
      </c>
      <c r="E1261" t="s">
        <v>1922</v>
      </c>
      <c r="F1261">
        <v>80</v>
      </c>
      <c r="G1261" t="s">
        <v>2175</v>
      </c>
      <c r="I1261" t="str">
        <f t="shared" si="40"/>
        <v>TC0201PE|TIY-19826-E7</v>
      </c>
      <c r="J1261" t="str">
        <f t="shared" si="41"/>
        <v>SÍ</v>
      </c>
    </row>
    <row r="1262" spans="1:10" x14ac:dyDescent="0.3">
      <c r="A1262" t="s">
        <v>591</v>
      </c>
      <c r="B1262" t="s">
        <v>760</v>
      </c>
      <c r="C1262" t="s">
        <v>1420</v>
      </c>
      <c r="D1262" s="23">
        <v>46510</v>
      </c>
      <c r="E1262" t="s">
        <v>1923</v>
      </c>
      <c r="F1262">
        <v>40</v>
      </c>
      <c r="G1262" t="s">
        <v>2169</v>
      </c>
      <c r="I1262" t="str">
        <f t="shared" si="40"/>
        <v>TC0087PE|SP-18426-E7</v>
      </c>
      <c r="J1262" t="str">
        <f t="shared" si="41"/>
        <v>SÍ</v>
      </c>
    </row>
    <row r="1263" spans="1:10" x14ac:dyDescent="0.3">
      <c r="A1263" t="s">
        <v>613</v>
      </c>
      <c r="B1263" t="s">
        <v>782</v>
      </c>
      <c r="C1263" t="s">
        <v>1073</v>
      </c>
      <c r="D1263" s="23">
        <v>46521.700069444443</v>
      </c>
      <c r="E1263" t="s">
        <v>1924</v>
      </c>
      <c r="F1263">
        <v>80</v>
      </c>
      <c r="G1263" t="s">
        <v>2175</v>
      </c>
      <c r="I1263" t="str">
        <f t="shared" si="40"/>
        <v>TC0201PE|TIY-19826-E7</v>
      </c>
      <c r="J1263" t="str">
        <f t="shared" si="41"/>
        <v>SÍ</v>
      </c>
    </row>
    <row r="1264" spans="1:10" x14ac:dyDescent="0.3">
      <c r="A1264" t="s">
        <v>613</v>
      </c>
      <c r="B1264" t="s">
        <v>782</v>
      </c>
      <c r="C1264" t="s">
        <v>1073</v>
      </c>
      <c r="D1264" s="23">
        <v>46521.700069444443</v>
      </c>
      <c r="E1264" t="s">
        <v>1925</v>
      </c>
      <c r="F1264">
        <v>80</v>
      </c>
      <c r="G1264" t="s">
        <v>2175</v>
      </c>
      <c r="I1264" t="str">
        <f t="shared" si="40"/>
        <v>TC0201PE|TIY-19826-E7</v>
      </c>
      <c r="J1264" t="str">
        <f t="shared" si="41"/>
        <v>SÍ</v>
      </c>
    </row>
    <row r="1265" spans="1:10" x14ac:dyDescent="0.3">
      <c r="A1265" t="s">
        <v>589</v>
      </c>
      <c r="B1265" t="s">
        <v>758</v>
      </c>
      <c r="C1265" t="s">
        <v>1434</v>
      </c>
      <c r="D1265" s="23">
        <v>46604.174768518518</v>
      </c>
      <c r="E1265" t="s">
        <v>1926</v>
      </c>
      <c r="F1265">
        <v>19</v>
      </c>
      <c r="G1265" t="s">
        <v>2167</v>
      </c>
      <c r="I1265" t="str">
        <f t="shared" si="40"/>
        <v>TQ0034PE|QB-21726-E10</v>
      </c>
      <c r="J1265" t="str">
        <f t="shared" si="41"/>
        <v>SÍ</v>
      </c>
    </row>
    <row r="1266" spans="1:10" x14ac:dyDescent="0.3">
      <c r="A1266" t="s">
        <v>577</v>
      </c>
      <c r="B1266" t="s">
        <v>746</v>
      </c>
      <c r="C1266" t="s">
        <v>1062</v>
      </c>
      <c r="D1266" s="23">
        <v>46518.055393518523</v>
      </c>
      <c r="E1266" t="s">
        <v>1927</v>
      </c>
      <c r="F1266">
        <v>3</v>
      </c>
      <c r="G1266" t="s">
        <v>2168</v>
      </c>
      <c r="I1266" t="str">
        <f t="shared" si="40"/>
        <v>TC0232PE|PC-19226-E8</v>
      </c>
      <c r="J1266" t="str">
        <f t="shared" si="41"/>
        <v>SÍ</v>
      </c>
    </row>
    <row r="1267" spans="1:10" x14ac:dyDescent="0.3">
      <c r="A1267" t="s">
        <v>577</v>
      </c>
      <c r="B1267" t="s">
        <v>746</v>
      </c>
      <c r="C1267" t="s">
        <v>1061</v>
      </c>
      <c r="D1267" s="23">
        <v>46517.947175925918</v>
      </c>
      <c r="E1267" t="s">
        <v>1927</v>
      </c>
      <c r="F1267">
        <v>10</v>
      </c>
      <c r="G1267" t="s">
        <v>2168</v>
      </c>
      <c r="I1267" t="str">
        <f t="shared" si="40"/>
        <v>TC0232PE|PC-19126-E8</v>
      </c>
      <c r="J1267" t="str">
        <f t="shared" si="41"/>
        <v>SÍ</v>
      </c>
    </row>
    <row r="1268" spans="1:10" x14ac:dyDescent="0.3">
      <c r="A1268" t="s">
        <v>577</v>
      </c>
      <c r="B1268" t="s">
        <v>746</v>
      </c>
      <c r="C1268" t="s">
        <v>1076</v>
      </c>
      <c r="D1268" s="23">
        <v>46523.703379629631</v>
      </c>
      <c r="E1268" t="s">
        <v>1927</v>
      </c>
      <c r="F1268">
        <v>1</v>
      </c>
      <c r="G1268" t="s">
        <v>2168</v>
      </c>
      <c r="I1268" t="str">
        <f t="shared" si="40"/>
        <v>TC0232PE|PC-19926-E8</v>
      </c>
      <c r="J1268" t="str">
        <f t="shared" si="41"/>
        <v>SÍ</v>
      </c>
    </row>
    <row r="1269" spans="1:10" x14ac:dyDescent="0.3">
      <c r="A1269" t="s">
        <v>577</v>
      </c>
      <c r="B1269" t="s">
        <v>746</v>
      </c>
      <c r="C1269" t="s">
        <v>1075</v>
      </c>
      <c r="D1269" s="23">
        <v>46521</v>
      </c>
      <c r="E1269" t="s">
        <v>1927</v>
      </c>
      <c r="F1269">
        <v>4</v>
      </c>
      <c r="G1269" t="s">
        <v>2168</v>
      </c>
      <c r="I1269" t="str">
        <f t="shared" si="40"/>
        <v>TC0232PE|PC-19826-E8</v>
      </c>
      <c r="J1269" t="str">
        <f t="shared" si="41"/>
        <v>SÍ</v>
      </c>
    </row>
    <row r="1270" spans="1:10" x14ac:dyDescent="0.3">
      <c r="A1270" t="s">
        <v>591</v>
      </c>
      <c r="B1270" t="s">
        <v>760</v>
      </c>
      <c r="C1270" t="s">
        <v>1141</v>
      </c>
      <c r="D1270" s="23">
        <v>46500.562384259261</v>
      </c>
      <c r="E1270" t="s">
        <v>1928</v>
      </c>
      <c r="F1270">
        <v>60</v>
      </c>
      <c r="G1270" t="s">
        <v>2169</v>
      </c>
      <c r="I1270" t="str">
        <f t="shared" si="40"/>
        <v>TC0087PE|SP-17426-E7</v>
      </c>
      <c r="J1270" t="str">
        <f t="shared" si="41"/>
        <v>SÍ</v>
      </c>
    </row>
    <row r="1271" spans="1:10" x14ac:dyDescent="0.3">
      <c r="A1271" t="s">
        <v>591</v>
      </c>
      <c r="B1271" t="s">
        <v>760</v>
      </c>
      <c r="C1271" t="s">
        <v>1141</v>
      </c>
      <c r="D1271" s="23">
        <v>46500.562384259261</v>
      </c>
      <c r="E1271" t="s">
        <v>1929</v>
      </c>
      <c r="F1271">
        <v>80</v>
      </c>
      <c r="G1271" t="s">
        <v>2169</v>
      </c>
      <c r="I1271" t="str">
        <f t="shared" si="40"/>
        <v>TC0087PE|SP-17426-E7</v>
      </c>
      <c r="J1271" t="str">
        <f t="shared" si="41"/>
        <v>SÍ</v>
      </c>
    </row>
    <row r="1272" spans="1:10" x14ac:dyDescent="0.3">
      <c r="A1272" t="s">
        <v>588</v>
      </c>
      <c r="B1272" t="s">
        <v>757</v>
      </c>
      <c r="C1272" t="s">
        <v>1424</v>
      </c>
      <c r="D1272" s="23">
        <v>46509.115694444437</v>
      </c>
      <c r="E1272" t="s">
        <v>1930</v>
      </c>
      <c r="F1272">
        <v>8</v>
      </c>
      <c r="G1272" t="s">
        <v>2169</v>
      </c>
      <c r="I1272" t="str">
        <f t="shared" si="40"/>
        <v>TC0086PE|SC-18326-E8</v>
      </c>
      <c r="J1272" t="str">
        <f t="shared" si="41"/>
        <v>SÍ</v>
      </c>
    </row>
    <row r="1273" spans="1:10" x14ac:dyDescent="0.3">
      <c r="A1273" t="s">
        <v>591</v>
      </c>
      <c r="B1273" t="s">
        <v>760</v>
      </c>
      <c r="C1273" t="s">
        <v>1108</v>
      </c>
      <c r="D1273" s="23">
        <v>46483.204768518517</v>
      </c>
      <c r="E1273" t="s">
        <v>1931</v>
      </c>
      <c r="F1273">
        <v>40</v>
      </c>
      <c r="G1273" t="s">
        <v>2169</v>
      </c>
      <c r="I1273" t="str">
        <f t="shared" si="40"/>
        <v>TC0087PE|SP-15726-E7</v>
      </c>
      <c r="J1273" t="str">
        <f t="shared" si="41"/>
        <v>SÍ</v>
      </c>
    </row>
    <row r="1274" spans="1:10" x14ac:dyDescent="0.3">
      <c r="A1274" t="s">
        <v>591</v>
      </c>
      <c r="B1274" t="s">
        <v>760</v>
      </c>
      <c r="C1274" t="s">
        <v>1437</v>
      </c>
      <c r="D1274" s="23">
        <v>46482.232534722221</v>
      </c>
      <c r="E1274" t="s">
        <v>1932</v>
      </c>
      <c r="F1274">
        <v>8</v>
      </c>
      <c r="G1274" t="s">
        <v>2169</v>
      </c>
      <c r="I1274" t="str">
        <f t="shared" si="40"/>
        <v>TC0087PE|SP-15626-E7</v>
      </c>
      <c r="J1274" t="str">
        <f t="shared" si="41"/>
        <v>SÍ</v>
      </c>
    </row>
    <row r="1275" spans="1:10" x14ac:dyDescent="0.3">
      <c r="A1275" t="s">
        <v>591</v>
      </c>
      <c r="B1275" t="s">
        <v>760</v>
      </c>
      <c r="C1275" t="s">
        <v>963</v>
      </c>
      <c r="D1275" s="23">
        <v>46408.517870370371</v>
      </c>
      <c r="E1275" t="s">
        <v>1932</v>
      </c>
      <c r="F1275">
        <v>1</v>
      </c>
      <c r="G1275" t="s">
        <v>2169</v>
      </c>
      <c r="I1275" t="str">
        <f t="shared" si="40"/>
        <v>TC0087PE|SP-08626-E7</v>
      </c>
      <c r="J1275" t="str">
        <f t="shared" si="41"/>
        <v>SÍ</v>
      </c>
    </row>
    <row r="1276" spans="1:10" x14ac:dyDescent="0.3">
      <c r="A1276" t="s">
        <v>591</v>
      </c>
      <c r="B1276" t="s">
        <v>760</v>
      </c>
      <c r="C1276" t="s">
        <v>1438</v>
      </c>
      <c r="D1276" s="23">
        <v>46481.268819444442</v>
      </c>
      <c r="E1276" t="s">
        <v>1933</v>
      </c>
      <c r="F1276">
        <v>19</v>
      </c>
      <c r="G1276" t="s">
        <v>2169</v>
      </c>
      <c r="I1276" t="str">
        <f t="shared" si="40"/>
        <v>TC0087PE|SP-15526-E7</v>
      </c>
      <c r="J1276" t="str">
        <f t="shared" si="41"/>
        <v>SÍ</v>
      </c>
    </row>
    <row r="1277" spans="1:10" x14ac:dyDescent="0.3">
      <c r="A1277" t="s">
        <v>591</v>
      </c>
      <c r="B1277" t="s">
        <v>760</v>
      </c>
      <c r="C1277" t="s">
        <v>1438</v>
      </c>
      <c r="D1277" s="23">
        <v>46481.268819444442</v>
      </c>
      <c r="E1277" t="s">
        <v>1934</v>
      </c>
      <c r="F1277">
        <v>80</v>
      </c>
      <c r="G1277" t="s">
        <v>2169</v>
      </c>
      <c r="I1277" t="str">
        <f t="shared" si="40"/>
        <v>TC0087PE|SP-15526-E7</v>
      </c>
      <c r="J1277" t="str">
        <f t="shared" si="41"/>
        <v>SÍ</v>
      </c>
    </row>
    <row r="1278" spans="1:10" x14ac:dyDescent="0.3">
      <c r="A1278" t="s">
        <v>591</v>
      </c>
      <c r="B1278" t="s">
        <v>760</v>
      </c>
      <c r="C1278" t="s">
        <v>1108</v>
      </c>
      <c r="D1278" s="23">
        <v>46483.204768518517</v>
      </c>
      <c r="E1278" t="s">
        <v>1935</v>
      </c>
      <c r="F1278">
        <v>40</v>
      </c>
      <c r="G1278" t="s">
        <v>2169</v>
      </c>
      <c r="I1278" t="str">
        <f t="shared" si="40"/>
        <v>TC0087PE|SP-15726-E7</v>
      </c>
      <c r="J1278" t="str">
        <f t="shared" si="41"/>
        <v>SÍ</v>
      </c>
    </row>
    <row r="1279" spans="1:10" x14ac:dyDescent="0.3">
      <c r="A1279" t="s">
        <v>591</v>
      </c>
      <c r="B1279" t="s">
        <v>760</v>
      </c>
      <c r="C1279" t="s">
        <v>1439</v>
      </c>
      <c r="D1279" s="23">
        <v>46480.26494212963</v>
      </c>
      <c r="E1279" t="s">
        <v>1935</v>
      </c>
      <c r="F1279">
        <v>40</v>
      </c>
      <c r="G1279" t="s">
        <v>2169</v>
      </c>
      <c r="I1279" t="str">
        <f t="shared" si="40"/>
        <v>TC0087PE|SP-15426-E7</v>
      </c>
      <c r="J1279" t="str">
        <f t="shared" si="41"/>
        <v>SÍ</v>
      </c>
    </row>
    <row r="1280" spans="1:10" x14ac:dyDescent="0.3">
      <c r="A1280" t="s">
        <v>591</v>
      </c>
      <c r="B1280" t="s">
        <v>760</v>
      </c>
      <c r="C1280" t="s">
        <v>1437</v>
      </c>
      <c r="D1280" s="23">
        <v>46482.232534722221</v>
      </c>
      <c r="E1280" t="s">
        <v>1936</v>
      </c>
      <c r="F1280">
        <v>1</v>
      </c>
      <c r="G1280" t="s">
        <v>2169</v>
      </c>
      <c r="I1280" t="str">
        <f t="shared" si="40"/>
        <v>TC0087PE|SP-15626-E7</v>
      </c>
      <c r="J1280" t="str">
        <f t="shared" si="41"/>
        <v>SÍ</v>
      </c>
    </row>
    <row r="1281" spans="1:10" x14ac:dyDescent="0.3">
      <c r="A1281" t="s">
        <v>644</v>
      </c>
      <c r="B1281" t="s">
        <v>813</v>
      </c>
      <c r="C1281" t="s">
        <v>1126</v>
      </c>
      <c r="D1281" s="23">
        <v>46441</v>
      </c>
      <c r="E1281" t="s">
        <v>1937</v>
      </c>
      <c r="F1281">
        <v>17</v>
      </c>
      <c r="G1281" t="s">
        <v>2170</v>
      </c>
      <c r="I1281" t="str">
        <f t="shared" si="40"/>
        <v>BS0003PE|BJ-17426-E2</v>
      </c>
      <c r="J1281" t="str">
        <f t="shared" si="41"/>
        <v>SÍ</v>
      </c>
    </row>
    <row r="1282" spans="1:10" x14ac:dyDescent="0.3">
      <c r="A1282" t="s">
        <v>644</v>
      </c>
      <c r="B1282" t="s">
        <v>813</v>
      </c>
      <c r="C1282" t="s">
        <v>1183</v>
      </c>
      <c r="D1282" s="23">
        <v>46306.197789351849</v>
      </c>
      <c r="E1282" t="s">
        <v>1937</v>
      </c>
      <c r="F1282">
        <v>6</v>
      </c>
      <c r="G1282" t="s">
        <v>2170</v>
      </c>
      <c r="I1282" t="str">
        <f t="shared" si="40"/>
        <v>BS0003PE|BJ-04226-E4</v>
      </c>
      <c r="J1282" t="str">
        <f t="shared" si="41"/>
        <v>SÍ</v>
      </c>
    </row>
    <row r="1283" spans="1:10" x14ac:dyDescent="0.3">
      <c r="A1283" t="s">
        <v>591</v>
      </c>
      <c r="B1283" t="s">
        <v>760</v>
      </c>
      <c r="C1283" t="s">
        <v>1141</v>
      </c>
      <c r="D1283" s="23">
        <v>46500.562384259261</v>
      </c>
      <c r="E1283" t="s">
        <v>1938</v>
      </c>
      <c r="F1283">
        <v>80</v>
      </c>
      <c r="G1283" t="s">
        <v>2169</v>
      </c>
      <c r="I1283" t="str">
        <f t="shared" si="40"/>
        <v>TC0087PE|SP-17426-E7</v>
      </c>
      <c r="J1283" t="str">
        <f t="shared" si="41"/>
        <v>SÍ</v>
      </c>
    </row>
    <row r="1284" spans="1:10" x14ac:dyDescent="0.3">
      <c r="A1284" t="s">
        <v>580</v>
      </c>
      <c r="B1284" t="s">
        <v>749</v>
      </c>
      <c r="C1284" t="s">
        <v>1141</v>
      </c>
      <c r="D1284" s="23">
        <v>46500</v>
      </c>
      <c r="E1284" t="s">
        <v>1939</v>
      </c>
      <c r="F1284">
        <v>37</v>
      </c>
      <c r="G1284" t="s">
        <v>2166</v>
      </c>
      <c r="I1284" t="str">
        <f t="shared" si="40"/>
        <v>TC0004PE|SP-17426-E7</v>
      </c>
      <c r="J1284" t="str">
        <f t="shared" si="41"/>
        <v>SÍ</v>
      </c>
    </row>
    <row r="1285" spans="1:10" x14ac:dyDescent="0.3">
      <c r="A1285" t="s">
        <v>591</v>
      </c>
      <c r="B1285" t="s">
        <v>760</v>
      </c>
      <c r="C1285" t="s">
        <v>1438</v>
      </c>
      <c r="D1285" s="23">
        <v>46481.268819444442</v>
      </c>
      <c r="E1285" t="s">
        <v>1940</v>
      </c>
      <c r="F1285">
        <v>40</v>
      </c>
      <c r="G1285" t="s">
        <v>2169</v>
      </c>
      <c r="I1285" t="str">
        <f t="shared" si="40"/>
        <v>TC0087PE|SP-15526-E7</v>
      </c>
      <c r="J1285" t="str">
        <f t="shared" si="41"/>
        <v>SÍ</v>
      </c>
    </row>
    <row r="1286" spans="1:10" x14ac:dyDescent="0.3">
      <c r="A1286" t="s">
        <v>580</v>
      </c>
      <c r="B1286" t="s">
        <v>749</v>
      </c>
      <c r="C1286" t="s">
        <v>1256</v>
      </c>
      <c r="D1286" s="23">
        <v>46455.390300925923</v>
      </c>
      <c r="E1286" t="s">
        <v>1941</v>
      </c>
      <c r="F1286">
        <v>40</v>
      </c>
      <c r="G1286" t="s">
        <v>2166</v>
      </c>
      <c r="I1286" t="str">
        <f t="shared" si="40"/>
        <v>TC0004PE|SP-13326-E5</v>
      </c>
      <c r="J1286" t="str">
        <f t="shared" si="41"/>
        <v>SÍ</v>
      </c>
    </row>
    <row r="1287" spans="1:10" x14ac:dyDescent="0.3">
      <c r="A1287" t="s">
        <v>580</v>
      </c>
      <c r="B1287" t="s">
        <v>749</v>
      </c>
      <c r="C1287" t="s">
        <v>1224</v>
      </c>
      <c r="D1287" s="23">
        <v>46501.546655092592</v>
      </c>
      <c r="E1287" t="s">
        <v>1942</v>
      </c>
      <c r="F1287">
        <v>80</v>
      </c>
      <c r="G1287" t="s">
        <v>2166</v>
      </c>
      <c r="I1287" t="str">
        <f t="shared" si="40"/>
        <v>TC0004PE|SP-17526-E7</v>
      </c>
      <c r="J1287" t="str">
        <f t="shared" si="41"/>
        <v>SÍ</v>
      </c>
    </row>
    <row r="1288" spans="1:10" x14ac:dyDescent="0.3">
      <c r="A1288" t="s">
        <v>580</v>
      </c>
      <c r="B1288" t="s">
        <v>749</v>
      </c>
      <c r="C1288" t="s">
        <v>1141</v>
      </c>
      <c r="D1288" s="23">
        <v>46500</v>
      </c>
      <c r="E1288" t="s">
        <v>1943</v>
      </c>
      <c r="F1288">
        <v>13</v>
      </c>
      <c r="G1288" t="s">
        <v>2166</v>
      </c>
      <c r="I1288" t="str">
        <f t="shared" si="40"/>
        <v>TC0004PE|SP-17426-E7</v>
      </c>
      <c r="J1288" t="str">
        <f t="shared" si="41"/>
        <v>SÍ</v>
      </c>
    </row>
    <row r="1289" spans="1:10" x14ac:dyDescent="0.3">
      <c r="A1289" t="s">
        <v>580</v>
      </c>
      <c r="B1289" t="s">
        <v>749</v>
      </c>
      <c r="C1289" t="s">
        <v>1224</v>
      </c>
      <c r="D1289" s="23">
        <v>46501.546655092592</v>
      </c>
      <c r="E1289" t="s">
        <v>1944</v>
      </c>
      <c r="F1289">
        <v>25</v>
      </c>
      <c r="G1289" t="s">
        <v>2166</v>
      </c>
      <c r="I1289" t="str">
        <f t="shared" si="40"/>
        <v>TC0004PE|SP-17526-E7</v>
      </c>
      <c r="J1289" t="str">
        <f t="shared" si="41"/>
        <v>SÍ</v>
      </c>
    </row>
    <row r="1290" spans="1:10" x14ac:dyDescent="0.3">
      <c r="A1290" t="s">
        <v>579</v>
      </c>
      <c r="B1290" t="s">
        <v>748</v>
      </c>
      <c r="C1290" t="s">
        <v>1440</v>
      </c>
      <c r="D1290" s="23">
        <v>46563</v>
      </c>
      <c r="E1290" t="s">
        <v>1945</v>
      </c>
      <c r="F1290">
        <v>40</v>
      </c>
      <c r="G1290" t="s">
        <v>2167</v>
      </c>
      <c r="I1290" t="str">
        <f t="shared" si="40"/>
        <v>TQ0035PE|QN-17626-E10</v>
      </c>
      <c r="J1290" t="str">
        <f t="shared" si="41"/>
        <v>SÍ</v>
      </c>
    </row>
    <row r="1291" spans="1:10" x14ac:dyDescent="0.3">
      <c r="A1291" t="s">
        <v>687</v>
      </c>
      <c r="B1291" t="s">
        <v>856</v>
      </c>
      <c r="C1291" t="s">
        <v>1359</v>
      </c>
      <c r="D1291" s="23">
        <v>46546.358553240738</v>
      </c>
      <c r="E1291" t="s">
        <v>1946</v>
      </c>
      <c r="F1291">
        <v>24</v>
      </c>
      <c r="G1291" t="s">
        <v>2174</v>
      </c>
      <c r="I1291" t="str">
        <f t="shared" si="40"/>
        <v>TC0222PE|SN-21826-E1</v>
      </c>
      <c r="J1291" t="str">
        <f t="shared" si="41"/>
        <v>SÍ</v>
      </c>
    </row>
    <row r="1292" spans="1:10" x14ac:dyDescent="0.3">
      <c r="A1292" t="s">
        <v>687</v>
      </c>
      <c r="B1292" t="s">
        <v>856</v>
      </c>
      <c r="C1292" t="s">
        <v>1431</v>
      </c>
      <c r="D1292" s="23">
        <v>46543</v>
      </c>
      <c r="E1292" t="s">
        <v>1947</v>
      </c>
      <c r="F1292">
        <v>10</v>
      </c>
      <c r="G1292" t="s">
        <v>2174</v>
      </c>
      <c r="I1292" t="str">
        <f t="shared" si="40"/>
        <v>TC0222PE|SN-21726-E1</v>
      </c>
      <c r="J1292" t="str">
        <f t="shared" si="41"/>
        <v>SÍ</v>
      </c>
    </row>
    <row r="1293" spans="1:10" x14ac:dyDescent="0.3">
      <c r="A1293" t="s">
        <v>579</v>
      </c>
      <c r="B1293" t="s">
        <v>748</v>
      </c>
      <c r="C1293" t="s">
        <v>1440</v>
      </c>
      <c r="D1293" s="23">
        <v>46563</v>
      </c>
      <c r="E1293" t="s">
        <v>1947</v>
      </c>
      <c r="F1293">
        <v>29</v>
      </c>
      <c r="G1293" t="s">
        <v>2167</v>
      </c>
      <c r="I1293" t="str">
        <f t="shared" si="40"/>
        <v>TQ0035PE|QN-17626-E10</v>
      </c>
      <c r="J1293" t="str">
        <f t="shared" si="41"/>
        <v>SÍ</v>
      </c>
    </row>
    <row r="1294" spans="1:10" x14ac:dyDescent="0.3">
      <c r="A1294" t="s">
        <v>687</v>
      </c>
      <c r="B1294" t="s">
        <v>856</v>
      </c>
      <c r="C1294" t="s">
        <v>1431</v>
      </c>
      <c r="D1294" s="23">
        <v>46543</v>
      </c>
      <c r="E1294" t="s">
        <v>1948</v>
      </c>
      <c r="F1294">
        <v>19</v>
      </c>
      <c r="G1294" t="s">
        <v>2174</v>
      </c>
      <c r="I1294" t="str">
        <f t="shared" si="40"/>
        <v>TC0222PE|SN-21726-E1</v>
      </c>
      <c r="J1294" t="str">
        <f t="shared" si="41"/>
        <v>SÍ</v>
      </c>
    </row>
    <row r="1295" spans="1:10" x14ac:dyDescent="0.3">
      <c r="A1295" t="s">
        <v>670</v>
      </c>
      <c r="B1295" t="s">
        <v>839</v>
      </c>
      <c r="C1295" t="s">
        <v>1441</v>
      </c>
      <c r="D1295" s="23">
        <v>46487.083124999997</v>
      </c>
      <c r="E1295" t="s">
        <v>1949</v>
      </c>
      <c r="F1295">
        <v>7</v>
      </c>
      <c r="G1295" t="s">
        <v>2170</v>
      </c>
      <c r="I1295" t="str">
        <f t="shared" si="40"/>
        <v>BS0002PE|BP-22226-E5</v>
      </c>
      <c r="J1295" t="str">
        <f t="shared" si="41"/>
        <v>SÍ</v>
      </c>
    </row>
    <row r="1296" spans="1:10" x14ac:dyDescent="0.3">
      <c r="A1296" t="s">
        <v>670</v>
      </c>
      <c r="B1296" t="s">
        <v>839</v>
      </c>
      <c r="C1296" t="s">
        <v>1360</v>
      </c>
      <c r="D1296" s="23">
        <v>46488</v>
      </c>
      <c r="E1296" t="s">
        <v>1949</v>
      </c>
      <c r="F1296">
        <v>42</v>
      </c>
      <c r="G1296" t="s">
        <v>2170</v>
      </c>
      <c r="I1296" t="str">
        <f t="shared" si="40"/>
        <v>BS0002PE|BP-22326-E5</v>
      </c>
      <c r="J1296" t="str">
        <f t="shared" si="41"/>
        <v>SÍ</v>
      </c>
    </row>
    <row r="1297" spans="1:10" x14ac:dyDescent="0.3">
      <c r="A1297" t="s">
        <v>670</v>
      </c>
      <c r="B1297" t="s">
        <v>839</v>
      </c>
      <c r="C1297" t="s">
        <v>1360</v>
      </c>
      <c r="D1297" s="23">
        <v>46488</v>
      </c>
      <c r="E1297" t="s">
        <v>1950</v>
      </c>
      <c r="F1297">
        <v>13</v>
      </c>
      <c r="G1297" t="s">
        <v>2170</v>
      </c>
      <c r="I1297" t="str">
        <f t="shared" si="40"/>
        <v>BS0002PE|BP-22326-E5</v>
      </c>
      <c r="J1297" t="str">
        <f t="shared" si="41"/>
        <v>SÍ</v>
      </c>
    </row>
    <row r="1298" spans="1:10" x14ac:dyDescent="0.3">
      <c r="A1298" t="s">
        <v>644</v>
      </c>
      <c r="B1298" t="s">
        <v>813</v>
      </c>
      <c r="C1298" t="s">
        <v>1347</v>
      </c>
      <c r="D1298" s="23">
        <v>46488.075370370367</v>
      </c>
      <c r="E1298" t="s">
        <v>1951</v>
      </c>
      <c r="F1298">
        <v>10</v>
      </c>
      <c r="G1298" t="s">
        <v>2170</v>
      </c>
      <c r="I1298" t="str">
        <f t="shared" ref="I1298:I1361" si="42">IF(A1298="","",A1298&amp;"|"&amp;C1298)</f>
        <v>BS0003PE|BJ-22326-E4</v>
      </c>
      <c r="J1298" t="str">
        <f t="shared" ref="J1298:J1361" si="43">IF(A1298&lt;&gt;"","SÍ","NO")</f>
        <v>SÍ</v>
      </c>
    </row>
    <row r="1299" spans="1:10" x14ac:dyDescent="0.3">
      <c r="A1299" t="s">
        <v>644</v>
      </c>
      <c r="B1299" t="s">
        <v>813</v>
      </c>
      <c r="C1299" t="s">
        <v>1346</v>
      </c>
      <c r="D1299" s="23">
        <v>46487.073506944442</v>
      </c>
      <c r="E1299" t="s">
        <v>1952</v>
      </c>
      <c r="F1299">
        <v>12</v>
      </c>
      <c r="G1299" t="s">
        <v>2170</v>
      </c>
      <c r="I1299" t="str">
        <f t="shared" si="42"/>
        <v>BS0003PE|BJ-22226-E4</v>
      </c>
      <c r="J1299" t="str">
        <f t="shared" si="43"/>
        <v>SÍ</v>
      </c>
    </row>
    <row r="1300" spans="1:10" x14ac:dyDescent="0.3">
      <c r="A1300" t="s">
        <v>644</v>
      </c>
      <c r="B1300" t="s">
        <v>813</v>
      </c>
      <c r="C1300" t="s">
        <v>1347</v>
      </c>
      <c r="D1300" s="23">
        <v>46488.075370370367</v>
      </c>
      <c r="E1300" t="s">
        <v>1952</v>
      </c>
      <c r="F1300">
        <v>36</v>
      </c>
      <c r="G1300" t="s">
        <v>2170</v>
      </c>
      <c r="I1300" t="str">
        <f t="shared" si="42"/>
        <v>BS0003PE|BJ-22326-E4</v>
      </c>
      <c r="J1300" t="str">
        <f t="shared" si="43"/>
        <v>SÍ</v>
      </c>
    </row>
    <row r="1301" spans="1:10" x14ac:dyDescent="0.3">
      <c r="A1301" t="s">
        <v>644</v>
      </c>
      <c r="B1301" t="s">
        <v>813</v>
      </c>
      <c r="C1301" t="s">
        <v>1346</v>
      </c>
      <c r="D1301" s="23">
        <v>46487.073506944442</v>
      </c>
      <c r="E1301" t="s">
        <v>1953</v>
      </c>
      <c r="F1301">
        <v>30</v>
      </c>
      <c r="G1301" t="s">
        <v>2170</v>
      </c>
      <c r="I1301" t="str">
        <f t="shared" si="42"/>
        <v>BS0003PE|BJ-22226-E4</v>
      </c>
      <c r="J1301" t="str">
        <f t="shared" si="43"/>
        <v>SÍ</v>
      </c>
    </row>
    <row r="1302" spans="1:10" x14ac:dyDescent="0.3">
      <c r="A1302" t="s">
        <v>644</v>
      </c>
      <c r="B1302" t="s">
        <v>813</v>
      </c>
      <c r="C1302" t="s">
        <v>1347</v>
      </c>
      <c r="D1302" s="23">
        <v>46488.075370370367</v>
      </c>
      <c r="E1302" t="s">
        <v>1954</v>
      </c>
      <c r="F1302">
        <v>30</v>
      </c>
      <c r="G1302" t="s">
        <v>2170</v>
      </c>
      <c r="I1302" t="str">
        <f t="shared" si="42"/>
        <v>BS0003PE|BJ-22326-E4</v>
      </c>
      <c r="J1302" t="str">
        <f t="shared" si="43"/>
        <v>SÍ</v>
      </c>
    </row>
    <row r="1303" spans="1:10" x14ac:dyDescent="0.3">
      <c r="A1303" t="s">
        <v>644</v>
      </c>
      <c r="B1303" t="s">
        <v>813</v>
      </c>
      <c r="C1303" t="s">
        <v>1346</v>
      </c>
      <c r="D1303" s="23">
        <v>46487.073506944442</v>
      </c>
      <c r="E1303" t="s">
        <v>1954</v>
      </c>
      <c r="F1303">
        <v>30</v>
      </c>
      <c r="G1303" t="s">
        <v>2170</v>
      </c>
      <c r="I1303" t="str">
        <f t="shared" si="42"/>
        <v>BS0003PE|BJ-22226-E4</v>
      </c>
      <c r="J1303" t="str">
        <f t="shared" si="43"/>
        <v>SÍ</v>
      </c>
    </row>
    <row r="1304" spans="1:10" x14ac:dyDescent="0.3">
      <c r="A1304" t="s">
        <v>593</v>
      </c>
      <c r="B1304" t="s">
        <v>762</v>
      </c>
      <c r="C1304" t="s">
        <v>1363</v>
      </c>
      <c r="D1304" s="23">
        <v>46552</v>
      </c>
      <c r="E1304" t="s">
        <v>1955</v>
      </c>
      <c r="F1304">
        <v>40</v>
      </c>
      <c r="G1304" t="s">
        <v>2168</v>
      </c>
      <c r="I1304" t="str">
        <f t="shared" si="42"/>
        <v>TC0123PE|SC-22626-E7</v>
      </c>
      <c r="J1304" t="str">
        <f t="shared" si="43"/>
        <v>SÍ</v>
      </c>
    </row>
    <row r="1305" spans="1:10" x14ac:dyDescent="0.3">
      <c r="A1305" t="s">
        <v>595</v>
      </c>
      <c r="B1305" t="s">
        <v>764</v>
      </c>
      <c r="C1305" t="s">
        <v>1363</v>
      </c>
      <c r="D1305" s="23">
        <v>46552</v>
      </c>
      <c r="E1305" t="s">
        <v>1956</v>
      </c>
      <c r="F1305">
        <v>80</v>
      </c>
      <c r="G1305" t="s">
        <v>2168</v>
      </c>
      <c r="I1305" t="str">
        <f t="shared" si="42"/>
        <v>TC0058PE|SC-22626-E7</v>
      </c>
      <c r="J1305" t="str">
        <f t="shared" si="43"/>
        <v>SÍ</v>
      </c>
    </row>
    <row r="1306" spans="1:10" x14ac:dyDescent="0.3">
      <c r="A1306" t="s">
        <v>595</v>
      </c>
      <c r="B1306" t="s">
        <v>764</v>
      </c>
      <c r="C1306" t="s">
        <v>1363</v>
      </c>
      <c r="D1306" s="23">
        <v>46552</v>
      </c>
      <c r="E1306" t="s">
        <v>1957</v>
      </c>
      <c r="F1306">
        <v>80</v>
      </c>
      <c r="G1306" t="s">
        <v>2168</v>
      </c>
      <c r="I1306" t="str">
        <f t="shared" si="42"/>
        <v>TC0058PE|SC-22626-E7</v>
      </c>
      <c r="J1306" t="str">
        <f t="shared" si="43"/>
        <v>SÍ</v>
      </c>
    </row>
    <row r="1307" spans="1:10" x14ac:dyDescent="0.3">
      <c r="A1307" t="s">
        <v>644</v>
      </c>
      <c r="B1307" t="s">
        <v>813</v>
      </c>
      <c r="C1307" t="s">
        <v>1126</v>
      </c>
      <c r="D1307" s="23">
        <v>46441</v>
      </c>
      <c r="E1307" t="s">
        <v>1958</v>
      </c>
      <c r="F1307">
        <v>30</v>
      </c>
      <c r="G1307" t="s">
        <v>2170</v>
      </c>
      <c r="I1307" t="str">
        <f t="shared" si="42"/>
        <v>BS0003PE|BJ-17426-E2</v>
      </c>
      <c r="J1307" t="str">
        <f t="shared" si="43"/>
        <v>SÍ</v>
      </c>
    </row>
    <row r="1308" spans="1:10" x14ac:dyDescent="0.3">
      <c r="A1308" t="s">
        <v>625</v>
      </c>
      <c r="B1308" t="s">
        <v>794</v>
      </c>
      <c r="C1308" t="s">
        <v>1321</v>
      </c>
      <c r="D1308" s="23">
        <v>46544</v>
      </c>
      <c r="E1308" t="s">
        <v>1959</v>
      </c>
      <c r="F1308">
        <v>40</v>
      </c>
      <c r="G1308" t="s">
        <v>2168</v>
      </c>
      <c r="I1308" t="str">
        <f t="shared" si="42"/>
        <v>TTS0002PE|TTJ-21826-E2</v>
      </c>
      <c r="J1308" t="str">
        <f t="shared" si="43"/>
        <v>SÍ</v>
      </c>
    </row>
    <row r="1309" spans="1:10" x14ac:dyDescent="0.3">
      <c r="A1309" t="s">
        <v>625</v>
      </c>
      <c r="B1309" t="s">
        <v>794</v>
      </c>
      <c r="C1309" t="s">
        <v>1321</v>
      </c>
      <c r="D1309" s="23">
        <v>46544</v>
      </c>
      <c r="E1309" t="s">
        <v>1960</v>
      </c>
      <c r="F1309">
        <v>12</v>
      </c>
      <c r="G1309" t="s">
        <v>2168</v>
      </c>
      <c r="I1309" t="str">
        <f t="shared" si="42"/>
        <v>TTS0002PE|TTJ-21826-E2</v>
      </c>
      <c r="J1309" t="str">
        <f t="shared" si="43"/>
        <v>SÍ</v>
      </c>
    </row>
    <row r="1310" spans="1:10" x14ac:dyDescent="0.3">
      <c r="A1310" t="s">
        <v>590</v>
      </c>
      <c r="B1310" t="s">
        <v>759</v>
      </c>
      <c r="C1310" t="s">
        <v>1040</v>
      </c>
      <c r="D1310" s="23">
        <v>46544.012615740743</v>
      </c>
      <c r="E1310" t="s">
        <v>1961</v>
      </c>
      <c r="F1310">
        <v>35</v>
      </c>
      <c r="G1310" t="s">
        <v>2166</v>
      </c>
      <c r="I1310" t="str">
        <f t="shared" si="42"/>
        <v>TC0233PE|PJ-18726-E3</v>
      </c>
      <c r="J1310" t="str">
        <f t="shared" si="43"/>
        <v>SÍ</v>
      </c>
    </row>
    <row r="1311" spans="1:10" x14ac:dyDescent="0.3">
      <c r="A1311" t="s">
        <v>625</v>
      </c>
      <c r="B1311" t="s">
        <v>794</v>
      </c>
      <c r="C1311" t="s">
        <v>1321</v>
      </c>
      <c r="D1311" s="23">
        <v>46544</v>
      </c>
      <c r="E1311" t="s">
        <v>1962</v>
      </c>
      <c r="F1311">
        <v>40</v>
      </c>
      <c r="G1311" t="s">
        <v>2168</v>
      </c>
      <c r="I1311" t="str">
        <f t="shared" si="42"/>
        <v>TTS0002PE|TTJ-21826-E2</v>
      </c>
      <c r="J1311" t="str">
        <f t="shared" si="43"/>
        <v>SÍ</v>
      </c>
    </row>
    <row r="1312" spans="1:10" x14ac:dyDescent="0.3">
      <c r="A1312" t="s">
        <v>649</v>
      </c>
      <c r="B1312" t="s">
        <v>818</v>
      </c>
      <c r="C1312" t="s">
        <v>1140</v>
      </c>
      <c r="D1312" s="23">
        <v>46564.71398148148</v>
      </c>
      <c r="E1312" t="s">
        <v>1963</v>
      </c>
      <c r="F1312">
        <v>1</v>
      </c>
      <c r="G1312" t="s">
        <v>2176</v>
      </c>
      <c r="I1312" t="str">
        <f t="shared" si="42"/>
        <v>TQ0045PE|QB-17726-E1</v>
      </c>
      <c r="J1312" t="str">
        <f t="shared" si="43"/>
        <v>SÍ</v>
      </c>
    </row>
    <row r="1313" spans="1:10" x14ac:dyDescent="0.3">
      <c r="A1313" t="s">
        <v>625</v>
      </c>
      <c r="B1313" t="s">
        <v>794</v>
      </c>
      <c r="C1313" t="s">
        <v>1321</v>
      </c>
      <c r="D1313" s="23">
        <v>46544</v>
      </c>
      <c r="E1313" t="s">
        <v>1964</v>
      </c>
      <c r="F1313">
        <v>40</v>
      </c>
      <c r="G1313" t="s">
        <v>2168</v>
      </c>
      <c r="I1313" t="str">
        <f t="shared" si="42"/>
        <v>TTS0002PE|TTJ-21826-E2</v>
      </c>
      <c r="J1313" t="str">
        <f t="shared" si="43"/>
        <v>SÍ</v>
      </c>
    </row>
    <row r="1314" spans="1:10" x14ac:dyDescent="0.3">
      <c r="A1314" t="s">
        <v>625</v>
      </c>
      <c r="B1314" t="s">
        <v>794</v>
      </c>
      <c r="C1314" t="s">
        <v>1425</v>
      </c>
      <c r="D1314" s="23">
        <v>46544.010474537034</v>
      </c>
      <c r="E1314" t="s">
        <v>1964</v>
      </c>
      <c r="F1314">
        <v>40</v>
      </c>
      <c r="G1314" t="s">
        <v>2168</v>
      </c>
      <c r="I1314" t="str">
        <f t="shared" si="42"/>
        <v>TTS0002PE|TTJ-21826-E5</v>
      </c>
      <c r="J1314" t="str">
        <f t="shared" si="43"/>
        <v>SÍ</v>
      </c>
    </row>
    <row r="1315" spans="1:10" x14ac:dyDescent="0.3">
      <c r="A1315" t="s">
        <v>682</v>
      </c>
      <c r="B1315" t="s">
        <v>851</v>
      </c>
      <c r="C1315" t="s">
        <v>1319</v>
      </c>
      <c r="D1315" s="23">
        <v>46544</v>
      </c>
      <c r="E1315" t="s">
        <v>1965</v>
      </c>
      <c r="F1315">
        <v>10</v>
      </c>
      <c r="G1315" t="s">
        <v>2168</v>
      </c>
      <c r="I1315" t="str">
        <f t="shared" si="42"/>
        <v>TTS0001PE|TTN-21826-E4</v>
      </c>
      <c r="J1315" t="str">
        <f t="shared" si="43"/>
        <v>SÍ</v>
      </c>
    </row>
    <row r="1316" spans="1:10" x14ac:dyDescent="0.3">
      <c r="A1316" t="s">
        <v>682</v>
      </c>
      <c r="B1316" t="s">
        <v>851</v>
      </c>
      <c r="C1316" t="s">
        <v>1442</v>
      </c>
      <c r="D1316" s="23">
        <v>46544</v>
      </c>
      <c r="E1316" t="s">
        <v>1966</v>
      </c>
      <c r="F1316">
        <v>15</v>
      </c>
      <c r="G1316" t="s">
        <v>2168</v>
      </c>
      <c r="I1316" t="str">
        <f t="shared" si="42"/>
        <v>TTS0001PE|TTN-21826-E5</v>
      </c>
      <c r="J1316" t="str">
        <f t="shared" si="43"/>
        <v>SÍ</v>
      </c>
    </row>
    <row r="1317" spans="1:10" x14ac:dyDescent="0.3">
      <c r="A1317" t="s">
        <v>625</v>
      </c>
      <c r="B1317" t="s">
        <v>794</v>
      </c>
      <c r="C1317" t="s">
        <v>1321</v>
      </c>
      <c r="D1317" s="23">
        <v>46544</v>
      </c>
      <c r="E1317" t="s">
        <v>1966</v>
      </c>
      <c r="F1317">
        <v>40</v>
      </c>
      <c r="G1317" t="s">
        <v>2168</v>
      </c>
      <c r="I1317" t="str">
        <f t="shared" si="42"/>
        <v>TTS0002PE|TTJ-21826-E2</v>
      </c>
      <c r="J1317" t="str">
        <f t="shared" si="43"/>
        <v>SÍ</v>
      </c>
    </row>
    <row r="1318" spans="1:10" x14ac:dyDescent="0.3">
      <c r="A1318" t="s">
        <v>628</v>
      </c>
      <c r="B1318" t="s">
        <v>797</v>
      </c>
      <c r="C1318" t="s">
        <v>1237</v>
      </c>
      <c r="D1318" s="23">
        <v>46421.135023148148</v>
      </c>
      <c r="E1318" t="s">
        <v>1967</v>
      </c>
      <c r="F1318">
        <v>30</v>
      </c>
      <c r="G1318" t="s">
        <v>2171</v>
      </c>
      <c r="I1318" t="str">
        <f t="shared" si="42"/>
        <v>RT0073PE|RB-15426-E3</v>
      </c>
      <c r="J1318" t="str">
        <f t="shared" si="43"/>
        <v>SÍ</v>
      </c>
    </row>
    <row r="1319" spans="1:10" x14ac:dyDescent="0.3">
      <c r="A1319" t="s">
        <v>628</v>
      </c>
      <c r="B1319" t="s">
        <v>797</v>
      </c>
      <c r="C1319" t="s">
        <v>1443</v>
      </c>
      <c r="D1319" s="23">
        <v>46440</v>
      </c>
      <c r="E1319" t="s">
        <v>1968</v>
      </c>
      <c r="F1319">
        <v>30</v>
      </c>
      <c r="G1319" t="s">
        <v>2171</v>
      </c>
      <c r="I1319" t="str">
        <f t="shared" si="42"/>
        <v>RT0073PE|RB-17326-E3</v>
      </c>
      <c r="J1319" t="str">
        <f t="shared" si="43"/>
        <v>SÍ</v>
      </c>
    </row>
    <row r="1320" spans="1:10" x14ac:dyDescent="0.3">
      <c r="A1320" t="s">
        <v>586</v>
      </c>
      <c r="B1320" t="s">
        <v>755</v>
      </c>
      <c r="C1320" t="s">
        <v>1054</v>
      </c>
      <c r="D1320" s="23">
        <v>46516</v>
      </c>
      <c r="E1320" t="s">
        <v>1969</v>
      </c>
      <c r="F1320">
        <v>14</v>
      </c>
      <c r="G1320" t="s">
        <v>2169</v>
      </c>
      <c r="I1320" t="str">
        <f t="shared" si="42"/>
        <v>TC0082PE|SN-20426-E7</v>
      </c>
      <c r="J1320" t="str">
        <f t="shared" si="43"/>
        <v>SÍ</v>
      </c>
    </row>
    <row r="1321" spans="1:10" x14ac:dyDescent="0.3">
      <c r="A1321" t="s">
        <v>586</v>
      </c>
      <c r="B1321" t="s">
        <v>755</v>
      </c>
      <c r="C1321" t="s">
        <v>1104</v>
      </c>
      <c r="D1321" s="23">
        <v>46482.754525462973</v>
      </c>
      <c r="E1321" t="s">
        <v>1969</v>
      </c>
      <c r="F1321">
        <v>2</v>
      </c>
      <c r="G1321" t="s">
        <v>2169</v>
      </c>
      <c r="I1321" t="str">
        <f t="shared" si="42"/>
        <v>TC0082PE|SN-16026-E3</v>
      </c>
      <c r="J1321" t="str">
        <f t="shared" si="43"/>
        <v>SÍ</v>
      </c>
    </row>
    <row r="1322" spans="1:10" x14ac:dyDescent="0.3">
      <c r="A1322" t="s">
        <v>705</v>
      </c>
      <c r="B1322" t="s">
        <v>874</v>
      </c>
      <c r="C1322" t="s">
        <v>1444</v>
      </c>
      <c r="D1322" s="23">
        <v>46440</v>
      </c>
      <c r="E1322" t="s">
        <v>1970</v>
      </c>
      <c r="F1322">
        <v>30</v>
      </c>
      <c r="G1322" t="s">
        <v>2171</v>
      </c>
      <c r="I1322" t="str">
        <f t="shared" si="42"/>
        <v>RT0072PE|RJ-17326-E2</v>
      </c>
      <c r="J1322" t="str">
        <f t="shared" si="43"/>
        <v>SÍ</v>
      </c>
    </row>
    <row r="1323" spans="1:10" x14ac:dyDescent="0.3">
      <c r="A1323" t="s">
        <v>705</v>
      </c>
      <c r="B1323" t="s">
        <v>874</v>
      </c>
      <c r="C1323" t="s">
        <v>1445</v>
      </c>
      <c r="D1323" s="23">
        <v>46434.529363425929</v>
      </c>
      <c r="E1323" t="s">
        <v>1971</v>
      </c>
      <c r="F1323">
        <v>30</v>
      </c>
      <c r="G1323" t="s">
        <v>2171</v>
      </c>
      <c r="I1323" t="str">
        <f t="shared" si="42"/>
        <v>RT0072PE|RJ-16726-E1</v>
      </c>
      <c r="J1323" t="str">
        <f t="shared" si="43"/>
        <v>SÍ</v>
      </c>
    </row>
    <row r="1324" spans="1:10" x14ac:dyDescent="0.3">
      <c r="A1324" t="s">
        <v>587</v>
      </c>
      <c r="B1324" t="s">
        <v>756</v>
      </c>
      <c r="C1324" t="s">
        <v>1403</v>
      </c>
      <c r="D1324" s="23">
        <v>46525.507025462961</v>
      </c>
      <c r="E1324" t="s">
        <v>1972</v>
      </c>
      <c r="F1324">
        <v>80</v>
      </c>
      <c r="G1324" t="s">
        <v>2168</v>
      </c>
      <c r="I1324" t="str">
        <f t="shared" si="42"/>
        <v>TC0099PE|SP-19926-E7</v>
      </c>
      <c r="J1324" t="str">
        <f t="shared" si="43"/>
        <v>SÍ</v>
      </c>
    </row>
    <row r="1325" spans="1:10" x14ac:dyDescent="0.3">
      <c r="A1325" t="s">
        <v>587</v>
      </c>
      <c r="B1325" t="s">
        <v>756</v>
      </c>
      <c r="C1325" t="s">
        <v>1403</v>
      </c>
      <c r="D1325" s="23">
        <v>46525.507025462961</v>
      </c>
      <c r="E1325" t="s">
        <v>1973</v>
      </c>
      <c r="F1325">
        <v>64</v>
      </c>
      <c r="G1325" t="s">
        <v>2168</v>
      </c>
      <c r="I1325" t="str">
        <f t="shared" si="42"/>
        <v>TC0099PE|SP-19926-E7</v>
      </c>
      <c r="J1325" t="str">
        <f t="shared" si="43"/>
        <v>SÍ</v>
      </c>
    </row>
    <row r="1326" spans="1:10" x14ac:dyDescent="0.3">
      <c r="A1326" t="s">
        <v>587</v>
      </c>
      <c r="B1326" t="s">
        <v>756</v>
      </c>
      <c r="C1326" t="s">
        <v>1403</v>
      </c>
      <c r="D1326" s="23">
        <v>46525.507025462961</v>
      </c>
      <c r="E1326" t="s">
        <v>1974</v>
      </c>
      <c r="F1326">
        <v>40</v>
      </c>
      <c r="G1326" t="s">
        <v>2168</v>
      </c>
      <c r="I1326" t="str">
        <f t="shared" si="42"/>
        <v>TC0099PE|SP-19926-E7</v>
      </c>
      <c r="J1326" t="str">
        <f t="shared" si="43"/>
        <v>SÍ</v>
      </c>
    </row>
    <row r="1327" spans="1:10" x14ac:dyDescent="0.3">
      <c r="A1327" t="s">
        <v>641</v>
      </c>
      <c r="B1327" t="s">
        <v>810</v>
      </c>
      <c r="C1327" t="s">
        <v>1446</v>
      </c>
      <c r="D1327" s="23">
        <v>46518.394085648149</v>
      </c>
      <c r="E1327" t="s">
        <v>1975</v>
      </c>
      <c r="F1327">
        <v>40</v>
      </c>
      <c r="G1327" t="s">
        <v>2167</v>
      </c>
      <c r="I1327" t="str">
        <f t="shared" si="42"/>
        <v>TQ0036PE|QP-13526-E10</v>
      </c>
      <c r="J1327" t="str">
        <f t="shared" si="43"/>
        <v>SÍ</v>
      </c>
    </row>
    <row r="1328" spans="1:10" x14ac:dyDescent="0.3">
      <c r="A1328" t="s">
        <v>641</v>
      </c>
      <c r="B1328" t="s">
        <v>810</v>
      </c>
      <c r="C1328" t="s">
        <v>1116</v>
      </c>
      <c r="D1328" s="23">
        <v>46518.400555555563</v>
      </c>
      <c r="E1328" t="s">
        <v>1976</v>
      </c>
      <c r="F1328">
        <v>9</v>
      </c>
      <c r="G1328" t="s">
        <v>2167</v>
      </c>
      <c r="I1328" t="str">
        <f t="shared" si="42"/>
        <v>TQ0036PE|QP-13626-E10</v>
      </c>
      <c r="J1328" t="str">
        <f t="shared" si="43"/>
        <v>SÍ</v>
      </c>
    </row>
    <row r="1329" spans="1:10" x14ac:dyDescent="0.3">
      <c r="A1329" t="s">
        <v>641</v>
      </c>
      <c r="B1329" t="s">
        <v>810</v>
      </c>
      <c r="C1329" t="s">
        <v>1447</v>
      </c>
      <c r="D1329" s="23">
        <v>46544.108738425923</v>
      </c>
      <c r="E1329" t="s">
        <v>1976</v>
      </c>
      <c r="F1329">
        <v>5</v>
      </c>
      <c r="G1329" t="s">
        <v>2167</v>
      </c>
      <c r="I1329" t="str">
        <f t="shared" si="42"/>
        <v>TQ0036PE|QP-15726-E10</v>
      </c>
      <c r="J1329" t="str">
        <f t="shared" si="43"/>
        <v>SÍ</v>
      </c>
    </row>
    <row r="1330" spans="1:10" x14ac:dyDescent="0.3">
      <c r="A1330" t="s">
        <v>587</v>
      </c>
      <c r="B1330" t="s">
        <v>756</v>
      </c>
      <c r="C1330" t="s">
        <v>1403</v>
      </c>
      <c r="D1330" s="23">
        <v>46525.507025462961</v>
      </c>
      <c r="E1330" t="s">
        <v>1977</v>
      </c>
      <c r="F1330">
        <v>40</v>
      </c>
      <c r="G1330" t="s">
        <v>2168</v>
      </c>
      <c r="I1330" t="str">
        <f t="shared" si="42"/>
        <v>TC0099PE|SP-19926-E7</v>
      </c>
      <c r="J1330" t="str">
        <f t="shared" si="43"/>
        <v>SÍ</v>
      </c>
    </row>
    <row r="1331" spans="1:10" x14ac:dyDescent="0.3">
      <c r="A1331" t="s">
        <v>587</v>
      </c>
      <c r="B1331" t="s">
        <v>756</v>
      </c>
      <c r="C1331" t="s">
        <v>1031</v>
      </c>
      <c r="D1331" s="23">
        <v>46510</v>
      </c>
      <c r="E1331" t="s">
        <v>1978</v>
      </c>
      <c r="F1331">
        <v>40</v>
      </c>
      <c r="G1331" t="s">
        <v>2168</v>
      </c>
      <c r="I1331" t="str">
        <f t="shared" si="42"/>
        <v>TC0099PE|SP-18526-E7</v>
      </c>
      <c r="J1331" t="str">
        <f t="shared" si="43"/>
        <v>SÍ</v>
      </c>
    </row>
    <row r="1332" spans="1:10" x14ac:dyDescent="0.3">
      <c r="A1332" t="s">
        <v>587</v>
      </c>
      <c r="B1332" t="s">
        <v>756</v>
      </c>
      <c r="C1332" t="s">
        <v>948</v>
      </c>
      <c r="D1332" s="23">
        <v>46362.141400462962</v>
      </c>
      <c r="E1332" t="s">
        <v>1978</v>
      </c>
      <c r="F1332">
        <v>38</v>
      </c>
      <c r="G1332" t="s">
        <v>2168</v>
      </c>
      <c r="I1332" t="str">
        <f t="shared" si="42"/>
        <v>TC0099PE|SP-03726-E1</v>
      </c>
      <c r="J1332" t="str">
        <f t="shared" si="43"/>
        <v>SÍ</v>
      </c>
    </row>
    <row r="1333" spans="1:10" x14ac:dyDescent="0.3">
      <c r="A1333" t="s">
        <v>676</v>
      </c>
      <c r="B1333" t="s">
        <v>845</v>
      </c>
      <c r="C1333" t="s">
        <v>1398</v>
      </c>
      <c r="D1333" s="23">
        <v>46266.573958333327</v>
      </c>
      <c r="E1333" t="s">
        <v>1979</v>
      </c>
      <c r="F1333">
        <v>23</v>
      </c>
      <c r="G1333" t="s">
        <v>2166</v>
      </c>
      <c r="I1333" t="str">
        <f t="shared" si="42"/>
        <v>TC0094PE|SC-30525</v>
      </c>
      <c r="J1333" t="str">
        <f t="shared" si="43"/>
        <v>SÍ</v>
      </c>
    </row>
    <row r="1334" spans="1:10" x14ac:dyDescent="0.3">
      <c r="A1334" t="s">
        <v>618</v>
      </c>
      <c r="B1334" t="s">
        <v>787</v>
      </c>
      <c r="C1334" t="s">
        <v>1047</v>
      </c>
      <c r="D1334" s="23">
        <v>46511</v>
      </c>
      <c r="E1334" t="s">
        <v>1980</v>
      </c>
      <c r="F1334">
        <v>38</v>
      </c>
      <c r="G1334" t="s">
        <v>2166</v>
      </c>
      <c r="I1334" t="str">
        <f t="shared" si="42"/>
        <v>TC0028PE|SP-18826-E1</v>
      </c>
      <c r="J1334" t="str">
        <f t="shared" si="43"/>
        <v>SÍ</v>
      </c>
    </row>
    <row r="1335" spans="1:10" x14ac:dyDescent="0.3">
      <c r="A1335" t="s">
        <v>702</v>
      </c>
      <c r="B1335" t="s">
        <v>871</v>
      </c>
      <c r="C1335" t="s">
        <v>1433</v>
      </c>
      <c r="D1335" s="23">
        <v>46500</v>
      </c>
      <c r="E1335" t="s">
        <v>1981</v>
      </c>
      <c r="F1335">
        <v>56</v>
      </c>
      <c r="G1335" t="s">
        <v>2176</v>
      </c>
      <c r="I1335" t="str">
        <f t="shared" si="42"/>
        <v>TC0129PE|SP-17426-E5</v>
      </c>
      <c r="J1335" t="str">
        <f t="shared" si="43"/>
        <v>SÍ</v>
      </c>
    </row>
    <row r="1336" spans="1:10" x14ac:dyDescent="0.3">
      <c r="A1336" t="s">
        <v>590</v>
      </c>
      <c r="B1336" t="s">
        <v>759</v>
      </c>
      <c r="C1336" t="s">
        <v>1147</v>
      </c>
      <c r="D1336" s="23">
        <v>46521.194432870368</v>
      </c>
      <c r="E1336" t="s">
        <v>1982</v>
      </c>
      <c r="F1336">
        <v>40</v>
      </c>
      <c r="G1336" t="s">
        <v>2166</v>
      </c>
      <c r="I1336" t="str">
        <f t="shared" si="42"/>
        <v>TC0233PE|PJ-16526-E1</v>
      </c>
      <c r="J1336" t="str">
        <f t="shared" si="43"/>
        <v>SÍ</v>
      </c>
    </row>
    <row r="1337" spans="1:10" x14ac:dyDescent="0.3">
      <c r="A1337" t="s">
        <v>590</v>
      </c>
      <c r="B1337" t="s">
        <v>759</v>
      </c>
      <c r="C1337" t="s">
        <v>1148</v>
      </c>
      <c r="D1337" s="23">
        <v>46487.200254629628</v>
      </c>
      <c r="E1337" t="s">
        <v>1982</v>
      </c>
      <c r="F1337">
        <v>40</v>
      </c>
      <c r="G1337" t="s">
        <v>2166</v>
      </c>
      <c r="I1337" t="str">
        <f t="shared" si="42"/>
        <v>TC0233PE|PJ-16526-E2</v>
      </c>
      <c r="J1337" t="str">
        <f t="shared" si="43"/>
        <v>SÍ</v>
      </c>
    </row>
    <row r="1338" spans="1:10" x14ac:dyDescent="0.3">
      <c r="A1338" t="s">
        <v>590</v>
      </c>
      <c r="B1338" t="s">
        <v>759</v>
      </c>
      <c r="C1338" t="s">
        <v>1147</v>
      </c>
      <c r="D1338" s="23">
        <v>46521.194432870368</v>
      </c>
      <c r="E1338" t="s">
        <v>1983</v>
      </c>
      <c r="F1338">
        <v>40</v>
      </c>
      <c r="G1338" t="s">
        <v>2166</v>
      </c>
      <c r="I1338" t="str">
        <f t="shared" si="42"/>
        <v>TC0233PE|PJ-16526-E1</v>
      </c>
      <c r="J1338" t="str">
        <f t="shared" si="43"/>
        <v>SÍ</v>
      </c>
    </row>
    <row r="1339" spans="1:10" x14ac:dyDescent="0.3">
      <c r="A1339" t="s">
        <v>590</v>
      </c>
      <c r="B1339" t="s">
        <v>759</v>
      </c>
      <c r="C1339" t="s">
        <v>1147</v>
      </c>
      <c r="D1339" s="23">
        <v>46521.194432870368</v>
      </c>
      <c r="E1339" t="s">
        <v>1984</v>
      </c>
      <c r="F1339">
        <v>40</v>
      </c>
      <c r="G1339" t="s">
        <v>2166</v>
      </c>
      <c r="I1339" t="str">
        <f t="shared" si="42"/>
        <v>TC0233PE|PJ-16526-E1</v>
      </c>
      <c r="J1339" t="str">
        <f t="shared" si="43"/>
        <v>SÍ</v>
      </c>
    </row>
    <row r="1340" spans="1:10" x14ac:dyDescent="0.3">
      <c r="A1340" t="s">
        <v>585</v>
      </c>
      <c r="B1340" t="s">
        <v>754</v>
      </c>
      <c r="C1340" t="s">
        <v>1117</v>
      </c>
      <c r="D1340" s="23">
        <v>46543</v>
      </c>
      <c r="E1340" t="s">
        <v>1985</v>
      </c>
      <c r="F1340">
        <v>80</v>
      </c>
      <c r="G1340" t="s">
        <v>2169</v>
      </c>
      <c r="I1340" t="str">
        <f t="shared" si="42"/>
        <v>TQ0037PE|QN-15626-E10</v>
      </c>
      <c r="J1340" t="str">
        <f t="shared" si="43"/>
        <v>SÍ</v>
      </c>
    </row>
    <row r="1341" spans="1:10" x14ac:dyDescent="0.3">
      <c r="A1341" t="s">
        <v>585</v>
      </c>
      <c r="B1341" t="s">
        <v>754</v>
      </c>
      <c r="C1341" t="s">
        <v>1440</v>
      </c>
      <c r="D1341" s="23">
        <v>46563</v>
      </c>
      <c r="E1341" t="s">
        <v>1986</v>
      </c>
      <c r="F1341">
        <v>10</v>
      </c>
      <c r="G1341" t="s">
        <v>2169</v>
      </c>
      <c r="I1341" t="str">
        <f t="shared" si="42"/>
        <v>TQ0037PE|QN-17626-E10</v>
      </c>
      <c r="J1341" t="str">
        <f t="shared" si="43"/>
        <v>SÍ</v>
      </c>
    </row>
    <row r="1342" spans="1:10" x14ac:dyDescent="0.3">
      <c r="A1342" t="s">
        <v>644</v>
      </c>
      <c r="B1342" t="s">
        <v>813</v>
      </c>
      <c r="C1342" t="s">
        <v>1125</v>
      </c>
      <c r="D1342" s="23">
        <v>46517.995486111111</v>
      </c>
      <c r="E1342" t="s">
        <v>1987</v>
      </c>
      <c r="F1342">
        <v>6</v>
      </c>
      <c r="G1342" t="s">
        <v>2170</v>
      </c>
      <c r="I1342" t="str">
        <f t="shared" si="42"/>
        <v>BS0003PE|BJ-13526-E4</v>
      </c>
      <c r="J1342" t="str">
        <f t="shared" si="43"/>
        <v>SÍ</v>
      </c>
    </row>
    <row r="1343" spans="1:10" x14ac:dyDescent="0.3">
      <c r="A1343" t="s">
        <v>670</v>
      </c>
      <c r="B1343" t="s">
        <v>839</v>
      </c>
      <c r="C1343" t="s">
        <v>1360</v>
      </c>
      <c r="D1343" s="23">
        <v>46488</v>
      </c>
      <c r="E1343" t="s">
        <v>1988</v>
      </c>
      <c r="F1343">
        <v>10</v>
      </c>
      <c r="G1343" t="s">
        <v>2170</v>
      </c>
      <c r="I1343" t="str">
        <f t="shared" si="42"/>
        <v>BS0002PE|BP-22326-E5</v>
      </c>
      <c r="J1343" t="str">
        <f t="shared" si="43"/>
        <v>SÍ</v>
      </c>
    </row>
    <row r="1344" spans="1:10" x14ac:dyDescent="0.3">
      <c r="A1344" t="s">
        <v>641</v>
      </c>
      <c r="B1344" t="s">
        <v>810</v>
      </c>
      <c r="C1344" t="s">
        <v>1180</v>
      </c>
      <c r="D1344" s="23">
        <v>46257</v>
      </c>
      <c r="E1344" t="s">
        <v>1989</v>
      </c>
      <c r="F1344">
        <v>6</v>
      </c>
      <c r="G1344" t="s">
        <v>2167</v>
      </c>
      <c r="I1344" t="str">
        <f t="shared" si="42"/>
        <v>TQ0036PE|QP-23525</v>
      </c>
      <c r="J1344" t="str">
        <f t="shared" si="43"/>
        <v>SÍ</v>
      </c>
    </row>
    <row r="1345" spans="1:10" x14ac:dyDescent="0.3">
      <c r="A1345" t="s">
        <v>588</v>
      </c>
      <c r="B1345" t="s">
        <v>757</v>
      </c>
      <c r="C1345" t="s">
        <v>1424</v>
      </c>
      <c r="D1345" s="23">
        <v>46509.115694444437</v>
      </c>
      <c r="E1345" t="s">
        <v>1990</v>
      </c>
      <c r="F1345">
        <v>80</v>
      </c>
      <c r="G1345" t="s">
        <v>2169</v>
      </c>
      <c r="I1345" t="str">
        <f t="shared" si="42"/>
        <v>TC0086PE|SC-18326-E8</v>
      </c>
      <c r="J1345" t="str">
        <f t="shared" si="43"/>
        <v>SÍ</v>
      </c>
    </row>
    <row r="1346" spans="1:10" x14ac:dyDescent="0.3">
      <c r="A1346" t="s">
        <v>618</v>
      </c>
      <c r="B1346" t="s">
        <v>787</v>
      </c>
      <c r="C1346" t="s">
        <v>1141</v>
      </c>
      <c r="D1346" s="23">
        <v>46500</v>
      </c>
      <c r="E1346" t="s">
        <v>1991</v>
      </c>
      <c r="F1346">
        <v>10</v>
      </c>
      <c r="G1346" t="s">
        <v>2166</v>
      </c>
      <c r="I1346" t="str">
        <f t="shared" si="42"/>
        <v>TC0028PE|SP-17426-E7</v>
      </c>
      <c r="J1346" t="str">
        <f t="shared" si="43"/>
        <v>SÍ</v>
      </c>
    </row>
    <row r="1347" spans="1:10" x14ac:dyDescent="0.3">
      <c r="A1347" t="s">
        <v>588</v>
      </c>
      <c r="B1347" t="s">
        <v>757</v>
      </c>
      <c r="C1347" t="s">
        <v>1424</v>
      </c>
      <c r="D1347" s="23">
        <v>46509.115694444437</v>
      </c>
      <c r="E1347" t="s">
        <v>1992</v>
      </c>
      <c r="F1347">
        <v>80</v>
      </c>
      <c r="G1347" t="s">
        <v>2169</v>
      </c>
      <c r="I1347" t="str">
        <f t="shared" si="42"/>
        <v>TC0086PE|SC-18326-E8</v>
      </c>
      <c r="J1347" t="str">
        <f t="shared" si="43"/>
        <v>SÍ</v>
      </c>
    </row>
    <row r="1348" spans="1:10" x14ac:dyDescent="0.3">
      <c r="A1348" t="s">
        <v>642</v>
      </c>
      <c r="B1348" t="s">
        <v>811</v>
      </c>
      <c r="C1348" t="s">
        <v>1323</v>
      </c>
      <c r="D1348" s="23">
        <v>46544</v>
      </c>
      <c r="E1348" t="s">
        <v>1993</v>
      </c>
      <c r="F1348">
        <v>40</v>
      </c>
      <c r="G1348" t="s">
        <v>2168</v>
      </c>
      <c r="I1348" t="str">
        <f t="shared" si="42"/>
        <v>TTS0004PE|TTB-21826-E3</v>
      </c>
      <c r="J1348" t="str">
        <f t="shared" si="43"/>
        <v>SÍ</v>
      </c>
    </row>
    <row r="1349" spans="1:10" x14ac:dyDescent="0.3">
      <c r="A1349" t="s">
        <v>704</v>
      </c>
      <c r="B1349" t="s">
        <v>873</v>
      </c>
      <c r="C1349" t="s">
        <v>1189</v>
      </c>
      <c r="D1349" s="23">
        <v>46556</v>
      </c>
      <c r="E1349" t="s">
        <v>1994</v>
      </c>
      <c r="F1349">
        <v>40</v>
      </c>
      <c r="G1349" t="s">
        <v>2167</v>
      </c>
      <c r="I1349" t="str">
        <f t="shared" si="42"/>
        <v>TQ0039PE|QB-16926-E10</v>
      </c>
      <c r="J1349" t="str">
        <f t="shared" si="43"/>
        <v>SÍ</v>
      </c>
    </row>
    <row r="1350" spans="1:10" x14ac:dyDescent="0.3">
      <c r="A1350" t="s">
        <v>617</v>
      </c>
      <c r="B1350" t="s">
        <v>786</v>
      </c>
      <c r="C1350" t="s">
        <v>1042</v>
      </c>
      <c r="D1350" s="23">
        <v>46544</v>
      </c>
      <c r="E1350" t="s">
        <v>1995</v>
      </c>
      <c r="F1350">
        <v>5</v>
      </c>
      <c r="G1350" t="s">
        <v>2168</v>
      </c>
      <c r="I1350" t="str">
        <f t="shared" si="42"/>
        <v>TC0223PE|PJ-18726-E5</v>
      </c>
      <c r="J1350" t="str">
        <f t="shared" si="43"/>
        <v>SÍ</v>
      </c>
    </row>
    <row r="1351" spans="1:10" x14ac:dyDescent="0.3">
      <c r="A1351" t="s">
        <v>590</v>
      </c>
      <c r="B1351" t="s">
        <v>759</v>
      </c>
      <c r="C1351" t="s">
        <v>1040</v>
      </c>
      <c r="D1351" s="23">
        <v>46544.012615740743</v>
      </c>
      <c r="E1351" t="s">
        <v>1995</v>
      </c>
      <c r="F1351">
        <v>20</v>
      </c>
      <c r="G1351" t="s">
        <v>2166</v>
      </c>
      <c r="I1351" t="str">
        <f t="shared" si="42"/>
        <v>TC0233PE|PJ-18726-E3</v>
      </c>
      <c r="J1351" t="str">
        <f t="shared" si="43"/>
        <v>SÍ</v>
      </c>
    </row>
    <row r="1352" spans="1:10" x14ac:dyDescent="0.3">
      <c r="A1352" t="s">
        <v>642</v>
      </c>
      <c r="B1352" t="s">
        <v>811</v>
      </c>
      <c r="C1352" t="s">
        <v>1323</v>
      </c>
      <c r="D1352" s="23">
        <v>46544</v>
      </c>
      <c r="E1352" t="s">
        <v>1996</v>
      </c>
      <c r="F1352">
        <v>40</v>
      </c>
      <c r="G1352" t="s">
        <v>2168</v>
      </c>
      <c r="I1352" t="str">
        <f t="shared" si="42"/>
        <v>TTS0004PE|TTB-21826-E3</v>
      </c>
      <c r="J1352" t="str">
        <f t="shared" si="43"/>
        <v>SÍ</v>
      </c>
    </row>
    <row r="1353" spans="1:10" x14ac:dyDescent="0.3">
      <c r="A1353" t="s">
        <v>642</v>
      </c>
      <c r="B1353" t="s">
        <v>811</v>
      </c>
      <c r="C1353" t="s">
        <v>1448</v>
      </c>
      <c r="D1353" s="23">
        <v>46544</v>
      </c>
      <c r="E1353" t="s">
        <v>1996</v>
      </c>
      <c r="F1353">
        <v>40</v>
      </c>
      <c r="G1353" t="s">
        <v>2168</v>
      </c>
      <c r="I1353" t="str">
        <f t="shared" si="42"/>
        <v>TTS0004PE|TTB-21826-E4</v>
      </c>
      <c r="J1353" t="str">
        <f t="shared" si="43"/>
        <v>SÍ</v>
      </c>
    </row>
    <row r="1354" spans="1:10" x14ac:dyDescent="0.3">
      <c r="A1354" t="s">
        <v>706</v>
      </c>
      <c r="B1354" t="s">
        <v>875</v>
      </c>
      <c r="C1354" t="s">
        <v>1442</v>
      </c>
      <c r="D1354" s="23">
        <v>46544</v>
      </c>
      <c r="E1354" t="s">
        <v>1997</v>
      </c>
      <c r="F1354">
        <v>40</v>
      </c>
      <c r="G1354" t="s">
        <v>2168</v>
      </c>
      <c r="I1354" t="str">
        <f t="shared" si="42"/>
        <v>TTS0005PE|TTN-21826-E5</v>
      </c>
      <c r="J1354" t="str">
        <f t="shared" si="43"/>
        <v>SÍ</v>
      </c>
    </row>
    <row r="1355" spans="1:10" x14ac:dyDescent="0.3">
      <c r="A1355" t="s">
        <v>682</v>
      </c>
      <c r="B1355" t="s">
        <v>851</v>
      </c>
      <c r="C1355" t="s">
        <v>1319</v>
      </c>
      <c r="D1355" s="23">
        <v>46544</v>
      </c>
      <c r="E1355" t="s">
        <v>1998</v>
      </c>
      <c r="F1355">
        <v>40</v>
      </c>
      <c r="G1355" t="s">
        <v>2168</v>
      </c>
      <c r="I1355" t="str">
        <f t="shared" si="42"/>
        <v>TTS0001PE|TTN-21826-E4</v>
      </c>
      <c r="J1355" t="str">
        <f t="shared" si="43"/>
        <v>SÍ</v>
      </c>
    </row>
    <row r="1356" spans="1:10" x14ac:dyDescent="0.3">
      <c r="A1356" t="s">
        <v>682</v>
      </c>
      <c r="B1356" t="s">
        <v>851</v>
      </c>
      <c r="C1356" t="s">
        <v>1442</v>
      </c>
      <c r="D1356" s="23">
        <v>46544</v>
      </c>
      <c r="E1356" t="s">
        <v>1998</v>
      </c>
      <c r="F1356">
        <v>40</v>
      </c>
      <c r="G1356" t="s">
        <v>2168</v>
      </c>
      <c r="I1356" t="str">
        <f t="shared" si="42"/>
        <v>TTS0001PE|TTN-21826-E5</v>
      </c>
      <c r="J1356" t="str">
        <f t="shared" si="43"/>
        <v>SÍ</v>
      </c>
    </row>
    <row r="1357" spans="1:10" x14ac:dyDescent="0.3">
      <c r="A1357" t="s">
        <v>581</v>
      </c>
      <c r="B1357" t="s">
        <v>750</v>
      </c>
      <c r="C1357" t="s">
        <v>1449</v>
      </c>
      <c r="D1357" s="23">
        <v>46372.237199074072</v>
      </c>
      <c r="E1357" t="s">
        <v>1999</v>
      </c>
      <c r="F1357">
        <v>40</v>
      </c>
      <c r="G1357" t="s">
        <v>2168</v>
      </c>
      <c r="I1357" t="str">
        <f t="shared" si="42"/>
        <v>TC0008MX|PJ-01626-E1</v>
      </c>
      <c r="J1357" t="str">
        <f t="shared" si="43"/>
        <v>SÍ</v>
      </c>
    </row>
    <row r="1358" spans="1:10" x14ac:dyDescent="0.3">
      <c r="A1358" t="s">
        <v>682</v>
      </c>
      <c r="B1358" t="s">
        <v>851</v>
      </c>
      <c r="C1358" t="s">
        <v>1319</v>
      </c>
      <c r="D1358" s="23">
        <v>46544</v>
      </c>
      <c r="E1358" t="s">
        <v>2000</v>
      </c>
      <c r="F1358">
        <v>11</v>
      </c>
      <c r="G1358" t="s">
        <v>2168</v>
      </c>
      <c r="I1358" t="str">
        <f t="shared" si="42"/>
        <v>TTS0001PE|TTN-21826-E4</v>
      </c>
      <c r="J1358" t="str">
        <f t="shared" si="43"/>
        <v>SÍ</v>
      </c>
    </row>
    <row r="1359" spans="1:10" x14ac:dyDescent="0.3">
      <c r="A1359" t="s">
        <v>707</v>
      </c>
      <c r="B1359" t="s">
        <v>876</v>
      </c>
      <c r="C1359" t="s">
        <v>1450</v>
      </c>
      <c r="D1359" s="23">
        <v>46545.175312500003</v>
      </c>
      <c r="E1359" t="s">
        <v>2001</v>
      </c>
      <c r="F1359">
        <v>16</v>
      </c>
      <c r="G1359" t="s">
        <v>2168</v>
      </c>
      <c r="I1359" t="str">
        <f t="shared" si="42"/>
        <v>TTS0006PE|TTJ-21926-E5</v>
      </c>
      <c r="J1359" t="str">
        <f t="shared" si="43"/>
        <v>SÍ</v>
      </c>
    </row>
    <row r="1360" spans="1:10" x14ac:dyDescent="0.3">
      <c r="A1360" t="s">
        <v>642</v>
      </c>
      <c r="B1360" t="s">
        <v>811</v>
      </c>
      <c r="C1360" t="s">
        <v>1448</v>
      </c>
      <c r="D1360" s="23">
        <v>46544</v>
      </c>
      <c r="E1360" t="s">
        <v>2002</v>
      </c>
      <c r="F1360">
        <v>25</v>
      </c>
      <c r="G1360" t="s">
        <v>2168</v>
      </c>
      <c r="I1360" t="str">
        <f t="shared" si="42"/>
        <v>TTS0004PE|TTB-21826-E4</v>
      </c>
      <c r="J1360" t="str">
        <f t="shared" si="43"/>
        <v>SÍ</v>
      </c>
    </row>
    <row r="1361" spans="1:10" x14ac:dyDescent="0.3">
      <c r="A1361" t="s">
        <v>682</v>
      </c>
      <c r="B1361" t="s">
        <v>851</v>
      </c>
      <c r="C1361" t="s">
        <v>1319</v>
      </c>
      <c r="D1361" s="23">
        <v>46544</v>
      </c>
      <c r="E1361" t="s">
        <v>2003</v>
      </c>
      <c r="F1361">
        <v>27</v>
      </c>
      <c r="G1361" t="s">
        <v>2168</v>
      </c>
      <c r="I1361" t="str">
        <f t="shared" si="42"/>
        <v>TTS0001PE|TTN-21826-E4</v>
      </c>
      <c r="J1361" t="str">
        <f t="shared" si="43"/>
        <v>SÍ</v>
      </c>
    </row>
    <row r="1362" spans="1:10" x14ac:dyDescent="0.3">
      <c r="A1362" t="s">
        <v>608</v>
      </c>
      <c r="B1362" t="s">
        <v>777</v>
      </c>
      <c r="C1362" t="s">
        <v>1078</v>
      </c>
      <c r="D1362" s="23">
        <v>46467</v>
      </c>
      <c r="E1362" t="s">
        <v>2004</v>
      </c>
      <c r="F1362">
        <v>60</v>
      </c>
      <c r="G1362" t="s">
        <v>2171</v>
      </c>
      <c r="I1362" t="str">
        <f t="shared" ref="I1362:I1425" si="44">IF(A1362="","",A1362&amp;"|"&amp;C1362)</f>
        <v>RT0105PE|RB-20226-E5</v>
      </c>
      <c r="J1362" t="str">
        <f t="shared" ref="J1362:J1425" si="45">IF(A1362&lt;&gt;"","SÍ","NO")</f>
        <v>SÍ</v>
      </c>
    </row>
    <row r="1363" spans="1:10" x14ac:dyDescent="0.3">
      <c r="A1363" t="s">
        <v>608</v>
      </c>
      <c r="B1363" t="s">
        <v>777</v>
      </c>
      <c r="C1363" t="s">
        <v>1078</v>
      </c>
      <c r="D1363" s="23">
        <v>46467</v>
      </c>
      <c r="E1363" t="s">
        <v>2005</v>
      </c>
      <c r="F1363">
        <v>60</v>
      </c>
      <c r="G1363" t="s">
        <v>2171</v>
      </c>
      <c r="I1363" t="str">
        <f t="shared" si="44"/>
        <v>RT0105PE|RB-20226-E5</v>
      </c>
      <c r="J1363" t="str">
        <f t="shared" si="45"/>
        <v>SÍ</v>
      </c>
    </row>
    <row r="1364" spans="1:10" x14ac:dyDescent="0.3">
      <c r="A1364" t="s">
        <v>608</v>
      </c>
      <c r="B1364" t="s">
        <v>777</v>
      </c>
      <c r="C1364" t="s">
        <v>1077</v>
      </c>
      <c r="D1364" s="23">
        <v>46466</v>
      </c>
      <c r="E1364" t="s">
        <v>2006</v>
      </c>
      <c r="F1364">
        <v>30</v>
      </c>
      <c r="G1364" t="s">
        <v>2171</v>
      </c>
      <c r="I1364" t="str">
        <f t="shared" si="44"/>
        <v>RT0105PE|RB-20126-E5</v>
      </c>
      <c r="J1364" t="str">
        <f t="shared" si="45"/>
        <v>SÍ</v>
      </c>
    </row>
    <row r="1365" spans="1:10" x14ac:dyDescent="0.3">
      <c r="A1365" t="s">
        <v>608</v>
      </c>
      <c r="B1365" t="s">
        <v>777</v>
      </c>
      <c r="C1365" t="s">
        <v>1078</v>
      </c>
      <c r="D1365" s="23">
        <v>46467</v>
      </c>
      <c r="E1365" t="s">
        <v>2006</v>
      </c>
      <c r="F1365">
        <v>30</v>
      </c>
      <c r="G1365" t="s">
        <v>2171</v>
      </c>
      <c r="I1365" t="str">
        <f t="shared" si="44"/>
        <v>RT0105PE|RB-20226-E5</v>
      </c>
      <c r="J1365" t="str">
        <f t="shared" si="45"/>
        <v>SÍ</v>
      </c>
    </row>
    <row r="1366" spans="1:10" x14ac:dyDescent="0.3">
      <c r="A1366" t="s">
        <v>608</v>
      </c>
      <c r="B1366" t="s">
        <v>777</v>
      </c>
      <c r="C1366" t="s">
        <v>1077</v>
      </c>
      <c r="D1366" s="23">
        <v>46466</v>
      </c>
      <c r="E1366" t="s">
        <v>2007</v>
      </c>
      <c r="F1366">
        <v>30</v>
      </c>
      <c r="G1366" t="s">
        <v>2171</v>
      </c>
      <c r="I1366" t="str">
        <f t="shared" si="44"/>
        <v>RT0105PE|RB-20126-E5</v>
      </c>
      <c r="J1366" t="str">
        <f t="shared" si="45"/>
        <v>SÍ</v>
      </c>
    </row>
    <row r="1367" spans="1:10" x14ac:dyDescent="0.3">
      <c r="A1367" t="s">
        <v>636</v>
      </c>
      <c r="B1367" t="s">
        <v>805</v>
      </c>
      <c r="C1367" t="s">
        <v>1205</v>
      </c>
      <c r="D1367" s="23">
        <v>46440</v>
      </c>
      <c r="E1367" t="s">
        <v>2008</v>
      </c>
      <c r="F1367">
        <v>10</v>
      </c>
      <c r="G1367" t="s">
        <v>2173</v>
      </c>
      <c r="I1367" t="str">
        <f t="shared" si="44"/>
        <v>RT0108PE|RN-17326-E4</v>
      </c>
      <c r="J1367" t="str">
        <f t="shared" si="45"/>
        <v>SÍ</v>
      </c>
    </row>
    <row r="1368" spans="1:10" x14ac:dyDescent="0.3">
      <c r="A1368" t="s">
        <v>636</v>
      </c>
      <c r="B1368" t="s">
        <v>805</v>
      </c>
      <c r="C1368" t="s">
        <v>1451</v>
      </c>
      <c r="D1368" s="23">
        <v>46441.558831018519</v>
      </c>
      <c r="E1368" t="s">
        <v>2008</v>
      </c>
      <c r="F1368">
        <v>25</v>
      </c>
      <c r="G1368" t="s">
        <v>2173</v>
      </c>
      <c r="I1368" t="str">
        <f t="shared" si="44"/>
        <v>RT0108PE|RN-17426-E4</v>
      </c>
      <c r="J1368" t="str">
        <f t="shared" si="45"/>
        <v>SÍ</v>
      </c>
    </row>
    <row r="1369" spans="1:10" x14ac:dyDescent="0.3">
      <c r="A1369" t="s">
        <v>636</v>
      </c>
      <c r="B1369" t="s">
        <v>805</v>
      </c>
      <c r="C1369" t="s">
        <v>1100</v>
      </c>
      <c r="D1369" s="23">
        <v>46519.76840277778</v>
      </c>
      <c r="E1369" t="s">
        <v>2009</v>
      </c>
      <c r="F1369">
        <v>60</v>
      </c>
      <c r="G1369" t="s">
        <v>2173</v>
      </c>
      <c r="I1369" t="str">
        <f t="shared" si="44"/>
        <v>RT0108PE|RN-14526-E5</v>
      </c>
      <c r="J1369" t="str">
        <f t="shared" si="45"/>
        <v>SÍ</v>
      </c>
    </row>
    <row r="1370" spans="1:10" x14ac:dyDescent="0.3">
      <c r="A1370" t="s">
        <v>636</v>
      </c>
      <c r="B1370" t="s">
        <v>805</v>
      </c>
      <c r="C1370" t="s">
        <v>1205</v>
      </c>
      <c r="D1370" s="23">
        <v>46440</v>
      </c>
      <c r="E1370" t="s">
        <v>2010</v>
      </c>
      <c r="F1370">
        <v>60</v>
      </c>
      <c r="G1370" t="s">
        <v>2173</v>
      </c>
      <c r="I1370" t="str">
        <f t="shared" si="44"/>
        <v>RT0108PE|RN-17326-E4</v>
      </c>
      <c r="J1370" t="str">
        <f t="shared" si="45"/>
        <v>SÍ</v>
      </c>
    </row>
    <row r="1371" spans="1:10" x14ac:dyDescent="0.3">
      <c r="A1371" t="s">
        <v>672</v>
      </c>
      <c r="B1371" t="s">
        <v>841</v>
      </c>
      <c r="C1371" t="s">
        <v>1242</v>
      </c>
      <c r="D1371" s="23">
        <v>46449.607106481482</v>
      </c>
      <c r="E1371" t="s">
        <v>2011</v>
      </c>
      <c r="F1371">
        <v>30</v>
      </c>
      <c r="G1371" t="s">
        <v>2169</v>
      </c>
      <c r="I1371" t="str">
        <f t="shared" si="44"/>
        <v>RT0101PE|RN-14626-E5</v>
      </c>
      <c r="J1371" t="str">
        <f t="shared" si="45"/>
        <v>SÍ</v>
      </c>
    </row>
    <row r="1372" spans="1:10" x14ac:dyDescent="0.3">
      <c r="A1372" t="s">
        <v>672</v>
      </c>
      <c r="B1372" t="s">
        <v>841</v>
      </c>
      <c r="C1372" t="s">
        <v>1242</v>
      </c>
      <c r="D1372" s="23">
        <v>46449.607106481482</v>
      </c>
      <c r="E1372" t="s">
        <v>2012</v>
      </c>
      <c r="F1372">
        <v>30</v>
      </c>
      <c r="G1372" t="s">
        <v>2169</v>
      </c>
      <c r="I1372" t="str">
        <f t="shared" si="44"/>
        <v>RT0101PE|RN-14626-E5</v>
      </c>
      <c r="J1372" t="str">
        <f t="shared" si="45"/>
        <v>SÍ</v>
      </c>
    </row>
    <row r="1373" spans="1:10" x14ac:dyDescent="0.3">
      <c r="A1373" t="s">
        <v>672</v>
      </c>
      <c r="B1373" t="s">
        <v>841</v>
      </c>
      <c r="C1373" t="s">
        <v>1203</v>
      </c>
      <c r="D1373" s="23">
        <v>46387.75953703704</v>
      </c>
      <c r="E1373" t="s">
        <v>2013</v>
      </c>
      <c r="F1373">
        <v>54</v>
      </c>
      <c r="G1373" t="s">
        <v>2169</v>
      </c>
      <c r="I1373" t="str">
        <f t="shared" si="44"/>
        <v>RT0101PE|RN-08926-E1</v>
      </c>
      <c r="J1373" t="str">
        <f t="shared" si="45"/>
        <v>SÍ</v>
      </c>
    </row>
    <row r="1374" spans="1:10" x14ac:dyDescent="0.3">
      <c r="A1374" t="s">
        <v>692</v>
      </c>
      <c r="B1374" t="s">
        <v>861</v>
      </c>
      <c r="C1374" t="s">
        <v>1452</v>
      </c>
      <c r="D1374" s="23">
        <v>46485</v>
      </c>
      <c r="E1374" t="s">
        <v>2014</v>
      </c>
      <c r="F1374">
        <v>30</v>
      </c>
      <c r="G1374" t="s">
        <v>2171</v>
      </c>
      <c r="I1374" t="str">
        <f t="shared" si="44"/>
        <v>RT0132PE|RJ-22026-E1</v>
      </c>
      <c r="J1374" t="str">
        <f t="shared" si="45"/>
        <v>SÍ</v>
      </c>
    </row>
    <row r="1375" spans="1:10" x14ac:dyDescent="0.3">
      <c r="A1375" t="s">
        <v>692</v>
      </c>
      <c r="B1375" t="s">
        <v>861</v>
      </c>
      <c r="C1375" t="s">
        <v>1330</v>
      </c>
      <c r="D1375" s="23">
        <v>46484.838622685187</v>
      </c>
      <c r="E1375" t="s">
        <v>2015</v>
      </c>
      <c r="F1375">
        <v>30</v>
      </c>
      <c r="G1375" t="s">
        <v>2171</v>
      </c>
      <c r="I1375" t="str">
        <f t="shared" si="44"/>
        <v>RT0132PE|RJ-21926-E2</v>
      </c>
      <c r="J1375" t="str">
        <f t="shared" si="45"/>
        <v>SÍ</v>
      </c>
    </row>
    <row r="1376" spans="1:10" x14ac:dyDescent="0.3">
      <c r="A1376" t="s">
        <v>692</v>
      </c>
      <c r="B1376" t="s">
        <v>861</v>
      </c>
      <c r="C1376" t="s">
        <v>1452</v>
      </c>
      <c r="D1376" s="23">
        <v>46485</v>
      </c>
      <c r="E1376" t="s">
        <v>2016</v>
      </c>
      <c r="F1376">
        <v>60</v>
      </c>
      <c r="G1376" t="s">
        <v>2171</v>
      </c>
      <c r="I1376" t="str">
        <f t="shared" si="44"/>
        <v>RT0132PE|RJ-22026-E1</v>
      </c>
      <c r="J1376" t="str">
        <f t="shared" si="45"/>
        <v>SÍ</v>
      </c>
    </row>
    <row r="1377" spans="1:10" x14ac:dyDescent="0.3">
      <c r="A1377" t="s">
        <v>627</v>
      </c>
      <c r="B1377" t="s">
        <v>796</v>
      </c>
      <c r="C1377" t="s">
        <v>1131</v>
      </c>
      <c r="D1377" s="23">
        <v>46443</v>
      </c>
      <c r="E1377" t="s">
        <v>2017</v>
      </c>
      <c r="F1377">
        <v>1</v>
      </c>
      <c r="G1377" t="s">
        <v>2171</v>
      </c>
      <c r="I1377" t="str">
        <f t="shared" si="44"/>
        <v>RT0058PE|RN-17626-E4</v>
      </c>
      <c r="J1377" t="str">
        <f t="shared" si="45"/>
        <v>SÍ</v>
      </c>
    </row>
    <row r="1378" spans="1:10" x14ac:dyDescent="0.3">
      <c r="A1378" t="s">
        <v>692</v>
      </c>
      <c r="B1378" t="s">
        <v>861</v>
      </c>
      <c r="C1378" t="s">
        <v>1344</v>
      </c>
      <c r="D1378" s="23">
        <v>46484</v>
      </c>
      <c r="E1378" t="s">
        <v>2018</v>
      </c>
      <c r="F1378">
        <v>26</v>
      </c>
      <c r="G1378" t="s">
        <v>2171</v>
      </c>
      <c r="I1378" t="str">
        <f t="shared" si="44"/>
        <v>RT0132PE|RJ-21926-E1</v>
      </c>
      <c r="J1378" t="str">
        <f t="shared" si="45"/>
        <v>SÍ</v>
      </c>
    </row>
    <row r="1379" spans="1:10" x14ac:dyDescent="0.3">
      <c r="A1379" t="s">
        <v>692</v>
      </c>
      <c r="B1379" t="s">
        <v>861</v>
      </c>
      <c r="C1379" t="s">
        <v>1452</v>
      </c>
      <c r="D1379" s="23">
        <v>46485</v>
      </c>
      <c r="E1379" t="s">
        <v>2018</v>
      </c>
      <c r="F1379">
        <v>17</v>
      </c>
      <c r="G1379" t="s">
        <v>2171</v>
      </c>
      <c r="I1379" t="str">
        <f t="shared" si="44"/>
        <v>RT0132PE|RJ-22026-E1</v>
      </c>
      <c r="J1379" t="str">
        <f t="shared" si="45"/>
        <v>SÍ</v>
      </c>
    </row>
    <row r="1380" spans="1:10" x14ac:dyDescent="0.3">
      <c r="A1380" t="s">
        <v>598</v>
      </c>
      <c r="B1380" t="s">
        <v>767</v>
      </c>
      <c r="C1380" t="s">
        <v>1097</v>
      </c>
      <c r="D1380" s="23">
        <v>46393.791168981479</v>
      </c>
      <c r="E1380" t="s">
        <v>2019</v>
      </c>
      <c r="F1380">
        <v>5</v>
      </c>
      <c r="G1380" t="s">
        <v>2171</v>
      </c>
      <c r="I1380" t="str">
        <f t="shared" si="44"/>
        <v>RT0063PE|RP-13126-E3</v>
      </c>
      <c r="J1380" t="str">
        <f t="shared" si="45"/>
        <v>SÍ</v>
      </c>
    </row>
    <row r="1381" spans="1:10" x14ac:dyDescent="0.3">
      <c r="A1381" t="s">
        <v>705</v>
      </c>
      <c r="B1381" t="s">
        <v>874</v>
      </c>
      <c r="C1381" t="s">
        <v>1445</v>
      </c>
      <c r="D1381" s="23">
        <v>46434.529363425929</v>
      </c>
      <c r="E1381" t="s">
        <v>2020</v>
      </c>
      <c r="F1381">
        <v>6</v>
      </c>
      <c r="G1381" t="s">
        <v>2171</v>
      </c>
      <c r="I1381" t="str">
        <f t="shared" si="44"/>
        <v>RT0072PE|RJ-16726-E1</v>
      </c>
      <c r="J1381" t="str">
        <f t="shared" si="45"/>
        <v>SÍ</v>
      </c>
    </row>
    <row r="1382" spans="1:10" x14ac:dyDescent="0.3">
      <c r="A1382" t="s">
        <v>635</v>
      </c>
      <c r="B1382" t="s">
        <v>804</v>
      </c>
      <c r="C1382" t="s">
        <v>1179</v>
      </c>
      <c r="D1382" s="23">
        <v>46334.843425925923</v>
      </c>
      <c r="E1382" t="s">
        <v>2020</v>
      </c>
      <c r="F1382">
        <v>1</v>
      </c>
      <c r="G1382" t="s">
        <v>2169</v>
      </c>
      <c r="I1382" t="str">
        <f t="shared" si="44"/>
        <v>RT0095PE|RJ-06726-E4</v>
      </c>
      <c r="J1382" t="str">
        <f t="shared" si="45"/>
        <v>SÍ</v>
      </c>
    </row>
    <row r="1383" spans="1:10" x14ac:dyDescent="0.3">
      <c r="A1383" t="s">
        <v>654</v>
      </c>
      <c r="B1383" t="s">
        <v>823</v>
      </c>
      <c r="C1383" t="s">
        <v>1218</v>
      </c>
      <c r="D1383" s="23">
        <v>46258</v>
      </c>
      <c r="E1383" t="s">
        <v>2021</v>
      </c>
      <c r="F1383">
        <v>4</v>
      </c>
      <c r="G1383" t="s">
        <v>2171</v>
      </c>
      <c r="I1383" t="str">
        <f t="shared" si="44"/>
        <v>RT0071PE|RB-35825</v>
      </c>
      <c r="J1383" t="str">
        <f t="shared" si="45"/>
        <v>SÍ</v>
      </c>
    </row>
    <row r="1384" spans="1:10" x14ac:dyDescent="0.3">
      <c r="A1384" t="s">
        <v>680</v>
      </c>
      <c r="B1384" t="s">
        <v>849</v>
      </c>
      <c r="C1384" t="s">
        <v>1226</v>
      </c>
      <c r="D1384" s="23">
        <v>46303.047777777778</v>
      </c>
      <c r="E1384" t="s">
        <v>2022</v>
      </c>
      <c r="F1384">
        <v>28</v>
      </c>
      <c r="G1384" t="s">
        <v>2169</v>
      </c>
      <c r="I1384" t="str">
        <f t="shared" si="44"/>
        <v>RT0088PE|RN-03926-E8</v>
      </c>
      <c r="J1384" t="str">
        <f t="shared" si="45"/>
        <v>SÍ</v>
      </c>
    </row>
    <row r="1385" spans="1:10" x14ac:dyDescent="0.3">
      <c r="A1385" t="s">
        <v>680</v>
      </c>
      <c r="B1385" t="s">
        <v>849</v>
      </c>
      <c r="C1385" t="s">
        <v>1225</v>
      </c>
      <c r="D1385" s="23">
        <v>46302.916030092587</v>
      </c>
      <c r="E1385" t="s">
        <v>2023</v>
      </c>
      <c r="F1385">
        <v>30</v>
      </c>
      <c r="G1385" t="s">
        <v>2169</v>
      </c>
      <c r="I1385" t="str">
        <f t="shared" si="44"/>
        <v>RT0088PE|RN-03826-E8</v>
      </c>
      <c r="J1385" t="str">
        <f t="shared" si="45"/>
        <v>SÍ</v>
      </c>
    </row>
    <row r="1386" spans="1:10" x14ac:dyDescent="0.3">
      <c r="A1386" t="s">
        <v>680</v>
      </c>
      <c r="B1386" t="s">
        <v>849</v>
      </c>
      <c r="C1386" t="s">
        <v>1225</v>
      </c>
      <c r="D1386" s="23">
        <v>46302.916030092587</v>
      </c>
      <c r="E1386" t="s">
        <v>2024</v>
      </c>
      <c r="F1386">
        <v>10</v>
      </c>
      <c r="G1386" t="s">
        <v>2169</v>
      </c>
      <c r="I1386" t="str">
        <f t="shared" si="44"/>
        <v>RT0088PE|RN-03826-E8</v>
      </c>
      <c r="J1386" t="str">
        <f t="shared" si="45"/>
        <v>SÍ</v>
      </c>
    </row>
    <row r="1387" spans="1:10" x14ac:dyDescent="0.3">
      <c r="A1387" t="s">
        <v>680</v>
      </c>
      <c r="B1387" t="s">
        <v>849</v>
      </c>
      <c r="C1387" t="s">
        <v>1226</v>
      </c>
      <c r="D1387" s="23">
        <v>46303.047777777778</v>
      </c>
      <c r="E1387" t="s">
        <v>2024</v>
      </c>
      <c r="F1387">
        <v>5</v>
      </c>
      <c r="G1387" t="s">
        <v>2169</v>
      </c>
      <c r="I1387" t="str">
        <f t="shared" si="44"/>
        <v>RT0088PE|RN-03926-E8</v>
      </c>
      <c r="J1387" t="str">
        <f t="shared" si="45"/>
        <v>SÍ</v>
      </c>
    </row>
    <row r="1388" spans="1:10" x14ac:dyDescent="0.3">
      <c r="A1388" t="s">
        <v>612</v>
      </c>
      <c r="B1388" t="s">
        <v>781</v>
      </c>
      <c r="C1388" t="s">
        <v>1072</v>
      </c>
      <c r="D1388" s="23">
        <v>46463</v>
      </c>
      <c r="E1388" t="s">
        <v>2025</v>
      </c>
      <c r="F1388">
        <v>30</v>
      </c>
      <c r="G1388" t="s">
        <v>2171</v>
      </c>
      <c r="I1388" t="str">
        <f t="shared" si="44"/>
        <v>RT0131PE|RP-19826-E1</v>
      </c>
      <c r="J1388" t="str">
        <f t="shared" si="45"/>
        <v>SÍ</v>
      </c>
    </row>
    <row r="1389" spans="1:10" x14ac:dyDescent="0.3">
      <c r="A1389" t="s">
        <v>612</v>
      </c>
      <c r="B1389" t="s">
        <v>781</v>
      </c>
      <c r="C1389" t="s">
        <v>1070</v>
      </c>
      <c r="D1389" s="23">
        <v>46462</v>
      </c>
      <c r="E1389" t="s">
        <v>2025</v>
      </c>
      <c r="F1389">
        <v>30</v>
      </c>
      <c r="G1389" t="s">
        <v>2171</v>
      </c>
      <c r="I1389" t="str">
        <f t="shared" si="44"/>
        <v>RT0131PE|RP-19726-E1</v>
      </c>
      <c r="J1389" t="str">
        <f t="shared" si="45"/>
        <v>SÍ</v>
      </c>
    </row>
    <row r="1390" spans="1:10" x14ac:dyDescent="0.3">
      <c r="A1390" t="s">
        <v>612</v>
      </c>
      <c r="B1390" t="s">
        <v>781</v>
      </c>
      <c r="C1390" t="s">
        <v>1070</v>
      </c>
      <c r="D1390" s="23">
        <v>46462</v>
      </c>
      <c r="E1390" t="s">
        <v>2026</v>
      </c>
      <c r="F1390">
        <v>30</v>
      </c>
      <c r="G1390" t="s">
        <v>2171</v>
      </c>
      <c r="I1390" t="str">
        <f t="shared" si="44"/>
        <v>RT0131PE|RP-19726-E1</v>
      </c>
      <c r="J1390" t="str">
        <f t="shared" si="45"/>
        <v>SÍ</v>
      </c>
    </row>
    <row r="1391" spans="1:10" x14ac:dyDescent="0.3">
      <c r="A1391" t="s">
        <v>680</v>
      </c>
      <c r="B1391" t="s">
        <v>849</v>
      </c>
      <c r="C1391" t="s">
        <v>1225</v>
      </c>
      <c r="D1391" s="23">
        <v>46302.916030092587</v>
      </c>
      <c r="E1391" t="s">
        <v>2027</v>
      </c>
      <c r="F1391">
        <v>30</v>
      </c>
      <c r="G1391" t="s">
        <v>2169</v>
      </c>
      <c r="I1391" t="str">
        <f t="shared" si="44"/>
        <v>RT0088PE|RN-03826-E8</v>
      </c>
      <c r="J1391" t="str">
        <f t="shared" si="45"/>
        <v>SÍ</v>
      </c>
    </row>
    <row r="1392" spans="1:10" x14ac:dyDescent="0.3">
      <c r="A1392" t="s">
        <v>692</v>
      </c>
      <c r="B1392" t="s">
        <v>861</v>
      </c>
      <c r="C1392" t="s">
        <v>1357</v>
      </c>
      <c r="D1392" s="23">
        <v>46489</v>
      </c>
      <c r="E1392" t="s">
        <v>2028</v>
      </c>
      <c r="F1392">
        <v>60</v>
      </c>
      <c r="G1392" t="s">
        <v>2171</v>
      </c>
      <c r="I1392" t="str">
        <f t="shared" si="44"/>
        <v>RT0132PE|RJ-22426-E1</v>
      </c>
      <c r="J1392" t="str">
        <f t="shared" si="45"/>
        <v>SÍ</v>
      </c>
    </row>
    <row r="1393" spans="1:10" x14ac:dyDescent="0.3">
      <c r="A1393" t="s">
        <v>633</v>
      </c>
      <c r="B1393" t="s">
        <v>802</v>
      </c>
      <c r="C1393" t="s">
        <v>1095</v>
      </c>
      <c r="D1393" s="23">
        <v>46367.672164351847</v>
      </c>
      <c r="E1393" t="s">
        <v>2029</v>
      </c>
      <c r="F1393">
        <v>15</v>
      </c>
      <c r="G1393" t="s">
        <v>2170</v>
      </c>
      <c r="I1393" t="str">
        <f t="shared" si="44"/>
        <v>RT0053PE|RN-10526-E7</v>
      </c>
      <c r="J1393" t="str">
        <f t="shared" si="45"/>
        <v>SÍ</v>
      </c>
    </row>
    <row r="1394" spans="1:10" x14ac:dyDescent="0.3">
      <c r="A1394" t="s">
        <v>633</v>
      </c>
      <c r="B1394" t="s">
        <v>802</v>
      </c>
      <c r="C1394" t="s">
        <v>1093</v>
      </c>
      <c r="D1394" s="23">
        <v>46372.292870370373</v>
      </c>
      <c r="E1394" t="s">
        <v>2029</v>
      </c>
      <c r="F1394">
        <v>5</v>
      </c>
      <c r="G1394" t="s">
        <v>2170</v>
      </c>
      <c r="I1394" t="str">
        <f t="shared" si="44"/>
        <v>RT0053PE|RN-10626-E7</v>
      </c>
      <c r="J1394" t="str">
        <f t="shared" si="45"/>
        <v>SÍ</v>
      </c>
    </row>
    <row r="1395" spans="1:10" x14ac:dyDescent="0.3">
      <c r="A1395" t="s">
        <v>633</v>
      </c>
      <c r="B1395" t="s">
        <v>802</v>
      </c>
      <c r="C1395" t="s">
        <v>1094</v>
      </c>
      <c r="D1395" s="23">
        <v>46373.293020833327</v>
      </c>
      <c r="E1395" t="s">
        <v>2029</v>
      </c>
      <c r="F1395">
        <v>10</v>
      </c>
      <c r="G1395" t="s">
        <v>2170</v>
      </c>
      <c r="I1395" t="str">
        <f t="shared" si="44"/>
        <v>RT0053PE|RN-10726-E7</v>
      </c>
      <c r="J1395" t="str">
        <f t="shared" si="45"/>
        <v>SÍ</v>
      </c>
    </row>
    <row r="1396" spans="1:10" x14ac:dyDescent="0.3">
      <c r="A1396" t="s">
        <v>684</v>
      </c>
      <c r="B1396" t="s">
        <v>853</v>
      </c>
      <c r="C1396" t="s">
        <v>1259</v>
      </c>
      <c r="D1396" s="23">
        <v>46357.11078703704</v>
      </c>
      <c r="E1396" t="s">
        <v>2030</v>
      </c>
      <c r="F1396">
        <v>28</v>
      </c>
      <c r="G1396" t="s">
        <v>2169</v>
      </c>
      <c r="I1396" t="str">
        <f t="shared" si="44"/>
        <v>RT0093PE|RP-09026-E3</v>
      </c>
      <c r="J1396" t="str">
        <f t="shared" si="45"/>
        <v>SÍ</v>
      </c>
    </row>
    <row r="1397" spans="1:10" x14ac:dyDescent="0.3">
      <c r="A1397" t="s">
        <v>637</v>
      </c>
      <c r="B1397" t="s">
        <v>806</v>
      </c>
      <c r="C1397" t="s">
        <v>1231</v>
      </c>
      <c r="D1397" s="23">
        <v>46434</v>
      </c>
      <c r="E1397" t="s">
        <v>2031</v>
      </c>
      <c r="F1397">
        <v>60</v>
      </c>
      <c r="G1397" t="s">
        <v>2173</v>
      </c>
      <c r="I1397" t="str">
        <f t="shared" si="44"/>
        <v>RT0109PE|RP-16726-E3</v>
      </c>
      <c r="J1397" t="str">
        <f t="shared" si="45"/>
        <v>SÍ</v>
      </c>
    </row>
    <row r="1398" spans="1:10" x14ac:dyDescent="0.3">
      <c r="A1398" t="s">
        <v>637</v>
      </c>
      <c r="B1398" t="s">
        <v>806</v>
      </c>
      <c r="C1398" t="s">
        <v>1230</v>
      </c>
      <c r="D1398" s="23">
        <v>46434.526087962957</v>
      </c>
      <c r="E1398" t="s">
        <v>2032</v>
      </c>
      <c r="F1398">
        <v>60</v>
      </c>
      <c r="G1398" t="s">
        <v>2173</v>
      </c>
      <c r="I1398" t="str">
        <f t="shared" si="44"/>
        <v>RT0109PE|RP-16726-E2</v>
      </c>
      <c r="J1398" t="str">
        <f t="shared" si="45"/>
        <v>SÍ</v>
      </c>
    </row>
    <row r="1399" spans="1:10" x14ac:dyDescent="0.3">
      <c r="A1399" t="s">
        <v>675</v>
      </c>
      <c r="B1399" t="s">
        <v>844</v>
      </c>
      <c r="C1399" t="s">
        <v>1213</v>
      </c>
      <c r="D1399" s="23">
        <v>46520.597442129627</v>
      </c>
      <c r="E1399" t="s">
        <v>2033</v>
      </c>
      <c r="F1399">
        <v>30</v>
      </c>
      <c r="G1399" t="s">
        <v>2169</v>
      </c>
      <c r="I1399" t="str">
        <f t="shared" si="44"/>
        <v>RT0103PE|RJ-14626-E4</v>
      </c>
      <c r="J1399" t="str">
        <f t="shared" si="45"/>
        <v>SÍ</v>
      </c>
    </row>
    <row r="1400" spans="1:10" x14ac:dyDescent="0.3">
      <c r="A1400" t="s">
        <v>637</v>
      </c>
      <c r="B1400" t="s">
        <v>806</v>
      </c>
      <c r="C1400" t="s">
        <v>1231</v>
      </c>
      <c r="D1400" s="23">
        <v>46434</v>
      </c>
      <c r="E1400" t="s">
        <v>2034</v>
      </c>
      <c r="F1400">
        <v>60</v>
      </c>
      <c r="G1400" t="s">
        <v>2173</v>
      </c>
      <c r="I1400" t="str">
        <f t="shared" si="44"/>
        <v>RT0109PE|RP-16726-E3</v>
      </c>
      <c r="J1400" t="str">
        <f t="shared" si="45"/>
        <v>SÍ</v>
      </c>
    </row>
    <row r="1401" spans="1:10" x14ac:dyDescent="0.3">
      <c r="A1401" t="s">
        <v>637</v>
      </c>
      <c r="B1401" t="s">
        <v>806</v>
      </c>
      <c r="C1401" t="s">
        <v>1229</v>
      </c>
      <c r="D1401" s="23">
        <v>46421.108298611107</v>
      </c>
      <c r="E1401" t="s">
        <v>2035</v>
      </c>
      <c r="F1401">
        <v>23</v>
      </c>
      <c r="G1401" t="s">
        <v>2173</v>
      </c>
      <c r="I1401" t="str">
        <f t="shared" si="44"/>
        <v>RT0109PE|RP-15426-E2</v>
      </c>
      <c r="J1401" t="str">
        <f t="shared" si="45"/>
        <v>SÍ</v>
      </c>
    </row>
    <row r="1402" spans="1:10" x14ac:dyDescent="0.3">
      <c r="A1402" t="s">
        <v>637</v>
      </c>
      <c r="B1402" t="s">
        <v>806</v>
      </c>
      <c r="C1402" t="s">
        <v>1235</v>
      </c>
      <c r="D1402" s="23">
        <v>46420.081238425933</v>
      </c>
      <c r="E1402" t="s">
        <v>2035</v>
      </c>
      <c r="F1402">
        <v>14</v>
      </c>
      <c r="G1402" t="s">
        <v>2173</v>
      </c>
      <c r="I1402" t="str">
        <f t="shared" si="44"/>
        <v>RT0109PE|RP-15326-E2</v>
      </c>
      <c r="J1402" t="str">
        <f t="shared" si="45"/>
        <v>SÍ</v>
      </c>
    </row>
    <row r="1403" spans="1:10" x14ac:dyDescent="0.3">
      <c r="A1403" t="s">
        <v>637</v>
      </c>
      <c r="B1403" t="s">
        <v>806</v>
      </c>
      <c r="C1403" t="s">
        <v>1230</v>
      </c>
      <c r="D1403" s="23">
        <v>46434.526087962957</v>
      </c>
      <c r="E1403" t="s">
        <v>2036</v>
      </c>
      <c r="F1403">
        <v>10</v>
      </c>
      <c r="G1403" t="s">
        <v>2173</v>
      </c>
      <c r="I1403" t="str">
        <f t="shared" si="44"/>
        <v>RT0109PE|RP-16726-E2</v>
      </c>
      <c r="J1403" t="str">
        <f t="shared" si="45"/>
        <v>SÍ</v>
      </c>
    </row>
    <row r="1404" spans="1:10" x14ac:dyDescent="0.3">
      <c r="A1404" t="s">
        <v>692</v>
      </c>
      <c r="B1404" t="s">
        <v>861</v>
      </c>
      <c r="C1404" t="s">
        <v>1357</v>
      </c>
      <c r="D1404" s="23">
        <v>46489</v>
      </c>
      <c r="E1404" t="s">
        <v>2037</v>
      </c>
      <c r="F1404">
        <v>30</v>
      </c>
      <c r="G1404" t="s">
        <v>2171</v>
      </c>
      <c r="I1404" t="str">
        <f t="shared" si="44"/>
        <v>RT0132PE|RJ-22426-E1</v>
      </c>
      <c r="J1404" t="str">
        <f t="shared" si="45"/>
        <v>SÍ</v>
      </c>
    </row>
    <row r="1405" spans="1:10" x14ac:dyDescent="0.3">
      <c r="A1405" t="s">
        <v>692</v>
      </c>
      <c r="B1405" t="s">
        <v>861</v>
      </c>
      <c r="C1405" t="s">
        <v>1357</v>
      </c>
      <c r="D1405" s="23">
        <v>46489</v>
      </c>
      <c r="E1405" t="s">
        <v>2038</v>
      </c>
      <c r="F1405">
        <v>60</v>
      </c>
      <c r="G1405" t="s">
        <v>2171</v>
      </c>
      <c r="I1405" t="str">
        <f t="shared" si="44"/>
        <v>RT0132PE|RJ-22426-E1</v>
      </c>
      <c r="J1405" t="str">
        <f t="shared" si="45"/>
        <v>SÍ</v>
      </c>
    </row>
    <row r="1406" spans="1:10" x14ac:dyDescent="0.3">
      <c r="A1406" t="s">
        <v>669</v>
      </c>
      <c r="B1406" t="s">
        <v>838</v>
      </c>
      <c r="C1406" t="s">
        <v>1196</v>
      </c>
      <c r="D1406" s="23">
        <v>46306.194918981477</v>
      </c>
      <c r="E1406" t="s">
        <v>2039</v>
      </c>
      <c r="F1406">
        <v>25</v>
      </c>
      <c r="G1406" t="s">
        <v>2169</v>
      </c>
      <c r="I1406" t="str">
        <f t="shared" si="44"/>
        <v>RT0091PE|RJ-04226-E3</v>
      </c>
      <c r="J1406" t="str">
        <f t="shared" si="45"/>
        <v>SÍ</v>
      </c>
    </row>
    <row r="1407" spans="1:10" x14ac:dyDescent="0.3">
      <c r="A1407" t="s">
        <v>635</v>
      </c>
      <c r="B1407" t="s">
        <v>804</v>
      </c>
      <c r="C1407" t="s">
        <v>1198</v>
      </c>
      <c r="D1407" s="23">
        <v>46533.381516203714</v>
      </c>
      <c r="E1407" t="s">
        <v>2040</v>
      </c>
      <c r="F1407">
        <v>60</v>
      </c>
      <c r="G1407" t="s">
        <v>2169</v>
      </c>
      <c r="I1407" t="str">
        <f t="shared" si="44"/>
        <v>RT0095PE|RJ-14626-E5</v>
      </c>
      <c r="J1407" t="str">
        <f t="shared" si="45"/>
        <v>SÍ</v>
      </c>
    </row>
    <row r="1408" spans="1:10" x14ac:dyDescent="0.3">
      <c r="A1408" t="s">
        <v>635</v>
      </c>
      <c r="B1408" t="s">
        <v>804</v>
      </c>
      <c r="C1408" t="s">
        <v>1197</v>
      </c>
      <c r="D1408" s="23">
        <v>46333.81318287037</v>
      </c>
      <c r="E1408" t="s">
        <v>2041</v>
      </c>
      <c r="F1408">
        <v>9</v>
      </c>
      <c r="G1408" t="s">
        <v>2169</v>
      </c>
      <c r="I1408" t="str">
        <f t="shared" si="44"/>
        <v>RT0095PE|RJ-06626-E4</v>
      </c>
      <c r="J1408" t="str">
        <f t="shared" si="45"/>
        <v>SÍ</v>
      </c>
    </row>
    <row r="1409" spans="1:10" x14ac:dyDescent="0.3">
      <c r="A1409" t="s">
        <v>635</v>
      </c>
      <c r="B1409" t="s">
        <v>804</v>
      </c>
      <c r="C1409" t="s">
        <v>1179</v>
      </c>
      <c r="D1409" s="23">
        <v>46334.843425925923</v>
      </c>
      <c r="E1409" t="s">
        <v>2041</v>
      </c>
      <c r="F1409">
        <v>3</v>
      </c>
      <c r="G1409" t="s">
        <v>2169</v>
      </c>
      <c r="I1409" t="str">
        <f t="shared" si="44"/>
        <v>RT0095PE|RJ-06726-E4</v>
      </c>
      <c r="J1409" t="str">
        <f t="shared" si="45"/>
        <v>SÍ</v>
      </c>
    </row>
    <row r="1410" spans="1:10" x14ac:dyDescent="0.3">
      <c r="A1410" t="s">
        <v>635</v>
      </c>
      <c r="B1410" t="s">
        <v>804</v>
      </c>
      <c r="C1410" t="s">
        <v>1099</v>
      </c>
      <c r="D1410" s="23">
        <v>46336.4219212963</v>
      </c>
      <c r="E1410" t="s">
        <v>2041</v>
      </c>
      <c r="F1410">
        <v>2</v>
      </c>
      <c r="G1410" t="s">
        <v>2169</v>
      </c>
      <c r="I1410" t="str">
        <f t="shared" si="44"/>
        <v>RT0095PE|RJ-04126-E3</v>
      </c>
      <c r="J1410" t="str">
        <f t="shared" si="45"/>
        <v>SÍ</v>
      </c>
    </row>
    <row r="1411" spans="1:10" x14ac:dyDescent="0.3">
      <c r="A1411" t="s">
        <v>635</v>
      </c>
      <c r="B1411" t="s">
        <v>804</v>
      </c>
      <c r="C1411" t="s">
        <v>1178</v>
      </c>
      <c r="D1411" s="23">
        <v>46321.132581018523</v>
      </c>
      <c r="E1411" t="s">
        <v>2041</v>
      </c>
      <c r="F1411">
        <v>5</v>
      </c>
      <c r="G1411" t="s">
        <v>2169</v>
      </c>
      <c r="I1411" t="str">
        <f t="shared" si="44"/>
        <v>RT0095PE|RJ-05726-E5</v>
      </c>
      <c r="J1411" t="str">
        <f t="shared" si="45"/>
        <v>SÍ</v>
      </c>
    </row>
    <row r="1412" spans="1:10" x14ac:dyDescent="0.3">
      <c r="A1412" t="s">
        <v>635</v>
      </c>
      <c r="B1412" t="s">
        <v>804</v>
      </c>
      <c r="C1412" t="s">
        <v>1179</v>
      </c>
      <c r="D1412" s="23">
        <v>46334.843425925923</v>
      </c>
      <c r="E1412" t="s">
        <v>2042</v>
      </c>
      <c r="F1412">
        <v>60</v>
      </c>
      <c r="G1412" t="s">
        <v>2169</v>
      </c>
      <c r="I1412" t="str">
        <f t="shared" si="44"/>
        <v>RT0095PE|RJ-06726-E4</v>
      </c>
      <c r="J1412" t="str">
        <f t="shared" si="45"/>
        <v>SÍ</v>
      </c>
    </row>
    <row r="1413" spans="1:10" x14ac:dyDescent="0.3">
      <c r="A1413" t="s">
        <v>635</v>
      </c>
      <c r="B1413" t="s">
        <v>804</v>
      </c>
      <c r="C1413" t="s">
        <v>1179</v>
      </c>
      <c r="D1413" s="23">
        <v>46334.843425925923</v>
      </c>
      <c r="E1413" t="s">
        <v>2043</v>
      </c>
      <c r="F1413">
        <v>25</v>
      </c>
      <c r="G1413" t="s">
        <v>2169</v>
      </c>
      <c r="I1413" t="str">
        <f t="shared" si="44"/>
        <v>RT0095PE|RJ-06726-E4</v>
      </c>
      <c r="J1413" t="str">
        <f t="shared" si="45"/>
        <v>SÍ</v>
      </c>
    </row>
    <row r="1414" spans="1:10" x14ac:dyDescent="0.3">
      <c r="A1414" t="s">
        <v>635</v>
      </c>
      <c r="B1414" t="s">
        <v>804</v>
      </c>
      <c r="C1414" t="s">
        <v>1198</v>
      </c>
      <c r="D1414" s="23">
        <v>46533.381516203714</v>
      </c>
      <c r="E1414" t="s">
        <v>2043</v>
      </c>
      <c r="F1414">
        <v>30</v>
      </c>
      <c r="G1414" t="s">
        <v>2169</v>
      </c>
      <c r="I1414" t="str">
        <f t="shared" si="44"/>
        <v>RT0095PE|RJ-14626-E5</v>
      </c>
      <c r="J1414" t="str">
        <f t="shared" si="45"/>
        <v>SÍ</v>
      </c>
    </row>
    <row r="1415" spans="1:10" x14ac:dyDescent="0.3">
      <c r="A1415" t="s">
        <v>634</v>
      </c>
      <c r="B1415" t="s">
        <v>803</v>
      </c>
      <c r="C1415" t="s">
        <v>1242</v>
      </c>
      <c r="D1415" s="23">
        <v>46491.909895833327</v>
      </c>
      <c r="E1415" t="s">
        <v>2044</v>
      </c>
      <c r="F1415">
        <v>9</v>
      </c>
      <c r="G1415" t="s">
        <v>2169</v>
      </c>
      <c r="I1415" t="str">
        <f t="shared" si="44"/>
        <v>RT0092PE|RN-14626-E5</v>
      </c>
      <c r="J1415" t="str">
        <f t="shared" si="45"/>
        <v>SÍ</v>
      </c>
    </row>
    <row r="1416" spans="1:10" x14ac:dyDescent="0.3">
      <c r="A1416" t="s">
        <v>635</v>
      </c>
      <c r="B1416" t="s">
        <v>804</v>
      </c>
      <c r="C1416" t="s">
        <v>1178</v>
      </c>
      <c r="D1416" s="23">
        <v>46321.132581018523</v>
      </c>
      <c r="E1416" t="s">
        <v>2044</v>
      </c>
      <c r="F1416">
        <v>3</v>
      </c>
      <c r="G1416" t="s">
        <v>2169</v>
      </c>
      <c r="I1416" t="str">
        <f t="shared" si="44"/>
        <v>RT0095PE|RJ-05726-E5</v>
      </c>
      <c r="J1416" t="str">
        <f t="shared" si="45"/>
        <v>SÍ</v>
      </c>
    </row>
    <row r="1417" spans="1:10" x14ac:dyDescent="0.3">
      <c r="A1417" t="s">
        <v>693</v>
      </c>
      <c r="B1417" t="s">
        <v>862</v>
      </c>
      <c r="C1417" t="s">
        <v>1453</v>
      </c>
      <c r="D1417" s="23">
        <v>46489.259270833332</v>
      </c>
      <c r="E1417" t="s">
        <v>2045</v>
      </c>
      <c r="F1417">
        <v>30</v>
      </c>
      <c r="G1417" t="s">
        <v>2171</v>
      </c>
      <c r="I1417" t="str">
        <f t="shared" si="44"/>
        <v>RT0122PE|RN-22426-E1</v>
      </c>
      <c r="J1417" t="str">
        <f t="shared" si="45"/>
        <v>SÍ</v>
      </c>
    </row>
    <row r="1418" spans="1:10" x14ac:dyDescent="0.3">
      <c r="A1418" t="s">
        <v>693</v>
      </c>
      <c r="B1418" t="s">
        <v>862</v>
      </c>
      <c r="C1418" t="s">
        <v>1345</v>
      </c>
      <c r="D1418" s="23">
        <v>46489.254479166673</v>
      </c>
      <c r="E1418" t="s">
        <v>2045</v>
      </c>
      <c r="F1418">
        <v>30</v>
      </c>
      <c r="G1418" t="s">
        <v>2171</v>
      </c>
      <c r="I1418" t="str">
        <f t="shared" si="44"/>
        <v>RT0122PE|RN-22426-E3</v>
      </c>
      <c r="J1418" t="str">
        <f t="shared" si="45"/>
        <v>SÍ</v>
      </c>
    </row>
    <row r="1419" spans="1:10" x14ac:dyDescent="0.3">
      <c r="A1419" t="s">
        <v>708</v>
      </c>
      <c r="B1419" t="s">
        <v>877</v>
      </c>
      <c r="C1419" t="s">
        <v>1454</v>
      </c>
      <c r="D1419" s="23">
        <v>46460.394965277781</v>
      </c>
      <c r="E1419" t="s">
        <v>2046</v>
      </c>
      <c r="F1419">
        <v>60</v>
      </c>
      <c r="G1419" t="s">
        <v>2171</v>
      </c>
      <c r="I1419" t="str">
        <f t="shared" si="44"/>
        <v>RT0118PE|RN-19526-E1</v>
      </c>
      <c r="J1419" t="str">
        <f t="shared" si="45"/>
        <v>SÍ</v>
      </c>
    </row>
    <row r="1420" spans="1:10" x14ac:dyDescent="0.3">
      <c r="A1420" t="s">
        <v>708</v>
      </c>
      <c r="B1420" t="s">
        <v>877</v>
      </c>
      <c r="C1420" t="s">
        <v>1454</v>
      </c>
      <c r="D1420" s="23">
        <v>46460.394965277781</v>
      </c>
      <c r="E1420" t="s">
        <v>2047</v>
      </c>
      <c r="F1420">
        <v>60</v>
      </c>
      <c r="G1420" t="s">
        <v>2171</v>
      </c>
      <c r="I1420" t="str">
        <f t="shared" si="44"/>
        <v>RT0118PE|RN-19526-E1</v>
      </c>
      <c r="J1420" t="str">
        <f t="shared" si="45"/>
        <v>SÍ</v>
      </c>
    </row>
    <row r="1421" spans="1:10" x14ac:dyDescent="0.3">
      <c r="A1421" t="s">
        <v>708</v>
      </c>
      <c r="B1421" t="s">
        <v>877</v>
      </c>
      <c r="C1421" t="s">
        <v>1454</v>
      </c>
      <c r="D1421" s="23">
        <v>46460.394965277781</v>
      </c>
      <c r="E1421" t="s">
        <v>2048</v>
      </c>
      <c r="F1421">
        <v>30</v>
      </c>
      <c r="G1421" t="s">
        <v>2171</v>
      </c>
      <c r="I1421" t="str">
        <f t="shared" si="44"/>
        <v>RT0118PE|RN-19526-E1</v>
      </c>
      <c r="J1421" t="str">
        <f t="shared" si="45"/>
        <v>SÍ</v>
      </c>
    </row>
    <row r="1422" spans="1:10" x14ac:dyDescent="0.3">
      <c r="A1422" t="s">
        <v>626</v>
      </c>
      <c r="B1422" t="s">
        <v>795</v>
      </c>
      <c r="C1422" t="s">
        <v>1176</v>
      </c>
      <c r="D1422" s="23">
        <v>46436</v>
      </c>
      <c r="E1422" t="s">
        <v>2049</v>
      </c>
      <c r="F1422">
        <v>30</v>
      </c>
      <c r="G1422" t="s">
        <v>2171</v>
      </c>
      <c r="I1422" t="str">
        <f t="shared" si="44"/>
        <v>RT0057PE|RN-16926-E4</v>
      </c>
      <c r="J1422" t="str">
        <f t="shared" si="45"/>
        <v>SÍ</v>
      </c>
    </row>
    <row r="1423" spans="1:10" x14ac:dyDescent="0.3">
      <c r="A1423" t="s">
        <v>626</v>
      </c>
      <c r="B1423" t="s">
        <v>795</v>
      </c>
      <c r="C1423" t="s">
        <v>1171</v>
      </c>
      <c r="D1423" s="23">
        <v>46436</v>
      </c>
      <c r="E1423" t="s">
        <v>2049</v>
      </c>
      <c r="F1423">
        <v>30</v>
      </c>
      <c r="G1423" t="s">
        <v>2171</v>
      </c>
      <c r="I1423" t="str">
        <f t="shared" si="44"/>
        <v>RT0057PE|RN-16926-E5</v>
      </c>
      <c r="J1423" t="str">
        <f t="shared" si="45"/>
        <v>SÍ</v>
      </c>
    </row>
    <row r="1424" spans="1:10" x14ac:dyDescent="0.3">
      <c r="A1424" t="s">
        <v>626</v>
      </c>
      <c r="B1424" t="s">
        <v>795</v>
      </c>
      <c r="C1424" t="s">
        <v>1079</v>
      </c>
      <c r="D1424" s="23">
        <v>46467</v>
      </c>
      <c r="E1424" t="s">
        <v>2050</v>
      </c>
      <c r="F1424">
        <v>10</v>
      </c>
      <c r="G1424" t="s">
        <v>2171</v>
      </c>
      <c r="I1424" t="str">
        <f t="shared" si="44"/>
        <v>RT0057PE|RN-20226-E3</v>
      </c>
      <c r="J1424" t="str">
        <f t="shared" si="45"/>
        <v>SÍ</v>
      </c>
    </row>
    <row r="1425" spans="1:10" x14ac:dyDescent="0.3">
      <c r="A1425" t="s">
        <v>684</v>
      </c>
      <c r="B1425" t="s">
        <v>853</v>
      </c>
      <c r="C1425" t="s">
        <v>1258</v>
      </c>
      <c r="D1425" s="23">
        <v>46356.100115740737</v>
      </c>
      <c r="E1425" t="s">
        <v>2051</v>
      </c>
      <c r="F1425">
        <v>1</v>
      </c>
      <c r="G1425" t="s">
        <v>2169</v>
      </c>
      <c r="I1425" t="str">
        <f t="shared" si="44"/>
        <v>RT0093PE|RP-08926-E3</v>
      </c>
      <c r="J1425" t="str">
        <f t="shared" si="45"/>
        <v>SÍ</v>
      </c>
    </row>
    <row r="1426" spans="1:10" x14ac:dyDescent="0.3">
      <c r="A1426" t="s">
        <v>684</v>
      </c>
      <c r="B1426" t="s">
        <v>853</v>
      </c>
      <c r="C1426" t="s">
        <v>1259</v>
      </c>
      <c r="D1426" s="23">
        <v>46357.11078703704</v>
      </c>
      <c r="E1426" t="s">
        <v>2052</v>
      </c>
      <c r="F1426">
        <v>30</v>
      </c>
      <c r="G1426" t="s">
        <v>2169</v>
      </c>
      <c r="I1426" t="str">
        <f t="shared" ref="I1426:I1489" si="46">IF(A1426="","",A1426&amp;"|"&amp;C1426)</f>
        <v>RT0093PE|RP-09026-E3</v>
      </c>
      <c r="J1426" t="str">
        <f t="shared" ref="J1426:J1489" si="47">IF(A1426&lt;&gt;"","SÍ","NO")</f>
        <v>SÍ</v>
      </c>
    </row>
    <row r="1427" spans="1:10" x14ac:dyDescent="0.3">
      <c r="A1427" t="s">
        <v>684</v>
      </c>
      <c r="B1427" t="s">
        <v>853</v>
      </c>
      <c r="C1427" t="s">
        <v>1267</v>
      </c>
      <c r="D1427" s="23">
        <v>46357</v>
      </c>
      <c r="E1427" t="s">
        <v>2052</v>
      </c>
      <c r="F1427">
        <v>30</v>
      </c>
      <c r="G1427" t="s">
        <v>2169</v>
      </c>
      <c r="I1427" t="str">
        <f t="shared" si="46"/>
        <v>RT0093PE|RP-09126-E2</v>
      </c>
      <c r="J1427" t="str">
        <f t="shared" si="47"/>
        <v>SÍ</v>
      </c>
    </row>
    <row r="1428" spans="1:10" x14ac:dyDescent="0.3">
      <c r="A1428" t="s">
        <v>684</v>
      </c>
      <c r="B1428" t="s">
        <v>853</v>
      </c>
      <c r="C1428" t="s">
        <v>1263</v>
      </c>
      <c r="D1428" s="23">
        <v>46357</v>
      </c>
      <c r="E1428" t="s">
        <v>2053</v>
      </c>
      <c r="F1428">
        <v>60</v>
      </c>
      <c r="G1428" t="s">
        <v>2169</v>
      </c>
      <c r="I1428" t="str">
        <f t="shared" si="46"/>
        <v>RT0093PE|RP-09126-E3</v>
      </c>
      <c r="J1428" t="str">
        <f t="shared" si="47"/>
        <v>SÍ</v>
      </c>
    </row>
    <row r="1429" spans="1:10" x14ac:dyDescent="0.3">
      <c r="A1429" t="s">
        <v>684</v>
      </c>
      <c r="B1429" t="s">
        <v>853</v>
      </c>
      <c r="C1429" t="s">
        <v>1259</v>
      </c>
      <c r="D1429" s="23">
        <v>46357.11078703704</v>
      </c>
      <c r="E1429" t="s">
        <v>2054</v>
      </c>
      <c r="F1429">
        <v>30</v>
      </c>
      <c r="G1429" t="s">
        <v>2169</v>
      </c>
      <c r="I1429" t="str">
        <f t="shared" si="46"/>
        <v>RT0093PE|RP-09026-E3</v>
      </c>
      <c r="J1429" t="str">
        <f t="shared" si="47"/>
        <v>SÍ</v>
      </c>
    </row>
    <row r="1430" spans="1:10" x14ac:dyDescent="0.3">
      <c r="A1430" t="s">
        <v>684</v>
      </c>
      <c r="B1430" t="s">
        <v>853</v>
      </c>
      <c r="C1430" t="s">
        <v>1260</v>
      </c>
      <c r="D1430" s="23">
        <v>46380.725740740738</v>
      </c>
      <c r="E1430" t="s">
        <v>2054</v>
      </c>
      <c r="F1430">
        <v>30</v>
      </c>
      <c r="G1430" t="s">
        <v>2169</v>
      </c>
      <c r="I1430" t="str">
        <f t="shared" si="46"/>
        <v>RT0093PE|RP-09026-E2</v>
      </c>
      <c r="J1430" t="str">
        <f t="shared" si="47"/>
        <v>SÍ</v>
      </c>
    </row>
    <row r="1431" spans="1:10" x14ac:dyDescent="0.3">
      <c r="A1431" t="s">
        <v>684</v>
      </c>
      <c r="B1431" t="s">
        <v>853</v>
      </c>
      <c r="C1431" t="s">
        <v>1259</v>
      </c>
      <c r="D1431" s="23">
        <v>46357.11078703704</v>
      </c>
      <c r="E1431" t="s">
        <v>2055</v>
      </c>
      <c r="F1431">
        <v>60</v>
      </c>
      <c r="G1431" t="s">
        <v>2169</v>
      </c>
      <c r="I1431" t="str">
        <f t="shared" si="46"/>
        <v>RT0093PE|RP-09026-E3</v>
      </c>
      <c r="J1431" t="str">
        <f t="shared" si="47"/>
        <v>SÍ</v>
      </c>
    </row>
    <row r="1432" spans="1:10" x14ac:dyDescent="0.3">
      <c r="A1432" t="s">
        <v>684</v>
      </c>
      <c r="B1432" t="s">
        <v>853</v>
      </c>
      <c r="C1432" t="s">
        <v>1267</v>
      </c>
      <c r="D1432" s="23">
        <v>46357</v>
      </c>
      <c r="E1432" t="s">
        <v>2056</v>
      </c>
      <c r="F1432">
        <v>60</v>
      </c>
      <c r="G1432" t="s">
        <v>2169</v>
      </c>
      <c r="I1432" t="str">
        <f t="shared" si="46"/>
        <v>RT0093PE|RP-09126-E2</v>
      </c>
      <c r="J1432" t="str">
        <f t="shared" si="47"/>
        <v>SÍ</v>
      </c>
    </row>
    <row r="1433" spans="1:10" x14ac:dyDescent="0.3">
      <c r="A1433" t="s">
        <v>684</v>
      </c>
      <c r="B1433" t="s">
        <v>853</v>
      </c>
      <c r="C1433" t="s">
        <v>1259</v>
      </c>
      <c r="D1433" s="23">
        <v>46357.11078703704</v>
      </c>
      <c r="E1433" t="s">
        <v>2057</v>
      </c>
      <c r="F1433">
        <v>30</v>
      </c>
      <c r="G1433" t="s">
        <v>2169</v>
      </c>
      <c r="I1433" t="str">
        <f t="shared" si="46"/>
        <v>RT0093PE|RP-09026-E3</v>
      </c>
      <c r="J1433" t="str">
        <f t="shared" si="47"/>
        <v>SÍ</v>
      </c>
    </row>
    <row r="1434" spans="1:10" x14ac:dyDescent="0.3">
      <c r="A1434" t="s">
        <v>684</v>
      </c>
      <c r="B1434" t="s">
        <v>853</v>
      </c>
      <c r="C1434" t="s">
        <v>1259</v>
      </c>
      <c r="D1434" s="23">
        <v>46357.11078703704</v>
      </c>
      <c r="E1434" t="s">
        <v>2058</v>
      </c>
      <c r="F1434">
        <v>60</v>
      </c>
      <c r="G1434" t="s">
        <v>2169</v>
      </c>
      <c r="I1434" t="str">
        <f t="shared" si="46"/>
        <v>RT0093PE|RP-09026-E3</v>
      </c>
      <c r="J1434" t="str">
        <f t="shared" si="47"/>
        <v>SÍ</v>
      </c>
    </row>
    <row r="1435" spans="1:10" x14ac:dyDescent="0.3">
      <c r="A1435" t="s">
        <v>684</v>
      </c>
      <c r="B1435" t="s">
        <v>853</v>
      </c>
      <c r="C1435" t="s">
        <v>1455</v>
      </c>
      <c r="D1435" s="23">
        <v>46487.868854166663</v>
      </c>
      <c r="E1435" t="s">
        <v>2059</v>
      </c>
      <c r="F1435">
        <v>18</v>
      </c>
      <c r="G1435" t="s">
        <v>2169</v>
      </c>
      <c r="I1435" t="str">
        <f t="shared" si="46"/>
        <v>RT0093PE|RP-22226-E3</v>
      </c>
      <c r="J1435" t="str">
        <f t="shared" si="47"/>
        <v>SÍ</v>
      </c>
    </row>
    <row r="1436" spans="1:10" x14ac:dyDescent="0.3">
      <c r="A1436" t="s">
        <v>680</v>
      </c>
      <c r="B1436" t="s">
        <v>849</v>
      </c>
      <c r="C1436" t="s">
        <v>1456</v>
      </c>
      <c r="D1436" s="23">
        <v>46487.869756944441</v>
      </c>
      <c r="E1436" t="s">
        <v>2060</v>
      </c>
      <c r="F1436">
        <v>30</v>
      </c>
      <c r="G1436" t="s">
        <v>2169</v>
      </c>
      <c r="I1436" t="str">
        <f t="shared" si="46"/>
        <v>RT0088PE|RN-22226-E3</v>
      </c>
      <c r="J1436" t="str">
        <f t="shared" si="47"/>
        <v>SÍ</v>
      </c>
    </row>
    <row r="1437" spans="1:10" x14ac:dyDescent="0.3">
      <c r="A1437" t="s">
        <v>684</v>
      </c>
      <c r="B1437" t="s">
        <v>853</v>
      </c>
      <c r="C1437" t="s">
        <v>1263</v>
      </c>
      <c r="D1437" s="23">
        <v>46357</v>
      </c>
      <c r="E1437" t="s">
        <v>2061</v>
      </c>
      <c r="F1437">
        <v>60</v>
      </c>
      <c r="G1437" t="s">
        <v>2169</v>
      </c>
      <c r="I1437" t="str">
        <f t="shared" si="46"/>
        <v>RT0093PE|RP-09126-E3</v>
      </c>
      <c r="J1437" t="str">
        <f t="shared" si="47"/>
        <v>SÍ</v>
      </c>
    </row>
    <row r="1438" spans="1:10" x14ac:dyDescent="0.3">
      <c r="A1438" t="s">
        <v>627</v>
      </c>
      <c r="B1438" t="s">
        <v>796</v>
      </c>
      <c r="C1438" t="s">
        <v>1457</v>
      </c>
      <c r="D1438" s="23">
        <v>46447</v>
      </c>
      <c r="E1438" t="s">
        <v>2062</v>
      </c>
      <c r="F1438">
        <v>30</v>
      </c>
      <c r="G1438" t="s">
        <v>2171</v>
      </c>
      <c r="I1438" t="str">
        <f t="shared" si="46"/>
        <v>RT0058PE|RT-18226-E4</v>
      </c>
      <c r="J1438" t="str">
        <f t="shared" si="47"/>
        <v>SÍ</v>
      </c>
    </row>
    <row r="1439" spans="1:10" x14ac:dyDescent="0.3">
      <c r="A1439" t="s">
        <v>627</v>
      </c>
      <c r="B1439" t="s">
        <v>796</v>
      </c>
      <c r="C1439" t="s">
        <v>1457</v>
      </c>
      <c r="D1439" s="23">
        <v>46447</v>
      </c>
      <c r="E1439" t="s">
        <v>2063</v>
      </c>
      <c r="F1439">
        <v>60</v>
      </c>
      <c r="G1439" t="s">
        <v>2171</v>
      </c>
      <c r="I1439" t="str">
        <f t="shared" si="46"/>
        <v>RT0058PE|RT-18226-E4</v>
      </c>
      <c r="J1439" t="str">
        <f t="shared" si="47"/>
        <v>SÍ</v>
      </c>
    </row>
    <row r="1440" spans="1:10" x14ac:dyDescent="0.3">
      <c r="A1440" t="s">
        <v>627</v>
      </c>
      <c r="B1440" t="s">
        <v>796</v>
      </c>
      <c r="C1440" t="s">
        <v>1133</v>
      </c>
      <c r="D1440" s="23">
        <v>46447</v>
      </c>
      <c r="E1440" t="s">
        <v>2064</v>
      </c>
      <c r="F1440">
        <v>30</v>
      </c>
      <c r="G1440" t="s">
        <v>2171</v>
      </c>
      <c r="I1440" t="str">
        <f t="shared" si="46"/>
        <v>RT0058PE|RT-18226-E3</v>
      </c>
      <c r="J1440" t="str">
        <f t="shared" si="47"/>
        <v>SÍ</v>
      </c>
    </row>
    <row r="1441" spans="1:10" x14ac:dyDescent="0.3">
      <c r="A1441" t="s">
        <v>633</v>
      </c>
      <c r="B1441" t="s">
        <v>802</v>
      </c>
      <c r="C1441" t="s">
        <v>1093</v>
      </c>
      <c r="D1441" s="23">
        <v>46372.292870370373</v>
      </c>
      <c r="E1441" t="s">
        <v>2065</v>
      </c>
      <c r="F1441">
        <v>4</v>
      </c>
      <c r="G1441" t="s">
        <v>2170</v>
      </c>
      <c r="I1441" t="str">
        <f t="shared" si="46"/>
        <v>RT0053PE|RN-10626-E7</v>
      </c>
      <c r="J1441" t="str">
        <f t="shared" si="47"/>
        <v>SÍ</v>
      </c>
    </row>
    <row r="1442" spans="1:10" x14ac:dyDescent="0.3">
      <c r="A1442" t="s">
        <v>633</v>
      </c>
      <c r="B1442" t="s">
        <v>802</v>
      </c>
      <c r="C1442" t="s">
        <v>1094</v>
      </c>
      <c r="D1442" s="23">
        <v>46373.293020833327</v>
      </c>
      <c r="E1442" t="s">
        <v>2065</v>
      </c>
      <c r="F1442">
        <v>8</v>
      </c>
      <c r="G1442" t="s">
        <v>2170</v>
      </c>
      <c r="I1442" t="str">
        <f t="shared" si="46"/>
        <v>RT0053PE|RN-10726-E7</v>
      </c>
      <c r="J1442" t="str">
        <f t="shared" si="47"/>
        <v>SÍ</v>
      </c>
    </row>
    <row r="1443" spans="1:10" x14ac:dyDescent="0.3">
      <c r="A1443" t="s">
        <v>633</v>
      </c>
      <c r="B1443" t="s">
        <v>802</v>
      </c>
      <c r="C1443" t="s">
        <v>1095</v>
      </c>
      <c r="D1443" s="23">
        <v>46367.672164351847</v>
      </c>
      <c r="E1443" t="s">
        <v>2065</v>
      </c>
      <c r="F1443">
        <v>18</v>
      </c>
      <c r="G1443" t="s">
        <v>2170</v>
      </c>
      <c r="I1443" t="str">
        <f t="shared" si="46"/>
        <v>RT0053PE|RN-10526-E7</v>
      </c>
      <c r="J1443" t="str">
        <f t="shared" si="47"/>
        <v>SÍ</v>
      </c>
    </row>
    <row r="1444" spans="1:10" x14ac:dyDescent="0.3">
      <c r="A1444" t="s">
        <v>622</v>
      </c>
      <c r="B1444" t="s">
        <v>791</v>
      </c>
      <c r="C1444" t="s">
        <v>1458</v>
      </c>
      <c r="D1444" s="23">
        <v>46450.200636574067</v>
      </c>
      <c r="E1444" t="s">
        <v>2066</v>
      </c>
      <c r="F1444">
        <v>9</v>
      </c>
      <c r="G1444" t="s">
        <v>2171</v>
      </c>
      <c r="I1444" t="str">
        <f t="shared" si="46"/>
        <v>RT0123PE|RP-18526-E4</v>
      </c>
      <c r="J1444" t="str">
        <f t="shared" si="47"/>
        <v>SÍ</v>
      </c>
    </row>
    <row r="1445" spans="1:10" x14ac:dyDescent="0.3">
      <c r="A1445" t="s">
        <v>622</v>
      </c>
      <c r="B1445" t="s">
        <v>791</v>
      </c>
      <c r="C1445" t="s">
        <v>1459</v>
      </c>
      <c r="D1445" s="23">
        <v>46491</v>
      </c>
      <c r="E1445" t="s">
        <v>2067</v>
      </c>
      <c r="F1445">
        <v>60</v>
      </c>
      <c r="G1445" t="s">
        <v>2171</v>
      </c>
      <c r="I1445" t="str">
        <f t="shared" si="46"/>
        <v>RT0123PE|RP-22626-E3</v>
      </c>
      <c r="J1445" t="str">
        <f t="shared" si="47"/>
        <v>SÍ</v>
      </c>
    </row>
    <row r="1446" spans="1:10" x14ac:dyDescent="0.3">
      <c r="A1446" t="s">
        <v>622</v>
      </c>
      <c r="B1446" t="s">
        <v>791</v>
      </c>
      <c r="C1446" t="s">
        <v>1460</v>
      </c>
      <c r="D1446" s="23">
        <v>46489</v>
      </c>
      <c r="E1446" t="s">
        <v>2068</v>
      </c>
      <c r="F1446">
        <v>30</v>
      </c>
      <c r="G1446" t="s">
        <v>2171</v>
      </c>
      <c r="I1446" t="str">
        <f t="shared" si="46"/>
        <v>RT0123PE|RP-22426-E2</v>
      </c>
      <c r="J1446" t="str">
        <f t="shared" si="47"/>
        <v>SÍ</v>
      </c>
    </row>
    <row r="1447" spans="1:10" x14ac:dyDescent="0.3">
      <c r="A1447" t="s">
        <v>622</v>
      </c>
      <c r="B1447" t="s">
        <v>791</v>
      </c>
      <c r="C1447" t="s">
        <v>1356</v>
      </c>
      <c r="D1447" s="23">
        <v>46491</v>
      </c>
      <c r="E1447" t="s">
        <v>2068</v>
      </c>
      <c r="F1447">
        <v>30</v>
      </c>
      <c r="G1447" t="s">
        <v>2171</v>
      </c>
      <c r="I1447" t="str">
        <f t="shared" si="46"/>
        <v>RT0123PE|RP-22626-E2</v>
      </c>
      <c r="J1447" t="str">
        <f t="shared" si="47"/>
        <v>SÍ</v>
      </c>
    </row>
    <row r="1448" spans="1:10" x14ac:dyDescent="0.3">
      <c r="A1448" t="s">
        <v>622</v>
      </c>
      <c r="B1448" t="s">
        <v>791</v>
      </c>
      <c r="C1448" t="s">
        <v>1356</v>
      </c>
      <c r="D1448" s="23">
        <v>46491</v>
      </c>
      <c r="E1448" t="s">
        <v>2069</v>
      </c>
      <c r="F1448">
        <v>60</v>
      </c>
      <c r="G1448" t="s">
        <v>2171</v>
      </c>
      <c r="I1448" t="str">
        <f t="shared" si="46"/>
        <v>RT0123PE|RP-22626-E2</v>
      </c>
      <c r="J1448" t="str">
        <f t="shared" si="47"/>
        <v>SÍ</v>
      </c>
    </row>
    <row r="1449" spans="1:10" x14ac:dyDescent="0.3">
      <c r="A1449" t="s">
        <v>622</v>
      </c>
      <c r="B1449" t="s">
        <v>791</v>
      </c>
      <c r="C1449" t="s">
        <v>1459</v>
      </c>
      <c r="D1449" s="23">
        <v>46491</v>
      </c>
      <c r="E1449" t="s">
        <v>2070</v>
      </c>
      <c r="F1449">
        <v>30</v>
      </c>
      <c r="G1449" t="s">
        <v>2171</v>
      </c>
      <c r="I1449" t="str">
        <f t="shared" si="46"/>
        <v>RT0123PE|RP-22626-E3</v>
      </c>
      <c r="J1449" t="str">
        <f t="shared" si="47"/>
        <v>SÍ</v>
      </c>
    </row>
    <row r="1450" spans="1:10" x14ac:dyDescent="0.3">
      <c r="A1450" t="s">
        <v>622</v>
      </c>
      <c r="B1450" t="s">
        <v>791</v>
      </c>
      <c r="C1450" t="s">
        <v>1460</v>
      </c>
      <c r="D1450" s="23">
        <v>46489</v>
      </c>
      <c r="E1450" t="s">
        <v>2071</v>
      </c>
      <c r="F1450">
        <v>30</v>
      </c>
      <c r="G1450" t="s">
        <v>2171</v>
      </c>
      <c r="I1450" t="str">
        <f t="shared" si="46"/>
        <v>RT0123PE|RP-22426-E2</v>
      </c>
      <c r="J1450" t="str">
        <f t="shared" si="47"/>
        <v>SÍ</v>
      </c>
    </row>
    <row r="1451" spans="1:10" x14ac:dyDescent="0.3">
      <c r="A1451" t="s">
        <v>622</v>
      </c>
      <c r="B1451" t="s">
        <v>791</v>
      </c>
      <c r="C1451" t="s">
        <v>1356</v>
      </c>
      <c r="D1451" s="23">
        <v>46491</v>
      </c>
      <c r="E1451" t="s">
        <v>2071</v>
      </c>
      <c r="F1451">
        <v>30</v>
      </c>
      <c r="G1451" t="s">
        <v>2171</v>
      </c>
      <c r="I1451" t="str">
        <f t="shared" si="46"/>
        <v>RT0123PE|RP-22626-E2</v>
      </c>
      <c r="J1451" t="str">
        <f t="shared" si="47"/>
        <v>SÍ</v>
      </c>
    </row>
    <row r="1452" spans="1:10" x14ac:dyDescent="0.3">
      <c r="A1452" t="s">
        <v>622</v>
      </c>
      <c r="B1452" t="s">
        <v>791</v>
      </c>
      <c r="C1452" t="s">
        <v>1459</v>
      </c>
      <c r="D1452" s="23">
        <v>46491</v>
      </c>
      <c r="E1452" t="s">
        <v>2072</v>
      </c>
      <c r="F1452">
        <v>30</v>
      </c>
      <c r="G1452" t="s">
        <v>2171</v>
      </c>
      <c r="I1452" t="str">
        <f t="shared" si="46"/>
        <v>RT0123PE|RP-22626-E3</v>
      </c>
      <c r="J1452" t="str">
        <f t="shared" si="47"/>
        <v>SÍ</v>
      </c>
    </row>
    <row r="1453" spans="1:10" x14ac:dyDescent="0.3">
      <c r="A1453" t="s">
        <v>622</v>
      </c>
      <c r="B1453" t="s">
        <v>791</v>
      </c>
      <c r="C1453" t="s">
        <v>1356</v>
      </c>
      <c r="D1453" s="23">
        <v>46491</v>
      </c>
      <c r="E1453" t="s">
        <v>2072</v>
      </c>
      <c r="F1453">
        <v>30</v>
      </c>
      <c r="G1453" t="s">
        <v>2171</v>
      </c>
      <c r="I1453" t="str">
        <f t="shared" si="46"/>
        <v>RT0123PE|RP-22626-E2</v>
      </c>
      <c r="J1453" t="str">
        <f t="shared" si="47"/>
        <v>SÍ</v>
      </c>
    </row>
    <row r="1454" spans="1:10" x14ac:dyDescent="0.3">
      <c r="A1454" t="s">
        <v>622</v>
      </c>
      <c r="B1454" t="s">
        <v>791</v>
      </c>
      <c r="C1454" t="s">
        <v>1460</v>
      </c>
      <c r="D1454" s="23">
        <v>46489</v>
      </c>
      <c r="E1454" t="s">
        <v>2073</v>
      </c>
      <c r="F1454">
        <v>9</v>
      </c>
      <c r="G1454" t="s">
        <v>2171</v>
      </c>
      <c r="I1454" t="str">
        <f t="shared" si="46"/>
        <v>RT0123PE|RP-22426-E2</v>
      </c>
      <c r="J1454" t="str">
        <f t="shared" si="47"/>
        <v>SÍ</v>
      </c>
    </row>
    <row r="1455" spans="1:10" x14ac:dyDescent="0.3">
      <c r="A1455" t="s">
        <v>622</v>
      </c>
      <c r="B1455" t="s">
        <v>791</v>
      </c>
      <c r="C1455" t="s">
        <v>1461</v>
      </c>
      <c r="D1455" s="23">
        <v>46490</v>
      </c>
      <c r="E1455" t="s">
        <v>2073</v>
      </c>
      <c r="F1455">
        <v>42</v>
      </c>
      <c r="G1455" t="s">
        <v>2171</v>
      </c>
      <c r="I1455" t="str">
        <f t="shared" si="46"/>
        <v>RT0123PE|RP-22526-E2</v>
      </c>
      <c r="J1455" t="str">
        <f t="shared" si="47"/>
        <v>SÍ</v>
      </c>
    </row>
    <row r="1456" spans="1:10" x14ac:dyDescent="0.3">
      <c r="A1456" t="s">
        <v>622</v>
      </c>
      <c r="B1456" t="s">
        <v>791</v>
      </c>
      <c r="C1456" t="s">
        <v>1459</v>
      </c>
      <c r="D1456" s="23">
        <v>46491</v>
      </c>
      <c r="E1456" t="s">
        <v>2074</v>
      </c>
      <c r="F1456">
        <v>30</v>
      </c>
      <c r="G1456" t="s">
        <v>2171</v>
      </c>
      <c r="I1456" t="str">
        <f t="shared" si="46"/>
        <v>RT0123PE|RP-22626-E3</v>
      </c>
      <c r="J1456" t="str">
        <f t="shared" si="47"/>
        <v>SÍ</v>
      </c>
    </row>
    <row r="1457" spans="1:10" x14ac:dyDescent="0.3">
      <c r="A1457" t="s">
        <v>622</v>
      </c>
      <c r="B1457" t="s">
        <v>791</v>
      </c>
      <c r="C1457" t="s">
        <v>1356</v>
      </c>
      <c r="D1457" s="23">
        <v>46491</v>
      </c>
      <c r="E1457" t="s">
        <v>2074</v>
      </c>
      <c r="F1457">
        <v>30</v>
      </c>
      <c r="G1457" t="s">
        <v>2171</v>
      </c>
      <c r="I1457" t="str">
        <f t="shared" si="46"/>
        <v>RT0123PE|RP-22626-E2</v>
      </c>
      <c r="J1457" t="str">
        <f t="shared" si="47"/>
        <v>SÍ</v>
      </c>
    </row>
    <row r="1458" spans="1:10" x14ac:dyDescent="0.3">
      <c r="A1458" t="s">
        <v>622</v>
      </c>
      <c r="B1458" t="s">
        <v>791</v>
      </c>
      <c r="C1458" t="s">
        <v>1356</v>
      </c>
      <c r="D1458" s="23">
        <v>46491</v>
      </c>
      <c r="E1458" t="s">
        <v>2075</v>
      </c>
      <c r="F1458">
        <v>30</v>
      </c>
      <c r="G1458" t="s">
        <v>2171</v>
      </c>
      <c r="I1458" t="str">
        <f t="shared" si="46"/>
        <v>RT0123PE|RP-22626-E2</v>
      </c>
      <c r="J1458" t="str">
        <f t="shared" si="47"/>
        <v>SÍ</v>
      </c>
    </row>
    <row r="1459" spans="1:10" x14ac:dyDescent="0.3">
      <c r="A1459" t="s">
        <v>622</v>
      </c>
      <c r="B1459" t="s">
        <v>791</v>
      </c>
      <c r="C1459" t="s">
        <v>1460</v>
      </c>
      <c r="D1459" s="23">
        <v>46489</v>
      </c>
      <c r="E1459" t="s">
        <v>2075</v>
      </c>
      <c r="F1459">
        <v>30</v>
      </c>
      <c r="G1459" t="s">
        <v>2171</v>
      </c>
      <c r="I1459" t="str">
        <f t="shared" si="46"/>
        <v>RT0123PE|RP-22426-E2</v>
      </c>
      <c r="J1459" t="str">
        <f t="shared" si="47"/>
        <v>SÍ</v>
      </c>
    </row>
    <row r="1460" spans="1:10" x14ac:dyDescent="0.3">
      <c r="A1460" t="s">
        <v>622</v>
      </c>
      <c r="B1460" t="s">
        <v>791</v>
      </c>
      <c r="C1460" t="s">
        <v>1460</v>
      </c>
      <c r="D1460" s="23">
        <v>46489</v>
      </c>
      <c r="E1460" t="s">
        <v>2076</v>
      </c>
      <c r="F1460">
        <v>60</v>
      </c>
      <c r="G1460" t="s">
        <v>2171</v>
      </c>
      <c r="I1460" t="str">
        <f t="shared" si="46"/>
        <v>RT0123PE|RP-22426-E2</v>
      </c>
      <c r="J1460" t="str">
        <f t="shared" si="47"/>
        <v>SÍ</v>
      </c>
    </row>
    <row r="1461" spans="1:10" x14ac:dyDescent="0.3">
      <c r="A1461" t="s">
        <v>622</v>
      </c>
      <c r="B1461" t="s">
        <v>791</v>
      </c>
      <c r="C1461" t="s">
        <v>1459</v>
      </c>
      <c r="D1461" s="23">
        <v>46491</v>
      </c>
      <c r="E1461" t="s">
        <v>2077</v>
      </c>
      <c r="F1461">
        <v>60</v>
      </c>
      <c r="G1461" t="s">
        <v>2171</v>
      </c>
      <c r="I1461" t="str">
        <f t="shared" si="46"/>
        <v>RT0123PE|RP-22626-E3</v>
      </c>
      <c r="J1461" t="str">
        <f t="shared" si="47"/>
        <v>SÍ</v>
      </c>
    </row>
    <row r="1462" spans="1:10" x14ac:dyDescent="0.3">
      <c r="A1462" t="s">
        <v>622</v>
      </c>
      <c r="B1462" t="s">
        <v>791</v>
      </c>
      <c r="C1462" t="s">
        <v>1461</v>
      </c>
      <c r="D1462" s="23">
        <v>46490</v>
      </c>
      <c r="E1462" t="s">
        <v>2078</v>
      </c>
      <c r="F1462">
        <v>60</v>
      </c>
      <c r="G1462" t="s">
        <v>2171</v>
      </c>
      <c r="I1462" t="str">
        <f t="shared" si="46"/>
        <v>RT0123PE|RP-22526-E2</v>
      </c>
      <c r="J1462" t="str">
        <f t="shared" si="47"/>
        <v>SÍ</v>
      </c>
    </row>
    <row r="1463" spans="1:10" x14ac:dyDescent="0.3">
      <c r="A1463" t="s">
        <v>622</v>
      </c>
      <c r="B1463" t="s">
        <v>791</v>
      </c>
      <c r="C1463" t="s">
        <v>1461</v>
      </c>
      <c r="D1463" s="23">
        <v>46490</v>
      </c>
      <c r="E1463" t="s">
        <v>2079</v>
      </c>
      <c r="F1463">
        <v>60</v>
      </c>
      <c r="G1463" t="s">
        <v>2171</v>
      </c>
      <c r="I1463" t="str">
        <f t="shared" si="46"/>
        <v>RT0123PE|RP-22526-E2</v>
      </c>
      <c r="J1463" t="str">
        <f t="shared" si="47"/>
        <v>SÍ</v>
      </c>
    </row>
    <row r="1464" spans="1:10" x14ac:dyDescent="0.3">
      <c r="A1464" t="s">
        <v>622</v>
      </c>
      <c r="B1464" t="s">
        <v>791</v>
      </c>
      <c r="C1464" t="s">
        <v>1461</v>
      </c>
      <c r="D1464" s="23">
        <v>46490</v>
      </c>
      <c r="E1464" t="s">
        <v>2080</v>
      </c>
      <c r="F1464">
        <v>30</v>
      </c>
      <c r="G1464" t="s">
        <v>2171</v>
      </c>
      <c r="I1464" t="str">
        <f t="shared" si="46"/>
        <v>RT0123PE|RP-22526-E2</v>
      </c>
      <c r="J1464" t="str">
        <f t="shared" si="47"/>
        <v>SÍ</v>
      </c>
    </row>
    <row r="1465" spans="1:10" x14ac:dyDescent="0.3">
      <c r="A1465" t="s">
        <v>622</v>
      </c>
      <c r="B1465" t="s">
        <v>791</v>
      </c>
      <c r="C1465" t="s">
        <v>1462</v>
      </c>
      <c r="D1465" s="23">
        <v>46490</v>
      </c>
      <c r="E1465" t="s">
        <v>2080</v>
      </c>
      <c r="F1465">
        <v>30</v>
      </c>
      <c r="G1465" t="s">
        <v>2171</v>
      </c>
      <c r="I1465" t="str">
        <f t="shared" si="46"/>
        <v>RT0123PE|RP-22526-E3</v>
      </c>
      <c r="J1465" t="str">
        <f t="shared" si="47"/>
        <v>SÍ</v>
      </c>
    </row>
    <row r="1466" spans="1:10" x14ac:dyDescent="0.3">
      <c r="A1466" t="s">
        <v>618</v>
      </c>
      <c r="B1466" t="s">
        <v>787</v>
      </c>
      <c r="C1466" t="s">
        <v>1420</v>
      </c>
      <c r="D1466" s="23">
        <v>46510</v>
      </c>
      <c r="E1466" t="s">
        <v>2081</v>
      </c>
      <c r="F1466">
        <v>40</v>
      </c>
      <c r="G1466" t="s">
        <v>2166</v>
      </c>
      <c r="I1466" t="str">
        <f t="shared" si="46"/>
        <v>TC0028PE|SP-18426-E7</v>
      </c>
      <c r="J1466" t="str">
        <f t="shared" si="47"/>
        <v>SÍ</v>
      </c>
    </row>
    <row r="1467" spans="1:10" x14ac:dyDescent="0.3">
      <c r="A1467" t="s">
        <v>622</v>
      </c>
      <c r="B1467" t="s">
        <v>791</v>
      </c>
      <c r="C1467" t="s">
        <v>1463</v>
      </c>
      <c r="D1467" s="23">
        <v>46489</v>
      </c>
      <c r="E1467" t="s">
        <v>2082</v>
      </c>
      <c r="F1467">
        <v>27</v>
      </c>
      <c r="G1467" t="s">
        <v>2171</v>
      </c>
      <c r="I1467" t="str">
        <f t="shared" si="46"/>
        <v>RT0123PE|RP-22426-E3</v>
      </c>
      <c r="J1467" t="str">
        <f t="shared" si="47"/>
        <v>SÍ</v>
      </c>
    </row>
    <row r="1468" spans="1:10" x14ac:dyDescent="0.3">
      <c r="A1468" t="s">
        <v>622</v>
      </c>
      <c r="B1468" t="s">
        <v>791</v>
      </c>
      <c r="C1468" t="s">
        <v>1462</v>
      </c>
      <c r="D1468" s="23">
        <v>46490</v>
      </c>
      <c r="E1468" t="s">
        <v>2082</v>
      </c>
      <c r="F1468">
        <v>6</v>
      </c>
      <c r="G1468" t="s">
        <v>2171</v>
      </c>
      <c r="I1468" t="str">
        <f t="shared" si="46"/>
        <v>RT0123PE|RP-22526-E3</v>
      </c>
      <c r="J1468" t="str">
        <f t="shared" si="47"/>
        <v>SÍ</v>
      </c>
    </row>
    <row r="1469" spans="1:10" x14ac:dyDescent="0.3">
      <c r="A1469" t="s">
        <v>622</v>
      </c>
      <c r="B1469" t="s">
        <v>791</v>
      </c>
      <c r="C1469" t="s">
        <v>1462</v>
      </c>
      <c r="D1469" s="23">
        <v>46490</v>
      </c>
      <c r="E1469" t="s">
        <v>2083</v>
      </c>
      <c r="F1469">
        <v>30</v>
      </c>
      <c r="G1469" t="s">
        <v>2171</v>
      </c>
      <c r="I1469" t="str">
        <f t="shared" si="46"/>
        <v>RT0123PE|RP-22526-E3</v>
      </c>
      <c r="J1469" t="str">
        <f t="shared" si="47"/>
        <v>SÍ</v>
      </c>
    </row>
    <row r="1470" spans="1:10" x14ac:dyDescent="0.3">
      <c r="A1470" t="s">
        <v>622</v>
      </c>
      <c r="B1470" t="s">
        <v>791</v>
      </c>
      <c r="C1470" t="s">
        <v>1463</v>
      </c>
      <c r="D1470" s="23">
        <v>46489</v>
      </c>
      <c r="E1470" t="s">
        <v>2083</v>
      </c>
      <c r="F1470">
        <v>30</v>
      </c>
      <c r="G1470" t="s">
        <v>2171</v>
      </c>
      <c r="I1470" t="str">
        <f t="shared" si="46"/>
        <v>RT0123PE|RP-22426-E3</v>
      </c>
      <c r="J1470" t="str">
        <f t="shared" si="47"/>
        <v>SÍ</v>
      </c>
    </row>
    <row r="1471" spans="1:10" x14ac:dyDescent="0.3">
      <c r="A1471" t="s">
        <v>622</v>
      </c>
      <c r="B1471" t="s">
        <v>791</v>
      </c>
      <c r="C1471" t="s">
        <v>1462</v>
      </c>
      <c r="D1471" s="23">
        <v>46490</v>
      </c>
      <c r="E1471" t="s">
        <v>2084</v>
      </c>
      <c r="F1471">
        <v>32</v>
      </c>
      <c r="G1471" t="s">
        <v>2171</v>
      </c>
      <c r="I1471" t="str">
        <f t="shared" si="46"/>
        <v>RT0123PE|RP-22526-E3</v>
      </c>
      <c r="J1471" t="str">
        <f t="shared" si="47"/>
        <v>SÍ</v>
      </c>
    </row>
    <row r="1472" spans="1:10" x14ac:dyDescent="0.3">
      <c r="A1472" t="s">
        <v>622</v>
      </c>
      <c r="B1472" t="s">
        <v>791</v>
      </c>
      <c r="C1472" t="s">
        <v>1459</v>
      </c>
      <c r="D1472" s="23">
        <v>46491</v>
      </c>
      <c r="E1472" t="s">
        <v>2084</v>
      </c>
      <c r="F1472">
        <v>14</v>
      </c>
      <c r="G1472" t="s">
        <v>2171</v>
      </c>
      <c r="I1472" t="str">
        <f t="shared" si="46"/>
        <v>RT0123PE|RP-22626-E3</v>
      </c>
      <c r="J1472" t="str">
        <f t="shared" si="47"/>
        <v>SÍ</v>
      </c>
    </row>
    <row r="1473" spans="1:10" x14ac:dyDescent="0.3">
      <c r="A1473" t="s">
        <v>622</v>
      </c>
      <c r="B1473" t="s">
        <v>791</v>
      </c>
      <c r="C1473" t="s">
        <v>1462</v>
      </c>
      <c r="D1473" s="23">
        <v>46490</v>
      </c>
      <c r="E1473" t="s">
        <v>2085</v>
      </c>
      <c r="F1473">
        <v>60</v>
      </c>
      <c r="G1473" t="s">
        <v>2171</v>
      </c>
      <c r="I1473" t="str">
        <f t="shared" si="46"/>
        <v>RT0123PE|RP-22526-E3</v>
      </c>
      <c r="J1473" t="str">
        <f t="shared" si="47"/>
        <v>SÍ</v>
      </c>
    </row>
    <row r="1474" spans="1:10" x14ac:dyDescent="0.3">
      <c r="A1474" t="s">
        <v>622</v>
      </c>
      <c r="B1474" t="s">
        <v>791</v>
      </c>
      <c r="C1474" t="s">
        <v>1463</v>
      </c>
      <c r="D1474" s="23">
        <v>46489</v>
      </c>
      <c r="E1474" t="s">
        <v>2086</v>
      </c>
      <c r="F1474">
        <v>60</v>
      </c>
      <c r="G1474" t="s">
        <v>2171</v>
      </c>
      <c r="I1474" t="str">
        <f t="shared" si="46"/>
        <v>RT0123PE|RP-22426-E3</v>
      </c>
      <c r="J1474" t="str">
        <f t="shared" si="47"/>
        <v>SÍ</v>
      </c>
    </row>
    <row r="1475" spans="1:10" x14ac:dyDescent="0.3">
      <c r="A1475" t="s">
        <v>622</v>
      </c>
      <c r="B1475" t="s">
        <v>791</v>
      </c>
      <c r="C1475" t="s">
        <v>1462</v>
      </c>
      <c r="D1475" s="23">
        <v>46490</v>
      </c>
      <c r="E1475" t="s">
        <v>2087</v>
      </c>
      <c r="F1475">
        <v>30</v>
      </c>
      <c r="G1475" t="s">
        <v>2171</v>
      </c>
      <c r="I1475" t="str">
        <f t="shared" si="46"/>
        <v>RT0123PE|RP-22526-E3</v>
      </c>
      <c r="J1475" t="str">
        <f t="shared" si="47"/>
        <v>SÍ</v>
      </c>
    </row>
    <row r="1476" spans="1:10" x14ac:dyDescent="0.3">
      <c r="A1476" t="s">
        <v>622</v>
      </c>
      <c r="B1476" t="s">
        <v>791</v>
      </c>
      <c r="C1476" t="s">
        <v>1461</v>
      </c>
      <c r="D1476" s="23">
        <v>46490</v>
      </c>
      <c r="E1476" t="s">
        <v>2087</v>
      </c>
      <c r="F1476">
        <v>30</v>
      </c>
      <c r="G1476" t="s">
        <v>2171</v>
      </c>
      <c r="I1476" t="str">
        <f t="shared" si="46"/>
        <v>RT0123PE|RP-22526-E2</v>
      </c>
      <c r="J1476" t="str">
        <f t="shared" si="47"/>
        <v>SÍ</v>
      </c>
    </row>
    <row r="1477" spans="1:10" x14ac:dyDescent="0.3">
      <c r="A1477" t="s">
        <v>622</v>
      </c>
      <c r="B1477" t="s">
        <v>791</v>
      </c>
      <c r="C1477" t="s">
        <v>1462</v>
      </c>
      <c r="D1477" s="23">
        <v>46490</v>
      </c>
      <c r="E1477" t="s">
        <v>2088</v>
      </c>
      <c r="F1477">
        <v>60</v>
      </c>
      <c r="G1477" t="s">
        <v>2171</v>
      </c>
      <c r="I1477" t="str">
        <f t="shared" si="46"/>
        <v>RT0123PE|RP-22526-E3</v>
      </c>
      <c r="J1477" t="str">
        <f t="shared" si="47"/>
        <v>SÍ</v>
      </c>
    </row>
    <row r="1478" spans="1:10" x14ac:dyDescent="0.3">
      <c r="A1478" t="s">
        <v>622</v>
      </c>
      <c r="B1478" t="s">
        <v>791</v>
      </c>
      <c r="C1478" t="s">
        <v>1464</v>
      </c>
      <c r="D1478" s="23">
        <v>46485</v>
      </c>
      <c r="E1478" t="s">
        <v>2089</v>
      </c>
      <c r="F1478">
        <v>4</v>
      </c>
      <c r="G1478" t="s">
        <v>2171</v>
      </c>
      <c r="I1478" t="str">
        <f t="shared" si="46"/>
        <v>RT0123PE|RP-22026-E4</v>
      </c>
      <c r="J1478" t="str">
        <f t="shared" si="47"/>
        <v>SÍ</v>
      </c>
    </row>
    <row r="1479" spans="1:10" x14ac:dyDescent="0.3">
      <c r="A1479" t="s">
        <v>622</v>
      </c>
      <c r="B1479" t="s">
        <v>791</v>
      </c>
      <c r="C1479" t="s">
        <v>1465</v>
      </c>
      <c r="D1479" s="23">
        <v>46485</v>
      </c>
      <c r="E1479" t="s">
        <v>2089</v>
      </c>
      <c r="F1479">
        <v>3</v>
      </c>
      <c r="G1479" t="s">
        <v>2171</v>
      </c>
      <c r="I1479" t="str">
        <f t="shared" si="46"/>
        <v>RT0123PE|RP-22026-E3</v>
      </c>
      <c r="J1479" t="str">
        <f t="shared" si="47"/>
        <v>SÍ</v>
      </c>
    </row>
    <row r="1480" spans="1:10" x14ac:dyDescent="0.3">
      <c r="A1480" t="s">
        <v>622</v>
      </c>
      <c r="B1480" t="s">
        <v>791</v>
      </c>
      <c r="C1480" t="s">
        <v>1462</v>
      </c>
      <c r="D1480" s="23">
        <v>46490</v>
      </c>
      <c r="E1480" t="s">
        <v>2090</v>
      </c>
      <c r="F1480">
        <v>30</v>
      </c>
      <c r="G1480" t="s">
        <v>2171</v>
      </c>
      <c r="I1480" t="str">
        <f t="shared" si="46"/>
        <v>RT0123PE|RP-22526-E3</v>
      </c>
      <c r="J1480" t="str">
        <f t="shared" si="47"/>
        <v>SÍ</v>
      </c>
    </row>
    <row r="1481" spans="1:10" x14ac:dyDescent="0.3">
      <c r="A1481" t="s">
        <v>622</v>
      </c>
      <c r="B1481" t="s">
        <v>791</v>
      </c>
      <c r="C1481" t="s">
        <v>1466</v>
      </c>
      <c r="D1481" s="23">
        <v>46485</v>
      </c>
      <c r="E1481" t="s">
        <v>2090</v>
      </c>
      <c r="F1481">
        <v>30</v>
      </c>
      <c r="G1481" t="s">
        <v>2171</v>
      </c>
      <c r="I1481" t="str">
        <f t="shared" si="46"/>
        <v>RT0123PE|RP-22026-E5</v>
      </c>
      <c r="J1481" t="str">
        <f t="shared" si="47"/>
        <v>SÍ</v>
      </c>
    </row>
    <row r="1482" spans="1:10" x14ac:dyDescent="0.3">
      <c r="A1482" t="s">
        <v>622</v>
      </c>
      <c r="B1482" t="s">
        <v>791</v>
      </c>
      <c r="C1482" t="s">
        <v>1467</v>
      </c>
      <c r="D1482" s="23">
        <v>46461</v>
      </c>
      <c r="E1482" t="s">
        <v>2091</v>
      </c>
      <c r="F1482">
        <v>2</v>
      </c>
      <c r="G1482" t="s">
        <v>2171</v>
      </c>
      <c r="I1482" t="str">
        <f t="shared" si="46"/>
        <v>RT0123PE|RP-19626-E2</v>
      </c>
      <c r="J1482" t="str">
        <f t="shared" si="47"/>
        <v>SÍ</v>
      </c>
    </row>
    <row r="1483" spans="1:10" x14ac:dyDescent="0.3">
      <c r="A1483" t="s">
        <v>629</v>
      </c>
      <c r="B1483" t="s">
        <v>798</v>
      </c>
      <c r="C1483" t="s">
        <v>1468</v>
      </c>
      <c r="D1483" s="23">
        <v>46497</v>
      </c>
      <c r="E1483" t="s">
        <v>1637</v>
      </c>
      <c r="F1483">
        <v>2</v>
      </c>
      <c r="G1483" t="s">
        <v>2174</v>
      </c>
      <c r="I1483" t="str">
        <f t="shared" si="46"/>
        <v>TC0116PE|DUO-23026</v>
      </c>
      <c r="J1483" t="str">
        <f t="shared" si="47"/>
        <v>SÍ</v>
      </c>
    </row>
    <row r="1484" spans="1:10" x14ac:dyDescent="0.3">
      <c r="A1484" t="s">
        <v>430</v>
      </c>
      <c r="B1484" t="s">
        <v>431</v>
      </c>
      <c r="C1484" t="s">
        <v>432</v>
      </c>
      <c r="D1484" s="23">
        <v>46844.366712962961</v>
      </c>
      <c r="E1484" t="s">
        <v>1635</v>
      </c>
      <c r="F1484">
        <v>36.590299999999999</v>
      </c>
      <c r="G1484" t="s">
        <v>40</v>
      </c>
      <c r="I1484" t="str">
        <f t="shared" si="46"/>
        <v>MP10017|SM-06/26</v>
      </c>
      <c r="J1484" t="str">
        <f t="shared" si="47"/>
        <v>SÍ</v>
      </c>
    </row>
    <row r="1485" spans="1:10" x14ac:dyDescent="0.3">
      <c r="A1485" t="s">
        <v>700</v>
      </c>
      <c r="B1485" t="s">
        <v>869</v>
      </c>
      <c r="C1485" t="s">
        <v>1422</v>
      </c>
      <c r="D1485" s="23">
        <v>46481</v>
      </c>
      <c r="E1485" t="s">
        <v>1637</v>
      </c>
      <c r="F1485">
        <v>0.73470000000000002</v>
      </c>
      <c r="G1485" t="s">
        <v>2184</v>
      </c>
      <c r="I1485" t="str">
        <f t="shared" si="46"/>
        <v>TC0100PE|PACK-17026</v>
      </c>
      <c r="J1485" t="str">
        <f t="shared" si="47"/>
        <v>SÍ</v>
      </c>
    </row>
    <row r="1486" spans="1:10" x14ac:dyDescent="0.3">
      <c r="A1486" t="s">
        <v>649</v>
      </c>
      <c r="B1486" t="s">
        <v>818</v>
      </c>
      <c r="C1486" t="s">
        <v>1469</v>
      </c>
      <c r="D1486" s="23">
        <v>46615.53738425926</v>
      </c>
      <c r="E1486" t="s">
        <v>1637</v>
      </c>
      <c r="F1486">
        <v>3</v>
      </c>
      <c r="G1486" t="s">
        <v>2176</v>
      </c>
      <c r="I1486" t="str">
        <f t="shared" si="46"/>
        <v>TQ0045PE|QB-22826-E1</v>
      </c>
      <c r="J1486" t="str">
        <f t="shared" si="47"/>
        <v>SÍ</v>
      </c>
    </row>
    <row r="1487" spans="1:10" x14ac:dyDescent="0.3">
      <c r="A1487" t="s">
        <v>626</v>
      </c>
      <c r="B1487" t="s">
        <v>795</v>
      </c>
      <c r="C1487" t="s">
        <v>1470</v>
      </c>
      <c r="D1487" s="23">
        <v>46495.775243055563</v>
      </c>
      <c r="E1487" t="s">
        <v>1637</v>
      </c>
      <c r="F1487">
        <v>90</v>
      </c>
      <c r="G1487" t="s">
        <v>2171</v>
      </c>
      <c r="I1487" t="str">
        <f t="shared" si="46"/>
        <v>RT0057PE|RN-23026-E2</v>
      </c>
      <c r="J1487" t="str">
        <f t="shared" si="47"/>
        <v>SÍ</v>
      </c>
    </row>
    <row r="1488" spans="1:10" x14ac:dyDescent="0.3">
      <c r="A1488" t="s">
        <v>626</v>
      </c>
      <c r="B1488" t="s">
        <v>795</v>
      </c>
      <c r="C1488" t="s">
        <v>1471</v>
      </c>
      <c r="D1488" s="23">
        <v>46494.77684027778</v>
      </c>
      <c r="E1488" t="s">
        <v>1637</v>
      </c>
      <c r="F1488">
        <v>25</v>
      </c>
      <c r="G1488" t="s">
        <v>2171</v>
      </c>
      <c r="I1488" t="str">
        <f t="shared" si="46"/>
        <v>RT0057PE|RN-22926-E3</v>
      </c>
      <c r="J1488" t="str">
        <f t="shared" si="47"/>
        <v>SÍ</v>
      </c>
    </row>
    <row r="1489" spans="1:10" x14ac:dyDescent="0.3">
      <c r="A1489" t="s">
        <v>626</v>
      </c>
      <c r="B1489" t="s">
        <v>795</v>
      </c>
      <c r="C1489" t="s">
        <v>1472</v>
      </c>
      <c r="D1489" s="23">
        <v>46495.778310185182</v>
      </c>
      <c r="E1489" t="s">
        <v>1637</v>
      </c>
      <c r="F1489">
        <v>155</v>
      </c>
      <c r="G1489" t="s">
        <v>2171</v>
      </c>
      <c r="I1489" t="str">
        <f t="shared" si="46"/>
        <v>RT0057PE|RN-23026-E3</v>
      </c>
      <c r="J1489" t="str">
        <f t="shared" si="47"/>
        <v>SÍ</v>
      </c>
    </row>
    <row r="1490" spans="1:10" x14ac:dyDescent="0.3">
      <c r="A1490" t="s">
        <v>626</v>
      </c>
      <c r="B1490" t="s">
        <v>795</v>
      </c>
      <c r="C1490" t="s">
        <v>1473</v>
      </c>
      <c r="D1490" s="23">
        <v>46494.779398148137</v>
      </c>
      <c r="E1490" t="s">
        <v>1637</v>
      </c>
      <c r="F1490">
        <v>13</v>
      </c>
      <c r="G1490" t="s">
        <v>2171</v>
      </c>
      <c r="I1490" t="str">
        <f t="shared" ref="I1490:I1553" si="48">IF(A1490="","",A1490&amp;"|"&amp;C1490)</f>
        <v>RT0057PE|RN-22926-E4</v>
      </c>
      <c r="J1490" t="str">
        <f t="shared" ref="J1490:J1553" si="49">IF(A1490&lt;&gt;"","SÍ","NO")</f>
        <v>SÍ</v>
      </c>
    </row>
    <row r="1491" spans="1:10" x14ac:dyDescent="0.3">
      <c r="A1491" t="s">
        <v>626</v>
      </c>
      <c r="B1491" t="s">
        <v>795</v>
      </c>
      <c r="C1491" t="s">
        <v>1474</v>
      </c>
      <c r="D1491" s="23">
        <v>46495.781273148154</v>
      </c>
      <c r="E1491" t="s">
        <v>1637</v>
      </c>
      <c r="F1491">
        <v>275</v>
      </c>
      <c r="G1491" t="s">
        <v>2171</v>
      </c>
      <c r="I1491" t="str">
        <f t="shared" si="48"/>
        <v>RT0057PE|RN-23026-E4</v>
      </c>
      <c r="J1491" t="str">
        <f t="shared" si="49"/>
        <v>SÍ</v>
      </c>
    </row>
    <row r="1492" spans="1:10" x14ac:dyDescent="0.3">
      <c r="A1492" t="s">
        <v>626</v>
      </c>
      <c r="B1492" t="s">
        <v>795</v>
      </c>
      <c r="C1492" t="s">
        <v>1475</v>
      </c>
      <c r="D1492" s="23">
        <v>46494</v>
      </c>
      <c r="E1492" t="s">
        <v>1637</v>
      </c>
      <c r="F1492">
        <v>25</v>
      </c>
      <c r="G1492" t="s">
        <v>2171</v>
      </c>
      <c r="I1492" t="str">
        <f t="shared" si="48"/>
        <v>RT0057PE|RN-22926-E5</v>
      </c>
      <c r="J1492" t="str">
        <f t="shared" si="49"/>
        <v>SÍ</v>
      </c>
    </row>
    <row r="1493" spans="1:10" x14ac:dyDescent="0.3">
      <c r="A1493" t="s">
        <v>626</v>
      </c>
      <c r="B1493" t="s">
        <v>795</v>
      </c>
      <c r="C1493" t="s">
        <v>1476</v>
      </c>
      <c r="D1493" s="23">
        <v>46495.78601851852</v>
      </c>
      <c r="E1493" t="s">
        <v>1637</v>
      </c>
      <c r="F1493">
        <v>285</v>
      </c>
      <c r="G1493" t="s">
        <v>2171</v>
      </c>
      <c r="I1493" t="str">
        <f t="shared" si="48"/>
        <v>RT0057PE|RN-23026-E5</v>
      </c>
      <c r="J1493" t="str">
        <f t="shared" si="49"/>
        <v>SÍ</v>
      </c>
    </row>
    <row r="1494" spans="1:10" x14ac:dyDescent="0.3">
      <c r="A1494" t="s">
        <v>648</v>
      </c>
      <c r="B1494" t="s">
        <v>817</v>
      </c>
      <c r="C1494" t="s">
        <v>1477</v>
      </c>
      <c r="D1494" s="23">
        <v>46495.454432870371</v>
      </c>
      <c r="E1494" t="s">
        <v>1637</v>
      </c>
      <c r="F1494">
        <v>21</v>
      </c>
      <c r="G1494" t="s">
        <v>2173</v>
      </c>
      <c r="I1494" t="str">
        <f t="shared" si="48"/>
        <v>RT0115PE|RP-23026-E1</v>
      </c>
      <c r="J1494" t="str">
        <f t="shared" si="49"/>
        <v>SÍ</v>
      </c>
    </row>
    <row r="1495" spans="1:10" x14ac:dyDescent="0.3">
      <c r="A1495" t="s">
        <v>648</v>
      </c>
      <c r="B1495" t="s">
        <v>817</v>
      </c>
      <c r="C1495" t="s">
        <v>1478</v>
      </c>
      <c r="D1495" s="23">
        <v>46496.456377314818</v>
      </c>
      <c r="E1495" t="s">
        <v>1637</v>
      </c>
      <c r="F1495">
        <v>9</v>
      </c>
      <c r="G1495" t="s">
        <v>2173</v>
      </c>
      <c r="I1495" t="str">
        <f t="shared" si="48"/>
        <v>RT0115PE|RP-23126-E1</v>
      </c>
      <c r="J1495" t="str">
        <f t="shared" si="49"/>
        <v>SÍ</v>
      </c>
    </row>
    <row r="1496" spans="1:10" x14ac:dyDescent="0.3">
      <c r="A1496" t="s">
        <v>626</v>
      </c>
      <c r="B1496" t="s">
        <v>795</v>
      </c>
      <c r="C1496" t="s">
        <v>1479</v>
      </c>
      <c r="D1496" s="23">
        <v>46496.468310185177</v>
      </c>
      <c r="E1496" t="s">
        <v>1637</v>
      </c>
      <c r="F1496">
        <v>30</v>
      </c>
      <c r="G1496" t="s">
        <v>2171</v>
      </c>
      <c r="I1496" t="str">
        <f t="shared" si="48"/>
        <v>RT0057PE|RN-23126-E5</v>
      </c>
      <c r="J1496" t="str">
        <f t="shared" si="49"/>
        <v>SÍ</v>
      </c>
    </row>
    <row r="1497" spans="1:10" x14ac:dyDescent="0.3">
      <c r="A1497" t="s">
        <v>696</v>
      </c>
      <c r="B1497" t="s">
        <v>865</v>
      </c>
      <c r="C1497" t="s">
        <v>1480</v>
      </c>
      <c r="D1497" s="23">
        <v>46556.471689814818</v>
      </c>
      <c r="E1497" t="s">
        <v>1637</v>
      </c>
      <c r="F1497">
        <v>6</v>
      </c>
      <c r="G1497" t="s">
        <v>2183</v>
      </c>
      <c r="I1497" t="str">
        <f t="shared" si="48"/>
        <v>TC0090PE|SN-23026-E11</v>
      </c>
      <c r="J1497" t="str">
        <f t="shared" si="49"/>
        <v>SÍ</v>
      </c>
    </row>
    <row r="1498" spans="1:10" x14ac:dyDescent="0.3">
      <c r="A1498" t="s">
        <v>696</v>
      </c>
      <c r="B1498" t="s">
        <v>865</v>
      </c>
      <c r="C1498" t="s">
        <v>1481</v>
      </c>
      <c r="D1498" s="23">
        <v>46556.488692129627</v>
      </c>
      <c r="E1498" t="s">
        <v>1637</v>
      </c>
      <c r="F1498">
        <v>2</v>
      </c>
      <c r="G1498" t="s">
        <v>2183</v>
      </c>
      <c r="I1498" t="str">
        <f t="shared" si="48"/>
        <v>TC0090PE|SN-23126-E11</v>
      </c>
      <c r="J1498" t="str">
        <f t="shared" si="49"/>
        <v>SÍ</v>
      </c>
    </row>
    <row r="1499" spans="1:10" x14ac:dyDescent="0.3">
      <c r="A1499" t="s">
        <v>443</v>
      </c>
      <c r="B1499" t="s">
        <v>444</v>
      </c>
      <c r="C1499" t="s">
        <v>516</v>
      </c>
      <c r="D1499" s="23">
        <v>46494.409525462957</v>
      </c>
      <c r="E1499" t="s">
        <v>10</v>
      </c>
      <c r="F1499">
        <v>18162</v>
      </c>
      <c r="G1499" t="s">
        <v>446</v>
      </c>
      <c r="I1499" t="str">
        <f t="shared" si="48"/>
        <v>MP10013|AO-14/26</v>
      </c>
      <c r="J1499" t="str">
        <f t="shared" si="49"/>
        <v>SÍ</v>
      </c>
    </row>
    <row r="1500" spans="1:10" x14ac:dyDescent="0.3">
      <c r="A1500" t="s">
        <v>453</v>
      </c>
      <c r="B1500" t="s">
        <v>454</v>
      </c>
      <c r="C1500" t="s">
        <v>422</v>
      </c>
      <c r="D1500" s="23">
        <v>46406.441354166673</v>
      </c>
      <c r="E1500" t="s">
        <v>1635</v>
      </c>
      <c r="F1500">
        <v>90.022099999999995</v>
      </c>
      <c r="G1500" t="s">
        <v>40</v>
      </c>
      <c r="I1500" t="str">
        <f t="shared" si="48"/>
        <v>EE10298|LA-01/26</v>
      </c>
      <c r="J1500" t="str">
        <f t="shared" si="49"/>
        <v>SÍ</v>
      </c>
    </row>
    <row r="1501" spans="1:10" x14ac:dyDescent="0.3">
      <c r="A1501" t="s">
        <v>622</v>
      </c>
      <c r="B1501" t="s">
        <v>791</v>
      </c>
      <c r="C1501" t="s">
        <v>1482</v>
      </c>
      <c r="D1501" s="23">
        <v>46496</v>
      </c>
      <c r="E1501" t="s">
        <v>1637</v>
      </c>
      <c r="F1501">
        <v>57</v>
      </c>
      <c r="G1501" t="s">
        <v>2171</v>
      </c>
      <c r="I1501" t="str">
        <f t="shared" si="48"/>
        <v>RT0123PE|RP-23126-E5</v>
      </c>
      <c r="J1501" t="str">
        <f t="shared" si="49"/>
        <v>SÍ</v>
      </c>
    </row>
    <row r="1502" spans="1:10" x14ac:dyDescent="0.3">
      <c r="A1502" t="s">
        <v>622</v>
      </c>
      <c r="B1502" t="s">
        <v>791</v>
      </c>
      <c r="C1502" t="s">
        <v>1483</v>
      </c>
      <c r="D1502" s="23">
        <v>46496</v>
      </c>
      <c r="E1502" t="s">
        <v>1637</v>
      </c>
      <c r="F1502">
        <v>30</v>
      </c>
      <c r="G1502" t="s">
        <v>2171</v>
      </c>
      <c r="I1502" t="str">
        <f t="shared" si="48"/>
        <v>RT0123PE|RP-23126-E4</v>
      </c>
      <c r="J1502" t="str">
        <f t="shared" si="49"/>
        <v>SÍ</v>
      </c>
    </row>
    <row r="1503" spans="1:10" x14ac:dyDescent="0.3">
      <c r="A1503" t="s">
        <v>622</v>
      </c>
      <c r="B1503" t="s">
        <v>791</v>
      </c>
      <c r="C1503" t="s">
        <v>1484</v>
      </c>
      <c r="D1503" s="23">
        <v>46496</v>
      </c>
      <c r="E1503" t="s">
        <v>1637</v>
      </c>
      <c r="F1503">
        <v>86</v>
      </c>
      <c r="G1503" t="s">
        <v>2171</v>
      </c>
      <c r="I1503" t="str">
        <f t="shared" si="48"/>
        <v>RT0123PE|RP-23126-E3</v>
      </c>
      <c r="J1503" t="str">
        <f t="shared" si="49"/>
        <v>SÍ</v>
      </c>
    </row>
    <row r="1504" spans="1:10" x14ac:dyDescent="0.3">
      <c r="A1504" t="s">
        <v>622</v>
      </c>
      <c r="B1504" t="s">
        <v>791</v>
      </c>
      <c r="C1504" t="s">
        <v>1485</v>
      </c>
      <c r="D1504" s="23">
        <v>46496</v>
      </c>
      <c r="E1504" t="s">
        <v>1637</v>
      </c>
      <c r="F1504">
        <v>59</v>
      </c>
      <c r="G1504" t="s">
        <v>2171</v>
      </c>
      <c r="I1504" t="str">
        <f t="shared" si="48"/>
        <v>RT0123PE|RP-23126-E2</v>
      </c>
      <c r="J1504" t="str">
        <f t="shared" si="49"/>
        <v>SÍ</v>
      </c>
    </row>
    <row r="1505" spans="1:10" x14ac:dyDescent="0.3">
      <c r="A1505" t="s">
        <v>683</v>
      </c>
      <c r="B1505" t="s">
        <v>852</v>
      </c>
      <c r="C1505" t="s">
        <v>1486</v>
      </c>
      <c r="D1505" s="23">
        <v>46515</v>
      </c>
      <c r="E1505" t="s">
        <v>1637</v>
      </c>
      <c r="F1505">
        <v>62</v>
      </c>
      <c r="G1505" t="s">
        <v>2174</v>
      </c>
      <c r="I1505" t="str">
        <f t="shared" si="48"/>
        <v>TC0117PE|DUO-23126</v>
      </c>
      <c r="J1505" t="str">
        <f t="shared" si="49"/>
        <v>SÍ</v>
      </c>
    </row>
    <row r="1506" spans="1:10" x14ac:dyDescent="0.3">
      <c r="A1506" t="s">
        <v>622</v>
      </c>
      <c r="B1506" t="s">
        <v>791</v>
      </c>
      <c r="C1506" t="s">
        <v>1487</v>
      </c>
      <c r="D1506" s="23">
        <v>46497.401250000003</v>
      </c>
      <c r="E1506" t="s">
        <v>1637</v>
      </c>
      <c r="F1506">
        <v>4</v>
      </c>
      <c r="G1506" t="s">
        <v>2171</v>
      </c>
      <c r="I1506" t="str">
        <f t="shared" si="48"/>
        <v>RT0123PE|RP-23226-E2</v>
      </c>
      <c r="J1506" t="str">
        <f t="shared" si="49"/>
        <v>SÍ</v>
      </c>
    </row>
    <row r="1507" spans="1:10" x14ac:dyDescent="0.3">
      <c r="A1507" t="s">
        <v>622</v>
      </c>
      <c r="B1507" t="s">
        <v>791</v>
      </c>
      <c r="C1507" t="s">
        <v>1488</v>
      </c>
      <c r="D1507" s="23">
        <v>46497.401585648149</v>
      </c>
      <c r="E1507" t="s">
        <v>1637</v>
      </c>
      <c r="F1507">
        <v>3</v>
      </c>
      <c r="G1507" t="s">
        <v>2171</v>
      </c>
      <c r="I1507" t="str">
        <f t="shared" si="48"/>
        <v>RT0123PE|RP-23226-E3</v>
      </c>
      <c r="J1507" t="str">
        <f t="shared" si="49"/>
        <v>SÍ</v>
      </c>
    </row>
    <row r="1508" spans="1:10" x14ac:dyDescent="0.3">
      <c r="A1508" t="s">
        <v>622</v>
      </c>
      <c r="B1508" t="s">
        <v>791</v>
      </c>
      <c r="C1508" t="s">
        <v>1489</v>
      </c>
      <c r="D1508" s="23">
        <v>46497.402187500003</v>
      </c>
      <c r="E1508" t="s">
        <v>1637</v>
      </c>
      <c r="F1508">
        <v>15</v>
      </c>
      <c r="G1508" t="s">
        <v>2171</v>
      </c>
      <c r="I1508" t="str">
        <f t="shared" si="48"/>
        <v>RT0123PE|RP-23226-E5</v>
      </c>
      <c r="J1508" t="str">
        <f t="shared" si="49"/>
        <v>SÍ</v>
      </c>
    </row>
    <row r="1509" spans="1:10" x14ac:dyDescent="0.3">
      <c r="A1509" t="s">
        <v>247</v>
      </c>
      <c r="B1509" t="s">
        <v>248</v>
      </c>
      <c r="C1509" t="s">
        <v>174</v>
      </c>
      <c r="D1509" s="23">
        <v>46367.227164351847</v>
      </c>
      <c r="E1509" t="s">
        <v>1641</v>
      </c>
      <c r="F1509">
        <v>32</v>
      </c>
      <c r="G1509" t="s">
        <v>40</v>
      </c>
      <c r="I1509" t="str">
        <f t="shared" si="48"/>
        <v>EE10232|INFORME 24/25</v>
      </c>
      <c r="J1509" t="str">
        <f t="shared" si="49"/>
        <v>SÍ</v>
      </c>
    </row>
    <row r="1510" spans="1:10" x14ac:dyDescent="0.3">
      <c r="A1510" t="s">
        <v>286</v>
      </c>
      <c r="B1510" t="s">
        <v>287</v>
      </c>
      <c r="C1510" t="s">
        <v>513</v>
      </c>
      <c r="D1510" s="23">
        <v>46619.589618055557</v>
      </c>
      <c r="E1510" t="s">
        <v>10</v>
      </c>
      <c r="F1510">
        <v>100</v>
      </c>
      <c r="G1510" t="s">
        <v>11</v>
      </c>
      <c r="I1510" t="str">
        <f t="shared" si="48"/>
        <v>EE10249|INFORME 06/26</v>
      </c>
      <c r="J1510" t="str">
        <f t="shared" si="49"/>
        <v>SÍ</v>
      </c>
    </row>
    <row r="1511" spans="1:10" x14ac:dyDescent="0.3">
      <c r="A1511" t="s">
        <v>289</v>
      </c>
      <c r="B1511" t="s">
        <v>290</v>
      </c>
      <c r="C1511" t="s">
        <v>513</v>
      </c>
      <c r="D1511" s="23">
        <v>46619.589861111112</v>
      </c>
      <c r="E1511" t="s">
        <v>10</v>
      </c>
      <c r="F1511">
        <v>100</v>
      </c>
      <c r="G1511" t="s">
        <v>11</v>
      </c>
      <c r="I1511" t="str">
        <f t="shared" si="48"/>
        <v>EE10250|INFORME 06/26</v>
      </c>
      <c r="J1511" t="str">
        <f t="shared" si="49"/>
        <v>SÍ</v>
      </c>
    </row>
    <row r="1512" spans="1:10" x14ac:dyDescent="0.3">
      <c r="A1512" t="s">
        <v>709</v>
      </c>
      <c r="B1512" t="s">
        <v>878</v>
      </c>
      <c r="C1512" t="s">
        <v>423</v>
      </c>
      <c r="D1512" s="23">
        <v>46619.629027777781</v>
      </c>
      <c r="E1512" t="s">
        <v>1643</v>
      </c>
      <c r="F1512">
        <v>438.96</v>
      </c>
      <c r="G1512" t="s">
        <v>40</v>
      </c>
      <c r="I1512" t="str">
        <f t="shared" si="48"/>
        <v>EE10292|LA-02/26</v>
      </c>
      <c r="J1512" t="str">
        <f t="shared" si="49"/>
        <v>SÍ</v>
      </c>
    </row>
    <row r="1513" spans="1:10" x14ac:dyDescent="0.3">
      <c r="A1513" t="s">
        <v>701</v>
      </c>
      <c r="B1513" t="s">
        <v>870</v>
      </c>
      <c r="C1513" t="s">
        <v>1486</v>
      </c>
      <c r="D1513" s="23">
        <v>46542.729849537027</v>
      </c>
      <c r="E1513" t="s">
        <v>1637</v>
      </c>
      <c r="F1513">
        <v>19</v>
      </c>
      <c r="G1513" t="s">
        <v>2174</v>
      </c>
      <c r="I1513" t="str">
        <f t="shared" si="48"/>
        <v>TC0120PE|DUO-23126</v>
      </c>
      <c r="J1513" t="str">
        <f t="shared" si="49"/>
        <v>SÍ</v>
      </c>
    </row>
    <row r="1514" spans="1:10" x14ac:dyDescent="0.3">
      <c r="A1514" t="s">
        <v>582</v>
      </c>
      <c r="B1514" t="s">
        <v>751</v>
      </c>
      <c r="C1514" t="s">
        <v>1490</v>
      </c>
      <c r="D1514" s="23">
        <v>46557.725682870368</v>
      </c>
      <c r="E1514" t="s">
        <v>1637</v>
      </c>
      <c r="F1514">
        <v>44</v>
      </c>
      <c r="G1514" t="s">
        <v>2166</v>
      </c>
      <c r="I1514" t="str">
        <f t="shared" si="48"/>
        <v>TC0006PE|SN-23126-E8</v>
      </c>
      <c r="J1514" t="str">
        <f t="shared" si="49"/>
        <v>SÍ</v>
      </c>
    </row>
    <row r="1515" spans="1:10" x14ac:dyDescent="0.3">
      <c r="A1515" t="s">
        <v>582</v>
      </c>
      <c r="B1515" t="s">
        <v>751</v>
      </c>
      <c r="C1515" t="s">
        <v>1491</v>
      </c>
      <c r="D1515" s="23">
        <v>46558.726585648154</v>
      </c>
      <c r="E1515" t="s">
        <v>1637</v>
      </c>
      <c r="F1515">
        <v>211.4444</v>
      </c>
      <c r="G1515" t="s">
        <v>2166</v>
      </c>
      <c r="I1515" t="str">
        <f t="shared" si="48"/>
        <v>TC0006PE|SN-23226-E8</v>
      </c>
      <c r="J1515" t="str">
        <f t="shared" si="49"/>
        <v>SÍ</v>
      </c>
    </row>
    <row r="1516" spans="1:10" x14ac:dyDescent="0.3">
      <c r="A1516" t="s">
        <v>596</v>
      </c>
      <c r="B1516" t="s">
        <v>765</v>
      </c>
      <c r="C1516" t="s">
        <v>1490</v>
      </c>
      <c r="D1516" s="23">
        <v>46557.747696759259</v>
      </c>
      <c r="E1516" t="s">
        <v>1637</v>
      </c>
      <c r="F1516">
        <v>6</v>
      </c>
      <c r="G1516" t="s">
        <v>2166</v>
      </c>
      <c r="I1516" t="str">
        <f t="shared" si="48"/>
        <v>TC0015PE|SN-23126-E8</v>
      </c>
      <c r="J1516" t="str">
        <f t="shared" si="49"/>
        <v>SÍ</v>
      </c>
    </row>
    <row r="1517" spans="1:10" x14ac:dyDescent="0.3">
      <c r="A1517" t="s">
        <v>703</v>
      </c>
      <c r="B1517" t="s">
        <v>872</v>
      </c>
      <c r="C1517" t="s">
        <v>1492</v>
      </c>
      <c r="D1517" s="23">
        <v>46558.724398148152</v>
      </c>
      <c r="E1517" t="s">
        <v>1637</v>
      </c>
      <c r="F1517">
        <v>40</v>
      </c>
      <c r="G1517" t="s">
        <v>2169</v>
      </c>
      <c r="I1517" t="str">
        <f t="shared" si="48"/>
        <v>TC0083PE|SN-23226-E7</v>
      </c>
      <c r="J1517" t="str">
        <f t="shared" si="49"/>
        <v>SÍ</v>
      </c>
    </row>
    <row r="1518" spans="1:10" x14ac:dyDescent="0.3">
      <c r="A1518" t="s">
        <v>409</v>
      </c>
      <c r="B1518" t="s">
        <v>410</v>
      </c>
      <c r="C1518" t="s">
        <v>258</v>
      </c>
      <c r="D1518" s="23">
        <v>46557.478194444448</v>
      </c>
      <c r="E1518" t="s">
        <v>1635</v>
      </c>
      <c r="F1518">
        <v>54.049700000000001</v>
      </c>
      <c r="G1518" t="s">
        <v>40</v>
      </c>
      <c r="I1518" t="str">
        <f t="shared" si="48"/>
        <v>EE10103|INFORME 01/26</v>
      </c>
      <c r="J1518" t="str">
        <f t="shared" si="49"/>
        <v>SÍ</v>
      </c>
    </row>
    <row r="1519" spans="1:10" x14ac:dyDescent="0.3">
      <c r="A1519" t="s">
        <v>663</v>
      </c>
      <c r="B1519" t="s">
        <v>832</v>
      </c>
      <c r="C1519" t="s">
        <v>1493</v>
      </c>
      <c r="D1519" s="23">
        <v>46379.467962962961</v>
      </c>
      <c r="E1519" t="s">
        <v>2092</v>
      </c>
      <c r="F1519">
        <v>1</v>
      </c>
      <c r="G1519" t="s">
        <v>2170</v>
      </c>
      <c r="I1519" t="str">
        <f t="shared" si="48"/>
        <v>BS0001PE|BN-11326-E4</v>
      </c>
      <c r="J1519" t="str">
        <f t="shared" si="49"/>
        <v>SÍ</v>
      </c>
    </row>
    <row r="1520" spans="1:10" x14ac:dyDescent="0.3">
      <c r="A1520" t="s">
        <v>663</v>
      </c>
      <c r="B1520" t="s">
        <v>832</v>
      </c>
      <c r="C1520" t="s">
        <v>1494</v>
      </c>
      <c r="D1520" s="23">
        <v>46256</v>
      </c>
      <c r="E1520" t="s">
        <v>2092</v>
      </c>
      <c r="F1520">
        <v>1</v>
      </c>
      <c r="G1520" t="s">
        <v>2170</v>
      </c>
      <c r="I1520" t="str">
        <f t="shared" si="48"/>
        <v>BS0001PE|BN-35625</v>
      </c>
      <c r="J1520" t="str">
        <f t="shared" si="49"/>
        <v>SÍ</v>
      </c>
    </row>
    <row r="1521" spans="1:10" x14ac:dyDescent="0.3">
      <c r="A1521" t="s">
        <v>670</v>
      </c>
      <c r="B1521" t="s">
        <v>839</v>
      </c>
      <c r="C1521" t="s">
        <v>1495</v>
      </c>
      <c r="D1521" s="23">
        <v>46355.034317129634</v>
      </c>
      <c r="E1521" t="s">
        <v>2092</v>
      </c>
      <c r="F1521">
        <v>1</v>
      </c>
      <c r="G1521" t="s">
        <v>2170</v>
      </c>
      <c r="I1521" t="str">
        <f t="shared" si="48"/>
        <v>BS0002PE|BP-08826-E5</v>
      </c>
      <c r="J1521" t="str">
        <f t="shared" si="49"/>
        <v>SÍ</v>
      </c>
    </row>
    <row r="1522" spans="1:10" x14ac:dyDescent="0.3">
      <c r="A1522" t="s">
        <v>622</v>
      </c>
      <c r="B1522" t="s">
        <v>791</v>
      </c>
      <c r="C1522" t="s">
        <v>1496</v>
      </c>
      <c r="D1522" s="23">
        <v>46498.514085648138</v>
      </c>
      <c r="E1522" t="s">
        <v>1637</v>
      </c>
      <c r="F1522">
        <v>3</v>
      </c>
      <c r="G1522" t="s">
        <v>2171</v>
      </c>
      <c r="I1522" t="str">
        <f t="shared" si="48"/>
        <v>RT0123PE|RP-23326-E3</v>
      </c>
      <c r="J1522" t="str">
        <f t="shared" si="49"/>
        <v>SÍ</v>
      </c>
    </row>
    <row r="1523" spans="1:10" x14ac:dyDescent="0.3">
      <c r="A1523" t="s">
        <v>622</v>
      </c>
      <c r="B1523" t="s">
        <v>791</v>
      </c>
      <c r="C1523" t="s">
        <v>1497</v>
      </c>
      <c r="D1523" s="23">
        <v>46498.619710648149</v>
      </c>
      <c r="E1523" t="s">
        <v>1637</v>
      </c>
      <c r="F1523">
        <v>185</v>
      </c>
      <c r="G1523" t="s">
        <v>2171</v>
      </c>
      <c r="I1523" t="str">
        <f t="shared" si="48"/>
        <v>RT0123PE|RP-23326-E4</v>
      </c>
      <c r="J1523" t="str">
        <f t="shared" si="49"/>
        <v>SÍ</v>
      </c>
    </row>
    <row r="1524" spans="1:10" x14ac:dyDescent="0.3">
      <c r="A1524" t="s">
        <v>622</v>
      </c>
      <c r="B1524" t="s">
        <v>791</v>
      </c>
      <c r="C1524" t="s">
        <v>1498</v>
      </c>
      <c r="D1524" s="23">
        <v>46498.423113425917</v>
      </c>
      <c r="E1524" t="s">
        <v>1637</v>
      </c>
      <c r="F1524">
        <v>58</v>
      </c>
      <c r="G1524" t="s">
        <v>2171</v>
      </c>
      <c r="I1524" t="str">
        <f t="shared" si="48"/>
        <v>RT0123PE|RP-23326-E5</v>
      </c>
      <c r="J1524" t="str">
        <f t="shared" si="49"/>
        <v>SÍ</v>
      </c>
    </row>
    <row r="1525" spans="1:10" x14ac:dyDescent="0.3">
      <c r="A1525" t="s">
        <v>586</v>
      </c>
      <c r="B1525" t="s">
        <v>755</v>
      </c>
      <c r="C1525" t="s">
        <v>1492</v>
      </c>
      <c r="D1525" s="23">
        <v>46558.63212962963</v>
      </c>
      <c r="E1525" t="s">
        <v>1637</v>
      </c>
      <c r="F1525">
        <v>184</v>
      </c>
      <c r="G1525" t="s">
        <v>2169</v>
      </c>
      <c r="I1525" t="str">
        <f t="shared" si="48"/>
        <v>TC0082PE|SN-23226-E7</v>
      </c>
      <c r="J1525" t="str">
        <f t="shared" si="49"/>
        <v>SÍ</v>
      </c>
    </row>
    <row r="1526" spans="1:10" x14ac:dyDescent="0.3">
      <c r="A1526" t="s">
        <v>668</v>
      </c>
      <c r="B1526" t="s">
        <v>837</v>
      </c>
      <c r="C1526" t="s">
        <v>1499</v>
      </c>
      <c r="D1526" s="23">
        <v>46589.634560185194</v>
      </c>
      <c r="E1526" t="s">
        <v>1637</v>
      </c>
      <c r="F1526">
        <v>2</v>
      </c>
      <c r="G1526" t="s">
        <v>2166</v>
      </c>
      <c r="I1526" t="str">
        <f t="shared" si="48"/>
        <v>TC0231PE|PJ-23326-E8</v>
      </c>
      <c r="J1526" t="str">
        <f t="shared" si="49"/>
        <v>SÍ</v>
      </c>
    </row>
    <row r="1527" spans="1:10" x14ac:dyDescent="0.3">
      <c r="A1527" t="s">
        <v>710</v>
      </c>
      <c r="B1527" t="s">
        <v>879</v>
      </c>
      <c r="C1527" t="s">
        <v>1500</v>
      </c>
      <c r="D1527" s="23">
        <v>46555.642546296287</v>
      </c>
      <c r="E1527" t="s">
        <v>1637</v>
      </c>
      <c r="F1527">
        <v>70</v>
      </c>
      <c r="G1527" t="s">
        <v>2168</v>
      </c>
      <c r="I1527" t="str">
        <f t="shared" si="48"/>
        <v>TC0226PE|LP-23326-E7</v>
      </c>
      <c r="J1527" t="str">
        <f t="shared" si="49"/>
        <v>SÍ</v>
      </c>
    </row>
    <row r="1528" spans="1:10" x14ac:dyDescent="0.3">
      <c r="A1528" t="s">
        <v>698</v>
      </c>
      <c r="B1528" t="s">
        <v>867</v>
      </c>
      <c r="C1528" t="s">
        <v>1500</v>
      </c>
      <c r="D1528" s="23">
        <v>46559.638564814813</v>
      </c>
      <c r="E1528" t="s">
        <v>1637</v>
      </c>
      <c r="F1528">
        <v>25</v>
      </c>
      <c r="G1528" t="s">
        <v>2166</v>
      </c>
      <c r="I1528" t="str">
        <f t="shared" si="48"/>
        <v>TC0238PE|LP-23326-E7</v>
      </c>
      <c r="J1528" t="str">
        <f t="shared" si="49"/>
        <v>SÍ</v>
      </c>
    </row>
    <row r="1529" spans="1:10" x14ac:dyDescent="0.3">
      <c r="A1529" t="s">
        <v>694</v>
      </c>
      <c r="B1529" t="s">
        <v>863</v>
      </c>
      <c r="C1529" t="s">
        <v>1501</v>
      </c>
      <c r="D1529" s="23">
        <v>46616.486678240741</v>
      </c>
      <c r="E1529" t="s">
        <v>2093</v>
      </c>
      <c r="F1529">
        <v>299</v>
      </c>
      <c r="G1529" t="s">
        <v>40</v>
      </c>
      <c r="I1529" t="str">
        <f t="shared" si="48"/>
        <v>INT0002-1|SN-22926-E7</v>
      </c>
      <c r="J1529" t="str">
        <f t="shared" si="49"/>
        <v>SÍ</v>
      </c>
    </row>
    <row r="1530" spans="1:10" x14ac:dyDescent="0.3">
      <c r="A1530" t="s">
        <v>711</v>
      </c>
      <c r="B1530" t="s">
        <v>880</v>
      </c>
      <c r="C1530" t="s">
        <v>1381</v>
      </c>
      <c r="D1530" s="23">
        <v>46553.746307870373</v>
      </c>
      <c r="E1530" t="s">
        <v>2094</v>
      </c>
      <c r="F1530">
        <v>121</v>
      </c>
      <c r="G1530" t="s">
        <v>2168</v>
      </c>
      <c r="I1530" t="str">
        <f t="shared" si="48"/>
        <v>TC0004RD|SC-22726-E7</v>
      </c>
      <c r="J1530" t="str">
        <f t="shared" si="49"/>
        <v>SÍ</v>
      </c>
    </row>
    <row r="1531" spans="1:10" x14ac:dyDescent="0.3">
      <c r="A1531" t="s">
        <v>712</v>
      </c>
      <c r="B1531" t="s">
        <v>881</v>
      </c>
      <c r="C1531" t="s">
        <v>1376</v>
      </c>
      <c r="D1531" s="23">
        <v>46614.747754629629</v>
      </c>
      <c r="E1531" t="s">
        <v>2094</v>
      </c>
      <c r="F1531">
        <v>21</v>
      </c>
      <c r="G1531" t="s">
        <v>2167</v>
      </c>
      <c r="I1531" t="str">
        <f t="shared" si="48"/>
        <v>TQ0001RD|QB-22726-E10</v>
      </c>
      <c r="J1531" t="str">
        <f t="shared" si="49"/>
        <v>SÍ</v>
      </c>
    </row>
    <row r="1532" spans="1:10" x14ac:dyDescent="0.3">
      <c r="A1532" t="s">
        <v>713</v>
      </c>
      <c r="B1532" t="s">
        <v>882</v>
      </c>
      <c r="C1532" t="s">
        <v>1502</v>
      </c>
      <c r="D1532" s="23">
        <v>46557</v>
      </c>
      <c r="E1532" t="s">
        <v>2094</v>
      </c>
      <c r="F1532">
        <v>108</v>
      </c>
      <c r="G1532" t="s">
        <v>2168</v>
      </c>
      <c r="I1532" t="str">
        <f t="shared" si="48"/>
        <v>TC0001RD|SN-23126-E7</v>
      </c>
      <c r="J1532" t="str">
        <f t="shared" si="49"/>
        <v>SÍ</v>
      </c>
    </row>
    <row r="1533" spans="1:10" x14ac:dyDescent="0.3">
      <c r="A1533" t="s">
        <v>713</v>
      </c>
      <c r="B1533" t="s">
        <v>882</v>
      </c>
      <c r="C1533" t="s">
        <v>1492</v>
      </c>
      <c r="D1533" s="23">
        <v>46558.555</v>
      </c>
      <c r="E1533" t="s">
        <v>2094</v>
      </c>
      <c r="F1533">
        <v>156</v>
      </c>
      <c r="G1533" t="s">
        <v>2168</v>
      </c>
      <c r="I1533" t="str">
        <f t="shared" si="48"/>
        <v>TC0001RD|SN-23226-E7</v>
      </c>
      <c r="J1533" t="str">
        <f t="shared" si="49"/>
        <v>SÍ</v>
      </c>
    </row>
    <row r="1534" spans="1:10" x14ac:dyDescent="0.3">
      <c r="A1534" t="s">
        <v>714</v>
      </c>
      <c r="B1534" t="s">
        <v>883</v>
      </c>
      <c r="C1534" t="s">
        <v>1502</v>
      </c>
      <c r="D1534" s="23">
        <v>46557.558333333327</v>
      </c>
      <c r="E1534" t="s">
        <v>2094</v>
      </c>
      <c r="F1534">
        <v>151</v>
      </c>
      <c r="G1534" t="s">
        <v>2168</v>
      </c>
      <c r="I1534" t="str">
        <f t="shared" si="48"/>
        <v>TC0008CO|SN-23126-E7</v>
      </c>
      <c r="J1534" t="str">
        <f t="shared" si="49"/>
        <v>SÍ</v>
      </c>
    </row>
    <row r="1535" spans="1:10" x14ac:dyDescent="0.3">
      <c r="A1535" t="s">
        <v>715</v>
      </c>
      <c r="B1535" t="s">
        <v>884</v>
      </c>
      <c r="C1535" t="s">
        <v>1503</v>
      </c>
      <c r="D1535" s="23">
        <v>46556.557175925933</v>
      </c>
      <c r="E1535" t="s">
        <v>2094</v>
      </c>
      <c r="F1535">
        <v>93</v>
      </c>
      <c r="G1535" t="s">
        <v>2169</v>
      </c>
      <c r="I1535" t="str">
        <f t="shared" si="48"/>
        <v>TC0002RD|SN-23026-E8</v>
      </c>
      <c r="J1535" t="str">
        <f t="shared" si="49"/>
        <v>SÍ</v>
      </c>
    </row>
    <row r="1536" spans="1:10" x14ac:dyDescent="0.3">
      <c r="A1536" t="s">
        <v>716</v>
      </c>
      <c r="B1536" t="s">
        <v>885</v>
      </c>
      <c r="C1536" t="s">
        <v>483</v>
      </c>
      <c r="D1536" s="23">
        <v>46599.629444444443</v>
      </c>
      <c r="E1536" t="s">
        <v>1635</v>
      </c>
      <c r="F1536">
        <v>300</v>
      </c>
      <c r="G1536" t="s">
        <v>11</v>
      </c>
      <c r="I1536" t="str">
        <f t="shared" si="48"/>
        <v>EE10314|ET-01/26</v>
      </c>
      <c r="J1536" t="str">
        <f t="shared" si="49"/>
        <v>SÍ</v>
      </c>
    </row>
    <row r="1537" spans="1:10" x14ac:dyDescent="0.3">
      <c r="A1537" t="s">
        <v>453</v>
      </c>
      <c r="B1537" t="s">
        <v>454</v>
      </c>
      <c r="C1537" t="s">
        <v>298</v>
      </c>
      <c r="D1537" s="23">
        <v>46391.664780092593</v>
      </c>
      <c r="E1537" t="s">
        <v>1634</v>
      </c>
      <c r="F1537">
        <v>53.35</v>
      </c>
      <c r="G1537" t="s">
        <v>40</v>
      </c>
      <c r="I1537" t="str">
        <f t="shared" si="48"/>
        <v>EE10298|INFORME 05/26</v>
      </c>
      <c r="J1537" t="str">
        <f t="shared" si="49"/>
        <v>SÍ</v>
      </c>
    </row>
    <row r="1538" spans="1:10" x14ac:dyDescent="0.3">
      <c r="A1538" t="s">
        <v>622</v>
      </c>
      <c r="B1538" t="s">
        <v>791</v>
      </c>
      <c r="C1538" t="s">
        <v>1504</v>
      </c>
      <c r="D1538" s="23">
        <v>46499.448206018518</v>
      </c>
      <c r="E1538" t="s">
        <v>1637</v>
      </c>
      <c r="F1538">
        <v>2.9083000000000001</v>
      </c>
      <c r="G1538" t="s">
        <v>2171</v>
      </c>
      <c r="I1538" t="str">
        <f t="shared" si="48"/>
        <v>RT0123PE|RP-23426-E1</v>
      </c>
      <c r="J1538" t="str">
        <f t="shared" si="49"/>
        <v>SÍ</v>
      </c>
    </row>
    <row r="1539" spans="1:10" x14ac:dyDescent="0.3">
      <c r="A1539" t="s">
        <v>622</v>
      </c>
      <c r="B1539" t="s">
        <v>791</v>
      </c>
      <c r="C1539" t="s">
        <v>1505</v>
      </c>
      <c r="D1539" s="23">
        <v>46499.458113425928</v>
      </c>
      <c r="E1539" t="s">
        <v>1637</v>
      </c>
      <c r="F1539">
        <v>78</v>
      </c>
      <c r="G1539" t="s">
        <v>2171</v>
      </c>
      <c r="I1539" t="str">
        <f t="shared" si="48"/>
        <v>RT0123PE|RP-23426-E5</v>
      </c>
      <c r="J1539" t="str">
        <f t="shared" si="49"/>
        <v>SÍ</v>
      </c>
    </row>
    <row r="1540" spans="1:10" x14ac:dyDescent="0.3">
      <c r="A1540" t="s">
        <v>622</v>
      </c>
      <c r="B1540" t="s">
        <v>791</v>
      </c>
      <c r="C1540" t="s">
        <v>1506</v>
      </c>
      <c r="D1540" s="23">
        <v>46499.483414351853</v>
      </c>
      <c r="E1540" t="s">
        <v>1637</v>
      </c>
      <c r="F1540">
        <v>27.5</v>
      </c>
      <c r="G1540" t="s">
        <v>2171</v>
      </c>
      <c r="I1540" t="str">
        <f t="shared" si="48"/>
        <v>RT0123PE|RP-23426-E4</v>
      </c>
      <c r="J1540" t="str">
        <f t="shared" si="49"/>
        <v>SÍ</v>
      </c>
    </row>
    <row r="1541" spans="1:10" x14ac:dyDescent="0.3">
      <c r="A1541" t="s">
        <v>430</v>
      </c>
      <c r="B1541" t="s">
        <v>431</v>
      </c>
      <c r="C1541" t="s">
        <v>298</v>
      </c>
      <c r="D1541" s="23">
        <v>46844.700740740736</v>
      </c>
      <c r="E1541" t="s">
        <v>10</v>
      </c>
      <c r="F1541">
        <v>2.7042999999999999</v>
      </c>
      <c r="G1541" t="s">
        <v>40</v>
      </c>
      <c r="I1541" t="str">
        <f t="shared" si="48"/>
        <v>MP10017|INFORME 05/26</v>
      </c>
      <c r="J1541" t="str">
        <f t="shared" si="49"/>
        <v>SÍ</v>
      </c>
    </row>
    <row r="1542" spans="1:10" x14ac:dyDescent="0.3">
      <c r="A1542" t="s">
        <v>464</v>
      </c>
      <c r="B1542" t="s">
        <v>465</v>
      </c>
      <c r="C1542" t="s">
        <v>519</v>
      </c>
      <c r="D1542" s="23">
        <v>46581.971828703703</v>
      </c>
      <c r="E1542" t="s">
        <v>10</v>
      </c>
      <c r="F1542">
        <v>40</v>
      </c>
      <c r="G1542" t="s">
        <v>11</v>
      </c>
      <c r="I1542" t="str">
        <f t="shared" si="48"/>
        <v>EE10001|CT-13/26</v>
      </c>
      <c r="J1542" t="str">
        <f t="shared" si="49"/>
        <v>SÍ</v>
      </c>
    </row>
    <row r="1543" spans="1:10" x14ac:dyDescent="0.3">
      <c r="A1543" t="s">
        <v>464</v>
      </c>
      <c r="B1543" t="s">
        <v>465</v>
      </c>
      <c r="C1543" t="s">
        <v>520</v>
      </c>
      <c r="D1543" s="23">
        <v>46584.645150462973</v>
      </c>
      <c r="E1543" t="s">
        <v>10</v>
      </c>
      <c r="F1543">
        <v>29</v>
      </c>
      <c r="G1543" t="s">
        <v>11</v>
      </c>
      <c r="I1543" t="str">
        <f t="shared" si="48"/>
        <v>EE10001|CT-14/26</v>
      </c>
      <c r="J1543" t="str">
        <f t="shared" si="49"/>
        <v>SÍ</v>
      </c>
    </row>
    <row r="1544" spans="1:10" x14ac:dyDescent="0.3">
      <c r="A1544" t="s">
        <v>717</v>
      </c>
      <c r="B1544" t="s">
        <v>886</v>
      </c>
      <c r="C1544" t="s">
        <v>1092</v>
      </c>
      <c r="D1544" s="23">
        <v>46619.838182870371</v>
      </c>
      <c r="E1544" t="s">
        <v>1637</v>
      </c>
      <c r="F1544">
        <v>68</v>
      </c>
      <c r="G1544" t="s">
        <v>2179</v>
      </c>
      <c r="I1544" t="str">
        <f t="shared" si="48"/>
        <v>CT0001PE|SF-102</v>
      </c>
      <c r="J1544" t="str">
        <f t="shared" si="49"/>
        <v>SÍ</v>
      </c>
    </row>
    <row r="1545" spans="1:10" x14ac:dyDescent="0.3">
      <c r="A1545" t="s">
        <v>622</v>
      </c>
      <c r="B1545" t="s">
        <v>791</v>
      </c>
      <c r="C1545" t="s">
        <v>1507</v>
      </c>
      <c r="D1545" s="23">
        <v>46500</v>
      </c>
      <c r="E1545" t="s">
        <v>1637</v>
      </c>
      <c r="F1545">
        <v>3</v>
      </c>
      <c r="G1545" t="s">
        <v>2171</v>
      </c>
      <c r="I1545" t="str">
        <f t="shared" si="48"/>
        <v>RT0123PE|RP-23526-E2</v>
      </c>
      <c r="J1545" t="str">
        <f t="shared" si="49"/>
        <v>SÍ</v>
      </c>
    </row>
    <row r="1546" spans="1:10" x14ac:dyDescent="0.3">
      <c r="A1546" t="s">
        <v>622</v>
      </c>
      <c r="B1546" t="s">
        <v>791</v>
      </c>
      <c r="C1546" t="s">
        <v>1508</v>
      </c>
      <c r="D1546" s="23">
        <v>46500</v>
      </c>
      <c r="E1546" t="s">
        <v>1637</v>
      </c>
      <c r="F1546">
        <v>29.75</v>
      </c>
      <c r="G1546" t="s">
        <v>2171</v>
      </c>
      <c r="I1546" t="str">
        <f t="shared" si="48"/>
        <v>RT0123PE|RP-23526-E3</v>
      </c>
      <c r="J1546" t="str">
        <f t="shared" si="49"/>
        <v>SÍ</v>
      </c>
    </row>
    <row r="1547" spans="1:10" x14ac:dyDescent="0.3">
      <c r="A1547" t="s">
        <v>622</v>
      </c>
      <c r="B1547" t="s">
        <v>791</v>
      </c>
      <c r="C1547" t="s">
        <v>1509</v>
      </c>
      <c r="D1547" s="23">
        <v>46500</v>
      </c>
      <c r="E1547" t="s">
        <v>1637</v>
      </c>
      <c r="F1547">
        <v>35</v>
      </c>
      <c r="G1547" t="s">
        <v>2171</v>
      </c>
      <c r="I1547" t="str">
        <f t="shared" si="48"/>
        <v>RT0123PE|RP-23526-E4</v>
      </c>
      <c r="J1547" t="str">
        <f t="shared" si="49"/>
        <v>SÍ</v>
      </c>
    </row>
    <row r="1548" spans="1:10" x14ac:dyDescent="0.3">
      <c r="A1548" t="s">
        <v>622</v>
      </c>
      <c r="B1548" t="s">
        <v>791</v>
      </c>
      <c r="C1548" t="s">
        <v>1510</v>
      </c>
      <c r="D1548" s="23">
        <v>46500</v>
      </c>
      <c r="E1548" t="s">
        <v>1637</v>
      </c>
      <c r="F1548">
        <v>43.75</v>
      </c>
      <c r="G1548" t="s">
        <v>2171</v>
      </c>
      <c r="I1548" t="str">
        <f t="shared" si="48"/>
        <v>RT0123PE|RP-23526-E5</v>
      </c>
      <c r="J1548" t="str">
        <f t="shared" si="49"/>
        <v>SÍ</v>
      </c>
    </row>
    <row r="1549" spans="1:10" x14ac:dyDescent="0.3">
      <c r="A1549" t="s">
        <v>582</v>
      </c>
      <c r="B1549" t="s">
        <v>751</v>
      </c>
      <c r="C1549" t="s">
        <v>1491</v>
      </c>
      <c r="D1549" s="23">
        <v>46558.726585648154</v>
      </c>
      <c r="E1549" t="s">
        <v>1674</v>
      </c>
      <c r="F1549">
        <v>0.55559999999999998</v>
      </c>
      <c r="G1549" t="s">
        <v>2166</v>
      </c>
      <c r="I1549" t="str">
        <f t="shared" si="48"/>
        <v>TC0006PE|SN-23226-E8</v>
      </c>
      <c r="J1549" t="str">
        <f t="shared" si="49"/>
        <v>SÍ</v>
      </c>
    </row>
    <row r="1550" spans="1:10" x14ac:dyDescent="0.3">
      <c r="A1550" t="s">
        <v>582</v>
      </c>
      <c r="B1550" t="s">
        <v>751</v>
      </c>
      <c r="C1550" t="s">
        <v>1491</v>
      </c>
      <c r="D1550" s="23">
        <v>46558.726585648154</v>
      </c>
      <c r="E1550" t="s">
        <v>2095</v>
      </c>
      <c r="F1550">
        <v>40</v>
      </c>
      <c r="G1550" t="s">
        <v>2166</v>
      </c>
      <c r="I1550" t="str">
        <f t="shared" si="48"/>
        <v>TC0006PE|SN-23226-E8</v>
      </c>
      <c r="J1550" t="str">
        <f t="shared" si="49"/>
        <v>SÍ</v>
      </c>
    </row>
    <row r="1551" spans="1:10" x14ac:dyDescent="0.3">
      <c r="A1551" t="s">
        <v>582</v>
      </c>
      <c r="B1551" t="s">
        <v>751</v>
      </c>
      <c r="C1551" t="s">
        <v>1491</v>
      </c>
      <c r="D1551" s="23">
        <v>46558.726585648154</v>
      </c>
      <c r="E1551" t="s">
        <v>1684</v>
      </c>
      <c r="F1551">
        <v>40</v>
      </c>
      <c r="G1551" t="s">
        <v>2166</v>
      </c>
      <c r="I1551" t="str">
        <f t="shared" si="48"/>
        <v>TC0006PE|SN-23226-E8</v>
      </c>
      <c r="J1551" t="str">
        <f t="shared" si="49"/>
        <v>SÍ</v>
      </c>
    </row>
    <row r="1552" spans="1:10" x14ac:dyDescent="0.3">
      <c r="A1552" t="s">
        <v>622</v>
      </c>
      <c r="B1552" t="s">
        <v>791</v>
      </c>
      <c r="C1552" t="s">
        <v>1497</v>
      </c>
      <c r="D1552" s="23">
        <v>46498.619710648149</v>
      </c>
      <c r="E1552" t="s">
        <v>2096</v>
      </c>
      <c r="F1552">
        <v>48</v>
      </c>
      <c r="G1552" t="s">
        <v>2171</v>
      </c>
      <c r="I1552" t="str">
        <f t="shared" si="48"/>
        <v>RT0123PE|RP-23326-E4</v>
      </c>
      <c r="J1552" t="str">
        <f t="shared" si="49"/>
        <v>SÍ</v>
      </c>
    </row>
    <row r="1553" spans="1:10" x14ac:dyDescent="0.3">
      <c r="A1553" t="s">
        <v>622</v>
      </c>
      <c r="B1553" t="s">
        <v>791</v>
      </c>
      <c r="C1553" t="s">
        <v>1506</v>
      </c>
      <c r="D1553" s="23">
        <v>46499.483414351853</v>
      </c>
      <c r="E1553" t="s">
        <v>2097</v>
      </c>
      <c r="F1553">
        <v>32</v>
      </c>
      <c r="G1553" t="s">
        <v>2171</v>
      </c>
      <c r="I1553" t="str">
        <f t="shared" si="48"/>
        <v>RT0123PE|RP-23426-E4</v>
      </c>
      <c r="J1553" t="str">
        <f t="shared" si="49"/>
        <v>SÍ</v>
      </c>
    </row>
    <row r="1554" spans="1:10" x14ac:dyDescent="0.3">
      <c r="A1554" t="s">
        <v>622</v>
      </c>
      <c r="B1554" t="s">
        <v>791</v>
      </c>
      <c r="C1554" t="s">
        <v>1507</v>
      </c>
      <c r="D1554" s="23">
        <v>46500</v>
      </c>
      <c r="E1554" t="s">
        <v>2097</v>
      </c>
      <c r="F1554">
        <v>31</v>
      </c>
      <c r="G1554" t="s">
        <v>2171</v>
      </c>
      <c r="I1554" t="str">
        <f t="shared" ref="I1554:I1617" si="50">IF(A1554="","",A1554&amp;"|"&amp;C1554)</f>
        <v>RT0123PE|RP-23526-E2</v>
      </c>
      <c r="J1554" t="str">
        <f t="shared" ref="J1554:J1617" si="51">IF(A1554&lt;&gt;"","SÍ","NO")</f>
        <v>SÍ</v>
      </c>
    </row>
    <row r="1555" spans="1:10" x14ac:dyDescent="0.3">
      <c r="A1555" t="s">
        <v>622</v>
      </c>
      <c r="B1555" t="s">
        <v>791</v>
      </c>
      <c r="C1555" t="s">
        <v>1509</v>
      </c>
      <c r="D1555" s="23">
        <v>46500</v>
      </c>
      <c r="E1555" t="s">
        <v>2098</v>
      </c>
      <c r="F1555">
        <v>30</v>
      </c>
      <c r="G1555" t="s">
        <v>2171</v>
      </c>
      <c r="I1555" t="str">
        <f t="shared" si="50"/>
        <v>RT0123PE|RP-23526-E4</v>
      </c>
      <c r="J1555" t="str">
        <f t="shared" si="51"/>
        <v>SÍ</v>
      </c>
    </row>
    <row r="1556" spans="1:10" x14ac:dyDescent="0.3">
      <c r="A1556" t="s">
        <v>622</v>
      </c>
      <c r="B1556" t="s">
        <v>791</v>
      </c>
      <c r="C1556" t="s">
        <v>1508</v>
      </c>
      <c r="D1556" s="23">
        <v>46500</v>
      </c>
      <c r="E1556" t="s">
        <v>1845</v>
      </c>
      <c r="F1556">
        <v>17</v>
      </c>
      <c r="G1556" t="s">
        <v>2171</v>
      </c>
      <c r="I1556" t="str">
        <f t="shared" si="50"/>
        <v>RT0123PE|RP-23526-E3</v>
      </c>
      <c r="J1556" t="str">
        <f t="shared" si="51"/>
        <v>SÍ</v>
      </c>
    </row>
    <row r="1557" spans="1:10" x14ac:dyDescent="0.3">
      <c r="A1557" t="s">
        <v>622</v>
      </c>
      <c r="B1557" t="s">
        <v>791</v>
      </c>
      <c r="C1557" t="s">
        <v>1511</v>
      </c>
      <c r="D1557" s="23">
        <v>46499.456932870373</v>
      </c>
      <c r="E1557" t="s">
        <v>1775</v>
      </c>
      <c r="F1557">
        <v>30</v>
      </c>
      <c r="G1557" t="s">
        <v>2171</v>
      </c>
      <c r="I1557" t="str">
        <f t="shared" si="50"/>
        <v>RT0123PE|RP-23426-E3</v>
      </c>
      <c r="J1557" t="str">
        <f t="shared" si="51"/>
        <v>SÍ</v>
      </c>
    </row>
    <row r="1558" spans="1:10" x14ac:dyDescent="0.3">
      <c r="A1558" t="s">
        <v>622</v>
      </c>
      <c r="B1558" t="s">
        <v>791</v>
      </c>
      <c r="C1558" t="s">
        <v>1512</v>
      </c>
      <c r="D1558" s="23">
        <v>46499.4531712963</v>
      </c>
      <c r="E1558" t="s">
        <v>1775</v>
      </c>
      <c r="F1558">
        <v>19</v>
      </c>
      <c r="G1558" t="s">
        <v>2171</v>
      </c>
      <c r="I1558" t="str">
        <f t="shared" si="50"/>
        <v>RT0123PE|RP-23426-E2</v>
      </c>
      <c r="J1558" t="str">
        <f t="shared" si="51"/>
        <v>SÍ</v>
      </c>
    </row>
    <row r="1559" spans="1:10" x14ac:dyDescent="0.3">
      <c r="A1559" t="s">
        <v>622</v>
      </c>
      <c r="B1559" t="s">
        <v>791</v>
      </c>
      <c r="C1559" t="s">
        <v>1507</v>
      </c>
      <c r="D1559" s="23">
        <v>46500</v>
      </c>
      <c r="E1559" t="s">
        <v>1775</v>
      </c>
      <c r="F1559">
        <v>11</v>
      </c>
      <c r="G1559" t="s">
        <v>2171</v>
      </c>
      <c r="I1559" t="str">
        <f t="shared" si="50"/>
        <v>RT0123PE|RP-23526-E2</v>
      </c>
      <c r="J1559" t="str">
        <f t="shared" si="51"/>
        <v>SÍ</v>
      </c>
    </row>
    <row r="1560" spans="1:10" x14ac:dyDescent="0.3">
      <c r="A1560" t="s">
        <v>622</v>
      </c>
      <c r="B1560" t="s">
        <v>791</v>
      </c>
      <c r="C1560" t="s">
        <v>1505</v>
      </c>
      <c r="D1560" s="23">
        <v>46499.458113425928</v>
      </c>
      <c r="E1560" t="s">
        <v>1830</v>
      </c>
      <c r="F1560">
        <v>30</v>
      </c>
      <c r="G1560" t="s">
        <v>2171</v>
      </c>
      <c r="I1560" t="str">
        <f t="shared" si="50"/>
        <v>RT0123PE|RP-23426-E5</v>
      </c>
      <c r="J1560" t="str">
        <f t="shared" si="51"/>
        <v>SÍ</v>
      </c>
    </row>
    <row r="1561" spans="1:10" x14ac:dyDescent="0.3">
      <c r="A1561" t="s">
        <v>622</v>
      </c>
      <c r="B1561" t="s">
        <v>791</v>
      </c>
      <c r="C1561" t="s">
        <v>1505</v>
      </c>
      <c r="D1561" s="23">
        <v>46499.458113425928</v>
      </c>
      <c r="E1561" t="s">
        <v>2099</v>
      </c>
      <c r="F1561">
        <v>30</v>
      </c>
      <c r="G1561" t="s">
        <v>2171</v>
      </c>
      <c r="I1561" t="str">
        <f t="shared" si="50"/>
        <v>RT0123PE|RP-23426-E5</v>
      </c>
      <c r="J1561" t="str">
        <f t="shared" si="51"/>
        <v>SÍ</v>
      </c>
    </row>
    <row r="1562" spans="1:10" x14ac:dyDescent="0.3">
      <c r="A1562" t="s">
        <v>622</v>
      </c>
      <c r="B1562" t="s">
        <v>791</v>
      </c>
      <c r="C1562" t="s">
        <v>1510</v>
      </c>
      <c r="D1562" s="23">
        <v>46500</v>
      </c>
      <c r="E1562" t="s">
        <v>2100</v>
      </c>
      <c r="F1562">
        <v>0.25</v>
      </c>
      <c r="G1562" t="s">
        <v>2171</v>
      </c>
      <c r="I1562" t="str">
        <f t="shared" si="50"/>
        <v>RT0123PE|RP-23526-E5</v>
      </c>
      <c r="J1562" t="str">
        <f t="shared" si="51"/>
        <v>SÍ</v>
      </c>
    </row>
    <row r="1563" spans="1:10" x14ac:dyDescent="0.3">
      <c r="A1563" t="s">
        <v>622</v>
      </c>
      <c r="B1563" t="s">
        <v>791</v>
      </c>
      <c r="C1563" t="s">
        <v>1510</v>
      </c>
      <c r="D1563" s="23">
        <v>46500</v>
      </c>
      <c r="E1563" t="s">
        <v>1841</v>
      </c>
      <c r="F1563">
        <v>30</v>
      </c>
      <c r="G1563" t="s">
        <v>2171</v>
      </c>
      <c r="I1563" t="str">
        <f t="shared" si="50"/>
        <v>RT0123PE|RP-23526-E5</v>
      </c>
      <c r="J1563" t="str">
        <f t="shared" si="51"/>
        <v>SÍ</v>
      </c>
    </row>
    <row r="1564" spans="1:10" x14ac:dyDescent="0.3">
      <c r="A1564" t="s">
        <v>622</v>
      </c>
      <c r="B1564" t="s">
        <v>791</v>
      </c>
      <c r="C1564" t="s">
        <v>1497</v>
      </c>
      <c r="D1564" s="23">
        <v>46498.619710648149</v>
      </c>
      <c r="E1564" t="s">
        <v>2101</v>
      </c>
      <c r="F1564">
        <v>31</v>
      </c>
      <c r="G1564" t="s">
        <v>2171</v>
      </c>
      <c r="I1564" t="str">
        <f t="shared" si="50"/>
        <v>RT0123PE|RP-23326-E4</v>
      </c>
      <c r="J1564" t="str">
        <f t="shared" si="51"/>
        <v>SÍ</v>
      </c>
    </row>
    <row r="1565" spans="1:10" x14ac:dyDescent="0.3">
      <c r="A1565" t="s">
        <v>622</v>
      </c>
      <c r="B1565" t="s">
        <v>791</v>
      </c>
      <c r="C1565" t="s">
        <v>1505</v>
      </c>
      <c r="D1565" s="23">
        <v>46499.458113425928</v>
      </c>
      <c r="E1565" t="s">
        <v>2102</v>
      </c>
      <c r="F1565">
        <v>40</v>
      </c>
      <c r="G1565" t="s">
        <v>2171</v>
      </c>
      <c r="I1565" t="str">
        <f t="shared" si="50"/>
        <v>RT0123PE|RP-23426-E5</v>
      </c>
      <c r="J1565" t="str">
        <f t="shared" si="51"/>
        <v>SÍ</v>
      </c>
    </row>
    <row r="1566" spans="1:10" x14ac:dyDescent="0.3">
      <c r="A1566" t="s">
        <v>622</v>
      </c>
      <c r="B1566" t="s">
        <v>791</v>
      </c>
      <c r="C1566" t="s">
        <v>1504</v>
      </c>
      <c r="D1566" s="23">
        <v>46499.448206018518</v>
      </c>
      <c r="E1566" t="s">
        <v>2100</v>
      </c>
      <c r="F1566">
        <v>9.1700000000000004E-2</v>
      </c>
      <c r="G1566" t="s">
        <v>2171</v>
      </c>
      <c r="I1566" t="str">
        <f t="shared" si="50"/>
        <v>RT0123PE|RP-23426-E1</v>
      </c>
      <c r="J1566" t="str">
        <f t="shared" si="51"/>
        <v>SÍ</v>
      </c>
    </row>
    <row r="1567" spans="1:10" x14ac:dyDescent="0.3">
      <c r="A1567" t="s">
        <v>622</v>
      </c>
      <c r="B1567" t="s">
        <v>791</v>
      </c>
      <c r="C1567" t="s">
        <v>1497</v>
      </c>
      <c r="D1567" s="23">
        <v>46498.619710648149</v>
      </c>
      <c r="E1567" t="s">
        <v>1773</v>
      </c>
      <c r="F1567">
        <v>30</v>
      </c>
      <c r="G1567" t="s">
        <v>2171</v>
      </c>
      <c r="I1567" t="str">
        <f t="shared" si="50"/>
        <v>RT0123PE|RP-23326-E4</v>
      </c>
      <c r="J1567" t="str">
        <f t="shared" si="51"/>
        <v>SÍ</v>
      </c>
    </row>
    <row r="1568" spans="1:10" x14ac:dyDescent="0.3">
      <c r="A1568" t="s">
        <v>622</v>
      </c>
      <c r="B1568" t="s">
        <v>791</v>
      </c>
      <c r="C1568" t="s">
        <v>1506</v>
      </c>
      <c r="D1568" s="23">
        <v>46499.483414351853</v>
      </c>
      <c r="E1568" t="s">
        <v>2102</v>
      </c>
      <c r="F1568">
        <v>13</v>
      </c>
      <c r="G1568" t="s">
        <v>2171</v>
      </c>
      <c r="I1568" t="str">
        <f t="shared" si="50"/>
        <v>RT0123PE|RP-23426-E4</v>
      </c>
      <c r="J1568" t="str">
        <f t="shared" si="51"/>
        <v>SÍ</v>
      </c>
    </row>
    <row r="1569" spans="1:10" x14ac:dyDescent="0.3">
      <c r="A1569" t="s">
        <v>622</v>
      </c>
      <c r="B1569" t="s">
        <v>791</v>
      </c>
      <c r="C1569" t="s">
        <v>1510</v>
      </c>
      <c r="D1569" s="23">
        <v>46500</v>
      </c>
      <c r="E1569" t="s">
        <v>1774</v>
      </c>
      <c r="F1569">
        <v>5</v>
      </c>
      <c r="G1569" t="s">
        <v>2171</v>
      </c>
      <c r="I1569" t="str">
        <f t="shared" si="50"/>
        <v>RT0123PE|RP-23526-E5</v>
      </c>
      <c r="J1569" t="str">
        <f t="shared" si="51"/>
        <v>SÍ</v>
      </c>
    </row>
    <row r="1570" spans="1:10" x14ac:dyDescent="0.3">
      <c r="A1570" t="s">
        <v>622</v>
      </c>
      <c r="B1570" t="s">
        <v>791</v>
      </c>
      <c r="C1570" t="s">
        <v>1506</v>
      </c>
      <c r="D1570" s="23">
        <v>46499.483414351853</v>
      </c>
      <c r="E1570" t="s">
        <v>2103</v>
      </c>
      <c r="F1570">
        <v>30</v>
      </c>
      <c r="G1570" t="s">
        <v>2171</v>
      </c>
      <c r="I1570" t="str">
        <f t="shared" si="50"/>
        <v>RT0123PE|RP-23426-E4</v>
      </c>
      <c r="J1570" t="str">
        <f t="shared" si="51"/>
        <v>SÍ</v>
      </c>
    </row>
    <row r="1571" spans="1:10" x14ac:dyDescent="0.3">
      <c r="A1571" t="s">
        <v>622</v>
      </c>
      <c r="B1571" t="s">
        <v>791</v>
      </c>
      <c r="C1571" t="s">
        <v>1506</v>
      </c>
      <c r="D1571" s="23">
        <v>46499.483414351853</v>
      </c>
      <c r="E1571" t="s">
        <v>2104</v>
      </c>
      <c r="F1571">
        <v>60</v>
      </c>
      <c r="G1571" t="s">
        <v>2171</v>
      </c>
      <c r="I1571" t="str">
        <f t="shared" si="50"/>
        <v>RT0123PE|RP-23426-E4</v>
      </c>
      <c r="J1571" t="str">
        <f t="shared" si="51"/>
        <v>SÍ</v>
      </c>
    </row>
    <row r="1572" spans="1:10" x14ac:dyDescent="0.3">
      <c r="A1572" t="s">
        <v>622</v>
      </c>
      <c r="B1572" t="s">
        <v>791</v>
      </c>
      <c r="C1572" t="s">
        <v>1512</v>
      </c>
      <c r="D1572" s="23">
        <v>46499.4531712963</v>
      </c>
      <c r="E1572" t="s">
        <v>2103</v>
      </c>
      <c r="F1572">
        <v>30</v>
      </c>
      <c r="G1572" t="s">
        <v>2171</v>
      </c>
      <c r="I1572" t="str">
        <f t="shared" si="50"/>
        <v>RT0123PE|RP-23426-E2</v>
      </c>
      <c r="J1572" t="str">
        <f t="shared" si="51"/>
        <v>SÍ</v>
      </c>
    </row>
    <row r="1573" spans="1:10" x14ac:dyDescent="0.3">
      <c r="A1573" t="s">
        <v>622</v>
      </c>
      <c r="B1573" t="s">
        <v>791</v>
      </c>
      <c r="C1573" t="s">
        <v>1506</v>
      </c>
      <c r="D1573" s="23">
        <v>46499.483414351853</v>
      </c>
      <c r="E1573" t="s">
        <v>2105</v>
      </c>
      <c r="F1573">
        <v>0.5</v>
      </c>
      <c r="G1573" t="s">
        <v>2171</v>
      </c>
      <c r="I1573" t="str">
        <f t="shared" si="50"/>
        <v>RT0123PE|RP-23426-E4</v>
      </c>
      <c r="J1573" t="str">
        <f t="shared" si="51"/>
        <v>SÍ</v>
      </c>
    </row>
    <row r="1574" spans="1:10" x14ac:dyDescent="0.3">
      <c r="A1574" t="s">
        <v>622</v>
      </c>
      <c r="B1574" t="s">
        <v>791</v>
      </c>
      <c r="C1574" t="s">
        <v>1504</v>
      </c>
      <c r="D1574" s="23">
        <v>46499.448206018518</v>
      </c>
      <c r="E1574" t="s">
        <v>2106</v>
      </c>
      <c r="F1574">
        <v>60</v>
      </c>
      <c r="G1574" t="s">
        <v>2171</v>
      </c>
      <c r="I1574" t="str">
        <f t="shared" si="50"/>
        <v>RT0123PE|RP-23426-E1</v>
      </c>
      <c r="J1574" t="str">
        <f t="shared" si="51"/>
        <v>SÍ</v>
      </c>
    </row>
    <row r="1575" spans="1:10" x14ac:dyDescent="0.3">
      <c r="A1575" t="s">
        <v>622</v>
      </c>
      <c r="B1575" t="s">
        <v>791</v>
      </c>
      <c r="C1575" t="s">
        <v>1512</v>
      </c>
      <c r="D1575" s="23">
        <v>46499.4531712963</v>
      </c>
      <c r="E1575" t="s">
        <v>2107</v>
      </c>
      <c r="F1575">
        <v>60</v>
      </c>
      <c r="G1575" t="s">
        <v>2171</v>
      </c>
      <c r="I1575" t="str">
        <f t="shared" si="50"/>
        <v>RT0123PE|RP-23426-E2</v>
      </c>
      <c r="J1575" t="str">
        <f t="shared" si="51"/>
        <v>SÍ</v>
      </c>
    </row>
    <row r="1576" spans="1:10" x14ac:dyDescent="0.3">
      <c r="A1576" t="s">
        <v>622</v>
      </c>
      <c r="B1576" t="s">
        <v>791</v>
      </c>
      <c r="C1576" t="s">
        <v>1508</v>
      </c>
      <c r="D1576" s="23">
        <v>46500</v>
      </c>
      <c r="E1576" t="s">
        <v>1919</v>
      </c>
      <c r="F1576">
        <v>2</v>
      </c>
      <c r="G1576" t="s">
        <v>2171</v>
      </c>
      <c r="I1576" t="str">
        <f t="shared" si="50"/>
        <v>RT0123PE|RP-23526-E3</v>
      </c>
      <c r="J1576" t="str">
        <f t="shared" si="51"/>
        <v>SÍ</v>
      </c>
    </row>
    <row r="1577" spans="1:10" x14ac:dyDescent="0.3">
      <c r="A1577" t="s">
        <v>670</v>
      </c>
      <c r="B1577" t="s">
        <v>839</v>
      </c>
      <c r="C1577" t="s">
        <v>1513</v>
      </c>
      <c r="D1577" s="23">
        <v>46441.789085648154</v>
      </c>
      <c r="E1577" t="s">
        <v>1926</v>
      </c>
      <c r="F1577">
        <v>4</v>
      </c>
      <c r="G1577" t="s">
        <v>2170</v>
      </c>
      <c r="I1577" t="str">
        <f t="shared" si="50"/>
        <v>BS0002PE|BP-17426-E4</v>
      </c>
      <c r="J1577" t="str">
        <f t="shared" si="51"/>
        <v>SÍ</v>
      </c>
    </row>
    <row r="1578" spans="1:10" x14ac:dyDescent="0.3">
      <c r="A1578" t="s">
        <v>615</v>
      </c>
      <c r="B1578" t="s">
        <v>784</v>
      </c>
      <c r="C1578" t="s">
        <v>1039</v>
      </c>
      <c r="D1578" s="23">
        <v>46513</v>
      </c>
      <c r="E1578" t="s">
        <v>1869</v>
      </c>
      <c r="F1578">
        <v>33</v>
      </c>
      <c r="G1578" t="s">
        <v>2168</v>
      </c>
      <c r="I1578" t="str">
        <f t="shared" si="50"/>
        <v>TC0224PE|LP-18726-E2</v>
      </c>
      <c r="J1578" t="str">
        <f t="shared" si="51"/>
        <v>SÍ</v>
      </c>
    </row>
    <row r="1579" spans="1:10" x14ac:dyDescent="0.3">
      <c r="A1579" t="s">
        <v>668</v>
      </c>
      <c r="B1579" t="s">
        <v>837</v>
      </c>
      <c r="C1579" t="s">
        <v>1499</v>
      </c>
      <c r="D1579" s="23">
        <v>46589.634560185194</v>
      </c>
      <c r="E1579" t="s">
        <v>2108</v>
      </c>
      <c r="F1579">
        <v>40</v>
      </c>
      <c r="G1579" t="s">
        <v>2166</v>
      </c>
      <c r="I1579" t="str">
        <f t="shared" si="50"/>
        <v>TC0231PE|PJ-23326-E8</v>
      </c>
      <c r="J1579" t="str">
        <f t="shared" si="51"/>
        <v>SÍ</v>
      </c>
    </row>
    <row r="1580" spans="1:10" x14ac:dyDescent="0.3">
      <c r="A1580" t="s">
        <v>637</v>
      </c>
      <c r="B1580" t="s">
        <v>806</v>
      </c>
      <c r="C1580" t="s">
        <v>1235</v>
      </c>
      <c r="D1580" s="23">
        <v>46420.081238425933</v>
      </c>
      <c r="E1580" t="s">
        <v>2109</v>
      </c>
      <c r="F1580">
        <v>24</v>
      </c>
      <c r="G1580" t="s">
        <v>2173</v>
      </c>
      <c r="I1580" t="str">
        <f t="shared" si="50"/>
        <v>RT0109PE|RP-15326-E2</v>
      </c>
      <c r="J1580" t="str">
        <f t="shared" si="51"/>
        <v>SÍ</v>
      </c>
    </row>
    <row r="1581" spans="1:10" x14ac:dyDescent="0.3">
      <c r="A1581" t="s">
        <v>622</v>
      </c>
      <c r="B1581" t="s">
        <v>791</v>
      </c>
      <c r="C1581" t="s">
        <v>1508</v>
      </c>
      <c r="D1581" s="23">
        <v>46500</v>
      </c>
      <c r="E1581" t="s">
        <v>2110</v>
      </c>
      <c r="F1581">
        <v>0.25</v>
      </c>
      <c r="G1581" t="s">
        <v>2171</v>
      </c>
      <c r="I1581" t="str">
        <f t="shared" si="50"/>
        <v>RT0123PE|RP-23526-E3</v>
      </c>
      <c r="J1581" t="str">
        <f t="shared" si="51"/>
        <v>SÍ</v>
      </c>
    </row>
    <row r="1582" spans="1:10" x14ac:dyDescent="0.3">
      <c r="A1582" t="s">
        <v>622</v>
      </c>
      <c r="B1582" t="s">
        <v>791</v>
      </c>
      <c r="C1582" t="s">
        <v>1505</v>
      </c>
      <c r="D1582" s="23">
        <v>46499.458113425928</v>
      </c>
      <c r="E1582" t="s">
        <v>2111</v>
      </c>
      <c r="F1582">
        <v>30</v>
      </c>
      <c r="G1582" t="s">
        <v>2171</v>
      </c>
      <c r="I1582" t="str">
        <f t="shared" si="50"/>
        <v>RT0123PE|RP-23426-E5</v>
      </c>
      <c r="J1582" t="str">
        <f t="shared" si="51"/>
        <v>SÍ</v>
      </c>
    </row>
    <row r="1583" spans="1:10" x14ac:dyDescent="0.3">
      <c r="A1583" t="s">
        <v>622</v>
      </c>
      <c r="B1583" t="s">
        <v>791</v>
      </c>
      <c r="C1583" t="s">
        <v>1506</v>
      </c>
      <c r="D1583" s="23">
        <v>46499.483414351853</v>
      </c>
      <c r="E1583" t="s">
        <v>2112</v>
      </c>
      <c r="F1583">
        <v>30</v>
      </c>
      <c r="G1583" t="s">
        <v>2171</v>
      </c>
      <c r="I1583" t="str">
        <f t="shared" si="50"/>
        <v>RT0123PE|RP-23426-E4</v>
      </c>
      <c r="J1583" t="str">
        <f t="shared" si="51"/>
        <v>SÍ</v>
      </c>
    </row>
    <row r="1584" spans="1:10" x14ac:dyDescent="0.3">
      <c r="A1584" t="s">
        <v>622</v>
      </c>
      <c r="B1584" t="s">
        <v>791</v>
      </c>
      <c r="C1584" t="s">
        <v>1506</v>
      </c>
      <c r="D1584" s="23">
        <v>46499.483414351853</v>
      </c>
      <c r="E1584" t="s">
        <v>2113</v>
      </c>
      <c r="F1584">
        <v>30</v>
      </c>
      <c r="G1584" t="s">
        <v>2171</v>
      </c>
      <c r="I1584" t="str">
        <f t="shared" si="50"/>
        <v>RT0123PE|RP-23426-E4</v>
      </c>
      <c r="J1584" t="str">
        <f t="shared" si="51"/>
        <v>SÍ</v>
      </c>
    </row>
    <row r="1585" spans="1:10" x14ac:dyDescent="0.3">
      <c r="A1585" t="s">
        <v>622</v>
      </c>
      <c r="B1585" t="s">
        <v>791</v>
      </c>
      <c r="C1585" t="s">
        <v>1512</v>
      </c>
      <c r="D1585" s="23">
        <v>46499.4531712963</v>
      </c>
      <c r="E1585" t="s">
        <v>2111</v>
      </c>
      <c r="F1585">
        <v>30</v>
      </c>
      <c r="G1585" t="s">
        <v>2171</v>
      </c>
      <c r="I1585" t="str">
        <f t="shared" si="50"/>
        <v>RT0123PE|RP-23426-E2</v>
      </c>
      <c r="J1585" t="str">
        <f t="shared" si="51"/>
        <v>SÍ</v>
      </c>
    </row>
    <row r="1586" spans="1:10" x14ac:dyDescent="0.3">
      <c r="A1586" t="s">
        <v>622</v>
      </c>
      <c r="B1586" t="s">
        <v>791</v>
      </c>
      <c r="C1586" t="s">
        <v>1505</v>
      </c>
      <c r="D1586" s="23">
        <v>46499.458113425928</v>
      </c>
      <c r="E1586" t="s">
        <v>2114</v>
      </c>
      <c r="F1586">
        <v>30</v>
      </c>
      <c r="G1586" t="s">
        <v>2171</v>
      </c>
      <c r="I1586" t="str">
        <f t="shared" si="50"/>
        <v>RT0123PE|RP-23426-E5</v>
      </c>
      <c r="J1586" t="str">
        <f t="shared" si="51"/>
        <v>SÍ</v>
      </c>
    </row>
    <row r="1587" spans="1:10" x14ac:dyDescent="0.3">
      <c r="A1587" t="s">
        <v>622</v>
      </c>
      <c r="B1587" t="s">
        <v>791</v>
      </c>
      <c r="C1587" t="s">
        <v>1512</v>
      </c>
      <c r="D1587" s="23">
        <v>46499.4531712963</v>
      </c>
      <c r="E1587" t="s">
        <v>2114</v>
      </c>
      <c r="F1587">
        <v>60</v>
      </c>
      <c r="G1587" t="s">
        <v>2171</v>
      </c>
      <c r="I1587" t="str">
        <f t="shared" si="50"/>
        <v>RT0123PE|RP-23426-E2</v>
      </c>
      <c r="J1587" t="str">
        <f t="shared" si="51"/>
        <v>SÍ</v>
      </c>
    </row>
    <row r="1588" spans="1:10" x14ac:dyDescent="0.3">
      <c r="A1588" t="s">
        <v>591</v>
      </c>
      <c r="B1588" t="s">
        <v>760</v>
      </c>
      <c r="C1588" t="s">
        <v>1437</v>
      </c>
      <c r="D1588" s="23">
        <v>46482.232534722221</v>
      </c>
      <c r="E1588" t="s">
        <v>2115</v>
      </c>
      <c r="F1588">
        <v>81</v>
      </c>
      <c r="G1588" t="s">
        <v>2169</v>
      </c>
      <c r="I1588" t="str">
        <f t="shared" si="50"/>
        <v>TC0087PE|SP-15626-E7</v>
      </c>
      <c r="J1588" t="str">
        <f t="shared" si="51"/>
        <v>SÍ</v>
      </c>
    </row>
    <row r="1589" spans="1:10" x14ac:dyDescent="0.3">
      <c r="A1589" t="s">
        <v>591</v>
      </c>
      <c r="B1589" t="s">
        <v>760</v>
      </c>
      <c r="C1589" t="s">
        <v>1438</v>
      </c>
      <c r="D1589" s="23">
        <v>46481.268819444442</v>
      </c>
      <c r="E1589" t="s">
        <v>2115</v>
      </c>
      <c r="F1589">
        <v>39</v>
      </c>
      <c r="G1589" t="s">
        <v>2169</v>
      </c>
      <c r="I1589" t="str">
        <f t="shared" si="50"/>
        <v>TC0087PE|SP-15526-E7</v>
      </c>
      <c r="J1589" t="str">
        <f t="shared" si="51"/>
        <v>SÍ</v>
      </c>
    </row>
    <row r="1590" spans="1:10" x14ac:dyDescent="0.3">
      <c r="A1590" t="s">
        <v>622</v>
      </c>
      <c r="B1590" t="s">
        <v>791</v>
      </c>
      <c r="C1590" t="s">
        <v>1506</v>
      </c>
      <c r="D1590" s="23">
        <v>46499.483414351853</v>
      </c>
      <c r="E1590" t="s">
        <v>2116</v>
      </c>
      <c r="F1590">
        <v>60</v>
      </c>
      <c r="G1590" t="s">
        <v>2171</v>
      </c>
      <c r="I1590" t="str">
        <f t="shared" si="50"/>
        <v>RT0123PE|RP-23426-E4</v>
      </c>
      <c r="J1590" t="str">
        <f t="shared" si="51"/>
        <v>SÍ</v>
      </c>
    </row>
    <row r="1591" spans="1:10" x14ac:dyDescent="0.3">
      <c r="A1591" t="s">
        <v>622</v>
      </c>
      <c r="B1591" t="s">
        <v>791</v>
      </c>
      <c r="C1591" t="s">
        <v>1512</v>
      </c>
      <c r="D1591" s="23">
        <v>46499.4531712963</v>
      </c>
      <c r="E1591" t="s">
        <v>2117</v>
      </c>
      <c r="F1591">
        <v>60</v>
      </c>
      <c r="G1591" t="s">
        <v>2171</v>
      </c>
      <c r="I1591" t="str">
        <f t="shared" si="50"/>
        <v>RT0123PE|RP-23426-E2</v>
      </c>
      <c r="J1591" t="str">
        <f t="shared" si="51"/>
        <v>SÍ</v>
      </c>
    </row>
    <row r="1592" spans="1:10" x14ac:dyDescent="0.3">
      <c r="A1592" t="s">
        <v>622</v>
      </c>
      <c r="B1592" t="s">
        <v>791</v>
      </c>
      <c r="C1592" t="s">
        <v>1506</v>
      </c>
      <c r="D1592" s="23">
        <v>46499.483414351853</v>
      </c>
      <c r="E1592" t="s">
        <v>1872</v>
      </c>
      <c r="F1592">
        <v>60</v>
      </c>
      <c r="G1592" t="s">
        <v>2171</v>
      </c>
      <c r="I1592" t="str">
        <f t="shared" si="50"/>
        <v>RT0123PE|RP-23426-E4</v>
      </c>
      <c r="J1592" t="str">
        <f t="shared" si="51"/>
        <v>SÍ</v>
      </c>
    </row>
    <row r="1593" spans="1:10" x14ac:dyDescent="0.3">
      <c r="A1593" t="s">
        <v>622</v>
      </c>
      <c r="B1593" t="s">
        <v>791</v>
      </c>
      <c r="C1593" t="s">
        <v>1511</v>
      </c>
      <c r="D1593" s="23">
        <v>46499.456932870373</v>
      </c>
      <c r="E1593" t="s">
        <v>1846</v>
      </c>
      <c r="F1593">
        <v>60</v>
      </c>
      <c r="G1593" t="s">
        <v>2171</v>
      </c>
      <c r="I1593" t="str">
        <f t="shared" si="50"/>
        <v>RT0123PE|RP-23426-E3</v>
      </c>
      <c r="J1593" t="str">
        <f t="shared" si="51"/>
        <v>SÍ</v>
      </c>
    </row>
    <row r="1594" spans="1:10" x14ac:dyDescent="0.3">
      <c r="A1594" t="s">
        <v>622</v>
      </c>
      <c r="B1594" t="s">
        <v>791</v>
      </c>
      <c r="C1594" t="s">
        <v>1512</v>
      </c>
      <c r="D1594" s="23">
        <v>46499.4531712963</v>
      </c>
      <c r="E1594" t="s">
        <v>1892</v>
      </c>
      <c r="F1594">
        <v>60</v>
      </c>
      <c r="G1594" t="s">
        <v>2171</v>
      </c>
      <c r="I1594" t="str">
        <f t="shared" si="50"/>
        <v>RT0123PE|RP-23426-E2</v>
      </c>
      <c r="J1594" t="str">
        <f t="shared" si="51"/>
        <v>SÍ</v>
      </c>
    </row>
    <row r="1595" spans="1:10" x14ac:dyDescent="0.3">
      <c r="A1595" t="s">
        <v>622</v>
      </c>
      <c r="B1595" t="s">
        <v>791</v>
      </c>
      <c r="C1595" t="s">
        <v>1504</v>
      </c>
      <c r="D1595" s="23">
        <v>46499.448206018518</v>
      </c>
      <c r="E1595" t="s">
        <v>2118</v>
      </c>
      <c r="F1595">
        <v>30</v>
      </c>
      <c r="G1595" t="s">
        <v>2171</v>
      </c>
      <c r="I1595" t="str">
        <f t="shared" si="50"/>
        <v>RT0123PE|RP-23426-E1</v>
      </c>
      <c r="J1595" t="str">
        <f t="shared" si="51"/>
        <v>SÍ</v>
      </c>
    </row>
    <row r="1596" spans="1:10" x14ac:dyDescent="0.3">
      <c r="A1596" t="s">
        <v>622</v>
      </c>
      <c r="B1596" t="s">
        <v>791</v>
      </c>
      <c r="C1596" t="s">
        <v>1514</v>
      </c>
      <c r="D1596" s="23">
        <v>46498.51090277778</v>
      </c>
      <c r="E1596" t="s">
        <v>2118</v>
      </c>
      <c r="F1596">
        <v>30</v>
      </c>
      <c r="G1596" t="s">
        <v>2171</v>
      </c>
      <c r="I1596" t="str">
        <f t="shared" si="50"/>
        <v>RT0123PE|RP-23326-E2</v>
      </c>
      <c r="J1596" t="str">
        <f t="shared" si="51"/>
        <v>SÍ</v>
      </c>
    </row>
    <row r="1597" spans="1:10" x14ac:dyDescent="0.3">
      <c r="A1597" t="s">
        <v>622</v>
      </c>
      <c r="B1597" t="s">
        <v>791</v>
      </c>
      <c r="C1597" t="s">
        <v>1511</v>
      </c>
      <c r="D1597" s="23">
        <v>46499.456932870373</v>
      </c>
      <c r="E1597" t="s">
        <v>2119</v>
      </c>
      <c r="F1597">
        <v>60</v>
      </c>
      <c r="G1597" t="s">
        <v>2171</v>
      </c>
      <c r="I1597" t="str">
        <f t="shared" si="50"/>
        <v>RT0123PE|RP-23426-E3</v>
      </c>
      <c r="J1597" t="str">
        <f t="shared" si="51"/>
        <v>SÍ</v>
      </c>
    </row>
    <row r="1598" spans="1:10" x14ac:dyDescent="0.3">
      <c r="A1598" t="s">
        <v>622</v>
      </c>
      <c r="B1598" t="s">
        <v>791</v>
      </c>
      <c r="C1598" t="s">
        <v>1505</v>
      </c>
      <c r="D1598" s="23">
        <v>46499.458113425928</v>
      </c>
      <c r="E1598" t="s">
        <v>2120</v>
      </c>
      <c r="F1598">
        <v>60</v>
      </c>
      <c r="G1598" t="s">
        <v>2171</v>
      </c>
      <c r="I1598" t="str">
        <f t="shared" si="50"/>
        <v>RT0123PE|RP-23426-E5</v>
      </c>
      <c r="J1598" t="str">
        <f t="shared" si="51"/>
        <v>SÍ</v>
      </c>
    </row>
    <row r="1599" spans="1:10" x14ac:dyDescent="0.3">
      <c r="A1599" t="s">
        <v>612</v>
      </c>
      <c r="B1599" t="s">
        <v>781</v>
      </c>
      <c r="C1599" t="s">
        <v>1068</v>
      </c>
      <c r="D1599" s="23">
        <v>46460</v>
      </c>
      <c r="E1599" t="s">
        <v>2121</v>
      </c>
      <c r="F1599">
        <v>30</v>
      </c>
      <c r="G1599" t="s">
        <v>2171</v>
      </c>
      <c r="I1599" t="str">
        <f t="shared" si="50"/>
        <v>RT0131PE|RP-19526-E1</v>
      </c>
      <c r="J1599" t="str">
        <f t="shared" si="51"/>
        <v>SÍ</v>
      </c>
    </row>
    <row r="1600" spans="1:10" x14ac:dyDescent="0.3">
      <c r="A1600" t="s">
        <v>622</v>
      </c>
      <c r="B1600" t="s">
        <v>791</v>
      </c>
      <c r="C1600" t="s">
        <v>1515</v>
      </c>
      <c r="D1600" s="23">
        <v>46501</v>
      </c>
      <c r="E1600" t="s">
        <v>2122</v>
      </c>
      <c r="F1600">
        <v>60</v>
      </c>
      <c r="G1600" t="s">
        <v>2171</v>
      </c>
      <c r="I1600" t="str">
        <f t="shared" si="50"/>
        <v>RT0123PE|RP-23626-E2</v>
      </c>
      <c r="J1600" t="str">
        <f t="shared" si="51"/>
        <v>SÍ</v>
      </c>
    </row>
    <row r="1601" spans="1:10" x14ac:dyDescent="0.3">
      <c r="A1601" t="s">
        <v>622</v>
      </c>
      <c r="B1601" t="s">
        <v>791</v>
      </c>
      <c r="C1601" t="s">
        <v>1516</v>
      </c>
      <c r="D1601" s="23">
        <v>46501</v>
      </c>
      <c r="E1601" t="s">
        <v>2123</v>
      </c>
      <c r="F1601">
        <v>60</v>
      </c>
      <c r="G1601" t="s">
        <v>2171</v>
      </c>
      <c r="I1601" t="str">
        <f t="shared" si="50"/>
        <v>RT0123PE|RP-23626-E1</v>
      </c>
      <c r="J1601" t="str">
        <f t="shared" si="51"/>
        <v>SÍ</v>
      </c>
    </row>
    <row r="1602" spans="1:10" x14ac:dyDescent="0.3">
      <c r="A1602" t="s">
        <v>622</v>
      </c>
      <c r="B1602" t="s">
        <v>791</v>
      </c>
      <c r="C1602" t="s">
        <v>1517</v>
      </c>
      <c r="D1602" s="23">
        <v>46501</v>
      </c>
      <c r="E1602" t="s">
        <v>2124</v>
      </c>
      <c r="F1602">
        <v>60</v>
      </c>
      <c r="G1602" t="s">
        <v>2171</v>
      </c>
      <c r="I1602" t="str">
        <f t="shared" si="50"/>
        <v>RT0123PE|RP-23626-E3</v>
      </c>
      <c r="J1602" t="str">
        <f t="shared" si="51"/>
        <v>SÍ</v>
      </c>
    </row>
    <row r="1603" spans="1:10" x14ac:dyDescent="0.3">
      <c r="A1603" t="s">
        <v>622</v>
      </c>
      <c r="B1603" t="s">
        <v>791</v>
      </c>
      <c r="C1603" t="s">
        <v>1517</v>
      </c>
      <c r="D1603" s="23">
        <v>46501</v>
      </c>
      <c r="E1603" t="s">
        <v>2125</v>
      </c>
      <c r="F1603">
        <v>60</v>
      </c>
      <c r="G1603" t="s">
        <v>2171</v>
      </c>
      <c r="I1603" t="str">
        <f t="shared" si="50"/>
        <v>RT0123PE|RP-23626-E3</v>
      </c>
      <c r="J1603" t="str">
        <f t="shared" si="51"/>
        <v>SÍ</v>
      </c>
    </row>
    <row r="1604" spans="1:10" x14ac:dyDescent="0.3">
      <c r="A1604" t="s">
        <v>622</v>
      </c>
      <c r="B1604" t="s">
        <v>791</v>
      </c>
      <c r="C1604" t="s">
        <v>1518</v>
      </c>
      <c r="D1604" s="23">
        <v>46501</v>
      </c>
      <c r="E1604" t="s">
        <v>2126</v>
      </c>
      <c r="F1604">
        <v>60</v>
      </c>
      <c r="G1604" t="s">
        <v>2171</v>
      </c>
      <c r="I1604" t="str">
        <f t="shared" si="50"/>
        <v>RT0123PE|RP-23626-E4</v>
      </c>
      <c r="J1604" t="str">
        <f t="shared" si="51"/>
        <v>SÍ</v>
      </c>
    </row>
    <row r="1605" spans="1:10" x14ac:dyDescent="0.3">
      <c r="A1605" t="s">
        <v>622</v>
      </c>
      <c r="B1605" t="s">
        <v>791</v>
      </c>
      <c r="C1605" t="s">
        <v>1519</v>
      </c>
      <c r="D1605" s="23">
        <v>46501</v>
      </c>
      <c r="E1605" t="s">
        <v>1890</v>
      </c>
      <c r="F1605">
        <v>60</v>
      </c>
      <c r="G1605" t="s">
        <v>2171</v>
      </c>
      <c r="I1605" t="str">
        <f t="shared" si="50"/>
        <v>RT0123PE|RP-23626-E5</v>
      </c>
      <c r="J1605" t="str">
        <f t="shared" si="51"/>
        <v>SÍ</v>
      </c>
    </row>
    <row r="1606" spans="1:10" x14ac:dyDescent="0.3">
      <c r="A1606" t="s">
        <v>622</v>
      </c>
      <c r="B1606" t="s">
        <v>791</v>
      </c>
      <c r="C1606" t="s">
        <v>1518</v>
      </c>
      <c r="D1606" s="23">
        <v>46501</v>
      </c>
      <c r="E1606" t="s">
        <v>2127</v>
      </c>
      <c r="F1606">
        <v>60</v>
      </c>
      <c r="G1606" t="s">
        <v>2171</v>
      </c>
      <c r="I1606" t="str">
        <f t="shared" si="50"/>
        <v>RT0123PE|RP-23626-E4</v>
      </c>
      <c r="J1606" t="str">
        <f t="shared" si="51"/>
        <v>SÍ</v>
      </c>
    </row>
    <row r="1607" spans="1:10" x14ac:dyDescent="0.3">
      <c r="A1607" t="s">
        <v>622</v>
      </c>
      <c r="B1607" t="s">
        <v>791</v>
      </c>
      <c r="C1607" t="s">
        <v>1519</v>
      </c>
      <c r="D1607" s="23">
        <v>46501</v>
      </c>
      <c r="E1607" t="s">
        <v>2128</v>
      </c>
      <c r="F1607">
        <v>60</v>
      </c>
      <c r="G1607" t="s">
        <v>2171</v>
      </c>
      <c r="I1607" t="str">
        <f t="shared" si="50"/>
        <v>RT0123PE|RP-23626-E5</v>
      </c>
      <c r="J1607" t="str">
        <f t="shared" si="51"/>
        <v>SÍ</v>
      </c>
    </row>
    <row r="1608" spans="1:10" x14ac:dyDescent="0.3">
      <c r="A1608" t="s">
        <v>622</v>
      </c>
      <c r="B1608" t="s">
        <v>791</v>
      </c>
      <c r="C1608" t="s">
        <v>1517</v>
      </c>
      <c r="D1608" s="23">
        <v>46501</v>
      </c>
      <c r="E1608" t="s">
        <v>2129</v>
      </c>
      <c r="F1608">
        <v>30</v>
      </c>
      <c r="G1608" t="s">
        <v>2171</v>
      </c>
      <c r="I1608" t="str">
        <f t="shared" si="50"/>
        <v>RT0123PE|RP-23626-E3</v>
      </c>
      <c r="J1608" t="str">
        <f t="shared" si="51"/>
        <v>SÍ</v>
      </c>
    </row>
    <row r="1609" spans="1:10" x14ac:dyDescent="0.3">
      <c r="A1609" t="s">
        <v>622</v>
      </c>
      <c r="B1609" t="s">
        <v>791</v>
      </c>
      <c r="C1609" t="s">
        <v>1518</v>
      </c>
      <c r="D1609" s="23">
        <v>46501</v>
      </c>
      <c r="E1609" t="s">
        <v>2129</v>
      </c>
      <c r="F1609">
        <v>30</v>
      </c>
      <c r="G1609" t="s">
        <v>2171</v>
      </c>
      <c r="I1609" t="str">
        <f t="shared" si="50"/>
        <v>RT0123PE|RP-23626-E4</v>
      </c>
      <c r="J1609" t="str">
        <f t="shared" si="51"/>
        <v>SÍ</v>
      </c>
    </row>
    <row r="1610" spans="1:10" x14ac:dyDescent="0.3">
      <c r="A1610" t="s">
        <v>622</v>
      </c>
      <c r="B1610" t="s">
        <v>791</v>
      </c>
      <c r="C1610" t="s">
        <v>1515</v>
      </c>
      <c r="D1610" s="23">
        <v>46501</v>
      </c>
      <c r="E1610" t="s">
        <v>2130</v>
      </c>
      <c r="F1610">
        <v>30</v>
      </c>
      <c r="G1610" t="s">
        <v>2171</v>
      </c>
      <c r="I1610" t="str">
        <f t="shared" si="50"/>
        <v>RT0123PE|RP-23626-E2</v>
      </c>
      <c r="J1610" t="str">
        <f t="shared" si="51"/>
        <v>SÍ</v>
      </c>
    </row>
    <row r="1611" spans="1:10" x14ac:dyDescent="0.3">
      <c r="A1611" t="s">
        <v>622</v>
      </c>
      <c r="B1611" t="s">
        <v>791</v>
      </c>
      <c r="C1611" t="s">
        <v>1516</v>
      </c>
      <c r="D1611" s="23">
        <v>46501</v>
      </c>
      <c r="E1611" t="s">
        <v>2130</v>
      </c>
      <c r="F1611">
        <v>30</v>
      </c>
      <c r="G1611" t="s">
        <v>2171</v>
      </c>
      <c r="I1611" t="str">
        <f t="shared" si="50"/>
        <v>RT0123PE|RP-23626-E1</v>
      </c>
      <c r="J1611" t="str">
        <f t="shared" si="51"/>
        <v>SÍ</v>
      </c>
    </row>
    <row r="1612" spans="1:10" x14ac:dyDescent="0.3">
      <c r="A1612" t="s">
        <v>622</v>
      </c>
      <c r="B1612" t="s">
        <v>791</v>
      </c>
      <c r="C1612" t="s">
        <v>1519</v>
      </c>
      <c r="D1612" s="23">
        <v>46501</v>
      </c>
      <c r="E1612" t="s">
        <v>2131</v>
      </c>
      <c r="F1612">
        <v>30</v>
      </c>
      <c r="G1612" t="s">
        <v>2171</v>
      </c>
      <c r="I1612" t="str">
        <f t="shared" si="50"/>
        <v>RT0123PE|RP-23626-E5</v>
      </c>
      <c r="J1612" t="str">
        <f t="shared" si="51"/>
        <v>SÍ</v>
      </c>
    </row>
    <row r="1613" spans="1:10" x14ac:dyDescent="0.3">
      <c r="A1613" t="s">
        <v>668</v>
      </c>
      <c r="B1613" t="s">
        <v>837</v>
      </c>
      <c r="C1613" t="s">
        <v>1499</v>
      </c>
      <c r="D1613" s="23">
        <v>46589.634560185194</v>
      </c>
      <c r="E1613" t="s">
        <v>2132</v>
      </c>
      <c r="F1613">
        <v>20</v>
      </c>
      <c r="G1613" t="s">
        <v>2166</v>
      </c>
      <c r="I1613" t="str">
        <f t="shared" si="50"/>
        <v>TC0231PE|PJ-23326-E8</v>
      </c>
      <c r="J1613" t="str">
        <f t="shared" si="51"/>
        <v>SÍ</v>
      </c>
    </row>
    <row r="1614" spans="1:10" x14ac:dyDescent="0.3">
      <c r="A1614" t="s">
        <v>521</v>
      </c>
      <c r="B1614" t="s">
        <v>522</v>
      </c>
      <c r="C1614" t="s">
        <v>422</v>
      </c>
      <c r="D1614" s="23">
        <v>46619.613310185188</v>
      </c>
      <c r="E1614" t="s">
        <v>10</v>
      </c>
      <c r="F1614">
        <v>375.17</v>
      </c>
      <c r="G1614" t="s">
        <v>40</v>
      </c>
      <c r="I1614" t="str">
        <f t="shared" si="50"/>
        <v>EE10293|LA-01/26</v>
      </c>
      <c r="J1614" t="str">
        <f t="shared" si="51"/>
        <v>SÍ</v>
      </c>
    </row>
    <row r="1615" spans="1:10" x14ac:dyDescent="0.3">
      <c r="A1615" t="s">
        <v>440</v>
      </c>
      <c r="B1615" t="s">
        <v>441</v>
      </c>
      <c r="C1615" t="s">
        <v>442</v>
      </c>
      <c r="D1615" s="23">
        <v>46541.680844907409</v>
      </c>
      <c r="E1615" t="s">
        <v>1635</v>
      </c>
      <c r="F1615">
        <v>163.65</v>
      </c>
      <c r="G1615" t="s">
        <v>40</v>
      </c>
      <c r="I1615" t="str">
        <f t="shared" si="50"/>
        <v>MP10021|SB-01/26</v>
      </c>
      <c r="J1615" t="str">
        <f t="shared" si="51"/>
        <v>SÍ</v>
      </c>
    </row>
    <row r="1616" spans="1:10" x14ac:dyDescent="0.3">
      <c r="A1616" t="s">
        <v>718</v>
      </c>
      <c r="B1616" t="s">
        <v>887</v>
      </c>
      <c r="C1616" t="s">
        <v>1365</v>
      </c>
      <c r="D1616" s="23">
        <v>46553.509687500002</v>
      </c>
      <c r="E1616" t="s">
        <v>2094</v>
      </c>
      <c r="F1616">
        <v>41</v>
      </c>
      <c r="G1616" t="s">
        <v>2169</v>
      </c>
      <c r="I1616" t="str">
        <f t="shared" si="50"/>
        <v>TC0005RD|SC-22626-E1</v>
      </c>
      <c r="J1616" t="str">
        <f t="shared" si="51"/>
        <v>SÍ</v>
      </c>
    </row>
    <row r="1617" spans="1:10" x14ac:dyDescent="0.3">
      <c r="A1617" t="s">
        <v>511</v>
      </c>
      <c r="B1617" t="s">
        <v>512</v>
      </c>
      <c r="C1617" t="s">
        <v>524</v>
      </c>
      <c r="D1617" s="23">
        <v>46557.574803240743</v>
      </c>
      <c r="E1617" t="s">
        <v>10</v>
      </c>
      <c r="F1617">
        <v>120</v>
      </c>
      <c r="G1617" t="s">
        <v>40</v>
      </c>
      <c r="I1617" t="str">
        <f t="shared" si="50"/>
        <v>MP10054|SA-07/26</v>
      </c>
      <c r="J1617" t="str">
        <f t="shared" si="51"/>
        <v>SÍ</v>
      </c>
    </row>
    <row r="1618" spans="1:10" x14ac:dyDescent="0.3">
      <c r="A1618" t="s">
        <v>622</v>
      </c>
      <c r="B1618" t="s">
        <v>791</v>
      </c>
      <c r="C1618" t="s">
        <v>1520</v>
      </c>
      <c r="D1618" s="23">
        <v>46502</v>
      </c>
      <c r="E1618" t="s">
        <v>1637</v>
      </c>
      <c r="F1618">
        <v>28.5</v>
      </c>
      <c r="G1618" t="s">
        <v>2171</v>
      </c>
      <c r="I1618" t="str">
        <f t="shared" ref="I1618:I1681" si="52">IF(A1618="","",A1618&amp;"|"&amp;C1618)</f>
        <v>RT0123PE|RP-23726-E3</v>
      </c>
      <c r="J1618" t="str">
        <f t="shared" ref="J1618:J1681" si="53">IF(A1618&lt;&gt;"","SÍ","NO")</f>
        <v>SÍ</v>
      </c>
    </row>
    <row r="1619" spans="1:10" x14ac:dyDescent="0.3">
      <c r="A1619" t="s">
        <v>622</v>
      </c>
      <c r="B1619" t="s">
        <v>791</v>
      </c>
      <c r="C1619" t="s">
        <v>1521</v>
      </c>
      <c r="D1619" s="23">
        <v>46502</v>
      </c>
      <c r="E1619" t="s">
        <v>2133</v>
      </c>
      <c r="F1619">
        <v>25</v>
      </c>
      <c r="G1619" t="s">
        <v>2171</v>
      </c>
      <c r="I1619" t="str">
        <f t="shared" si="52"/>
        <v>RT0123PE|RP-23726-E2</v>
      </c>
      <c r="J1619" t="str">
        <f t="shared" si="53"/>
        <v>SÍ</v>
      </c>
    </row>
    <row r="1620" spans="1:10" x14ac:dyDescent="0.3">
      <c r="A1620" t="s">
        <v>622</v>
      </c>
      <c r="B1620" t="s">
        <v>791</v>
      </c>
      <c r="C1620" t="s">
        <v>1515</v>
      </c>
      <c r="D1620" s="23">
        <v>46501</v>
      </c>
      <c r="E1620" t="s">
        <v>2133</v>
      </c>
      <c r="F1620">
        <v>5</v>
      </c>
      <c r="G1620" t="s">
        <v>2171</v>
      </c>
      <c r="I1620" t="str">
        <f t="shared" si="52"/>
        <v>RT0123PE|RP-23626-E2</v>
      </c>
      <c r="J1620" t="str">
        <f t="shared" si="53"/>
        <v>SÍ</v>
      </c>
    </row>
    <row r="1621" spans="1:10" x14ac:dyDescent="0.3">
      <c r="A1621" t="s">
        <v>622</v>
      </c>
      <c r="B1621" t="s">
        <v>791</v>
      </c>
      <c r="C1621" t="s">
        <v>1522</v>
      </c>
      <c r="D1621" s="23">
        <v>46502</v>
      </c>
      <c r="E1621" t="s">
        <v>2134</v>
      </c>
      <c r="F1621">
        <v>30</v>
      </c>
      <c r="G1621" t="s">
        <v>2171</v>
      </c>
      <c r="I1621" t="str">
        <f t="shared" si="52"/>
        <v>RT0123PE|RP-23726-E4</v>
      </c>
      <c r="J1621" t="str">
        <f t="shared" si="53"/>
        <v>SÍ</v>
      </c>
    </row>
    <row r="1622" spans="1:10" x14ac:dyDescent="0.3">
      <c r="A1622" t="s">
        <v>622</v>
      </c>
      <c r="B1622" t="s">
        <v>791</v>
      </c>
      <c r="C1622" t="s">
        <v>1521</v>
      </c>
      <c r="D1622" s="23">
        <v>46502</v>
      </c>
      <c r="E1622" t="s">
        <v>2135</v>
      </c>
      <c r="F1622">
        <v>30</v>
      </c>
      <c r="G1622" t="s">
        <v>2171</v>
      </c>
      <c r="I1622" t="str">
        <f t="shared" si="52"/>
        <v>RT0123PE|RP-23726-E2</v>
      </c>
      <c r="J1622" t="str">
        <f t="shared" si="53"/>
        <v>SÍ</v>
      </c>
    </row>
    <row r="1623" spans="1:10" x14ac:dyDescent="0.3">
      <c r="A1623" t="s">
        <v>622</v>
      </c>
      <c r="B1623" t="s">
        <v>791</v>
      </c>
      <c r="C1623" t="s">
        <v>1516</v>
      </c>
      <c r="D1623" s="23">
        <v>46501</v>
      </c>
      <c r="E1623" t="s">
        <v>2027</v>
      </c>
      <c r="F1623">
        <v>26</v>
      </c>
      <c r="G1623" t="s">
        <v>2171</v>
      </c>
      <c r="I1623" t="str">
        <f t="shared" si="52"/>
        <v>RT0123PE|RP-23626-E1</v>
      </c>
      <c r="J1623" t="str">
        <f t="shared" si="53"/>
        <v>SÍ</v>
      </c>
    </row>
    <row r="1624" spans="1:10" x14ac:dyDescent="0.3">
      <c r="A1624" t="s">
        <v>622</v>
      </c>
      <c r="B1624" t="s">
        <v>791</v>
      </c>
      <c r="C1624" t="s">
        <v>1523</v>
      </c>
      <c r="D1624" s="23">
        <v>46502</v>
      </c>
      <c r="E1624" t="s">
        <v>2027</v>
      </c>
      <c r="F1624">
        <v>4</v>
      </c>
      <c r="G1624" t="s">
        <v>2171</v>
      </c>
      <c r="I1624" t="str">
        <f t="shared" si="52"/>
        <v>RT0123PE|RP-23726-E1</v>
      </c>
      <c r="J1624" t="str">
        <f t="shared" si="53"/>
        <v>SÍ</v>
      </c>
    </row>
    <row r="1625" spans="1:10" x14ac:dyDescent="0.3">
      <c r="A1625" t="s">
        <v>622</v>
      </c>
      <c r="B1625" t="s">
        <v>791</v>
      </c>
      <c r="C1625" t="s">
        <v>1521</v>
      </c>
      <c r="D1625" s="23">
        <v>46502</v>
      </c>
      <c r="E1625" t="s">
        <v>2057</v>
      </c>
      <c r="F1625">
        <v>60</v>
      </c>
      <c r="G1625" t="s">
        <v>2171</v>
      </c>
      <c r="I1625" t="str">
        <f t="shared" si="52"/>
        <v>RT0123PE|RP-23726-E2</v>
      </c>
      <c r="J1625" t="str">
        <f t="shared" si="53"/>
        <v>SÍ</v>
      </c>
    </row>
    <row r="1626" spans="1:10" x14ac:dyDescent="0.3">
      <c r="A1626" t="s">
        <v>622</v>
      </c>
      <c r="B1626" t="s">
        <v>791</v>
      </c>
      <c r="C1626" t="s">
        <v>1520</v>
      </c>
      <c r="D1626" s="23">
        <v>46502</v>
      </c>
      <c r="E1626" t="s">
        <v>2022</v>
      </c>
      <c r="F1626">
        <v>0.5</v>
      </c>
      <c r="G1626" t="s">
        <v>2171</v>
      </c>
      <c r="I1626" t="str">
        <f t="shared" si="52"/>
        <v>RT0123PE|RP-23726-E3</v>
      </c>
      <c r="J1626" t="str">
        <f t="shared" si="53"/>
        <v>SÍ</v>
      </c>
    </row>
    <row r="1627" spans="1:10" x14ac:dyDescent="0.3">
      <c r="A1627" t="s">
        <v>622</v>
      </c>
      <c r="B1627" t="s">
        <v>791</v>
      </c>
      <c r="C1627" t="s">
        <v>1520</v>
      </c>
      <c r="D1627" s="23">
        <v>46502</v>
      </c>
      <c r="E1627" t="s">
        <v>2136</v>
      </c>
      <c r="F1627">
        <v>60</v>
      </c>
      <c r="G1627" t="s">
        <v>2171</v>
      </c>
      <c r="I1627" t="str">
        <f t="shared" si="52"/>
        <v>RT0123PE|RP-23726-E3</v>
      </c>
      <c r="J1627" t="str">
        <f t="shared" si="53"/>
        <v>SÍ</v>
      </c>
    </row>
    <row r="1628" spans="1:10" x14ac:dyDescent="0.3">
      <c r="A1628" t="s">
        <v>622</v>
      </c>
      <c r="B1628" t="s">
        <v>791</v>
      </c>
      <c r="C1628" t="s">
        <v>1520</v>
      </c>
      <c r="D1628" s="23">
        <v>46502</v>
      </c>
      <c r="E1628" t="s">
        <v>2137</v>
      </c>
      <c r="F1628">
        <v>60</v>
      </c>
      <c r="G1628" t="s">
        <v>2171</v>
      </c>
      <c r="I1628" t="str">
        <f t="shared" si="52"/>
        <v>RT0123PE|RP-23726-E3</v>
      </c>
      <c r="J1628" t="str">
        <f t="shared" si="53"/>
        <v>SÍ</v>
      </c>
    </row>
    <row r="1629" spans="1:10" x14ac:dyDescent="0.3">
      <c r="A1629" t="s">
        <v>622</v>
      </c>
      <c r="B1629" t="s">
        <v>791</v>
      </c>
      <c r="C1629" t="s">
        <v>1522</v>
      </c>
      <c r="D1629" s="23">
        <v>46502</v>
      </c>
      <c r="E1629" t="s">
        <v>2138</v>
      </c>
      <c r="F1629">
        <v>60</v>
      </c>
      <c r="G1629" t="s">
        <v>2171</v>
      </c>
      <c r="I1629" t="str">
        <f t="shared" si="52"/>
        <v>RT0123PE|RP-23726-E4</v>
      </c>
      <c r="J1629" t="str">
        <f t="shared" si="53"/>
        <v>SÍ</v>
      </c>
    </row>
    <row r="1630" spans="1:10" x14ac:dyDescent="0.3">
      <c r="A1630" t="s">
        <v>622</v>
      </c>
      <c r="B1630" t="s">
        <v>791</v>
      </c>
      <c r="C1630" t="s">
        <v>1524</v>
      </c>
      <c r="D1630" s="23">
        <v>46502</v>
      </c>
      <c r="E1630" t="s">
        <v>2013</v>
      </c>
      <c r="F1630">
        <v>60</v>
      </c>
      <c r="G1630" t="s">
        <v>2171</v>
      </c>
      <c r="I1630" t="str">
        <f t="shared" si="52"/>
        <v>RT0123PE|RP-23726-E5</v>
      </c>
      <c r="J1630" t="str">
        <f t="shared" si="53"/>
        <v>SÍ</v>
      </c>
    </row>
    <row r="1631" spans="1:10" x14ac:dyDescent="0.3">
      <c r="A1631" t="s">
        <v>622</v>
      </c>
      <c r="B1631" t="s">
        <v>791</v>
      </c>
      <c r="C1631" t="s">
        <v>1522</v>
      </c>
      <c r="D1631" s="23">
        <v>46502</v>
      </c>
      <c r="E1631" t="s">
        <v>2139</v>
      </c>
      <c r="F1631">
        <v>60</v>
      </c>
      <c r="G1631" t="s">
        <v>2171</v>
      </c>
      <c r="I1631" t="str">
        <f t="shared" si="52"/>
        <v>RT0123PE|RP-23726-E4</v>
      </c>
      <c r="J1631" t="str">
        <f t="shared" si="53"/>
        <v>SÍ</v>
      </c>
    </row>
    <row r="1632" spans="1:10" x14ac:dyDescent="0.3">
      <c r="A1632" t="s">
        <v>622</v>
      </c>
      <c r="B1632" t="s">
        <v>791</v>
      </c>
      <c r="C1632" t="s">
        <v>1524</v>
      </c>
      <c r="D1632" s="23">
        <v>46502</v>
      </c>
      <c r="E1632" t="s">
        <v>2042</v>
      </c>
      <c r="F1632">
        <v>60</v>
      </c>
      <c r="G1632" t="s">
        <v>2171</v>
      </c>
      <c r="I1632" t="str">
        <f t="shared" si="52"/>
        <v>RT0123PE|RP-23726-E5</v>
      </c>
      <c r="J1632" t="str">
        <f t="shared" si="53"/>
        <v>SÍ</v>
      </c>
    </row>
    <row r="1633" spans="1:10" x14ac:dyDescent="0.3">
      <c r="A1633" t="s">
        <v>622</v>
      </c>
      <c r="B1633" t="s">
        <v>791</v>
      </c>
      <c r="C1633" t="s">
        <v>1524</v>
      </c>
      <c r="D1633" s="23">
        <v>46502</v>
      </c>
      <c r="E1633" t="s">
        <v>2140</v>
      </c>
      <c r="F1633">
        <v>60</v>
      </c>
      <c r="G1633" t="s">
        <v>2171</v>
      </c>
      <c r="I1633" t="str">
        <f t="shared" si="52"/>
        <v>RT0123PE|RP-23726-E5</v>
      </c>
      <c r="J1633" t="str">
        <f t="shared" si="53"/>
        <v>SÍ</v>
      </c>
    </row>
    <row r="1634" spans="1:10" x14ac:dyDescent="0.3">
      <c r="A1634" t="s">
        <v>622</v>
      </c>
      <c r="B1634" t="s">
        <v>791</v>
      </c>
      <c r="C1634" t="s">
        <v>1522</v>
      </c>
      <c r="D1634" s="23">
        <v>46502</v>
      </c>
      <c r="E1634" t="s">
        <v>2141</v>
      </c>
      <c r="F1634">
        <v>60</v>
      </c>
      <c r="G1634" t="s">
        <v>2171</v>
      </c>
      <c r="I1634" t="str">
        <f t="shared" si="52"/>
        <v>RT0123PE|RP-23726-E4</v>
      </c>
      <c r="J1634" t="str">
        <f t="shared" si="53"/>
        <v>SÍ</v>
      </c>
    </row>
    <row r="1635" spans="1:10" x14ac:dyDescent="0.3">
      <c r="A1635" t="s">
        <v>622</v>
      </c>
      <c r="B1635" t="s">
        <v>791</v>
      </c>
      <c r="C1635" t="s">
        <v>1524</v>
      </c>
      <c r="D1635" s="23">
        <v>46502</v>
      </c>
      <c r="E1635" t="s">
        <v>2142</v>
      </c>
      <c r="F1635">
        <v>30</v>
      </c>
      <c r="G1635" t="s">
        <v>2171</v>
      </c>
      <c r="I1635" t="str">
        <f t="shared" si="52"/>
        <v>RT0123PE|RP-23726-E5</v>
      </c>
      <c r="J1635" t="str">
        <f t="shared" si="53"/>
        <v>SÍ</v>
      </c>
    </row>
    <row r="1636" spans="1:10" x14ac:dyDescent="0.3">
      <c r="A1636" t="s">
        <v>622</v>
      </c>
      <c r="B1636" t="s">
        <v>791</v>
      </c>
      <c r="C1636" t="s">
        <v>1522</v>
      </c>
      <c r="D1636" s="23">
        <v>46502</v>
      </c>
      <c r="E1636" t="s">
        <v>2142</v>
      </c>
      <c r="F1636">
        <v>20</v>
      </c>
      <c r="G1636" t="s">
        <v>2171</v>
      </c>
      <c r="I1636" t="str">
        <f t="shared" si="52"/>
        <v>RT0123PE|RP-23726-E4</v>
      </c>
      <c r="J1636" t="str">
        <f t="shared" si="53"/>
        <v>SÍ</v>
      </c>
    </row>
    <row r="1637" spans="1:10" x14ac:dyDescent="0.3">
      <c r="A1637" t="s">
        <v>622</v>
      </c>
      <c r="B1637" t="s">
        <v>791</v>
      </c>
      <c r="C1637" t="s">
        <v>1518</v>
      </c>
      <c r="D1637" s="23">
        <v>46501</v>
      </c>
      <c r="E1637" t="s">
        <v>2142</v>
      </c>
      <c r="F1637">
        <v>10</v>
      </c>
      <c r="G1637" t="s">
        <v>2171</v>
      </c>
      <c r="I1637" t="str">
        <f t="shared" si="52"/>
        <v>RT0123PE|RP-23626-E4</v>
      </c>
      <c r="J1637" t="str">
        <f t="shared" si="53"/>
        <v>SÍ</v>
      </c>
    </row>
    <row r="1638" spans="1:10" x14ac:dyDescent="0.3">
      <c r="A1638" t="s">
        <v>622</v>
      </c>
      <c r="B1638" t="s">
        <v>791</v>
      </c>
      <c r="C1638" t="s">
        <v>1520</v>
      </c>
      <c r="D1638" s="23">
        <v>46502</v>
      </c>
      <c r="E1638" t="s">
        <v>2143</v>
      </c>
      <c r="F1638">
        <v>13</v>
      </c>
      <c r="G1638" t="s">
        <v>2171</v>
      </c>
      <c r="I1638" t="str">
        <f t="shared" si="52"/>
        <v>RT0123PE|RP-23726-E3</v>
      </c>
      <c r="J1638" t="str">
        <f t="shared" si="53"/>
        <v>SÍ</v>
      </c>
    </row>
    <row r="1639" spans="1:10" x14ac:dyDescent="0.3">
      <c r="A1639" t="s">
        <v>622</v>
      </c>
      <c r="B1639" t="s">
        <v>791</v>
      </c>
      <c r="C1639" t="s">
        <v>1517</v>
      </c>
      <c r="D1639" s="23">
        <v>46501</v>
      </c>
      <c r="E1639" t="s">
        <v>2143</v>
      </c>
      <c r="F1639">
        <v>17</v>
      </c>
      <c r="G1639" t="s">
        <v>2171</v>
      </c>
      <c r="I1639" t="str">
        <f t="shared" si="52"/>
        <v>RT0123PE|RP-23626-E3</v>
      </c>
      <c r="J1639" t="str">
        <f t="shared" si="53"/>
        <v>SÍ</v>
      </c>
    </row>
    <row r="1640" spans="1:10" x14ac:dyDescent="0.3">
      <c r="A1640" t="s">
        <v>622</v>
      </c>
      <c r="B1640" t="s">
        <v>791</v>
      </c>
      <c r="C1640" t="s">
        <v>1524</v>
      </c>
      <c r="D1640" s="23">
        <v>46502</v>
      </c>
      <c r="E1640" t="s">
        <v>2144</v>
      </c>
      <c r="F1640">
        <v>8</v>
      </c>
      <c r="G1640" t="s">
        <v>2171</v>
      </c>
      <c r="I1640" t="str">
        <f t="shared" si="52"/>
        <v>RT0123PE|RP-23726-E5</v>
      </c>
      <c r="J1640" t="str">
        <f t="shared" si="53"/>
        <v>SÍ</v>
      </c>
    </row>
    <row r="1641" spans="1:10" x14ac:dyDescent="0.3">
      <c r="A1641" t="s">
        <v>622</v>
      </c>
      <c r="B1641" t="s">
        <v>791</v>
      </c>
      <c r="C1641" t="s">
        <v>1519</v>
      </c>
      <c r="D1641" s="23">
        <v>46501</v>
      </c>
      <c r="E1641" t="s">
        <v>2144</v>
      </c>
      <c r="F1641">
        <v>22</v>
      </c>
      <c r="G1641" t="s">
        <v>2171</v>
      </c>
      <c r="I1641" t="str">
        <f t="shared" si="52"/>
        <v>RT0123PE|RP-23626-E5</v>
      </c>
      <c r="J1641" t="str">
        <f t="shared" si="53"/>
        <v>SÍ</v>
      </c>
    </row>
    <row r="1642" spans="1:10" x14ac:dyDescent="0.3">
      <c r="A1642" t="s">
        <v>688</v>
      </c>
      <c r="B1642" t="s">
        <v>857</v>
      </c>
      <c r="C1642" t="s">
        <v>1525</v>
      </c>
      <c r="D1642" s="23">
        <v>46311</v>
      </c>
      <c r="E1642" t="s">
        <v>1637</v>
      </c>
      <c r="F1642">
        <v>25</v>
      </c>
      <c r="G1642" t="s">
        <v>2181</v>
      </c>
      <c r="I1642" t="str">
        <f t="shared" si="52"/>
        <v>RP0005PE|PFR-28925</v>
      </c>
      <c r="J1642" t="str">
        <f t="shared" si="53"/>
        <v>SÍ</v>
      </c>
    </row>
    <row r="1643" spans="1:10" x14ac:dyDescent="0.3">
      <c r="A1643" t="s">
        <v>622</v>
      </c>
      <c r="B1643" t="s">
        <v>791</v>
      </c>
      <c r="C1643" t="s">
        <v>1526</v>
      </c>
      <c r="D1643" s="23">
        <v>46503</v>
      </c>
      <c r="E1643" t="s">
        <v>1637</v>
      </c>
      <c r="F1643">
        <v>1</v>
      </c>
      <c r="G1643" t="s">
        <v>2171</v>
      </c>
      <c r="I1643" t="str">
        <f t="shared" si="52"/>
        <v>RT0123PE|RP-23826-E3</v>
      </c>
      <c r="J1643" t="str">
        <f t="shared" si="53"/>
        <v>SÍ</v>
      </c>
    </row>
    <row r="1644" spans="1:10" x14ac:dyDescent="0.3">
      <c r="A1644" t="s">
        <v>629</v>
      </c>
      <c r="B1644" t="s">
        <v>798</v>
      </c>
      <c r="C1644" t="s">
        <v>1527</v>
      </c>
      <c r="D1644" s="23">
        <v>46515</v>
      </c>
      <c r="E1644" t="s">
        <v>1637</v>
      </c>
      <c r="F1644">
        <v>9</v>
      </c>
      <c r="G1644" t="s">
        <v>2174</v>
      </c>
      <c r="I1644" t="str">
        <f t="shared" si="52"/>
        <v>TC0116PE|DUO-23726</v>
      </c>
      <c r="J1644" t="str">
        <f t="shared" si="53"/>
        <v>SÍ</v>
      </c>
    </row>
    <row r="1645" spans="1:10" x14ac:dyDescent="0.3">
      <c r="A1645" t="s">
        <v>622</v>
      </c>
      <c r="B1645" t="s">
        <v>791</v>
      </c>
      <c r="C1645" t="s">
        <v>1524</v>
      </c>
      <c r="D1645" s="23">
        <v>46502</v>
      </c>
      <c r="E1645" t="s">
        <v>2145</v>
      </c>
      <c r="F1645">
        <v>60</v>
      </c>
      <c r="G1645" t="s">
        <v>2171</v>
      </c>
      <c r="I1645" t="str">
        <f t="shared" si="52"/>
        <v>RT0123PE|RP-23726-E5</v>
      </c>
      <c r="J1645" t="str">
        <f t="shared" si="53"/>
        <v>SÍ</v>
      </c>
    </row>
    <row r="1646" spans="1:10" x14ac:dyDescent="0.3">
      <c r="A1646" t="s">
        <v>622</v>
      </c>
      <c r="B1646" t="s">
        <v>791</v>
      </c>
      <c r="C1646" t="s">
        <v>1522</v>
      </c>
      <c r="D1646" s="23">
        <v>46502</v>
      </c>
      <c r="E1646" t="s">
        <v>2146</v>
      </c>
      <c r="F1646">
        <v>60</v>
      </c>
      <c r="G1646" t="s">
        <v>2171</v>
      </c>
      <c r="I1646" t="str">
        <f t="shared" si="52"/>
        <v>RT0123PE|RP-23726-E4</v>
      </c>
      <c r="J1646" t="str">
        <f t="shared" si="53"/>
        <v>SÍ</v>
      </c>
    </row>
    <row r="1647" spans="1:10" x14ac:dyDescent="0.3">
      <c r="A1647" t="s">
        <v>719</v>
      </c>
      <c r="B1647" t="s">
        <v>888</v>
      </c>
      <c r="C1647" t="s">
        <v>1528</v>
      </c>
      <c r="D1647" s="23">
        <v>46990</v>
      </c>
      <c r="E1647" t="s">
        <v>1637</v>
      </c>
      <c r="F1647">
        <v>40</v>
      </c>
      <c r="G1647" t="s">
        <v>2183</v>
      </c>
      <c r="I1647" t="str">
        <f t="shared" si="52"/>
        <v>TP0005PE|PFT-23726-E9</v>
      </c>
      <c r="J1647" t="str">
        <f t="shared" si="53"/>
        <v>SÍ</v>
      </c>
    </row>
    <row r="1648" spans="1:10" x14ac:dyDescent="0.3">
      <c r="A1648" t="s">
        <v>719</v>
      </c>
      <c r="B1648" t="s">
        <v>888</v>
      </c>
      <c r="C1648" t="s">
        <v>1529</v>
      </c>
      <c r="D1648" s="23">
        <v>46991</v>
      </c>
      <c r="E1648" t="s">
        <v>1637</v>
      </c>
      <c r="F1648">
        <v>319</v>
      </c>
      <c r="G1648" t="s">
        <v>2183</v>
      </c>
      <c r="I1648" t="str">
        <f t="shared" si="52"/>
        <v>TP0005PE|PFT-23826-E9</v>
      </c>
      <c r="J1648" t="str">
        <f t="shared" si="53"/>
        <v>SÍ</v>
      </c>
    </row>
    <row r="1649" spans="1:10" x14ac:dyDescent="0.3">
      <c r="A1649" t="s">
        <v>622</v>
      </c>
      <c r="B1649" t="s">
        <v>791</v>
      </c>
      <c r="C1649" t="s">
        <v>1522</v>
      </c>
      <c r="D1649" s="23">
        <v>46502</v>
      </c>
      <c r="E1649" t="s">
        <v>1639</v>
      </c>
      <c r="F1649">
        <v>1</v>
      </c>
      <c r="G1649" t="s">
        <v>2171</v>
      </c>
      <c r="I1649" t="str">
        <f t="shared" si="52"/>
        <v>RT0123PE|RP-23726-E4</v>
      </c>
      <c r="J1649" t="str">
        <f t="shared" si="53"/>
        <v>SÍ</v>
      </c>
    </row>
    <row r="1650" spans="1:10" x14ac:dyDescent="0.3">
      <c r="A1650" t="s">
        <v>622</v>
      </c>
      <c r="B1650" t="s">
        <v>791</v>
      </c>
      <c r="C1650" t="s">
        <v>1521</v>
      </c>
      <c r="D1650" s="23">
        <v>46502</v>
      </c>
      <c r="E1650" t="s">
        <v>2147</v>
      </c>
      <c r="F1650">
        <v>20</v>
      </c>
      <c r="G1650" t="s">
        <v>2171</v>
      </c>
      <c r="I1650" t="str">
        <f t="shared" si="52"/>
        <v>RT0123PE|RP-23726-E2</v>
      </c>
      <c r="J1650" t="str">
        <f t="shared" si="53"/>
        <v>SÍ</v>
      </c>
    </row>
    <row r="1651" spans="1:10" x14ac:dyDescent="0.3">
      <c r="A1651" t="s">
        <v>622</v>
      </c>
      <c r="B1651" t="s">
        <v>791</v>
      </c>
      <c r="C1651" t="s">
        <v>1522</v>
      </c>
      <c r="D1651" s="23">
        <v>46502</v>
      </c>
      <c r="E1651" t="s">
        <v>2147</v>
      </c>
      <c r="F1651">
        <v>8</v>
      </c>
      <c r="G1651" t="s">
        <v>2171</v>
      </c>
      <c r="I1651" t="str">
        <f t="shared" si="52"/>
        <v>RT0123PE|RP-23726-E4</v>
      </c>
      <c r="J1651" t="str">
        <f t="shared" si="53"/>
        <v>SÍ</v>
      </c>
    </row>
    <row r="1652" spans="1:10" x14ac:dyDescent="0.3">
      <c r="A1652" t="s">
        <v>622</v>
      </c>
      <c r="B1652" t="s">
        <v>791</v>
      </c>
      <c r="C1652" t="s">
        <v>1524</v>
      </c>
      <c r="D1652" s="23">
        <v>46502</v>
      </c>
      <c r="E1652" t="s">
        <v>2147</v>
      </c>
      <c r="F1652">
        <v>13</v>
      </c>
      <c r="G1652" t="s">
        <v>2171</v>
      </c>
      <c r="I1652" t="str">
        <f t="shared" si="52"/>
        <v>RT0123PE|RP-23726-E5</v>
      </c>
      <c r="J1652" t="str">
        <f t="shared" si="53"/>
        <v>SÍ</v>
      </c>
    </row>
    <row r="1653" spans="1:10" x14ac:dyDescent="0.3">
      <c r="A1653" t="s">
        <v>622</v>
      </c>
      <c r="B1653" t="s">
        <v>791</v>
      </c>
      <c r="C1653" t="s">
        <v>1530</v>
      </c>
      <c r="D1653" s="23">
        <v>46503.442673611113</v>
      </c>
      <c r="E1653" t="s">
        <v>2147</v>
      </c>
      <c r="F1653">
        <v>15</v>
      </c>
      <c r="G1653" t="s">
        <v>2171</v>
      </c>
      <c r="I1653" t="str">
        <f t="shared" si="52"/>
        <v>RT0123PE|RP-23826-E1</v>
      </c>
      <c r="J1653" t="str">
        <f t="shared" si="53"/>
        <v>SÍ</v>
      </c>
    </row>
    <row r="1654" spans="1:10" x14ac:dyDescent="0.3">
      <c r="A1654" t="s">
        <v>622</v>
      </c>
      <c r="B1654" t="s">
        <v>791</v>
      </c>
      <c r="C1654" t="s">
        <v>1531</v>
      </c>
      <c r="D1654" s="23">
        <v>46503.648217592592</v>
      </c>
      <c r="E1654" t="s">
        <v>2147</v>
      </c>
      <c r="F1654">
        <v>10</v>
      </c>
      <c r="G1654" t="s">
        <v>2171</v>
      </c>
      <c r="I1654" t="str">
        <f t="shared" si="52"/>
        <v>RT0123PE|RP-23826-E2</v>
      </c>
      <c r="J1654" t="str">
        <f t="shared" si="53"/>
        <v>SÍ</v>
      </c>
    </row>
    <row r="1655" spans="1:10" x14ac:dyDescent="0.3">
      <c r="A1655" t="s">
        <v>622</v>
      </c>
      <c r="B1655" t="s">
        <v>791</v>
      </c>
      <c r="C1655" t="s">
        <v>1526</v>
      </c>
      <c r="D1655" s="23">
        <v>46503</v>
      </c>
      <c r="E1655" t="s">
        <v>2147</v>
      </c>
      <c r="F1655">
        <v>30</v>
      </c>
      <c r="G1655" t="s">
        <v>2171</v>
      </c>
      <c r="I1655" t="str">
        <f t="shared" si="52"/>
        <v>RT0123PE|RP-23826-E3</v>
      </c>
      <c r="J1655" t="str">
        <f t="shared" si="53"/>
        <v>SÍ</v>
      </c>
    </row>
    <row r="1656" spans="1:10" x14ac:dyDescent="0.3">
      <c r="A1656" t="s">
        <v>622</v>
      </c>
      <c r="B1656" t="s">
        <v>791</v>
      </c>
      <c r="C1656" t="s">
        <v>1532</v>
      </c>
      <c r="D1656" s="23">
        <v>46503.655486111107</v>
      </c>
      <c r="E1656" t="s">
        <v>2147</v>
      </c>
      <c r="F1656">
        <v>52</v>
      </c>
      <c r="G1656" t="s">
        <v>2171</v>
      </c>
      <c r="I1656" t="str">
        <f t="shared" si="52"/>
        <v>RT0123PE|RP-23826-E4</v>
      </c>
      <c r="J1656" t="str">
        <f t="shared" si="53"/>
        <v>SÍ</v>
      </c>
    </row>
    <row r="1657" spans="1:10" x14ac:dyDescent="0.3">
      <c r="A1657" t="s">
        <v>622</v>
      </c>
      <c r="B1657" t="s">
        <v>791</v>
      </c>
      <c r="C1657" t="s">
        <v>1533</v>
      </c>
      <c r="D1657" s="23">
        <v>46503.193090277768</v>
      </c>
      <c r="E1657" t="s">
        <v>2147</v>
      </c>
      <c r="F1657">
        <v>17</v>
      </c>
      <c r="G1657" t="s">
        <v>2171</v>
      </c>
      <c r="I1657" t="str">
        <f t="shared" si="52"/>
        <v>RT0123PE|RP-23826-E5</v>
      </c>
      <c r="J1657" t="str">
        <f t="shared" si="53"/>
        <v>SÍ</v>
      </c>
    </row>
    <row r="1658" spans="1:10" x14ac:dyDescent="0.3">
      <c r="A1658" t="s">
        <v>629</v>
      </c>
      <c r="B1658" t="s">
        <v>798</v>
      </c>
      <c r="C1658" t="s">
        <v>1534</v>
      </c>
      <c r="D1658" s="23">
        <v>46515</v>
      </c>
      <c r="E1658" t="s">
        <v>1637</v>
      </c>
      <c r="F1658">
        <v>234</v>
      </c>
      <c r="G1658" t="s">
        <v>2174</v>
      </c>
      <c r="I1658" t="str">
        <f t="shared" si="52"/>
        <v>TC0116PE|DUO-23826</v>
      </c>
      <c r="J1658" t="str">
        <f t="shared" si="53"/>
        <v>SÍ</v>
      </c>
    </row>
    <row r="1659" spans="1:10" x14ac:dyDescent="0.3">
      <c r="A1659" t="s">
        <v>622</v>
      </c>
      <c r="B1659" t="s">
        <v>791</v>
      </c>
      <c r="C1659" t="s">
        <v>1535</v>
      </c>
      <c r="D1659" s="23">
        <v>46504</v>
      </c>
      <c r="E1659" t="s">
        <v>1637</v>
      </c>
      <c r="F1659">
        <v>101</v>
      </c>
      <c r="G1659" t="s">
        <v>2171</v>
      </c>
      <c r="I1659" t="str">
        <f t="shared" si="52"/>
        <v>RT0123PE|RP-23926-E5</v>
      </c>
      <c r="J1659" t="str">
        <f t="shared" si="53"/>
        <v>SÍ</v>
      </c>
    </row>
    <row r="1660" spans="1:10" x14ac:dyDescent="0.3">
      <c r="A1660" t="s">
        <v>622</v>
      </c>
      <c r="B1660" t="s">
        <v>791</v>
      </c>
      <c r="C1660" t="s">
        <v>1532</v>
      </c>
      <c r="D1660" s="23">
        <v>46503.655486111107</v>
      </c>
      <c r="E1660" t="s">
        <v>1637</v>
      </c>
      <c r="F1660">
        <v>34</v>
      </c>
      <c r="G1660" t="s">
        <v>2171</v>
      </c>
      <c r="I1660" t="str">
        <f t="shared" si="52"/>
        <v>RT0123PE|RP-23826-E4</v>
      </c>
      <c r="J1660" t="str">
        <f t="shared" si="53"/>
        <v>SÍ</v>
      </c>
    </row>
    <row r="1661" spans="1:10" x14ac:dyDescent="0.3">
      <c r="A1661" t="s">
        <v>622</v>
      </c>
      <c r="B1661" t="s">
        <v>791</v>
      </c>
      <c r="C1661" t="s">
        <v>1536</v>
      </c>
      <c r="D1661" s="23">
        <v>46504</v>
      </c>
      <c r="E1661" t="s">
        <v>1637</v>
      </c>
      <c r="F1661">
        <v>60</v>
      </c>
      <c r="G1661" t="s">
        <v>2171</v>
      </c>
      <c r="I1661" t="str">
        <f t="shared" si="52"/>
        <v>RT0123PE|RP-23926-E4</v>
      </c>
      <c r="J1661" t="str">
        <f t="shared" si="53"/>
        <v>SÍ</v>
      </c>
    </row>
    <row r="1662" spans="1:10" x14ac:dyDescent="0.3">
      <c r="A1662" t="s">
        <v>622</v>
      </c>
      <c r="B1662" t="s">
        <v>791</v>
      </c>
      <c r="C1662" t="s">
        <v>1537</v>
      </c>
      <c r="D1662" s="23">
        <v>46504</v>
      </c>
      <c r="E1662" t="s">
        <v>1637</v>
      </c>
      <c r="F1662">
        <v>3</v>
      </c>
      <c r="G1662" t="s">
        <v>2171</v>
      </c>
      <c r="I1662" t="str">
        <f t="shared" si="52"/>
        <v>RT0123PE|RP-23926-E3</v>
      </c>
      <c r="J1662" t="str">
        <f t="shared" si="53"/>
        <v>SÍ</v>
      </c>
    </row>
    <row r="1663" spans="1:10" x14ac:dyDescent="0.3">
      <c r="A1663" t="s">
        <v>622</v>
      </c>
      <c r="B1663" t="s">
        <v>791</v>
      </c>
      <c r="C1663" t="s">
        <v>1531</v>
      </c>
      <c r="D1663" s="23">
        <v>46503.648217592592</v>
      </c>
      <c r="E1663" t="s">
        <v>1637</v>
      </c>
      <c r="F1663">
        <v>20</v>
      </c>
      <c r="G1663" t="s">
        <v>2171</v>
      </c>
      <c r="I1663" t="str">
        <f t="shared" si="52"/>
        <v>RT0123PE|RP-23826-E2</v>
      </c>
      <c r="J1663" t="str">
        <f t="shared" si="53"/>
        <v>SÍ</v>
      </c>
    </row>
    <row r="1664" spans="1:10" x14ac:dyDescent="0.3">
      <c r="A1664" t="s">
        <v>622</v>
      </c>
      <c r="B1664" t="s">
        <v>791</v>
      </c>
      <c r="C1664" t="s">
        <v>1538</v>
      </c>
      <c r="D1664" s="23">
        <v>46504</v>
      </c>
      <c r="E1664" t="s">
        <v>1637</v>
      </c>
      <c r="F1664">
        <v>159</v>
      </c>
      <c r="G1664" t="s">
        <v>2171</v>
      </c>
      <c r="I1664" t="str">
        <f t="shared" si="52"/>
        <v>RT0123PE|RP-23926-E2</v>
      </c>
      <c r="J1664" t="str">
        <f t="shared" si="53"/>
        <v>SÍ</v>
      </c>
    </row>
    <row r="1665" spans="1:10" x14ac:dyDescent="0.3">
      <c r="A1665" t="s">
        <v>619</v>
      </c>
      <c r="B1665" t="s">
        <v>788</v>
      </c>
      <c r="C1665" t="s">
        <v>1310</v>
      </c>
      <c r="D1665" s="23">
        <v>46542</v>
      </c>
      <c r="E1665" t="s">
        <v>2148</v>
      </c>
      <c r="F1665">
        <v>2.5</v>
      </c>
      <c r="G1665" t="s">
        <v>2176</v>
      </c>
      <c r="I1665" t="str">
        <f t="shared" si="52"/>
        <v>TC0242PE|SN-21626-E1</v>
      </c>
      <c r="J1665" t="str">
        <f t="shared" si="53"/>
        <v>SÍ</v>
      </c>
    </row>
    <row r="1666" spans="1:10" x14ac:dyDescent="0.3">
      <c r="A1666" t="s">
        <v>629</v>
      </c>
      <c r="B1666" t="s">
        <v>798</v>
      </c>
      <c r="C1666" t="s">
        <v>1534</v>
      </c>
      <c r="D1666" s="23">
        <v>46515</v>
      </c>
      <c r="E1666" t="s">
        <v>2149</v>
      </c>
      <c r="F1666">
        <v>80</v>
      </c>
      <c r="G1666" t="s">
        <v>2174</v>
      </c>
      <c r="I1666" t="str">
        <f t="shared" si="52"/>
        <v>TC0116PE|DUO-23826</v>
      </c>
      <c r="J1666" t="str">
        <f t="shared" si="53"/>
        <v>SÍ</v>
      </c>
    </row>
    <row r="1667" spans="1:10" x14ac:dyDescent="0.3">
      <c r="A1667" t="s">
        <v>629</v>
      </c>
      <c r="B1667" t="s">
        <v>798</v>
      </c>
      <c r="C1667" t="s">
        <v>1534</v>
      </c>
      <c r="D1667" s="23">
        <v>46515</v>
      </c>
      <c r="E1667" t="s">
        <v>2150</v>
      </c>
      <c r="F1667">
        <v>6</v>
      </c>
      <c r="G1667" t="s">
        <v>2174</v>
      </c>
      <c r="I1667" t="str">
        <f t="shared" si="52"/>
        <v>TC0116PE|DUO-23826</v>
      </c>
      <c r="J1667" t="str">
        <f t="shared" si="53"/>
        <v>SÍ</v>
      </c>
    </row>
    <row r="1668" spans="1:10" x14ac:dyDescent="0.3">
      <c r="A1668" t="s">
        <v>622</v>
      </c>
      <c r="B1668" t="s">
        <v>791</v>
      </c>
      <c r="C1668" t="s">
        <v>1511</v>
      </c>
      <c r="D1668" s="23">
        <v>46499.456932870373</v>
      </c>
      <c r="E1668" t="s">
        <v>2151</v>
      </c>
      <c r="F1668">
        <v>13</v>
      </c>
      <c r="G1668" t="s">
        <v>2171</v>
      </c>
      <c r="I1668" t="str">
        <f t="shared" si="52"/>
        <v>RT0123PE|RP-23426-E3</v>
      </c>
      <c r="J1668" t="str">
        <f t="shared" si="53"/>
        <v>SÍ</v>
      </c>
    </row>
    <row r="1669" spans="1:10" x14ac:dyDescent="0.3">
      <c r="A1669" t="s">
        <v>720</v>
      </c>
      <c r="B1669" t="s">
        <v>889</v>
      </c>
      <c r="C1669" t="s">
        <v>1539</v>
      </c>
      <c r="D1669" s="23">
        <v>45845</v>
      </c>
      <c r="E1669" t="s">
        <v>1639</v>
      </c>
      <c r="F1669">
        <v>31.95</v>
      </c>
      <c r="G1669" t="s">
        <v>40</v>
      </c>
      <c r="I1669" t="str">
        <f t="shared" si="52"/>
        <v>INT0009|RO-00725</v>
      </c>
      <c r="J1669" t="str">
        <f t="shared" si="53"/>
        <v>SÍ</v>
      </c>
    </row>
    <row r="1670" spans="1:10" x14ac:dyDescent="0.3">
      <c r="A1670" t="s">
        <v>720</v>
      </c>
      <c r="B1670" t="s">
        <v>889</v>
      </c>
      <c r="C1670" t="s">
        <v>1540</v>
      </c>
      <c r="D1670" s="23">
        <v>45949</v>
      </c>
      <c r="E1670" t="s">
        <v>1639</v>
      </c>
      <c r="F1670">
        <v>117.15</v>
      </c>
      <c r="G1670" t="s">
        <v>40</v>
      </c>
      <c r="I1670" t="str">
        <f t="shared" si="52"/>
        <v>INT0009|JJ-05025</v>
      </c>
      <c r="J1670" t="str">
        <f t="shared" si="53"/>
        <v>SÍ</v>
      </c>
    </row>
    <row r="1671" spans="1:10" x14ac:dyDescent="0.3">
      <c r="A1671" t="s">
        <v>450</v>
      </c>
      <c r="B1671" t="s">
        <v>451</v>
      </c>
      <c r="C1671" t="s">
        <v>523</v>
      </c>
      <c r="D1671" s="23">
        <v>46600.500891203701</v>
      </c>
      <c r="E1671" t="s">
        <v>1635</v>
      </c>
      <c r="F1671">
        <v>4351</v>
      </c>
      <c r="G1671" t="s">
        <v>446</v>
      </c>
      <c r="I1671" t="str">
        <f t="shared" si="52"/>
        <v>MP10015|INFORME 46/26</v>
      </c>
      <c r="J1671" t="str">
        <f t="shared" si="53"/>
        <v>SÍ</v>
      </c>
    </row>
    <row r="1672" spans="1:10" x14ac:dyDescent="0.3">
      <c r="A1672" t="s">
        <v>707</v>
      </c>
      <c r="B1672" t="s">
        <v>876</v>
      </c>
      <c r="C1672" t="s">
        <v>1450</v>
      </c>
      <c r="D1672" s="23">
        <v>46545.175312500003</v>
      </c>
      <c r="E1672" t="s">
        <v>1637</v>
      </c>
      <c r="F1672">
        <v>1</v>
      </c>
      <c r="G1672" t="s">
        <v>2168</v>
      </c>
      <c r="I1672" t="str">
        <f t="shared" si="52"/>
        <v>TTS0006PE|TTJ-21926-E5</v>
      </c>
      <c r="J1672" t="str">
        <f t="shared" si="53"/>
        <v>SÍ</v>
      </c>
    </row>
    <row r="1673" spans="1:10" x14ac:dyDescent="0.3">
      <c r="A1673" t="s">
        <v>622</v>
      </c>
      <c r="B1673" t="s">
        <v>791</v>
      </c>
      <c r="C1673" t="s">
        <v>1541</v>
      </c>
      <c r="D1673" s="23">
        <v>46504.552777777782</v>
      </c>
      <c r="E1673" t="s">
        <v>2147</v>
      </c>
      <c r="F1673">
        <v>120</v>
      </c>
      <c r="G1673" t="s">
        <v>2171</v>
      </c>
      <c r="I1673" t="str">
        <f t="shared" si="52"/>
        <v>RT0123PE|RP-23926-E1</v>
      </c>
      <c r="J1673" t="str">
        <f t="shared" si="53"/>
        <v>SÍ</v>
      </c>
    </row>
    <row r="1674" spans="1:10" x14ac:dyDescent="0.3">
      <c r="A1674" t="s">
        <v>622</v>
      </c>
      <c r="B1674" t="s">
        <v>791</v>
      </c>
      <c r="C1674" t="s">
        <v>1538</v>
      </c>
      <c r="D1674" s="23">
        <v>46504</v>
      </c>
      <c r="E1674" t="s">
        <v>2147</v>
      </c>
      <c r="F1674">
        <v>210</v>
      </c>
      <c r="G1674" t="s">
        <v>2171</v>
      </c>
      <c r="I1674" t="str">
        <f t="shared" si="52"/>
        <v>RT0123PE|RP-23926-E2</v>
      </c>
      <c r="J1674" t="str">
        <f t="shared" si="53"/>
        <v>SÍ</v>
      </c>
    </row>
    <row r="1675" spans="1:10" x14ac:dyDescent="0.3">
      <c r="A1675" t="s">
        <v>622</v>
      </c>
      <c r="B1675" t="s">
        <v>791</v>
      </c>
      <c r="C1675" t="s">
        <v>1537</v>
      </c>
      <c r="D1675" s="23">
        <v>46504</v>
      </c>
      <c r="E1675" t="s">
        <v>2147</v>
      </c>
      <c r="F1675">
        <v>210</v>
      </c>
      <c r="G1675" t="s">
        <v>2171</v>
      </c>
      <c r="I1675" t="str">
        <f t="shared" si="52"/>
        <v>RT0123PE|RP-23926-E3</v>
      </c>
      <c r="J1675" t="str">
        <f t="shared" si="53"/>
        <v>SÍ</v>
      </c>
    </row>
    <row r="1676" spans="1:10" x14ac:dyDescent="0.3">
      <c r="A1676" t="s">
        <v>622</v>
      </c>
      <c r="B1676" t="s">
        <v>791</v>
      </c>
      <c r="C1676" t="s">
        <v>1536</v>
      </c>
      <c r="D1676" s="23">
        <v>46504</v>
      </c>
      <c r="E1676" t="s">
        <v>2147</v>
      </c>
      <c r="F1676">
        <v>234</v>
      </c>
      <c r="G1676" t="s">
        <v>2171</v>
      </c>
      <c r="I1676" t="str">
        <f t="shared" si="52"/>
        <v>RT0123PE|RP-23926-E4</v>
      </c>
      <c r="J1676" t="str">
        <f t="shared" si="53"/>
        <v>SÍ</v>
      </c>
    </row>
    <row r="1677" spans="1:10" x14ac:dyDescent="0.3">
      <c r="A1677" t="s">
        <v>622</v>
      </c>
      <c r="B1677" t="s">
        <v>791</v>
      </c>
      <c r="C1677" t="s">
        <v>1535</v>
      </c>
      <c r="D1677" s="23">
        <v>46504</v>
      </c>
      <c r="E1677" t="s">
        <v>2147</v>
      </c>
      <c r="F1677">
        <v>270</v>
      </c>
      <c r="G1677" t="s">
        <v>2171</v>
      </c>
      <c r="I1677" t="str">
        <f t="shared" si="52"/>
        <v>RT0123PE|RP-23926-E5</v>
      </c>
      <c r="J1677" t="str">
        <f t="shared" si="53"/>
        <v>SÍ</v>
      </c>
    </row>
    <row r="1678" spans="1:10" x14ac:dyDescent="0.3">
      <c r="A1678" t="s">
        <v>663</v>
      </c>
      <c r="B1678" t="s">
        <v>832</v>
      </c>
      <c r="C1678" t="s">
        <v>1542</v>
      </c>
      <c r="D1678" s="23">
        <v>46488</v>
      </c>
      <c r="E1678" t="s">
        <v>1637</v>
      </c>
      <c r="F1678">
        <v>51</v>
      </c>
      <c r="G1678" t="s">
        <v>2170</v>
      </c>
      <c r="I1678" t="str">
        <f t="shared" si="52"/>
        <v>BS0001PE|BN-22326-E4</v>
      </c>
      <c r="J1678" t="str">
        <f t="shared" si="53"/>
        <v>SÍ</v>
      </c>
    </row>
    <row r="1679" spans="1:10" x14ac:dyDescent="0.3">
      <c r="A1679" t="s">
        <v>643</v>
      </c>
      <c r="B1679" t="s">
        <v>812</v>
      </c>
      <c r="C1679" t="s">
        <v>1529</v>
      </c>
      <c r="D1679" s="23">
        <v>46991</v>
      </c>
      <c r="E1679" t="s">
        <v>1637</v>
      </c>
      <c r="F1679">
        <v>30</v>
      </c>
      <c r="G1679" t="s">
        <v>2180</v>
      </c>
      <c r="I1679" t="str">
        <f t="shared" si="52"/>
        <v>TP0001PE|PFT-23826-E9</v>
      </c>
      <c r="J1679" t="str">
        <f t="shared" si="53"/>
        <v>SÍ</v>
      </c>
    </row>
    <row r="1680" spans="1:10" x14ac:dyDescent="0.3">
      <c r="A1680" t="s">
        <v>643</v>
      </c>
      <c r="B1680" t="s">
        <v>812</v>
      </c>
      <c r="C1680" t="s">
        <v>1543</v>
      </c>
      <c r="D1680" s="23">
        <v>46992.497395833343</v>
      </c>
      <c r="E1680" t="s">
        <v>1637</v>
      </c>
      <c r="F1680">
        <v>216</v>
      </c>
      <c r="G1680" t="s">
        <v>2180</v>
      </c>
      <c r="I1680" t="str">
        <f t="shared" si="52"/>
        <v>TP0001PE|PFT-23926-E9</v>
      </c>
      <c r="J1680" t="str">
        <f t="shared" si="53"/>
        <v>SÍ</v>
      </c>
    </row>
    <row r="1681" spans="1:10" x14ac:dyDescent="0.3">
      <c r="A1681" t="s">
        <v>622</v>
      </c>
      <c r="B1681" t="s">
        <v>791</v>
      </c>
      <c r="C1681" t="s">
        <v>1544</v>
      </c>
      <c r="D1681" s="23">
        <v>46505</v>
      </c>
      <c r="E1681" t="s">
        <v>1637</v>
      </c>
      <c r="F1681">
        <v>30</v>
      </c>
      <c r="G1681" t="s">
        <v>2171</v>
      </c>
      <c r="I1681" t="str">
        <f t="shared" si="52"/>
        <v>RT0123PE|RP-24026-E1</v>
      </c>
      <c r="J1681" t="str">
        <f t="shared" si="53"/>
        <v>SÍ</v>
      </c>
    </row>
    <row r="1682" spans="1:10" x14ac:dyDescent="0.3">
      <c r="A1682" t="s">
        <v>622</v>
      </c>
      <c r="B1682" t="s">
        <v>791</v>
      </c>
      <c r="C1682" t="s">
        <v>1545</v>
      </c>
      <c r="D1682" s="23">
        <v>46505</v>
      </c>
      <c r="E1682" t="s">
        <v>1637</v>
      </c>
      <c r="F1682">
        <v>30</v>
      </c>
      <c r="G1682" t="s">
        <v>2171</v>
      </c>
      <c r="I1682" t="str">
        <f t="shared" ref="I1682:I1745" si="54">IF(A1682="","",A1682&amp;"|"&amp;C1682)</f>
        <v>RT0123PE|RP-24026-E5</v>
      </c>
      <c r="J1682" t="str">
        <f t="shared" ref="J1682:J1745" si="55">IF(A1682&lt;&gt;"","SÍ","NO")</f>
        <v>SÍ</v>
      </c>
    </row>
    <row r="1683" spans="1:10" x14ac:dyDescent="0.3">
      <c r="A1683" t="s">
        <v>622</v>
      </c>
      <c r="B1683" t="s">
        <v>791</v>
      </c>
      <c r="C1683" t="s">
        <v>1541</v>
      </c>
      <c r="D1683" s="23">
        <v>46504.552777777782</v>
      </c>
      <c r="E1683" t="s">
        <v>1637</v>
      </c>
      <c r="F1683">
        <v>3</v>
      </c>
      <c r="G1683" t="s">
        <v>2171</v>
      </c>
      <c r="I1683" t="str">
        <f t="shared" si="54"/>
        <v>RT0123PE|RP-23926-E1</v>
      </c>
      <c r="J1683" t="str">
        <f t="shared" si="55"/>
        <v>SÍ</v>
      </c>
    </row>
    <row r="1684" spans="1:10" x14ac:dyDescent="0.3">
      <c r="A1684" t="s">
        <v>622</v>
      </c>
      <c r="B1684" t="s">
        <v>791</v>
      </c>
      <c r="C1684" t="s">
        <v>1546</v>
      </c>
      <c r="D1684" s="23">
        <v>46505</v>
      </c>
      <c r="E1684" t="s">
        <v>2147</v>
      </c>
      <c r="F1684">
        <v>12</v>
      </c>
      <c r="G1684" t="s">
        <v>2171</v>
      </c>
      <c r="I1684" t="str">
        <f t="shared" si="54"/>
        <v>RT0123PE|RP-24026-E3</v>
      </c>
      <c r="J1684" t="str">
        <f t="shared" si="55"/>
        <v>SÍ</v>
      </c>
    </row>
    <row r="1685" spans="1:10" x14ac:dyDescent="0.3">
      <c r="A1685" t="s">
        <v>615</v>
      </c>
      <c r="B1685" t="s">
        <v>784</v>
      </c>
      <c r="C1685" t="s">
        <v>1547</v>
      </c>
      <c r="D1685" s="23">
        <v>46528</v>
      </c>
      <c r="E1685" t="s">
        <v>1637</v>
      </c>
      <c r="F1685">
        <v>1</v>
      </c>
      <c r="G1685" t="s">
        <v>2168</v>
      </c>
      <c r="I1685" t="str">
        <f t="shared" si="54"/>
        <v>TC0224PE|LP-20426-E7</v>
      </c>
      <c r="J1685" t="str">
        <f t="shared" si="55"/>
        <v>SÍ</v>
      </c>
    </row>
    <row r="1686" spans="1:10" x14ac:dyDescent="0.3">
      <c r="A1686" t="s">
        <v>622</v>
      </c>
      <c r="B1686" t="s">
        <v>791</v>
      </c>
      <c r="C1686" t="s">
        <v>1544</v>
      </c>
      <c r="D1686" s="23">
        <v>46505</v>
      </c>
      <c r="E1686" t="s">
        <v>2147</v>
      </c>
      <c r="F1686">
        <v>7</v>
      </c>
      <c r="G1686" t="s">
        <v>2171</v>
      </c>
      <c r="I1686" t="str">
        <f t="shared" si="54"/>
        <v>RT0123PE|RP-24026-E1</v>
      </c>
      <c r="J1686" t="str">
        <f t="shared" si="55"/>
        <v>SÍ</v>
      </c>
    </row>
    <row r="1687" spans="1:10" x14ac:dyDescent="0.3">
      <c r="A1687" t="s">
        <v>622</v>
      </c>
      <c r="B1687" t="s">
        <v>791</v>
      </c>
      <c r="C1687" t="s">
        <v>1548</v>
      </c>
      <c r="D1687" s="23">
        <v>46505</v>
      </c>
      <c r="E1687" t="s">
        <v>2147</v>
      </c>
      <c r="F1687">
        <v>14</v>
      </c>
      <c r="G1687" t="s">
        <v>2171</v>
      </c>
      <c r="I1687" t="str">
        <f t="shared" si="54"/>
        <v>RT0123PE|RP-24026-E2</v>
      </c>
      <c r="J1687" t="str">
        <f t="shared" si="55"/>
        <v>SÍ</v>
      </c>
    </row>
    <row r="1688" spans="1:10" x14ac:dyDescent="0.3">
      <c r="A1688" t="s">
        <v>622</v>
      </c>
      <c r="B1688" t="s">
        <v>791</v>
      </c>
      <c r="C1688" t="s">
        <v>1549</v>
      </c>
      <c r="D1688" s="23">
        <v>46505.414895833332</v>
      </c>
      <c r="E1688" t="s">
        <v>2147</v>
      </c>
      <c r="F1688">
        <v>77</v>
      </c>
      <c r="G1688" t="s">
        <v>2171</v>
      </c>
      <c r="I1688" t="str">
        <f t="shared" si="54"/>
        <v>RT0123PE|RP-24026-E4</v>
      </c>
      <c r="J1688" t="str">
        <f t="shared" si="55"/>
        <v>SÍ</v>
      </c>
    </row>
    <row r="1689" spans="1:10" x14ac:dyDescent="0.3">
      <c r="A1689" t="s">
        <v>622</v>
      </c>
      <c r="B1689" t="s">
        <v>791</v>
      </c>
      <c r="C1689" t="s">
        <v>1545</v>
      </c>
      <c r="D1689" s="23">
        <v>46505</v>
      </c>
      <c r="E1689" t="s">
        <v>2147</v>
      </c>
      <c r="F1689">
        <v>69</v>
      </c>
      <c r="G1689" t="s">
        <v>2171</v>
      </c>
      <c r="I1689" t="str">
        <f t="shared" si="54"/>
        <v>RT0123PE|RP-24026-E5</v>
      </c>
      <c r="J1689" t="str">
        <f t="shared" si="55"/>
        <v>SÍ</v>
      </c>
    </row>
    <row r="1690" spans="1:10" x14ac:dyDescent="0.3">
      <c r="A1690" t="s">
        <v>595</v>
      </c>
      <c r="B1690" t="s">
        <v>764</v>
      </c>
      <c r="C1690" t="s">
        <v>1550</v>
      </c>
      <c r="D1690" s="23">
        <v>46566.404641203713</v>
      </c>
      <c r="E1690" t="s">
        <v>2147</v>
      </c>
      <c r="F1690">
        <v>213</v>
      </c>
      <c r="G1690" t="s">
        <v>2168</v>
      </c>
      <c r="I1690" t="str">
        <f t="shared" si="54"/>
        <v>TC0058PE|SC-24026-E7</v>
      </c>
      <c r="J1690" t="str">
        <f t="shared" si="55"/>
        <v>SÍ</v>
      </c>
    </row>
    <row r="1691" spans="1:10" x14ac:dyDescent="0.3">
      <c r="A1691" t="s">
        <v>593</v>
      </c>
      <c r="B1691" t="s">
        <v>762</v>
      </c>
      <c r="C1691" t="s">
        <v>1551</v>
      </c>
      <c r="D1691" s="23">
        <v>46565.402916666673</v>
      </c>
      <c r="E1691" t="s">
        <v>2147</v>
      </c>
      <c r="F1691">
        <v>32</v>
      </c>
      <c r="G1691" t="s">
        <v>2168</v>
      </c>
      <c r="I1691" t="str">
        <f t="shared" si="54"/>
        <v>TC0123PE|SC-23926-E7</v>
      </c>
      <c r="J1691" t="str">
        <f t="shared" si="55"/>
        <v>SÍ</v>
      </c>
    </row>
    <row r="1692" spans="1:10" x14ac:dyDescent="0.3">
      <c r="A1692" t="s">
        <v>593</v>
      </c>
      <c r="B1692" t="s">
        <v>762</v>
      </c>
      <c r="C1692" t="s">
        <v>1550</v>
      </c>
      <c r="D1692" s="23">
        <v>46566.401724537027</v>
      </c>
      <c r="E1692" t="s">
        <v>2147</v>
      </c>
      <c r="F1692">
        <v>8</v>
      </c>
      <c r="G1692" t="s">
        <v>2168</v>
      </c>
      <c r="I1692" t="str">
        <f t="shared" si="54"/>
        <v>TC0123PE|SC-24026-E7</v>
      </c>
      <c r="J1692" t="str">
        <f t="shared" si="55"/>
        <v>SÍ</v>
      </c>
    </row>
    <row r="1693" spans="1:10" x14ac:dyDescent="0.3">
      <c r="A1693" t="s">
        <v>601</v>
      </c>
      <c r="B1693" t="s">
        <v>770</v>
      </c>
      <c r="C1693" t="s">
        <v>1552</v>
      </c>
      <c r="D1693" s="23">
        <v>46566.385636574072</v>
      </c>
      <c r="E1693" t="s">
        <v>2147</v>
      </c>
      <c r="F1693">
        <v>80</v>
      </c>
      <c r="G1693" t="s">
        <v>2169</v>
      </c>
      <c r="I1693" t="str">
        <f t="shared" si="54"/>
        <v>TC0227PE|SC-24026-E8</v>
      </c>
      <c r="J1693" t="str">
        <f t="shared" si="55"/>
        <v>SÍ</v>
      </c>
    </row>
    <row r="1694" spans="1:10" x14ac:dyDescent="0.3">
      <c r="A1694" t="s">
        <v>579</v>
      </c>
      <c r="B1694" t="s">
        <v>748</v>
      </c>
      <c r="C1694" t="s">
        <v>1553</v>
      </c>
      <c r="D1694" s="23">
        <v>46625.399976851862</v>
      </c>
      <c r="E1694" t="s">
        <v>2147</v>
      </c>
      <c r="F1694">
        <v>171</v>
      </c>
      <c r="G1694" t="s">
        <v>2167</v>
      </c>
      <c r="I1694" t="str">
        <f t="shared" si="54"/>
        <v>TQ0035PE|QN-23826-E10</v>
      </c>
      <c r="J1694" t="str">
        <f t="shared" si="55"/>
        <v>SÍ</v>
      </c>
    </row>
    <row r="1695" spans="1:10" x14ac:dyDescent="0.3">
      <c r="A1695" t="s">
        <v>594</v>
      </c>
      <c r="B1695" t="s">
        <v>763</v>
      </c>
      <c r="C1695" t="s">
        <v>1552</v>
      </c>
      <c r="D1695" s="23">
        <v>46566.656469907408</v>
      </c>
      <c r="E1695" t="s">
        <v>2147</v>
      </c>
      <c r="F1695">
        <v>200</v>
      </c>
      <c r="G1695" t="s">
        <v>2166</v>
      </c>
      <c r="I1695" t="str">
        <f t="shared" si="54"/>
        <v>TC0029PE|SC-24026-E8</v>
      </c>
      <c r="J1695" t="str">
        <f t="shared" si="55"/>
        <v>SÍ</v>
      </c>
    </row>
    <row r="1696" spans="1:10" x14ac:dyDescent="0.3">
      <c r="A1696" t="s">
        <v>620</v>
      </c>
      <c r="B1696" t="s">
        <v>789</v>
      </c>
      <c r="C1696" t="s">
        <v>1112</v>
      </c>
      <c r="D1696" s="23">
        <v>46487</v>
      </c>
      <c r="E1696" t="s">
        <v>2147</v>
      </c>
      <c r="F1696">
        <v>15</v>
      </c>
      <c r="G1696" t="s">
        <v>2168</v>
      </c>
      <c r="I1696" t="str">
        <f t="shared" si="54"/>
        <v>TC0244PE|SNP-16126-E1</v>
      </c>
      <c r="J1696" t="str">
        <f t="shared" si="55"/>
        <v>SÍ</v>
      </c>
    </row>
    <row r="1697" spans="1:10" x14ac:dyDescent="0.3">
      <c r="A1697" t="s">
        <v>587</v>
      </c>
      <c r="B1697" t="s">
        <v>756</v>
      </c>
      <c r="C1697" t="s">
        <v>1396</v>
      </c>
      <c r="D1697" s="23">
        <v>46524</v>
      </c>
      <c r="E1697" t="s">
        <v>2147</v>
      </c>
      <c r="F1697">
        <v>30</v>
      </c>
      <c r="G1697" t="s">
        <v>2168</v>
      </c>
      <c r="I1697" t="str">
        <f t="shared" si="54"/>
        <v>TC0099PE|SP-19826-E7</v>
      </c>
      <c r="J1697" t="str">
        <f t="shared" si="55"/>
        <v>SÍ</v>
      </c>
    </row>
    <row r="1698" spans="1:10" x14ac:dyDescent="0.3">
      <c r="A1698" t="s">
        <v>471</v>
      </c>
      <c r="B1698" t="s">
        <v>472</v>
      </c>
      <c r="C1698" t="s">
        <v>473</v>
      </c>
      <c r="D1698" s="23">
        <v>46591.679120370369</v>
      </c>
      <c r="E1698" t="s">
        <v>1635</v>
      </c>
      <c r="F1698">
        <v>240</v>
      </c>
      <c r="G1698" t="s">
        <v>11</v>
      </c>
      <c r="I1698" t="str">
        <f t="shared" si="54"/>
        <v>EE10009|CR-17/26</v>
      </c>
      <c r="J1698" t="str">
        <f t="shared" si="55"/>
        <v>SÍ</v>
      </c>
    </row>
    <row r="1699" spans="1:10" x14ac:dyDescent="0.3">
      <c r="A1699" t="s">
        <v>450</v>
      </c>
      <c r="B1699" t="s">
        <v>451</v>
      </c>
      <c r="C1699" t="s">
        <v>527</v>
      </c>
      <c r="D1699" s="23">
        <v>46627.783518518518</v>
      </c>
      <c r="E1699" t="s">
        <v>10</v>
      </c>
      <c r="F1699">
        <v>4000</v>
      </c>
      <c r="G1699" t="s">
        <v>446</v>
      </c>
      <c r="I1699" t="str">
        <f t="shared" si="54"/>
        <v>MP10015|OP-47/26</v>
      </c>
      <c r="J1699" t="str">
        <f t="shared" si="55"/>
        <v>SÍ</v>
      </c>
    </row>
    <row r="1700" spans="1:10" x14ac:dyDescent="0.3">
      <c r="A1700" t="s">
        <v>354</v>
      </c>
      <c r="B1700" t="s">
        <v>355</v>
      </c>
      <c r="C1700" t="s">
        <v>343</v>
      </c>
      <c r="D1700" s="23">
        <v>46515.428807870368</v>
      </c>
      <c r="E1700" t="s">
        <v>1635</v>
      </c>
      <c r="F1700">
        <v>1566</v>
      </c>
      <c r="G1700" t="s">
        <v>11</v>
      </c>
      <c r="I1700" t="str">
        <f t="shared" si="54"/>
        <v>EE10058-1|INFORME 07/26</v>
      </c>
      <c r="J1700" t="str">
        <f t="shared" si="55"/>
        <v>SÍ</v>
      </c>
    </row>
    <row r="1701" spans="1:10" x14ac:dyDescent="0.3">
      <c r="A1701" t="s">
        <v>663</v>
      </c>
      <c r="B1701" t="s">
        <v>832</v>
      </c>
      <c r="C1701" t="s">
        <v>1554</v>
      </c>
      <c r="D1701" s="23">
        <v>46488.125567129631</v>
      </c>
      <c r="E1701" t="s">
        <v>1637</v>
      </c>
      <c r="F1701">
        <v>143</v>
      </c>
      <c r="G1701" t="s">
        <v>2170</v>
      </c>
      <c r="I1701" t="str">
        <f t="shared" si="54"/>
        <v>BS0001PE|BN-22326-E3</v>
      </c>
      <c r="J1701" t="str">
        <f t="shared" si="55"/>
        <v>SÍ</v>
      </c>
    </row>
    <row r="1702" spans="1:10" x14ac:dyDescent="0.3">
      <c r="A1702" t="s">
        <v>464</v>
      </c>
      <c r="B1702" t="s">
        <v>465</v>
      </c>
      <c r="C1702" t="s">
        <v>1555</v>
      </c>
      <c r="D1702" s="23">
        <v>46590.336863425917</v>
      </c>
      <c r="E1702" t="s">
        <v>10</v>
      </c>
      <c r="F1702">
        <v>325</v>
      </c>
      <c r="G1702" t="s">
        <v>11</v>
      </c>
      <c r="I1702" t="str">
        <f t="shared" si="54"/>
        <v>EE10001|CT-15/26</v>
      </c>
      <c r="J1702" t="str">
        <f t="shared" si="55"/>
        <v>SÍ</v>
      </c>
    </row>
    <row r="1703" spans="1:10" x14ac:dyDescent="0.3">
      <c r="A1703" t="s">
        <v>471</v>
      </c>
      <c r="B1703" t="s">
        <v>472</v>
      </c>
      <c r="C1703" t="s">
        <v>506</v>
      </c>
      <c r="D1703" s="23">
        <v>46603.352210648147</v>
      </c>
      <c r="E1703" t="s">
        <v>1635</v>
      </c>
      <c r="F1703">
        <v>824</v>
      </c>
      <c r="G1703" t="s">
        <v>11</v>
      </c>
      <c r="I1703" t="str">
        <f t="shared" si="54"/>
        <v>EE10009|CR-18/26</v>
      </c>
      <c r="J1703" t="str">
        <f t="shared" si="55"/>
        <v>SÍ</v>
      </c>
    </row>
    <row r="1704" spans="1:10" x14ac:dyDescent="0.3">
      <c r="A1704" t="s">
        <v>692</v>
      </c>
      <c r="B1704" t="s">
        <v>861</v>
      </c>
      <c r="C1704" t="s">
        <v>1556</v>
      </c>
      <c r="D1704" s="23">
        <v>46485</v>
      </c>
      <c r="E1704" t="s">
        <v>1637</v>
      </c>
      <c r="F1704">
        <v>32</v>
      </c>
      <c r="G1704" t="s">
        <v>2171</v>
      </c>
      <c r="I1704" t="str">
        <f t="shared" si="54"/>
        <v>RT0132PE|RJ-22026-E2</v>
      </c>
      <c r="J1704" t="str">
        <f t="shared" si="55"/>
        <v>SÍ</v>
      </c>
    </row>
    <row r="1705" spans="1:10" x14ac:dyDescent="0.3">
      <c r="A1705" t="s">
        <v>346</v>
      </c>
      <c r="B1705" t="s">
        <v>347</v>
      </c>
      <c r="C1705" t="s">
        <v>438</v>
      </c>
      <c r="D1705" s="23">
        <v>46575.620150462957</v>
      </c>
      <c r="E1705" t="s">
        <v>10</v>
      </c>
      <c r="F1705">
        <v>300</v>
      </c>
      <c r="G1705" t="s">
        <v>40</v>
      </c>
      <c r="I1705" t="str">
        <f t="shared" si="54"/>
        <v>MP10020|SB-03/26</v>
      </c>
      <c r="J1705" t="str">
        <f t="shared" si="55"/>
        <v>SÍ</v>
      </c>
    </row>
    <row r="1706" spans="1:10" x14ac:dyDescent="0.3">
      <c r="A1706" t="s">
        <v>440</v>
      </c>
      <c r="B1706" t="s">
        <v>441</v>
      </c>
      <c r="C1706" t="s">
        <v>439</v>
      </c>
      <c r="D1706" s="23">
        <v>46542.669583333343</v>
      </c>
      <c r="E1706" t="s">
        <v>10</v>
      </c>
      <c r="F1706">
        <v>2360</v>
      </c>
      <c r="G1706" t="s">
        <v>40</v>
      </c>
      <c r="I1706" t="str">
        <f t="shared" si="54"/>
        <v>MP10021|SB-02/26</v>
      </c>
      <c r="J1706" t="str">
        <f t="shared" si="55"/>
        <v>SÍ</v>
      </c>
    </row>
    <row r="1707" spans="1:10" x14ac:dyDescent="0.3">
      <c r="A1707" t="s">
        <v>440</v>
      </c>
      <c r="B1707" t="s">
        <v>441</v>
      </c>
      <c r="C1707" t="s">
        <v>438</v>
      </c>
      <c r="D1707" s="23">
        <v>46548.674895833326</v>
      </c>
      <c r="E1707" t="s">
        <v>10</v>
      </c>
      <c r="F1707">
        <v>1640</v>
      </c>
      <c r="G1707" t="s">
        <v>40</v>
      </c>
      <c r="I1707" t="str">
        <f t="shared" si="54"/>
        <v>MP10021|SB-03/26</v>
      </c>
      <c r="J1707" t="str">
        <f t="shared" si="55"/>
        <v>SÍ</v>
      </c>
    </row>
    <row r="1708" spans="1:10" x14ac:dyDescent="0.3">
      <c r="A1708" t="s">
        <v>262</v>
      </c>
      <c r="B1708" t="s">
        <v>263</v>
      </c>
      <c r="C1708" t="s">
        <v>1557</v>
      </c>
      <c r="D1708" s="23">
        <v>46624.505335648151</v>
      </c>
      <c r="E1708" t="s">
        <v>10</v>
      </c>
      <c r="F1708">
        <v>2500</v>
      </c>
      <c r="G1708" t="s">
        <v>11</v>
      </c>
      <c r="I1708" t="str">
        <f t="shared" si="54"/>
        <v>EE10160|CR-19/26</v>
      </c>
      <c r="J1708" t="str">
        <f t="shared" si="55"/>
        <v>SÍ</v>
      </c>
    </row>
    <row r="1709" spans="1:10" x14ac:dyDescent="0.3">
      <c r="A1709" t="s">
        <v>356</v>
      </c>
      <c r="B1709" t="s">
        <v>357</v>
      </c>
      <c r="C1709" t="s">
        <v>1558</v>
      </c>
      <c r="D1709" s="23">
        <v>46630.732766203713</v>
      </c>
      <c r="E1709" t="s">
        <v>10</v>
      </c>
      <c r="F1709">
        <v>3025</v>
      </c>
      <c r="G1709" t="s">
        <v>11</v>
      </c>
      <c r="I1709" t="str">
        <f t="shared" si="54"/>
        <v>EE10213|CT-20/26</v>
      </c>
      <c r="J1709" t="str">
        <f t="shared" si="55"/>
        <v>SÍ</v>
      </c>
    </row>
    <row r="1710" spans="1:10" x14ac:dyDescent="0.3">
      <c r="A1710" t="s">
        <v>235</v>
      </c>
      <c r="B1710" t="s">
        <v>236</v>
      </c>
      <c r="C1710" t="s">
        <v>270</v>
      </c>
      <c r="D1710" s="23">
        <v>47026.450439814813</v>
      </c>
      <c r="E1710" t="s">
        <v>10</v>
      </c>
      <c r="F1710">
        <v>2500</v>
      </c>
      <c r="G1710" t="s">
        <v>11</v>
      </c>
      <c r="I1710" t="str">
        <f t="shared" si="54"/>
        <v>EE10239|INFORME 02/26</v>
      </c>
      <c r="J1710" t="str">
        <f t="shared" si="55"/>
        <v>SÍ</v>
      </c>
    </row>
    <row r="1711" spans="1:10" x14ac:dyDescent="0.3">
      <c r="A1711" t="s">
        <v>509</v>
      </c>
      <c r="B1711" t="s">
        <v>510</v>
      </c>
      <c r="C1711" t="s">
        <v>1559</v>
      </c>
      <c r="D1711" s="23">
        <v>46272.607881944437</v>
      </c>
      <c r="E1711" t="s">
        <v>10</v>
      </c>
      <c r="F1711">
        <v>1663</v>
      </c>
      <c r="G1711" t="s">
        <v>40</v>
      </c>
      <c r="I1711" t="str">
        <f t="shared" si="54"/>
        <v>MP10010|INFORME 229/26</v>
      </c>
      <c r="J1711" t="str">
        <f t="shared" si="55"/>
        <v>SÍ</v>
      </c>
    </row>
    <row r="1712" spans="1:10" x14ac:dyDescent="0.3">
      <c r="A1712" t="s">
        <v>464</v>
      </c>
      <c r="B1712" t="s">
        <v>465</v>
      </c>
      <c r="C1712" t="s">
        <v>1560</v>
      </c>
      <c r="D1712" s="23">
        <v>46630.617928240739</v>
      </c>
      <c r="E1712" t="s">
        <v>10</v>
      </c>
      <c r="F1712">
        <v>10000</v>
      </c>
      <c r="G1712" t="s">
        <v>11</v>
      </c>
      <c r="I1712" t="str">
        <f t="shared" si="54"/>
        <v>EE10001|CT-21/26</v>
      </c>
      <c r="J1712" t="str">
        <f t="shared" si="55"/>
        <v>SÍ</v>
      </c>
    </row>
    <row r="1713" spans="1:10" x14ac:dyDescent="0.3">
      <c r="A1713" t="s">
        <v>453</v>
      </c>
      <c r="B1713" t="s">
        <v>454</v>
      </c>
      <c r="C1713" t="s">
        <v>423</v>
      </c>
      <c r="D1713" s="23">
        <v>46630.6250462963</v>
      </c>
      <c r="E1713" t="s">
        <v>10</v>
      </c>
      <c r="F1713">
        <v>2028.41</v>
      </c>
      <c r="G1713" t="s">
        <v>40</v>
      </c>
      <c r="I1713" t="str">
        <f t="shared" si="54"/>
        <v>EE10298|LA-02/26</v>
      </c>
      <c r="J1713" t="str">
        <f t="shared" si="55"/>
        <v>SÍ</v>
      </c>
    </row>
    <row r="1714" spans="1:10" x14ac:dyDescent="0.3">
      <c r="A1714" t="s">
        <v>453</v>
      </c>
      <c r="B1714" t="s">
        <v>454</v>
      </c>
      <c r="C1714" t="s">
        <v>424</v>
      </c>
      <c r="D1714" s="23">
        <v>46630.62699074074</v>
      </c>
      <c r="E1714" t="s">
        <v>10</v>
      </c>
      <c r="F1714">
        <v>2825.02</v>
      </c>
      <c r="G1714" t="s">
        <v>40</v>
      </c>
      <c r="I1714" t="str">
        <f t="shared" si="54"/>
        <v>EE10298|LA-03/26</v>
      </c>
      <c r="J1714" t="str">
        <f t="shared" si="55"/>
        <v>SÍ</v>
      </c>
    </row>
    <row r="1715" spans="1:10" x14ac:dyDescent="0.3">
      <c r="A1715" t="s">
        <v>453</v>
      </c>
      <c r="B1715" t="s">
        <v>454</v>
      </c>
      <c r="C1715" t="s">
        <v>425</v>
      </c>
      <c r="D1715" s="23">
        <v>46630.628391203703</v>
      </c>
      <c r="E1715" t="s">
        <v>10</v>
      </c>
      <c r="F1715">
        <v>3958.42</v>
      </c>
      <c r="G1715" t="s">
        <v>40</v>
      </c>
      <c r="I1715" t="str">
        <f t="shared" si="54"/>
        <v>EE10298|LA-04/26</v>
      </c>
      <c r="J1715" t="str">
        <f t="shared" si="55"/>
        <v>SÍ</v>
      </c>
    </row>
    <row r="1716" spans="1:10" x14ac:dyDescent="0.3">
      <c r="A1716" t="s">
        <v>721</v>
      </c>
      <c r="B1716" t="s">
        <v>890</v>
      </c>
      <c r="C1716" t="s">
        <v>1561</v>
      </c>
      <c r="D1716" s="23">
        <v>46556.515960648147</v>
      </c>
      <c r="E1716" t="s">
        <v>1639</v>
      </c>
      <c r="F1716">
        <v>28</v>
      </c>
      <c r="G1716" t="s">
        <v>2183</v>
      </c>
      <c r="I1716" t="str">
        <f t="shared" si="54"/>
        <v>TC0009CO|SN-23326-E11</v>
      </c>
      <c r="J1716" t="str">
        <f t="shared" si="55"/>
        <v>SÍ</v>
      </c>
    </row>
    <row r="1717" spans="1:10" x14ac:dyDescent="0.3">
      <c r="A1717" t="s">
        <v>722</v>
      </c>
      <c r="B1717" t="s">
        <v>891</v>
      </c>
      <c r="C1717" t="s">
        <v>1562</v>
      </c>
      <c r="D1717" s="23">
        <v>46624</v>
      </c>
      <c r="E1717" t="s">
        <v>2094</v>
      </c>
      <c r="F1717">
        <v>21</v>
      </c>
      <c r="G1717" t="s">
        <v>2169</v>
      </c>
      <c r="I1717" t="str">
        <f t="shared" si="54"/>
        <v>TQ0003RD|QN-23726-E10</v>
      </c>
      <c r="J1717" t="str">
        <f t="shared" si="55"/>
        <v>SÍ</v>
      </c>
    </row>
    <row r="1718" spans="1:10" x14ac:dyDescent="0.3">
      <c r="A1718" t="s">
        <v>721</v>
      </c>
      <c r="B1718" t="s">
        <v>890</v>
      </c>
      <c r="C1718" t="s">
        <v>1563</v>
      </c>
      <c r="D1718" s="23">
        <v>46556.388402777768</v>
      </c>
      <c r="E1718" t="s">
        <v>1639</v>
      </c>
      <c r="F1718">
        <v>9</v>
      </c>
      <c r="G1718" t="s">
        <v>2183</v>
      </c>
      <c r="I1718" t="str">
        <f t="shared" si="54"/>
        <v>TC0009CO|SN-23426-E11</v>
      </c>
      <c r="J1718" t="str">
        <f t="shared" si="55"/>
        <v>SÍ</v>
      </c>
    </row>
    <row r="1719" spans="1:10" x14ac:dyDescent="0.3">
      <c r="A1719" t="s">
        <v>453</v>
      </c>
      <c r="B1719" t="s">
        <v>454</v>
      </c>
      <c r="C1719" t="s">
        <v>423</v>
      </c>
      <c r="D1719" s="23">
        <v>46630.6250462963</v>
      </c>
      <c r="E1719" t="s">
        <v>1635</v>
      </c>
      <c r="F1719">
        <v>258.89589999999998</v>
      </c>
      <c r="G1719" t="s">
        <v>40</v>
      </c>
      <c r="I1719" t="str">
        <f t="shared" si="54"/>
        <v>EE10298|LA-02/26</v>
      </c>
      <c r="J1719" t="str">
        <f t="shared" si="55"/>
        <v>SÍ</v>
      </c>
    </row>
    <row r="1720" spans="1:10" x14ac:dyDescent="0.3">
      <c r="A1720" t="s">
        <v>190</v>
      </c>
      <c r="B1720" t="s">
        <v>191</v>
      </c>
      <c r="E1720" t="s">
        <v>1635</v>
      </c>
      <c r="F1720">
        <v>116.7878</v>
      </c>
      <c r="G1720" t="s">
        <v>11</v>
      </c>
      <c r="I1720" t="str">
        <f t="shared" si="54"/>
        <v>EE10099|</v>
      </c>
      <c r="J1720" t="str">
        <f t="shared" si="55"/>
        <v>SÍ</v>
      </c>
    </row>
    <row r="1721" spans="1:10" x14ac:dyDescent="0.3">
      <c r="A1721" t="s">
        <v>373</v>
      </c>
      <c r="B1721" t="s">
        <v>374</v>
      </c>
      <c r="C1721" t="s">
        <v>288</v>
      </c>
      <c r="D1721" s="23">
        <v>47024.688067129631</v>
      </c>
      <c r="E1721" t="s">
        <v>1635</v>
      </c>
      <c r="F1721">
        <v>10</v>
      </c>
      <c r="G1721" t="s">
        <v>11</v>
      </c>
      <c r="I1721" t="str">
        <f t="shared" si="54"/>
        <v>EE10200|INFORME 03/26</v>
      </c>
      <c r="J1721" t="str">
        <f t="shared" si="55"/>
        <v>SÍ</v>
      </c>
    </row>
    <row r="1722" spans="1:10" x14ac:dyDescent="0.3">
      <c r="A1722" t="s">
        <v>595</v>
      </c>
      <c r="B1722" t="s">
        <v>764</v>
      </c>
      <c r="C1722" t="s">
        <v>1381</v>
      </c>
      <c r="D1722" s="23">
        <v>46553</v>
      </c>
      <c r="E1722" t="s">
        <v>1639</v>
      </c>
      <c r="F1722">
        <v>2</v>
      </c>
      <c r="G1722" t="s">
        <v>2168</v>
      </c>
      <c r="I1722" t="str">
        <f t="shared" si="54"/>
        <v>TC0058PE|SC-22726-E7</v>
      </c>
      <c r="J1722" t="str">
        <f t="shared" si="55"/>
        <v>SÍ</v>
      </c>
    </row>
    <row r="1723" spans="1:10" x14ac:dyDescent="0.3">
      <c r="A1723" t="s">
        <v>579</v>
      </c>
      <c r="B1723" t="s">
        <v>748</v>
      </c>
      <c r="C1723" t="s">
        <v>1564</v>
      </c>
      <c r="D1723" s="23">
        <v>46587.725624999999</v>
      </c>
      <c r="E1723" t="s">
        <v>1639</v>
      </c>
      <c r="F1723">
        <v>1</v>
      </c>
      <c r="G1723" t="s">
        <v>2167</v>
      </c>
      <c r="I1723" t="str">
        <f t="shared" si="54"/>
        <v>TQ0035PE|QN-20026-E10</v>
      </c>
      <c r="J1723" t="str">
        <f t="shared" si="55"/>
        <v>SÍ</v>
      </c>
    </row>
    <row r="1724" spans="1:10" x14ac:dyDescent="0.3">
      <c r="A1724" t="s">
        <v>586</v>
      </c>
      <c r="B1724" t="s">
        <v>755</v>
      </c>
      <c r="C1724" t="s">
        <v>1104</v>
      </c>
      <c r="D1724" s="23">
        <v>46482.754525462973</v>
      </c>
      <c r="E1724" t="s">
        <v>1640</v>
      </c>
      <c r="F1724">
        <v>5</v>
      </c>
      <c r="G1724" t="s">
        <v>2169</v>
      </c>
      <c r="I1724" t="str">
        <f t="shared" si="54"/>
        <v>TC0082PE|SN-16026-E3</v>
      </c>
      <c r="J1724" t="str">
        <f t="shared" si="55"/>
        <v>SÍ</v>
      </c>
    </row>
    <row r="1725" spans="1:10" x14ac:dyDescent="0.3">
      <c r="A1725" t="s">
        <v>591</v>
      </c>
      <c r="B1725" t="s">
        <v>760</v>
      </c>
      <c r="C1725" t="s">
        <v>1437</v>
      </c>
      <c r="D1725" s="23">
        <v>46482.232534722221</v>
      </c>
      <c r="E1725" t="s">
        <v>1640</v>
      </c>
      <c r="F1725">
        <v>1</v>
      </c>
      <c r="G1725" t="s">
        <v>2169</v>
      </c>
      <c r="I1725" t="str">
        <f t="shared" si="54"/>
        <v>TC0087PE|SP-15626-E7</v>
      </c>
      <c r="J1725" t="str">
        <f t="shared" si="55"/>
        <v>SÍ</v>
      </c>
    </row>
    <row r="1726" spans="1:10" x14ac:dyDescent="0.3">
      <c r="A1726" t="s">
        <v>591</v>
      </c>
      <c r="B1726" t="s">
        <v>760</v>
      </c>
      <c r="C1726" t="s">
        <v>1438</v>
      </c>
      <c r="D1726" s="23">
        <v>46481.268819444442</v>
      </c>
      <c r="E1726" t="s">
        <v>1640</v>
      </c>
      <c r="F1726">
        <v>1</v>
      </c>
      <c r="G1726" t="s">
        <v>2169</v>
      </c>
      <c r="I1726" t="str">
        <f t="shared" si="54"/>
        <v>TC0087PE|SP-15526-E7</v>
      </c>
      <c r="J1726" t="str">
        <f t="shared" si="55"/>
        <v>SÍ</v>
      </c>
    </row>
    <row r="1727" spans="1:10" x14ac:dyDescent="0.3">
      <c r="A1727" t="s">
        <v>596</v>
      </c>
      <c r="B1727" t="s">
        <v>765</v>
      </c>
      <c r="C1727" t="s">
        <v>1027</v>
      </c>
      <c r="D1727" s="23">
        <v>46476</v>
      </c>
      <c r="E1727" t="s">
        <v>1640</v>
      </c>
      <c r="F1727">
        <v>5</v>
      </c>
      <c r="G1727" t="s">
        <v>2166</v>
      </c>
      <c r="I1727" t="str">
        <f t="shared" si="54"/>
        <v>TC0015PE|SN-15026-E7</v>
      </c>
      <c r="J1727" t="str">
        <f t="shared" si="55"/>
        <v>SÍ</v>
      </c>
    </row>
    <row r="1728" spans="1:10" x14ac:dyDescent="0.3">
      <c r="A1728" t="s">
        <v>582</v>
      </c>
      <c r="B1728" t="s">
        <v>751</v>
      </c>
      <c r="C1728" t="s">
        <v>1024</v>
      </c>
      <c r="D1728" s="23">
        <v>46508.841921296298</v>
      </c>
      <c r="E1728" t="s">
        <v>1640</v>
      </c>
      <c r="F1728">
        <v>1</v>
      </c>
      <c r="G1728" t="s">
        <v>2166</v>
      </c>
      <c r="I1728" t="str">
        <f t="shared" si="54"/>
        <v>TC0006PE|SN-18226-E8</v>
      </c>
      <c r="J1728" t="str">
        <f t="shared" si="55"/>
        <v>SÍ</v>
      </c>
    </row>
    <row r="1729" spans="1:10" x14ac:dyDescent="0.3">
      <c r="A1729" t="s">
        <v>582</v>
      </c>
      <c r="B1729" t="s">
        <v>751</v>
      </c>
      <c r="C1729" t="s">
        <v>1045</v>
      </c>
      <c r="D1729" s="23">
        <v>46514</v>
      </c>
      <c r="E1729" t="s">
        <v>1640</v>
      </c>
      <c r="F1729">
        <v>4</v>
      </c>
      <c r="G1729" t="s">
        <v>2166</v>
      </c>
      <c r="I1729" t="str">
        <f t="shared" si="54"/>
        <v>TC0006PE|SN-18826-E3</v>
      </c>
      <c r="J1729" t="str">
        <f t="shared" si="55"/>
        <v>SÍ</v>
      </c>
    </row>
    <row r="1730" spans="1:10" x14ac:dyDescent="0.3">
      <c r="A1730" t="s">
        <v>582</v>
      </c>
      <c r="B1730" t="s">
        <v>751</v>
      </c>
      <c r="C1730" t="s">
        <v>1049</v>
      </c>
      <c r="D1730" s="23">
        <v>46515.179490740738</v>
      </c>
      <c r="E1730" t="s">
        <v>1640</v>
      </c>
      <c r="F1730">
        <v>1</v>
      </c>
      <c r="G1730" t="s">
        <v>2166</v>
      </c>
      <c r="I1730" t="str">
        <f t="shared" si="54"/>
        <v>TC0006PE|SN-18926-E3</v>
      </c>
      <c r="J1730" t="str">
        <f t="shared" si="55"/>
        <v>SÍ</v>
      </c>
    </row>
    <row r="1731" spans="1:10" x14ac:dyDescent="0.3">
      <c r="A1731" t="s">
        <v>580</v>
      </c>
      <c r="B1731" t="s">
        <v>749</v>
      </c>
      <c r="C1731" t="s">
        <v>1224</v>
      </c>
      <c r="D1731" s="23">
        <v>46501.546655092592</v>
      </c>
      <c r="E1731" t="s">
        <v>1640</v>
      </c>
      <c r="F1731">
        <v>1</v>
      </c>
      <c r="G1731" t="s">
        <v>2166</v>
      </c>
      <c r="I1731" t="str">
        <f t="shared" si="54"/>
        <v>TC0004PE|SP-17526-E7</v>
      </c>
      <c r="J1731" t="str">
        <f t="shared" si="55"/>
        <v>SÍ</v>
      </c>
    </row>
    <row r="1732" spans="1:10" x14ac:dyDescent="0.3">
      <c r="A1732" t="s">
        <v>723</v>
      </c>
      <c r="B1732" t="s">
        <v>892</v>
      </c>
      <c r="C1732" t="s">
        <v>1565</v>
      </c>
      <c r="D1732" s="23">
        <v>46550.112071759257</v>
      </c>
      <c r="E1732" t="s">
        <v>1640</v>
      </c>
      <c r="F1732">
        <v>4</v>
      </c>
      <c r="G1732" t="s">
        <v>2168</v>
      </c>
      <c r="I1732" t="str">
        <f t="shared" si="54"/>
        <v>TC0245US|SN-22526-E7</v>
      </c>
      <c r="J1732" t="str">
        <f t="shared" si="55"/>
        <v>SÍ</v>
      </c>
    </row>
    <row r="1733" spans="1:10" x14ac:dyDescent="0.3">
      <c r="A1733" t="s">
        <v>723</v>
      </c>
      <c r="B1733" t="s">
        <v>892</v>
      </c>
      <c r="C1733" t="s">
        <v>1566</v>
      </c>
      <c r="D1733" s="23">
        <v>46556.533321759263</v>
      </c>
      <c r="E1733" t="s">
        <v>1640</v>
      </c>
      <c r="F1733">
        <v>2</v>
      </c>
      <c r="G1733" t="s">
        <v>2168</v>
      </c>
      <c r="I1733" t="str">
        <f t="shared" si="54"/>
        <v>TC0245US|SN-23026-E7</v>
      </c>
      <c r="J1733" t="str">
        <f t="shared" si="55"/>
        <v>SÍ</v>
      </c>
    </row>
    <row r="1734" spans="1:10" x14ac:dyDescent="0.3">
      <c r="A1734" t="s">
        <v>591</v>
      </c>
      <c r="B1734" t="s">
        <v>760</v>
      </c>
      <c r="C1734" t="s">
        <v>1420</v>
      </c>
      <c r="D1734" s="23">
        <v>46510</v>
      </c>
      <c r="E1734" t="s">
        <v>1640</v>
      </c>
      <c r="F1734">
        <v>11</v>
      </c>
      <c r="G1734" t="s">
        <v>2169</v>
      </c>
      <c r="I1734" t="str">
        <f t="shared" si="54"/>
        <v>TC0087PE|SP-18426-E7</v>
      </c>
      <c r="J1734" t="str">
        <f t="shared" si="55"/>
        <v>SÍ</v>
      </c>
    </row>
    <row r="1735" spans="1:10" x14ac:dyDescent="0.3">
      <c r="A1735" t="s">
        <v>593</v>
      </c>
      <c r="B1735" t="s">
        <v>762</v>
      </c>
      <c r="C1735" t="s">
        <v>1363</v>
      </c>
      <c r="D1735" s="23">
        <v>46552</v>
      </c>
      <c r="E1735" t="s">
        <v>1640</v>
      </c>
      <c r="F1735">
        <v>1</v>
      </c>
      <c r="G1735" t="s">
        <v>2168</v>
      </c>
      <c r="I1735" t="str">
        <f t="shared" si="54"/>
        <v>TC0123PE|SC-22626-E7</v>
      </c>
      <c r="J1735" t="str">
        <f t="shared" si="55"/>
        <v>SÍ</v>
      </c>
    </row>
    <row r="1736" spans="1:10" x14ac:dyDescent="0.3">
      <c r="A1736" t="s">
        <v>599</v>
      </c>
      <c r="B1736" t="s">
        <v>768</v>
      </c>
      <c r="C1736" t="s">
        <v>1567</v>
      </c>
      <c r="D1736" s="23">
        <v>46542</v>
      </c>
      <c r="E1736" t="s">
        <v>1640</v>
      </c>
      <c r="F1736">
        <v>1</v>
      </c>
      <c r="G1736" t="s">
        <v>2168</v>
      </c>
      <c r="I1736" t="str">
        <f t="shared" si="54"/>
        <v>TC0114PE|SN-21626-E2</v>
      </c>
      <c r="J1736" t="str">
        <f t="shared" si="55"/>
        <v>SÍ</v>
      </c>
    </row>
    <row r="1737" spans="1:10" x14ac:dyDescent="0.3">
      <c r="A1737" t="s">
        <v>578</v>
      </c>
      <c r="B1737" t="s">
        <v>747</v>
      </c>
      <c r="C1737" t="s">
        <v>1568</v>
      </c>
      <c r="D1737" s="23">
        <v>46515.185046296298</v>
      </c>
      <c r="E1737" t="s">
        <v>1640</v>
      </c>
      <c r="F1737">
        <v>3</v>
      </c>
      <c r="G1737" t="s">
        <v>2168</v>
      </c>
      <c r="I1737" t="str">
        <f t="shared" si="54"/>
        <v>TC0091PE|SN-18926-E5</v>
      </c>
      <c r="J1737" t="str">
        <f t="shared" si="55"/>
        <v>SÍ</v>
      </c>
    </row>
    <row r="1738" spans="1:10" x14ac:dyDescent="0.3">
      <c r="A1738" t="s">
        <v>586</v>
      </c>
      <c r="B1738" t="s">
        <v>755</v>
      </c>
      <c r="C1738" t="s">
        <v>1569</v>
      </c>
      <c r="D1738" s="23">
        <v>46487.128993055558</v>
      </c>
      <c r="E1738" t="s">
        <v>1640</v>
      </c>
      <c r="F1738">
        <v>5</v>
      </c>
      <c r="G1738" t="s">
        <v>2169</v>
      </c>
      <c r="I1738" t="str">
        <f t="shared" si="54"/>
        <v>TC0082PE|SN-16126-E3</v>
      </c>
      <c r="J1738" t="str">
        <f t="shared" si="55"/>
        <v>SÍ</v>
      </c>
    </row>
    <row r="1739" spans="1:10" x14ac:dyDescent="0.3">
      <c r="A1739" t="s">
        <v>596</v>
      </c>
      <c r="B1739" t="s">
        <v>765</v>
      </c>
      <c r="C1739" t="s">
        <v>1490</v>
      </c>
      <c r="D1739" s="23">
        <v>46557.747696759259</v>
      </c>
      <c r="E1739" t="s">
        <v>1640</v>
      </c>
      <c r="F1739">
        <v>4</v>
      </c>
      <c r="G1739" t="s">
        <v>2166</v>
      </c>
      <c r="I1739" t="str">
        <f t="shared" si="54"/>
        <v>TC0015PE|SN-23126-E8</v>
      </c>
      <c r="J1739" t="str">
        <f t="shared" si="55"/>
        <v>SÍ</v>
      </c>
    </row>
    <row r="1740" spans="1:10" x14ac:dyDescent="0.3">
      <c r="A1740" t="s">
        <v>595</v>
      </c>
      <c r="B1740" t="s">
        <v>764</v>
      </c>
      <c r="C1740" t="s">
        <v>1363</v>
      </c>
      <c r="D1740" s="23">
        <v>46552</v>
      </c>
      <c r="E1740" t="s">
        <v>1640</v>
      </c>
      <c r="F1740">
        <v>3</v>
      </c>
      <c r="G1740" t="s">
        <v>2168</v>
      </c>
      <c r="I1740" t="str">
        <f t="shared" si="54"/>
        <v>TC0058PE|SC-22626-E7</v>
      </c>
      <c r="J1740" t="str">
        <f t="shared" si="55"/>
        <v>SÍ</v>
      </c>
    </row>
    <row r="1741" spans="1:10" x14ac:dyDescent="0.3">
      <c r="A1741" t="s">
        <v>588</v>
      </c>
      <c r="B1741" t="s">
        <v>757</v>
      </c>
      <c r="C1741" t="s">
        <v>1252</v>
      </c>
      <c r="D1741" s="23">
        <v>46494</v>
      </c>
      <c r="E1741" t="s">
        <v>1640</v>
      </c>
      <c r="F1741">
        <v>3</v>
      </c>
      <c r="G1741" t="s">
        <v>2169</v>
      </c>
      <c r="I1741" t="str">
        <f t="shared" si="54"/>
        <v>TC0086PE|SC-16826-E8</v>
      </c>
      <c r="J1741" t="str">
        <f t="shared" si="55"/>
        <v>SÍ</v>
      </c>
    </row>
    <row r="1742" spans="1:10" x14ac:dyDescent="0.3">
      <c r="A1742" t="s">
        <v>360</v>
      </c>
      <c r="B1742" t="s">
        <v>361</v>
      </c>
      <c r="C1742" t="s">
        <v>1570</v>
      </c>
      <c r="D1742" s="23">
        <v>46325.931597222218</v>
      </c>
      <c r="E1742" t="s">
        <v>10</v>
      </c>
      <c r="F1742">
        <v>9498</v>
      </c>
      <c r="G1742" t="s">
        <v>40</v>
      </c>
      <c r="I1742" t="str">
        <f t="shared" si="54"/>
        <v>MP10002|INFORME 204/26</v>
      </c>
      <c r="J1742" t="str">
        <f t="shared" si="55"/>
        <v>SÍ</v>
      </c>
    </row>
    <row r="1743" spans="1:10" x14ac:dyDescent="0.3">
      <c r="A1743" t="s">
        <v>360</v>
      </c>
      <c r="B1743" t="s">
        <v>361</v>
      </c>
      <c r="C1743" t="s">
        <v>1571</v>
      </c>
      <c r="D1743" s="23">
        <v>46295.933449074073</v>
      </c>
      <c r="E1743" t="s">
        <v>10</v>
      </c>
      <c r="F1743">
        <v>10453</v>
      </c>
      <c r="G1743" t="s">
        <v>40</v>
      </c>
      <c r="I1743" t="str">
        <f t="shared" si="54"/>
        <v>MP10002|INFORME 193/26</v>
      </c>
      <c r="J1743" t="str">
        <f t="shared" si="55"/>
        <v>SÍ</v>
      </c>
    </row>
    <row r="1744" spans="1:10" x14ac:dyDescent="0.3">
      <c r="A1744" t="s">
        <v>360</v>
      </c>
      <c r="B1744" t="s">
        <v>361</v>
      </c>
      <c r="C1744" t="s">
        <v>1572</v>
      </c>
      <c r="D1744" s="23">
        <v>46295.935173611113</v>
      </c>
      <c r="E1744" t="s">
        <v>10</v>
      </c>
      <c r="F1744">
        <v>20230</v>
      </c>
      <c r="G1744" t="s">
        <v>40</v>
      </c>
      <c r="I1744" t="str">
        <f t="shared" si="54"/>
        <v>MP10002|INFORME 195/26</v>
      </c>
      <c r="J1744" t="str">
        <f t="shared" si="55"/>
        <v>SÍ</v>
      </c>
    </row>
    <row r="1745" spans="1:10" x14ac:dyDescent="0.3">
      <c r="A1745" t="s">
        <v>235</v>
      </c>
      <c r="B1745" t="s">
        <v>236</v>
      </c>
      <c r="C1745" t="s">
        <v>270</v>
      </c>
      <c r="D1745" s="23">
        <v>47026.450439814813</v>
      </c>
      <c r="E1745" t="s">
        <v>1635</v>
      </c>
      <c r="F1745">
        <v>620</v>
      </c>
      <c r="G1745" t="s">
        <v>11</v>
      </c>
      <c r="I1745" t="str">
        <f t="shared" si="54"/>
        <v>EE10239|INFORME 02/26</v>
      </c>
      <c r="J1745" t="str">
        <f t="shared" si="55"/>
        <v>SÍ</v>
      </c>
    </row>
    <row r="1746" spans="1:10" x14ac:dyDescent="0.3">
      <c r="A1746" t="s">
        <v>315</v>
      </c>
      <c r="B1746" t="s">
        <v>316</v>
      </c>
      <c r="C1746" t="s">
        <v>1573</v>
      </c>
      <c r="D1746" s="23">
        <v>46996.716770833344</v>
      </c>
      <c r="E1746" t="s">
        <v>1635</v>
      </c>
      <c r="F1746">
        <v>8800</v>
      </c>
      <c r="G1746" t="s">
        <v>11</v>
      </c>
      <c r="I1746" t="str">
        <f t="shared" ref="I1746:I1809" si="56">IF(A1746="","",A1746&amp;"|"&amp;C1746)</f>
        <v>EE10264|INFORME 10/26</v>
      </c>
      <c r="J1746" t="str">
        <f t="shared" ref="J1746:J1809" si="57">IF(A1746&lt;&gt;"","SÍ","NO")</f>
        <v>SÍ</v>
      </c>
    </row>
    <row r="1747" spans="1:10" x14ac:dyDescent="0.3">
      <c r="A1747" t="s">
        <v>313</v>
      </c>
      <c r="B1747" t="s">
        <v>314</v>
      </c>
      <c r="C1747" t="s">
        <v>1574</v>
      </c>
      <c r="D1747" s="23">
        <v>46752.716851851852</v>
      </c>
      <c r="E1747" t="s">
        <v>1635</v>
      </c>
      <c r="F1747">
        <v>8800</v>
      </c>
      <c r="G1747" t="s">
        <v>11</v>
      </c>
      <c r="I1747" t="str">
        <f t="shared" si="56"/>
        <v>EE10263|INFORME 11/26</v>
      </c>
      <c r="J1747" t="str">
        <f t="shared" si="57"/>
        <v>SÍ</v>
      </c>
    </row>
    <row r="1748" spans="1:10" x14ac:dyDescent="0.3">
      <c r="A1748" t="s">
        <v>724</v>
      </c>
      <c r="B1748" t="s">
        <v>893</v>
      </c>
      <c r="C1748" t="s">
        <v>1575</v>
      </c>
      <c r="D1748" s="23">
        <v>46996.717048611114</v>
      </c>
      <c r="E1748" t="s">
        <v>1635</v>
      </c>
      <c r="F1748">
        <v>730</v>
      </c>
      <c r="G1748" t="s">
        <v>11</v>
      </c>
      <c r="I1748" t="str">
        <f t="shared" si="56"/>
        <v>EE10268|INFORME 13/26</v>
      </c>
      <c r="J1748" t="str">
        <f t="shared" si="57"/>
        <v>SÍ</v>
      </c>
    </row>
    <row r="1749" spans="1:10" x14ac:dyDescent="0.3">
      <c r="A1749" t="s">
        <v>464</v>
      </c>
      <c r="B1749" t="s">
        <v>465</v>
      </c>
      <c r="C1749" t="s">
        <v>466</v>
      </c>
      <c r="D1749" s="23">
        <v>46582.3593287037</v>
      </c>
      <c r="E1749" t="s">
        <v>1641</v>
      </c>
      <c r="F1749">
        <v>798</v>
      </c>
      <c r="G1749" t="s">
        <v>11</v>
      </c>
      <c r="I1749" t="str">
        <f t="shared" si="56"/>
        <v>EE10001|CT-16/26</v>
      </c>
      <c r="J1749" t="str">
        <f t="shared" si="57"/>
        <v>SÍ</v>
      </c>
    </row>
    <row r="1750" spans="1:10" x14ac:dyDescent="0.3">
      <c r="A1750" t="s">
        <v>592</v>
      </c>
      <c r="B1750" t="s">
        <v>761</v>
      </c>
      <c r="C1750" t="s">
        <v>1141</v>
      </c>
      <c r="D1750" s="23">
        <v>46500</v>
      </c>
      <c r="E1750" t="s">
        <v>1637</v>
      </c>
      <c r="F1750">
        <v>5</v>
      </c>
      <c r="G1750" t="s">
        <v>2168</v>
      </c>
      <c r="I1750" t="str">
        <f t="shared" si="56"/>
        <v>TC0113PE|SP-17426-E7</v>
      </c>
      <c r="J1750" t="str">
        <f t="shared" si="57"/>
        <v>SÍ</v>
      </c>
    </row>
    <row r="1751" spans="1:10" x14ac:dyDescent="0.3">
      <c r="A1751" t="s">
        <v>464</v>
      </c>
      <c r="B1751" t="s">
        <v>465</v>
      </c>
      <c r="C1751" t="s">
        <v>1555</v>
      </c>
      <c r="D1751" s="23">
        <v>46590.336863425917</v>
      </c>
      <c r="E1751" t="s">
        <v>1641</v>
      </c>
      <c r="F1751">
        <v>677</v>
      </c>
      <c r="G1751" t="s">
        <v>11</v>
      </c>
      <c r="I1751" t="str">
        <f t="shared" si="56"/>
        <v>EE10001|CT-15/26</v>
      </c>
      <c r="J1751" t="str">
        <f t="shared" si="57"/>
        <v>SÍ</v>
      </c>
    </row>
    <row r="1752" spans="1:10" x14ac:dyDescent="0.3">
      <c r="A1752" t="s">
        <v>231</v>
      </c>
      <c r="B1752" t="s">
        <v>232</v>
      </c>
      <c r="C1752" t="s">
        <v>127</v>
      </c>
      <c r="D1752" s="23">
        <v>46286.912106481483</v>
      </c>
      <c r="E1752" t="s">
        <v>1641</v>
      </c>
      <c r="F1752">
        <v>72.963999999999999</v>
      </c>
      <c r="G1752" t="s">
        <v>40</v>
      </c>
      <c r="I1752" t="str">
        <f t="shared" si="56"/>
        <v>MP10048|INFORME 09/25</v>
      </c>
      <c r="J1752" t="str">
        <f t="shared" si="57"/>
        <v>SÍ</v>
      </c>
    </row>
    <row r="1753" spans="1:10" x14ac:dyDescent="0.3">
      <c r="A1753" t="s">
        <v>346</v>
      </c>
      <c r="B1753" t="s">
        <v>347</v>
      </c>
      <c r="C1753" t="s">
        <v>270</v>
      </c>
      <c r="D1753" s="23">
        <v>46499.592499999999</v>
      </c>
      <c r="E1753" t="s">
        <v>1641</v>
      </c>
      <c r="F1753">
        <v>29.66</v>
      </c>
      <c r="G1753" t="s">
        <v>40</v>
      </c>
      <c r="I1753" t="str">
        <f t="shared" si="56"/>
        <v>MP10020|INFORME 02/26</v>
      </c>
      <c r="J1753" t="str">
        <f t="shared" si="57"/>
        <v>SÍ</v>
      </c>
    </row>
    <row r="1754" spans="1:10" x14ac:dyDescent="0.3">
      <c r="A1754" t="s">
        <v>586</v>
      </c>
      <c r="B1754" t="s">
        <v>755</v>
      </c>
      <c r="C1754" t="s">
        <v>1054</v>
      </c>
      <c r="D1754" s="23">
        <v>46516</v>
      </c>
      <c r="E1754" t="s">
        <v>1640</v>
      </c>
      <c r="F1754">
        <v>5</v>
      </c>
      <c r="G1754" t="s">
        <v>2169</v>
      </c>
      <c r="I1754" t="str">
        <f t="shared" si="56"/>
        <v>TC0082PE|SN-20426-E7</v>
      </c>
      <c r="J1754" t="str">
        <f t="shared" si="57"/>
        <v>SÍ</v>
      </c>
    </row>
    <row r="1755" spans="1:10" x14ac:dyDescent="0.3">
      <c r="A1755" t="s">
        <v>622</v>
      </c>
      <c r="B1755" t="s">
        <v>791</v>
      </c>
      <c r="C1755" t="s">
        <v>1576</v>
      </c>
      <c r="D1755" s="23">
        <v>46506.69159722222</v>
      </c>
      <c r="E1755" t="s">
        <v>2147</v>
      </c>
      <c r="F1755">
        <v>180</v>
      </c>
      <c r="G1755" t="s">
        <v>2171</v>
      </c>
      <c r="I1755" t="str">
        <f t="shared" si="56"/>
        <v>RT0123PE|RP-24126-E1</v>
      </c>
      <c r="J1755" t="str">
        <f t="shared" si="57"/>
        <v>SÍ</v>
      </c>
    </row>
    <row r="1756" spans="1:10" x14ac:dyDescent="0.3">
      <c r="A1756" t="s">
        <v>622</v>
      </c>
      <c r="B1756" t="s">
        <v>791</v>
      </c>
      <c r="C1756" t="s">
        <v>1577</v>
      </c>
      <c r="D1756" s="23">
        <v>46506.486203703702</v>
      </c>
      <c r="E1756" t="s">
        <v>2147</v>
      </c>
      <c r="F1756">
        <v>290</v>
      </c>
      <c r="G1756" t="s">
        <v>2171</v>
      </c>
      <c r="I1756" t="str">
        <f t="shared" si="56"/>
        <v>RT0123PE|RP-24126-E2</v>
      </c>
      <c r="J1756" t="str">
        <f t="shared" si="57"/>
        <v>SÍ</v>
      </c>
    </row>
    <row r="1757" spans="1:10" x14ac:dyDescent="0.3">
      <c r="A1757" t="s">
        <v>622</v>
      </c>
      <c r="B1757" t="s">
        <v>791</v>
      </c>
      <c r="C1757" t="s">
        <v>1578</v>
      </c>
      <c r="D1757" s="23">
        <v>46506.485567129632</v>
      </c>
      <c r="E1757" t="s">
        <v>2147</v>
      </c>
      <c r="F1757">
        <v>273</v>
      </c>
      <c r="G1757" t="s">
        <v>2171</v>
      </c>
      <c r="I1757" t="str">
        <f t="shared" si="56"/>
        <v>RT0123PE|RP-24126-E3</v>
      </c>
      <c r="J1757" t="str">
        <f t="shared" si="57"/>
        <v>SÍ</v>
      </c>
    </row>
    <row r="1758" spans="1:10" x14ac:dyDescent="0.3">
      <c r="A1758" t="s">
        <v>622</v>
      </c>
      <c r="B1758" t="s">
        <v>791</v>
      </c>
      <c r="C1758" t="s">
        <v>1579</v>
      </c>
      <c r="D1758" s="23">
        <v>46506.386689814812</v>
      </c>
      <c r="E1758" t="s">
        <v>2147</v>
      </c>
      <c r="F1758">
        <v>447</v>
      </c>
      <c r="G1758" t="s">
        <v>2171</v>
      </c>
      <c r="I1758" t="str">
        <f t="shared" si="56"/>
        <v>RT0123PE|RP-24126-E4</v>
      </c>
      <c r="J1758" t="str">
        <f t="shared" si="57"/>
        <v>SÍ</v>
      </c>
    </row>
    <row r="1759" spans="1:10" x14ac:dyDescent="0.3">
      <c r="A1759" t="s">
        <v>622</v>
      </c>
      <c r="B1759" t="s">
        <v>791</v>
      </c>
      <c r="C1759" t="s">
        <v>1580</v>
      </c>
      <c r="D1759" s="23">
        <v>46506.47252314815</v>
      </c>
      <c r="E1759" t="s">
        <v>2147</v>
      </c>
      <c r="F1759">
        <v>450</v>
      </c>
      <c r="G1759" t="s">
        <v>2171</v>
      </c>
      <c r="I1759" t="str">
        <f t="shared" si="56"/>
        <v>RT0123PE|RP-24126-E5</v>
      </c>
      <c r="J1759" t="str">
        <f t="shared" si="57"/>
        <v>SÍ</v>
      </c>
    </row>
    <row r="1760" spans="1:10" x14ac:dyDescent="0.3">
      <c r="A1760" t="s">
        <v>622</v>
      </c>
      <c r="B1760" t="s">
        <v>791</v>
      </c>
      <c r="C1760" t="s">
        <v>1581</v>
      </c>
      <c r="D1760" s="23">
        <v>46507</v>
      </c>
      <c r="E1760" t="s">
        <v>2147</v>
      </c>
      <c r="F1760">
        <v>125</v>
      </c>
      <c r="G1760" t="s">
        <v>2171</v>
      </c>
      <c r="I1760" t="str">
        <f t="shared" si="56"/>
        <v>RT0123PE|RP-24226-E2</v>
      </c>
      <c r="J1760" t="str">
        <f t="shared" si="57"/>
        <v>SÍ</v>
      </c>
    </row>
    <row r="1761" spans="1:10" x14ac:dyDescent="0.3">
      <c r="A1761" t="s">
        <v>622</v>
      </c>
      <c r="B1761" t="s">
        <v>791</v>
      </c>
      <c r="C1761" t="s">
        <v>1582</v>
      </c>
      <c r="D1761" s="23">
        <v>46507</v>
      </c>
      <c r="E1761" t="s">
        <v>2147</v>
      </c>
      <c r="F1761">
        <v>128</v>
      </c>
      <c r="G1761" t="s">
        <v>2171</v>
      </c>
      <c r="I1761" t="str">
        <f t="shared" si="56"/>
        <v>RT0123PE|RP-24226-E3</v>
      </c>
      <c r="J1761" t="str">
        <f t="shared" si="57"/>
        <v>SÍ</v>
      </c>
    </row>
    <row r="1762" spans="1:10" x14ac:dyDescent="0.3">
      <c r="A1762" t="s">
        <v>622</v>
      </c>
      <c r="B1762" t="s">
        <v>791</v>
      </c>
      <c r="C1762" t="s">
        <v>1583</v>
      </c>
      <c r="D1762" s="23">
        <v>46507</v>
      </c>
      <c r="E1762" t="s">
        <v>2147</v>
      </c>
      <c r="F1762">
        <v>128</v>
      </c>
      <c r="G1762" t="s">
        <v>2171</v>
      </c>
      <c r="I1762" t="str">
        <f t="shared" si="56"/>
        <v>RT0123PE|RP-24226-E4</v>
      </c>
      <c r="J1762" t="str">
        <f t="shared" si="57"/>
        <v>SÍ</v>
      </c>
    </row>
    <row r="1763" spans="1:10" x14ac:dyDescent="0.3">
      <c r="A1763" t="s">
        <v>622</v>
      </c>
      <c r="B1763" t="s">
        <v>791</v>
      </c>
      <c r="C1763" t="s">
        <v>1584</v>
      </c>
      <c r="D1763" s="23">
        <v>46507</v>
      </c>
      <c r="E1763" t="s">
        <v>2147</v>
      </c>
      <c r="F1763">
        <v>50</v>
      </c>
      <c r="G1763" t="s">
        <v>2171</v>
      </c>
      <c r="I1763" t="str">
        <f t="shared" si="56"/>
        <v>RT0123PE|RP-24226-E5</v>
      </c>
      <c r="J1763" t="str">
        <f t="shared" si="57"/>
        <v>SÍ</v>
      </c>
    </row>
    <row r="1764" spans="1:10" x14ac:dyDescent="0.3">
      <c r="A1764" t="s">
        <v>612</v>
      </c>
      <c r="B1764" t="s">
        <v>781</v>
      </c>
      <c r="C1764" t="s">
        <v>1585</v>
      </c>
      <c r="D1764" s="23">
        <v>46507</v>
      </c>
      <c r="E1764" t="s">
        <v>2147</v>
      </c>
      <c r="F1764">
        <v>220</v>
      </c>
      <c r="G1764" t="s">
        <v>2171</v>
      </c>
      <c r="I1764" t="str">
        <f t="shared" si="56"/>
        <v>RT0131PE|RP-24326-E4</v>
      </c>
      <c r="J1764" t="str">
        <f t="shared" si="57"/>
        <v>SÍ</v>
      </c>
    </row>
    <row r="1765" spans="1:10" x14ac:dyDescent="0.3">
      <c r="A1765" t="s">
        <v>612</v>
      </c>
      <c r="B1765" t="s">
        <v>781</v>
      </c>
      <c r="C1765" t="s">
        <v>1586</v>
      </c>
      <c r="D1765" s="23">
        <v>46507</v>
      </c>
      <c r="E1765" t="s">
        <v>2147</v>
      </c>
      <c r="F1765">
        <v>240</v>
      </c>
      <c r="G1765" t="s">
        <v>2171</v>
      </c>
      <c r="I1765" t="str">
        <f t="shared" si="56"/>
        <v>RT0131PE|RP-24326-E5</v>
      </c>
      <c r="J1765" t="str">
        <f t="shared" si="57"/>
        <v>SÍ</v>
      </c>
    </row>
    <row r="1766" spans="1:10" x14ac:dyDescent="0.3">
      <c r="A1766" t="s">
        <v>461</v>
      </c>
      <c r="B1766" t="s">
        <v>462</v>
      </c>
      <c r="C1766" t="s">
        <v>463</v>
      </c>
      <c r="D1766" s="23">
        <v>46588.3434837963</v>
      </c>
      <c r="E1766" t="s">
        <v>1641</v>
      </c>
      <c r="F1766">
        <v>650</v>
      </c>
      <c r="G1766" t="s">
        <v>11</v>
      </c>
      <c r="I1766" t="str">
        <f t="shared" si="56"/>
        <v>EE10083|BP-01/26</v>
      </c>
      <c r="J1766" t="str">
        <f t="shared" si="57"/>
        <v>SÍ</v>
      </c>
    </row>
    <row r="1767" spans="1:10" x14ac:dyDescent="0.3">
      <c r="A1767" t="s">
        <v>192</v>
      </c>
      <c r="B1767" t="s">
        <v>193</v>
      </c>
      <c r="C1767" t="s">
        <v>91</v>
      </c>
      <c r="D1767" s="23">
        <v>46311.382928240739</v>
      </c>
      <c r="E1767" t="s">
        <v>1641</v>
      </c>
      <c r="F1767">
        <v>6.7451999999999996</v>
      </c>
      <c r="G1767" t="s">
        <v>40</v>
      </c>
      <c r="I1767" t="str">
        <f t="shared" si="56"/>
        <v>EE10127|INFORME 01/25</v>
      </c>
      <c r="J1767" t="str">
        <f t="shared" si="57"/>
        <v>SÍ</v>
      </c>
    </row>
    <row r="1768" spans="1:10" x14ac:dyDescent="0.3">
      <c r="A1768" t="s">
        <v>292</v>
      </c>
      <c r="B1768" t="s">
        <v>293</v>
      </c>
      <c r="C1768" t="s">
        <v>270</v>
      </c>
      <c r="D1768" s="23">
        <v>46429.743368055562</v>
      </c>
      <c r="E1768" t="s">
        <v>1641</v>
      </c>
      <c r="F1768">
        <v>6.52</v>
      </c>
      <c r="G1768" t="s">
        <v>40</v>
      </c>
      <c r="I1768" t="str">
        <f t="shared" si="56"/>
        <v>EE10211|INFORME 02/26</v>
      </c>
      <c r="J1768" t="str">
        <f t="shared" si="57"/>
        <v>SÍ</v>
      </c>
    </row>
    <row r="1769" spans="1:10" x14ac:dyDescent="0.3">
      <c r="A1769" t="s">
        <v>166</v>
      </c>
      <c r="B1769" t="s">
        <v>167</v>
      </c>
      <c r="C1769" t="s">
        <v>168</v>
      </c>
      <c r="D1769" s="23">
        <v>46291.436018518521</v>
      </c>
      <c r="E1769" t="s">
        <v>1641</v>
      </c>
      <c r="F1769">
        <v>8.2639999999999993</v>
      </c>
      <c r="G1769" t="s">
        <v>40</v>
      </c>
      <c r="I1769" t="str">
        <f t="shared" si="56"/>
        <v>EE10183|INFORME 03/25</v>
      </c>
      <c r="J1769" t="str">
        <f t="shared" si="57"/>
        <v>SÍ</v>
      </c>
    </row>
    <row r="1770" spans="1:10" x14ac:dyDescent="0.3">
      <c r="A1770" t="s">
        <v>389</v>
      </c>
      <c r="B1770" t="s">
        <v>390</v>
      </c>
      <c r="C1770" t="s">
        <v>258</v>
      </c>
      <c r="D1770" s="23">
        <v>46550.416018518517</v>
      </c>
      <c r="E1770" t="s">
        <v>1641</v>
      </c>
      <c r="F1770">
        <v>9.3201999999999998</v>
      </c>
      <c r="G1770" t="s">
        <v>40</v>
      </c>
      <c r="I1770" t="str">
        <f t="shared" si="56"/>
        <v>EE10036|INFORME 01/26</v>
      </c>
      <c r="J1770" t="str">
        <f t="shared" si="57"/>
        <v>SÍ</v>
      </c>
    </row>
    <row r="1771" spans="1:10" x14ac:dyDescent="0.3">
      <c r="A1771" t="s">
        <v>326</v>
      </c>
      <c r="B1771" t="s">
        <v>327</v>
      </c>
      <c r="C1771" t="s">
        <v>258</v>
      </c>
      <c r="D1771" s="23">
        <v>46485.944016203714</v>
      </c>
      <c r="E1771" t="s">
        <v>1641</v>
      </c>
      <c r="F1771">
        <v>1.58</v>
      </c>
      <c r="G1771" t="s">
        <v>40</v>
      </c>
      <c r="I1771" t="str">
        <f t="shared" si="56"/>
        <v>EE10236|INFORME 01/26</v>
      </c>
      <c r="J1771" t="str">
        <f t="shared" si="57"/>
        <v>SÍ</v>
      </c>
    </row>
    <row r="1772" spans="1:10" x14ac:dyDescent="0.3">
      <c r="A1772" t="s">
        <v>612</v>
      </c>
      <c r="B1772" t="s">
        <v>781</v>
      </c>
      <c r="C1772" t="s">
        <v>1587</v>
      </c>
      <c r="D1772" s="23">
        <v>46507</v>
      </c>
      <c r="E1772" t="s">
        <v>2147</v>
      </c>
      <c r="F1772">
        <v>29.5</v>
      </c>
      <c r="G1772" t="s">
        <v>2171</v>
      </c>
      <c r="I1772" t="str">
        <f t="shared" si="56"/>
        <v>RT0131PE|RP-24326-E3</v>
      </c>
      <c r="J1772" t="str">
        <f t="shared" si="57"/>
        <v>SÍ</v>
      </c>
    </row>
    <row r="1773" spans="1:10" x14ac:dyDescent="0.3">
      <c r="A1773" t="s">
        <v>580</v>
      </c>
      <c r="B1773" t="s">
        <v>749</v>
      </c>
      <c r="C1773" t="s">
        <v>979</v>
      </c>
      <c r="D1773" s="23">
        <v>46430.493194444447</v>
      </c>
      <c r="E1773" t="s">
        <v>1635</v>
      </c>
      <c r="F1773">
        <v>1</v>
      </c>
      <c r="G1773" t="s">
        <v>2166</v>
      </c>
      <c r="I1773" t="str">
        <f t="shared" si="56"/>
        <v>TC0004PE|SP-10826-E7</v>
      </c>
      <c r="J1773" t="str">
        <f t="shared" si="57"/>
        <v>SÍ</v>
      </c>
    </row>
    <row r="1774" spans="1:10" x14ac:dyDescent="0.3">
      <c r="A1774" t="s">
        <v>503</v>
      </c>
      <c r="B1774" t="s">
        <v>504</v>
      </c>
      <c r="C1774" t="s">
        <v>505</v>
      </c>
      <c r="D1774" s="23">
        <v>46604.349641203713</v>
      </c>
      <c r="E1774" t="s">
        <v>1641</v>
      </c>
      <c r="F1774">
        <v>17.27</v>
      </c>
      <c r="G1774" t="s">
        <v>40</v>
      </c>
      <c r="I1774" t="str">
        <f t="shared" si="56"/>
        <v>EE10182|LA-11/26</v>
      </c>
      <c r="J1774" t="str">
        <f t="shared" si="57"/>
        <v>SÍ</v>
      </c>
    </row>
    <row r="1775" spans="1:10" x14ac:dyDescent="0.3">
      <c r="A1775" t="s">
        <v>440</v>
      </c>
      <c r="B1775" t="s">
        <v>441</v>
      </c>
      <c r="C1775" t="s">
        <v>1588</v>
      </c>
      <c r="D1775" s="23">
        <v>46542.445763888893</v>
      </c>
      <c r="E1775" t="s">
        <v>1635</v>
      </c>
      <c r="F1775">
        <v>2.75</v>
      </c>
      <c r="G1775" t="s">
        <v>40</v>
      </c>
      <c r="I1775" t="str">
        <f t="shared" si="56"/>
        <v>MP10021|INFORME 26/26</v>
      </c>
      <c r="J1775" t="str">
        <f t="shared" si="57"/>
        <v>SÍ</v>
      </c>
    </row>
    <row r="1776" spans="1:10" x14ac:dyDescent="0.3">
      <c r="A1776" t="s">
        <v>256</v>
      </c>
      <c r="B1776" t="s">
        <v>257</v>
      </c>
      <c r="C1776" t="s">
        <v>258</v>
      </c>
      <c r="D1776" s="23">
        <v>46401.358958333331</v>
      </c>
      <c r="E1776" t="s">
        <v>1641</v>
      </c>
      <c r="F1776">
        <v>22.83</v>
      </c>
      <c r="G1776" t="s">
        <v>40</v>
      </c>
      <c r="I1776" t="str">
        <f t="shared" si="56"/>
        <v>EE10212|INFORME 01/26</v>
      </c>
      <c r="J1776" t="str">
        <f t="shared" si="57"/>
        <v>SÍ</v>
      </c>
    </row>
    <row r="1777" spans="1:10" x14ac:dyDescent="0.3">
      <c r="A1777" t="s">
        <v>278</v>
      </c>
      <c r="B1777" t="s">
        <v>279</v>
      </c>
      <c r="C1777" t="s">
        <v>270</v>
      </c>
      <c r="D1777" s="23">
        <v>46500.663888888892</v>
      </c>
      <c r="E1777" t="s">
        <v>1641</v>
      </c>
      <c r="F1777">
        <v>37.442</v>
      </c>
      <c r="G1777" t="s">
        <v>40</v>
      </c>
      <c r="I1777" t="str">
        <f t="shared" si="56"/>
        <v>EE10229|INFORME 02/26</v>
      </c>
      <c r="J1777" t="str">
        <f t="shared" si="57"/>
        <v>SÍ</v>
      </c>
    </row>
    <row r="1778" spans="1:10" x14ac:dyDescent="0.3">
      <c r="A1778" t="s">
        <v>725</v>
      </c>
      <c r="B1778" t="s">
        <v>894</v>
      </c>
      <c r="C1778" t="s">
        <v>1562</v>
      </c>
      <c r="D1778" s="23">
        <v>46624.802523148152</v>
      </c>
      <c r="E1778" t="s">
        <v>2094</v>
      </c>
      <c r="F1778">
        <v>21</v>
      </c>
      <c r="G1778" t="s">
        <v>2167</v>
      </c>
      <c r="I1778" t="str">
        <f t="shared" si="56"/>
        <v>TQ0002RD|QN-23726-E10</v>
      </c>
      <c r="J1778" t="str">
        <f t="shared" si="57"/>
        <v>SÍ</v>
      </c>
    </row>
    <row r="1779" spans="1:10" x14ac:dyDescent="0.3">
      <c r="A1779" t="s">
        <v>360</v>
      </c>
      <c r="B1779" t="s">
        <v>361</v>
      </c>
      <c r="C1779" t="s">
        <v>362</v>
      </c>
      <c r="D1779" s="23">
        <v>46241.936215277783</v>
      </c>
      <c r="E1779" t="s">
        <v>1635</v>
      </c>
      <c r="F1779">
        <v>1832.2231999999999</v>
      </c>
      <c r="G1779" t="s">
        <v>40</v>
      </c>
      <c r="I1779" t="str">
        <f t="shared" si="56"/>
        <v>MP10002|INFORME 107/26</v>
      </c>
      <c r="J1779" t="str">
        <f t="shared" si="57"/>
        <v>SÍ</v>
      </c>
    </row>
    <row r="1780" spans="1:10" x14ac:dyDescent="0.3">
      <c r="A1780" t="s">
        <v>509</v>
      </c>
      <c r="B1780" t="s">
        <v>510</v>
      </c>
      <c r="C1780" t="s">
        <v>1589</v>
      </c>
      <c r="D1780" s="23">
        <v>46276.968495370369</v>
      </c>
      <c r="E1780" t="s">
        <v>10</v>
      </c>
      <c r="F1780">
        <v>1811</v>
      </c>
      <c r="G1780" t="s">
        <v>40</v>
      </c>
      <c r="I1780" t="str">
        <f t="shared" si="56"/>
        <v>MP10010|INFORME 232/26</v>
      </c>
      <c r="J1780" t="str">
        <f t="shared" si="57"/>
        <v>SÍ</v>
      </c>
    </row>
    <row r="1781" spans="1:10" x14ac:dyDescent="0.3">
      <c r="A1781" t="s">
        <v>612</v>
      </c>
      <c r="B1781" t="s">
        <v>781</v>
      </c>
      <c r="C1781" t="s">
        <v>1587</v>
      </c>
      <c r="D1781" s="23">
        <v>46507</v>
      </c>
      <c r="E1781" t="s">
        <v>2152</v>
      </c>
      <c r="F1781">
        <v>60.5</v>
      </c>
      <c r="G1781" t="s">
        <v>2171</v>
      </c>
      <c r="I1781" t="str">
        <f t="shared" si="56"/>
        <v>RT0131PE|RP-24326-E3</v>
      </c>
      <c r="J1781" t="str">
        <f t="shared" si="57"/>
        <v>SÍ</v>
      </c>
    </row>
    <row r="1782" spans="1:10" x14ac:dyDescent="0.3">
      <c r="A1782" t="s">
        <v>612</v>
      </c>
      <c r="B1782" t="s">
        <v>781</v>
      </c>
      <c r="C1782" t="s">
        <v>1587</v>
      </c>
      <c r="D1782" s="23">
        <v>46507</v>
      </c>
      <c r="E1782" t="s">
        <v>2065</v>
      </c>
      <c r="F1782">
        <v>60</v>
      </c>
      <c r="G1782" t="s">
        <v>2171</v>
      </c>
      <c r="I1782" t="str">
        <f t="shared" si="56"/>
        <v>RT0131PE|RP-24326-E3</v>
      </c>
      <c r="J1782" t="str">
        <f t="shared" si="57"/>
        <v>SÍ</v>
      </c>
    </row>
    <row r="1783" spans="1:10" x14ac:dyDescent="0.3">
      <c r="A1783" t="s">
        <v>612</v>
      </c>
      <c r="B1783" t="s">
        <v>781</v>
      </c>
      <c r="C1783" t="s">
        <v>1590</v>
      </c>
      <c r="D1783" s="23">
        <v>46507</v>
      </c>
      <c r="E1783" t="s">
        <v>2153</v>
      </c>
      <c r="F1783">
        <v>60</v>
      </c>
      <c r="G1783" t="s">
        <v>2171</v>
      </c>
      <c r="I1783" t="str">
        <f t="shared" si="56"/>
        <v>RT0131PE|RP-24326-E1</v>
      </c>
      <c r="J1783" t="str">
        <f t="shared" si="57"/>
        <v>SÍ</v>
      </c>
    </row>
    <row r="1784" spans="1:10" x14ac:dyDescent="0.3">
      <c r="A1784" t="s">
        <v>612</v>
      </c>
      <c r="B1784" t="s">
        <v>781</v>
      </c>
      <c r="C1784" t="s">
        <v>1590</v>
      </c>
      <c r="D1784" s="23">
        <v>46507</v>
      </c>
      <c r="E1784" t="s">
        <v>2154</v>
      </c>
      <c r="F1784">
        <v>60</v>
      </c>
      <c r="G1784" t="s">
        <v>2171</v>
      </c>
      <c r="I1784" t="str">
        <f t="shared" si="56"/>
        <v>RT0131PE|RP-24326-E1</v>
      </c>
      <c r="J1784" t="str">
        <f t="shared" si="57"/>
        <v>SÍ</v>
      </c>
    </row>
    <row r="1785" spans="1:10" x14ac:dyDescent="0.3">
      <c r="A1785" t="s">
        <v>612</v>
      </c>
      <c r="B1785" t="s">
        <v>781</v>
      </c>
      <c r="C1785" t="s">
        <v>1591</v>
      </c>
      <c r="D1785" s="23">
        <v>46507</v>
      </c>
      <c r="E1785" t="s">
        <v>2155</v>
      </c>
      <c r="F1785">
        <v>30</v>
      </c>
      <c r="G1785" t="s">
        <v>2171</v>
      </c>
      <c r="I1785" t="str">
        <f t="shared" si="56"/>
        <v>RT0131PE|RP-24326-E2</v>
      </c>
      <c r="J1785" t="str">
        <f t="shared" si="57"/>
        <v>SÍ</v>
      </c>
    </row>
    <row r="1786" spans="1:10" x14ac:dyDescent="0.3">
      <c r="A1786" t="s">
        <v>612</v>
      </c>
      <c r="B1786" t="s">
        <v>781</v>
      </c>
      <c r="C1786" t="s">
        <v>1590</v>
      </c>
      <c r="D1786" s="23">
        <v>46507</v>
      </c>
      <c r="E1786" t="s">
        <v>2155</v>
      </c>
      <c r="F1786">
        <v>22</v>
      </c>
      <c r="G1786" t="s">
        <v>2171</v>
      </c>
      <c r="I1786" t="str">
        <f t="shared" si="56"/>
        <v>RT0131PE|RP-24326-E1</v>
      </c>
      <c r="J1786" t="str">
        <f t="shared" si="57"/>
        <v>SÍ</v>
      </c>
    </row>
    <row r="1787" spans="1:10" x14ac:dyDescent="0.3">
      <c r="A1787" t="s">
        <v>612</v>
      </c>
      <c r="B1787" t="s">
        <v>781</v>
      </c>
      <c r="C1787" t="s">
        <v>1592</v>
      </c>
      <c r="D1787" s="23">
        <v>46508.959189814806</v>
      </c>
      <c r="E1787" t="s">
        <v>2147</v>
      </c>
      <c r="F1787">
        <v>441</v>
      </c>
      <c r="G1787" t="s">
        <v>2171</v>
      </c>
      <c r="I1787" t="str">
        <f t="shared" si="56"/>
        <v>RT0131PE|RP-24426-E3</v>
      </c>
      <c r="J1787" t="str">
        <f t="shared" si="57"/>
        <v>SÍ</v>
      </c>
    </row>
    <row r="1788" spans="1:10" x14ac:dyDescent="0.3">
      <c r="A1788" t="s">
        <v>612</v>
      </c>
      <c r="B1788" t="s">
        <v>781</v>
      </c>
      <c r="C1788" t="s">
        <v>1593</v>
      </c>
      <c r="D1788" s="23">
        <v>46508</v>
      </c>
      <c r="E1788" t="s">
        <v>2147</v>
      </c>
      <c r="F1788">
        <v>352</v>
      </c>
      <c r="G1788" t="s">
        <v>2171</v>
      </c>
      <c r="I1788" t="str">
        <f t="shared" si="56"/>
        <v>RT0131PE|RP-24426-E4</v>
      </c>
      <c r="J1788" t="str">
        <f t="shared" si="57"/>
        <v>SÍ</v>
      </c>
    </row>
    <row r="1789" spans="1:10" x14ac:dyDescent="0.3">
      <c r="A1789" t="s">
        <v>612</v>
      </c>
      <c r="B1789" t="s">
        <v>781</v>
      </c>
      <c r="C1789" t="s">
        <v>1594</v>
      </c>
      <c r="D1789" s="23">
        <v>46508.96638888889</v>
      </c>
      <c r="E1789" t="s">
        <v>2147</v>
      </c>
      <c r="F1789">
        <v>210</v>
      </c>
      <c r="G1789" t="s">
        <v>2171</v>
      </c>
      <c r="I1789" t="str">
        <f t="shared" si="56"/>
        <v>RT0131PE|RP-24426-E5</v>
      </c>
      <c r="J1789" t="str">
        <f t="shared" si="57"/>
        <v>SÍ</v>
      </c>
    </row>
    <row r="1790" spans="1:10" x14ac:dyDescent="0.3">
      <c r="A1790" t="s">
        <v>612</v>
      </c>
      <c r="B1790" t="s">
        <v>781</v>
      </c>
      <c r="C1790" t="s">
        <v>1587</v>
      </c>
      <c r="D1790" s="23">
        <v>46507</v>
      </c>
      <c r="E1790" t="s">
        <v>2156</v>
      </c>
      <c r="F1790">
        <v>60</v>
      </c>
      <c r="G1790" t="s">
        <v>2171</v>
      </c>
      <c r="I1790" t="str">
        <f t="shared" si="56"/>
        <v>RT0131PE|RP-24326-E3</v>
      </c>
      <c r="J1790" t="str">
        <f t="shared" si="57"/>
        <v>SÍ</v>
      </c>
    </row>
    <row r="1791" spans="1:10" x14ac:dyDescent="0.3">
      <c r="A1791" t="s">
        <v>612</v>
      </c>
      <c r="B1791" t="s">
        <v>781</v>
      </c>
      <c r="C1791" t="s">
        <v>1587</v>
      </c>
      <c r="D1791" s="23">
        <v>46507</v>
      </c>
      <c r="E1791" t="s">
        <v>2157</v>
      </c>
      <c r="F1791">
        <v>11</v>
      </c>
      <c r="G1791" t="s">
        <v>2171</v>
      </c>
      <c r="I1791" t="str">
        <f t="shared" si="56"/>
        <v>RT0131PE|RP-24326-E3</v>
      </c>
      <c r="J1791" t="str">
        <f t="shared" si="57"/>
        <v>SÍ</v>
      </c>
    </row>
    <row r="1792" spans="1:10" x14ac:dyDescent="0.3">
      <c r="A1792" t="s">
        <v>612</v>
      </c>
      <c r="B1792" t="s">
        <v>781</v>
      </c>
      <c r="C1792" t="s">
        <v>1591</v>
      </c>
      <c r="D1792" s="23">
        <v>46507</v>
      </c>
      <c r="E1792" t="s">
        <v>2158</v>
      </c>
      <c r="F1792">
        <v>60</v>
      </c>
      <c r="G1792" t="s">
        <v>2171</v>
      </c>
      <c r="I1792" t="str">
        <f t="shared" si="56"/>
        <v>RT0131PE|RP-24326-E2</v>
      </c>
      <c r="J1792" t="str">
        <f t="shared" si="57"/>
        <v>SÍ</v>
      </c>
    </row>
    <row r="1793" spans="1:10" x14ac:dyDescent="0.3">
      <c r="A1793" t="s">
        <v>366</v>
      </c>
      <c r="B1793" t="s">
        <v>367</v>
      </c>
      <c r="C1793" t="s">
        <v>291</v>
      </c>
      <c r="D1793" s="23">
        <v>46498.436979166669</v>
      </c>
      <c r="E1793" t="s">
        <v>1635</v>
      </c>
      <c r="F1793">
        <v>93.32</v>
      </c>
      <c r="G1793" t="s">
        <v>40</v>
      </c>
      <c r="I1793" t="str">
        <f t="shared" si="56"/>
        <v>MP10062|INFORME 04/26</v>
      </c>
      <c r="J1793" t="str">
        <f t="shared" si="57"/>
        <v>SÍ</v>
      </c>
    </row>
    <row r="1794" spans="1:10" x14ac:dyDescent="0.3">
      <c r="A1794" t="s">
        <v>612</v>
      </c>
      <c r="B1794" t="s">
        <v>781</v>
      </c>
      <c r="C1794" t="s">
        <v>1591</v>
      </c>
      <c r="D1794" s="23">
        <v>46507</v>
      </c>
      <c r="E1794" t="s">
        <v>2157</v>
      </c>
      <c r="F1794">
        <v>1</v>
      </c>
      <c r="G1794" t="s">
        <v>2171</v>
      </c>
      <c r="I1794" t="str">
        <f t="shared" si="56"/>
        <v>RT0131PE|RP-24326-E2</v>
      </c>
      <c r="J1794" t="str">
        <f t="shared" si="57"/>
        <v>SÍ</v>
      </c>
    </row>
    <row r="1795" spans="1:10" x14ac:dyDescent="0.3">
      <c r="A1795" t="s">
        <v>612</v>
      </c>
      <c r="B1795" t="s">
        <v>781</v>
      </c>
      <c r="C1795" t="s">
        <v>1591</v>
      </c>
      <c r="D1795" s="23">
        <v>46507</v>
      </c>
      <c r="E1795" t="s">
        <v>2159</v>
      </c>
      <c r="F1795">
        <v>60</v>
      </c>
      <c r="G1795" t="s">
        <v>2171</v>
      </c>
      <c r="I1795" t="str">
        <f t="shared" si="56"/>
        <v>RT0131PE|RP-24326-E2</v>
      </c>
      <c r="J1795" t="str">
        <f t="shared" si="57"/>
        <v>SÍ</v>
      </c>
    </row>
    <row r="1796" spans="1:10" x14ac:dyDescent="0.3">
      <c r="A1796" t="s">
        <v>612</v>
      </c>
      <c r="B1796" t="s">
        <v>781</v>
      </c>
      <c r="C1796" t="s">
        <v>1591</v>
      </c>
      <c r="D1796" s="23">
        <v>46507</v>
      </c>
      <c r="E1796" t="s">
        <v>2160</v>
      </c>
      <c r="F1796">
        <v>60</v>
      </c>
      <c r="G1796" t="s">
        <v>2171</v>
      </c>
      <c r="I1796" t="str">
        <f t="shared" si="56"/>
        <v>RT0131PE|RP-24326-E2</v>
      </c>
      <c r="J1796" t="str">
        <f t="shared" si="57"/>
        <v>SÍ</v>
      </c>
    </row>
    <row r="1797" spans="1:10" x14ac:dyDescent="0.3">
      <c r="A1797" t="s">
        <v>612</v>
      </c>
      <c r="B1797" t="s">
        <v>781</v>
      </c>
      <c r="C1797" t="s">
        <v>1593</v>
      </c>
      <c r="D1797" s="23">
        <v>46508</v>
      </c>
      <c r="E1797" t="s">
        <v>2161</v>
      </c>
      <c r="F1797">
        <v>60</v>
      </c>
      <c r="G1797" t="s">
        <v>2171</v>
      </c>
      <c r="I1797" t="str">
        <f t="shared" si="56"/>
        <v>RT0131PE|RP-24426-E4</v>
      </c>
      <c r="J1797" t="str">
        <f t="shared" si="57"/>
        <v>SÍ</v>
      </c>
    </row>
    <row r="1798" spans="1:10" x14ac:dyDescent="0.3">
      <c r="A1798" t="s">
        <v>612</v>
      </c>
      <c r="B1798" t="s">
        <v>781</v>
      </c>
      <c r="C1798" t="s">
        <v>1593</v>
      </c>
      <c r="D1798" s="23">
        <v>46508</v>
      </c>
      <c r="E1798" t="s">
        <v>2162</v>
      </c>
      <c r="F1798">
        <v>60</v>
      </c>
      <c r="G1798" t="s">
        <v>2171</v>
      </c>
      <c r="I1798" t="str">
        <f t="shared" si="56"/>
        <v>RT0131PE|RP-24426-E4</v>
      </c>
      <c r="J1798" t="str">
        <f t="shared" si="57"/>
        <v>SÍ</v>
      </c>
    </row>
    <row r="1799" spans="1:10" x14ac:dyDescent="0.3">
      <c r="A1799" t="s">
        <v>612</v>
      </c>
      <c r="B1799" t="s">
        <v>781</v>
      </c>
      <c r="C1799" t="s">
        <v>1594</v>
      </c>
      <c r="D1799" s="23">
        <v>46508.96638888889</v>
      </c>
      <c r="E1799" t="s">
        <v>2058</v>
      </c>
      <c r="F1799">
        <v>60</v>
      </c>
      <c r="G1799" t="s">
        <v>2171</v>
      </c>
      <c r="I1799" t="str">
        <f t="shared" si="56"/>
        <v>RT0131PE|RP-24426-E5</v>
      </c>
      <c r="J1799" t="str">
        <f t="shared" si="57"/>
        <v>SÍ</v>
      </c>
    </row>
    <row r="1800" spans="1:10" x14ac:dyDescent="0.3">
      <c r="A1800" t="s">
        <v>612</v>
      </c>
      <c r="B1800" t="s">
        <v>781</v>
      </c>
      <c r="C1800" t="s">
        <v>1594</v>
      </c>
      <c r="D1800" s="23">
        <v>46508.96638888889</v>
      </c>
      <c r="E1800" t="s">
        <v>2054</v>
      </c>
      <c r="F1800">
        <v>60</v>
      </c>
      <c r="G1800" t="s">
        <v>2171</v>
      </c>
      <c r="I1800" t="str">
        <f t="shared" si="56"/>
        <v>RT0131PE|RP-24426-E5</v>
      </c>
      <c r="J1800" t="str">
        <f t="shared" si="57"/>
        <v>SÍ</v>
      </c>
    </row>
    <row r="1801" spans="1:10" x14ac:dyDescent="0.3">
      <c r="A1801" t="s">
        <v>612</v>
      </c>
      <c r="B1801" t="s">
        <v>781</v>
      </c>
      <c r="C1801" t="s">
        <v>1594</v>
      </c>
      <c r="D1801" s="23">
        <v>46508.96638888889</v>
      </c>
      <c r="E1801" t="s">
        <v>2163</v>
      </c>
      <c r="F1801">
        <v>60</v>
      </c>
      <c r="G1801" t="s">
        <v>2171</v>
      </c>
      <c r="I1801" t="str">
        <f t="shared" si="56"/>
        <v>RT0131PE|RP-24426-E5</v>
      </c>
      <c r="J1801" t="str">
        <f t="shared" si="57"/>
        <v>SÍ</v>
      </c>
    </row>
    <row r="1802" spans="1:10" x14ac:dyDescent="0.3">
      <c r="A1802" t="s">
        <v>612</v>
      </c>
      <c r="B1802" t="s">
        <v>781</v>
      </c>
      <c r="C1802" t="s">
        <v>1594</v>
      </c>
      <c r="D1802" s="23">
        <v>46508.96638888889</v>
      </c>
      <c r="E1802" t="s">
        <v>2164</v>
      </c>
      <c r="F1802">
        <v>60</v>
      </c>
      <c r="G1802" t="s">
        <v>2171</v>
      </c>
      <c r="I1802" t="str">
        <f t="shared" si="56"/>
        <v>RT0131PE|RP-24426-E5</v>
      </c>
      <c r="J1802" t="str">
        <f t="shared" si="57"/>
        <v>SÍ</v>
      </c>
    </row>
    <row r="1803" spans="1:10" x14ac:dyDescent="0.3">
      <c r="A1803" t="s">
        <v>726</v>
      </c>
      <c r="B1803" t="s">
        <v>895</v>
      </c>
      <c r="C1803" t="s">
        <v>422</v>
      </c>
      <c r="D1803" s="23">
        <v>46631.583854166667</v>
      </c>
      <c r="E1803" t="s">
        <v>1644</v>
      </c>
      <c r="F1803">
        <v>409.57</v>
      </c>
      <c r="G1803" t="s">
        <v>40</v>
      </c>
      <c r="I1803" t="str">
        <f t="shared" si="56"/>
        <v>EE10322|LA-01/26</v>
      </c>
      <c r="J1803" t="str">
        <f t="shared" si="57"/>
        <v>SÍ</v>
      </c>
    </row>
    <row r="1804" spans="1:10" x14ac:dyDescent="0.3">
      <c r="A1804" t="s">
        <v>697</v>
      </c>
      <c r="B1804" t="s">
        <v>866</v>
      </c>
      <c r="C1804" t="s">
        <v>1595</v>
      </c>
      <c r="D1804" s="23">
        <v>46566.413877314822</v>
      </c>
      <c r="E1804" t="s">
        <v>2147</v>
      </c>
      <c r="F1804">
        <v>17</v>
      </c>
      <c r="G1804" t="s">
        <v>2180</v>
      </c>
      <c r="I1804" t="str">
        <f t="shared" si="56"/>
        <v>TC0239PE|SC-24026-E1</v>
      </c>
      <c r="J1804" t="str">
        <f t="shared" si="57"/>
        <v>SÍ</v>
      </c>
    </row>
    <row r="1805" spans="1:10" x14ac:dyDescent="0.3">
      <c r="A1805" t="s">
        <v>697</v>
      </c>
      <c r="B1805" t="s">
        <v>866</v>
      </c>
      <c r="C1805" t="s">
        <v>1596</v>
      </c>
      <c r="D1805" s="23">
        <v>46567.414583333331</v>
      </c>
      <c r="E1805" t="s">
        <v>2147</v>
      </c>
      <c r="F1805">
        <v>63</v>
      </c>
      <c r="G1805" t="s">
        <v>2180</v>
      </c>
      <c r="I1805" t="str">
        <f t="shared" si="56"/>
        <v>TC0239PE|SC-24126-E1</v>
      </c>
      <c r="J1805" t="str">
        <f t="shared" si="57"/>
        <v>SÍ</v>
      </c>
    </row>
    <row r="1806" spans="1:10" x14ac:dyDescent="0.3">
      <c r="A1806" t="s">
        <v>638</v>
      </c>
      <c r="B1806" t="s">
        <v>807</v>
      </c>
      <c r="C1806" t="s">
        <v>1550</v>
      </c>
      <c r="D1806" s="23">
        <v>46566.514016203713</v>
      </c>
      <c r="E1806" t="s">
        <v>2147</v>
      </c>
      <c r="F1806">
        <v>29</v>
      </c>
      <c r="G1806" t="s">
        <v>2166</v>
      </c>
      <c r="I1806" t="str">
        <f t="shared" si="56"/>
        <v>TC0003PE|SC-24026-E7</v>
      </c>
      <c r="J1806" t="str">
        <f t="shared" si="57"/>
        <v>SÍ</v>
      </c>
    </row>
    <row r="1807" spans="1:10" x14ac:dyDescent="0.3">
      <c r="A1807" t="s">
        <v>638</v>
      </c>
      <c r="B1807" t="s">
        <v>807</v>
      </c>
      <c r="C1807" t="s">
        <v>1552</v>
      </c>
      <c r="D1807" s="23">
        <v>46566.599305555559</v>
      </c>
      <c r="E1807" t="s">
        <v>2147</v>
      </c>
      <c r="F1807">
        <v>58</v>
      </c>
      <c r="G1807" t="s">
        <v>2166</v>
      </c>
      <c r="I1807" t="str">
        <f t="shared" si="56"/>
        <v>TC0003PE|SC-24026-E8</v>
      </c>
      <c r="J1807" t="str">
        <f t="shared" si="57"/>
        <v>SÍ</v>
      </c>
    </row>
    <row r="1808" spans="1:10" x14ac:dyDescent="0.3">
      <c r="A1808" t="s">
        <v>638</v>
      </c>
      <c r="B1808" t="s">
        <v>807</v>
      </c>
      <c r="C1808" t="s">
        <v>1597</v>
      </c>
      <c r="D1808" s="23">
        <v>46567.600706018522</v>
      </c>
      <c r="E1808" t="s">
        <v>2147</v>
      </c>
      <c r="F1808">
        <v>113</v>
      </c>
      <c r="G1808" t="s">
        <v>2166</v>
      </c>
      <c r="I1808" t="str">
        <f t="shared" si="56"/>
        <v>TC0003PE|SC-24126-E8</v>
      </c>
      <c r="J1808" t="str">
        <f t="shared" si="57"/>
        <v>SÍ</v>
      </c>
    </row>
    <row r="1809" spans="1:10" x14ac:dyDescent="0.3">
      <c r="A1809" t="s">
        <v>676</v>
      </c>
      <c r="B1809" t="s">
        <v>845</v>
      </c>
      <c r="C1809" t="s">
        <v>1597</v>
      </c>
      <c r="D1809" s="23">
        <v>46567.41883101852</v>
      </c>
      <c r="E1809" t="s">
        <v>2147</v>
      </c>
      <c r="F1809">
        <v>40</v>
      </c>
      <c r="G1809" t="s">
        <v>2166</v>
      </c>
      <c r="I1809" t="str">
        <f t="shared" si="56"/>
        <v>TC0094PE|SC-24126-E8</v>
      </c>
      <c r="J1809" t="str">
        <f t="shared" si="57"/>
        <v>SÍ</v>
      </c>
    </row>
    <row r="1810" spans="1:10" x14ac:dyDescent="0.3">
      <c r="A1810" t="s">
        <v>586</v>
      </c>
      <c r="B1810" t="s">
        <v>755</v>
      </c>
      <c r="C1810" t="s">
        <v>1598</v>
      </c>
      <c r="D1810" s="23">
        <v>46565</v>
      </c>
      <c r="E1810" t="s">
        <v>2147</v>
      </c>
      <c r="F1810">
        <v>73</v>
      </c>
      <c r="G1810" t="s">
        <v>2169</v>
      </c>
      <c r="I1810" t="str">
        <f t="shared" ref="I1810:I1873" si="58">IF(A1810="","",A1810&amp;"|"&amp;C1810)</f>
        <v>TC0082PE|SN-24126-E8</v>
      </c>
      <c r="J1810" t="str">
        <f t="shared" ref="J1810:J1873" si="59">IF(A1810&lt;&gt;"","SÍ","NO")</f>
        <v>SÍ</v>
      </c>
    </row>
    <row r="1811" spans="1:10" x14ac:dyDescent="0.3">
      <c r="A1811" t="s">
        <v>583</v>
      </c>
      <c r="B1811" t="s">
        <v>752</v>
      </c>
      <c r="C1811" t="s">
        <v>1599</v>
      </c>
      <c r="D1811" s="23">
        <v>46569.969606481478</v>
      </c>
      <c r="E1811" t="s">
        <v>2147</v>
      </c>
      <c r="F1811">
        <v>106</v>
      </c>
      <c r="G1811" t="s">
        <v>2166</v>
      </c>
      <c r="I1811" t="str">
        <f t="shared" si="58"/>
        <v>TC0016PE|SN-24426-E8</v>
      </c>
      <c r="J1811" t="str">
        <f t="shared" si="59"/>
        <v>SÍ</v>
      </c>
    </row>
    <row r="1812" spans="1:10" x14ac:dyDescent="0.3">
      <c r="A1812" t="s">
        <v>599</v>
      </c>
      <c r="B1812" t="s">
        <v>768</v>
      </c>
      <c r="C1812" t="s">
        <v>1600</v>
      </c>
      <c r="D1812" s="23">
        <v>46569.974594907413</v>
      </c>
      <c r="E1812" t="s">
        <v>2147</v>
      </c>
      <c r="F1812">
        <v>120</v>
      </c>
      <c r="G1812" t="s">
        <v>2168</v>
      </c>
      <c r="I1812" t="str">
        <f t="shared" si="58"/>
        <v>TC0114PE|SN-24426-E7</v>
      </c>
      <c r="J1812" t="str">
        <f t="shared" si="59"/>
        <v>SÍ</v>
      </c>
    </row>
    <row r="1813" spans="1:10" x14ac:dyDescent="0.3">
      <c r="A1813" t="s">
        <v>612</v>
      </c>
      <c r="B1813" t="s">
        <v>781</v>
      </c>
      <c r="C1813" t="s">
        <v>1601</v>
      </c>
      <c r="D1813" s="23">
        <v>46508.944722222222</v>
      </c>
      <c r="E1813" t="s">
        <v>2147</v>
      </c>
      <c r="F1813">
        <v>188</v>
      </c>
      <c r="G1813" t="s">
        <v>2171</v>
      </c>
      <c r="I1813" t="str">
        <f t="shared" si="58"/>
        <v>RT0131PE|RP-24426-E1</v>
      </c>
      <c r="J1813" t="str">
        <f t="shared" si="59"/>
        <v>SÍ</v>
      </c>
    </row>
    <row r="1814" spans="1:10" x14ac:dyDescent="0.3">
      <c r="A1814" t="s">
        <v>612</v>
      </c>
      <c r="B1814" t="s">
        <v>781</v>
      </c>
      <c r="C1814" t="s">
        <v>1602</v>
      </c>
      <c r="D1814" s="23">
        <v>46508.952974537038</v>
      </c>
      <c r="E1814" t="s">
        <v>2147</v>
      </c>
      <c r="F1814">
        <v>273</v>
      </c>
      <c r="G1814" t="s">
        <v>2171</v>
      </c>
      <c r="I1814" t="str">
        <f t="shared" si="58"/>
        <v>RT0131PE|RP-24426-E2</v>
      </c>
      <c r="J1814" t="str">
        <f t="shared" si="59"/>
        <v>SÍ</v>
      </c>
    </row>
    <row r="1815" spans="1:10" x14ac:dyDescent="0.3">
      <c r="A1815" t="s">
        <v>612</v>
      </c>
      <c r="B1815" t="s">
        <v>781</v>
      </c>
      <c r="C1815" t="s">
        <v>1603</v>
      </c>
      <c r="D1815" s="23">
        <v>46509</v>
      </c>
      <c r="E1815" t="s">
        <v>2147</v>
      </c>
      <c r="F1815">
        <v>45</v>
      </c>
      <c r="G1815" t="s">
        <v>2171</v>
      </c>
      <c r="I1815" t="str">
        <f t="shared" si="58"/>
        <v>RT0131PE|RP-24526-E3</v>
      </c>
      <c r="J1815" t="str">
        <f t="shared" si="59"/>
        <v>SÍ</v>
      </c>
    </row>
    <row r="1816" spans="1:10" x14ac:dyDescent="0.3">
      <c r="A1816" t="s">
        <v>612</v>
      </c>
      <c r="B1816" t="s">
        <v>781</v>
      </c>
      <c r="C1816" t="s">
        <v>1604</v>
      </c>
      <c r="D1816" s="23">
        <v>46509.289317129631</v>
      </c>
      <c r="E1816" t="s">
        <v>2147</v>
      </c>
      <c r="F1816">
        <v>123</v>
      </c>
      <c r="G1816" t="s">
        <v>2171</v>
      </c>
      <c r="I1816" t="str">
        <f t="shared" si="58"/>
        <v>RT0131PE|RP-24526-E4</v>
      </c>
      <c r="J1816" t="str">
        <f t="shared" si="59"/>
        <v>SÍ</v>
      </c>
    </row>
    <row r="1817" spans="1:10" x14ac:dyDescent="0.3">
      <c r="A1817" t="s">
        <v>700</v>
      </c>
      <c r="B1817" t="s">
        <v>869</v>
      </c>
      <c r="C1817" t="s">
        <v>1605</v>
      </c>
      <c r="D1817" s="23">
        <v>46487.973530092589</v>
      </c>
      <c r="E1817" t="s">
        <v>2147</v>
      </c>
      <c r="F1817">
        <v>20</v>
      </c>
      <c r="G1817" t="s">
        <v>2184</v>
      </c>
      <c r="I1817" t="str">
        <f t="shared" si="58"/>
        <v>TC0100PE|PACK-23926</v>
      </c>
      <c r="J1817" t="str">
        <f t="shared" si="59"/>
        <v>SÍ</v>
      </c>
    </row>
    <row r="1818" spans="1:10" x14ac:dyDescent="0.3">
      <c r="A1818" t="s">
        <v>700</v>
      </c>
      <c r="B1818" t="s">
        <v>869</v>
      </c>
      <c r="C1818" t="s">
        <v>1606</v>
      </c>
      <c r="D1818" s="23">
        <v>46487</v>
      </c>
      <c r="E1818" t="s">
        <v>2147</v>
      </c>
      <c r="F1818">
        <v>79</v>
      </c>
      <c r="G1818" t="s">
        <v>2184</v>
      </c>
      <c r="I1818" t="str">
        <f t="shared" si="58"/>
        <v>TC0100PE|PACK-24326</v>
      </c>
      <c r="J1818" t="str">
        <f t="shared" si="59"/>
        <v>SÍ</v>
      </c>
    </row>
    <row r="1819" spans="1:10" x14ac:dyDescent="0.3">
      <c r="A1819" t="s">
        <v>612</v>
      </c>
      <c r="B1819" t="s">
        <v>781</v>
      </c>
      <c r="C1819" t="s">
        <v>1607</v>
      </c>
      <c r="D1819" s="23">
        <v>46509.290636574071</v>
      </c>
      <c r="E1819" t="s">
        <v>2147</v>
      </c>
      <c r="F1819">
        <v>86</v>
      </c>
      <c r="G1819" t="s">
        <v>2171</v>
      </c>
      <c r="I1819" t="str">
        <f t="shared" si="58"/>
        <v>RT0131PE|RP-24526-E5</v>
      </c>
      <c r="J1819" t="str">
        <f t="shared" si="59"/>
        <v>SÍ</v>
      </c>
    </row>
    <row r="1820" spans="1:10" x14ac:dyDescent="0.3">
      <c r="A1820" t="s">
        <v>721</v>
      </c>
      <c r="B1820" t="s">
        <v>890</v>
      </c>
      <c r="C1820" t="s">
        <v>1608</v>
      </c>
      <c r="D1820" s="23">
        <v>46556</v>
      </c>
      <c r="E1820" t="s">
        <v>1639</v>
      </c>
      <c r="F1820">
        <v>36</v>
      </c>
      <c r="G1820" t="s">
        <v>2183</v>
      </c>
      <c r="I1820" t="str">
        <f t="shared" si="58"/>
        <v>TC0009CO|SN-23226-E11</v>
      </c>
      <c r="J1820" t="str">
        <f t="shared" si="59"/>
        <v>SÍ</v>
      </c>
    </row>
    <row r="1821" spans="1:10" x14ac:dyDescent="0.3">
      <c r="A1821" t="s">
        <v>727</v>
      </c>
      <c r="B1821" t="s">
        <v>896</v>
      </c>
      <c r="C1821" t="s">
        <v>1092</v>
      </c>
      <c r="D1821" s="23">
        <v>46631.34611111111</v>
      </c>
      <c r="E1821" t="s">
        <v>1637</v>
      </c>
      <c r="F1821">
        <v>2</v>
      </c>
      <c r="G1821" t="s">
        <v>2182</v>
      </c>
      <c r="I1821" t="str">
        <f t="shared" si="58"/>
        <v>CT0009PE|SF-102</v>
      </c>
      <c r="J1821" t="str">
        <f t="shared" si="59"/>
        <v>SÍ</v>
      </c>
    </row>
    <row r="1822" spans="1:10" x14ac:dyDescent="0.3">
      <c r="A1822" t="s">
        <v>728</v>
      </c>
      <c r="B1822" t="s">
        <v>897</v>
      </c>
      <c r="C1822" t="s">
        <v>1609</v>
      </c>
      <c r="D1822" s="23">
        <v>46619.793298611112</v>
      </c>
      <c r="E1822" t="s">
        <v>1637</v>
      </c>
      <c r="F1822">
        <v>50</v>
      </c>
      <c r="G1822" t="s">
        <v>2185</v>
      </c>
      <c r="I1822" t="str">
        <f t="shared" si="58"/>
        <v>UK0002PE|SF-103</v>
      </c>
      <c r="J1822" t="str">
        <f t="shared" si="59"/>
        <v>SÍ</v>
      </c>
    </row>
    <row r="1823" spans="1:10" x14ac:dyDescent="0.3">
      <c r="A1823" t="s">
        <v>612</v>
      </c>
      <c r="B1823" t="s">
        <v>781</v>
      </c>
      <c r="C1823" t="s">
        <v>1590</v>
      </c>
      <c r="D1823" s="23">
        <v>46507</v>
      </c>
      <c r="E1823" t="s">
        <v>2147</v>
      </c>
      <c r="F1823">
        <v>30</v>
      </c>
      <c r="G1823" t="s">
        <v>2171</v>
      </c>
      <c r="I1823" t="str">
        <f t="shared" si="58"/>
        <v>RT0131PE|RP-24326-E1</v>
      </c>
      <c r="J1823" t="str">
        <f t="shared" si="59"/>
        <v>SÍ</v>
      </c>
    </row>
    <row r="1824" spans="1:10" x14ac:dyDescent="0.3">
      <c r="A1824" t="s">
        <v>729</v>
      </c>
      <c r="B1824" t="s">
        <v>898</v>
      </c>
      <c r="C1824" t="s">
        <v>1610</v>
      </c>
      <c r="D1824" s="23">
        <v>46274.921712962961</v>
      </c>
      <c r="E1824" t="s">
        <v>10</v>
      </c>
      <c r="F1824">
        <v>2351</v>
      </c>
      <c r="G1824" t="s">
        <v>40</v>
      </c>
      <c r="I1824" t="str">
        <f t="shared" si="58"/>
        <v>MP10011|INFORME 233/26</v>
      </c>
      <c r="J1824" t="str">
        <f t="shared" si="59"/>
        <v>SÍ</v>
      </c>
    </row>
    <row r="1825" spans="1:10" x14ac:dyDescent="0.3">
      <c r="A1825" t="s">
        <v>729</v>
      </c>
      <c r="B1825" t="s">
        <v>898</v>
      </c>
      <c r="C1825" t="s">
        <v>1610</v>
      </c>
      <c r="D1825" s="23">
        <v>46274.921712962961</v>
      </c>
      <c r="E1825" t="s">
        <v>1635</v>
      </c>
      <c r="F1825">
        <v>339.24</v>
      </c>
      <c r="G1825" t="s">
        <v>40</v>
      </c>
      <c r="I1825" t="str">
        <f t="shared" si="58"/>
        <v>MP10011|INFORME 233/26</v>
      </c>
      <c r="J1825" t="str">
        <f t="shared" si="59"/>
        <v>SÍ</v>
      </c>
    </row>
    <row r="1826" spans="1:10" x14ac:dyDescent="0.3">
      <c r="A1826" t="s">
        <v>391</v>
      </c>
      <c r="B1826" t="s">
        <v>392</v>
      </c>
      <c r="C1826" t="s">
        <v>317</v>
      </c>
      <c r="D1826" s="23">
        <v>46542.60833333333</v>
      </c>
      <c r="E1826" t="s">
        <v>1635</v>
      </c>
      <c r="F1826">
        <v>55.981999999999999</v>
      </c>
      <c r="G1826" t="s">
        <v>40</v>
      </c>
      <c r="I1826" t="str">
        <f t="shared" si="58"/>
        <v>MP10036|INFORME 08/26</v>
      </c>
      <c r="J1826" t="str">
        <f t="shared" si="59"/>
        <v>SÍ</v>
      </c>
    </row>
    <row r="1827" spans="1:10" x14ac:dyDescent="0.3">
      <c r="A1827" t="s">
        <v>169</v>
      </c>
      <c r="B1827" t="s">
        <v>170</v>
      </c>
      <c r="C1827" t="s">
        <v>420</v>
      </c>
      <c r="D1827" s="23">
        <v>46379.438981481479</v>
      </c>
      <c r="E1827" t="s">
        <v>1635</v>
      </c>
      <c r="F1827">
        <v>33.6</v>
      </c>
      <c r="G1827" t="s">
        <v>40</v>
      </c>
      <c r="I1827" t="str">
        <f t="shared" si="58"/>
        <v>EE10139|INFORME 11/25.</v>
      </c>
      <c r="J1827" t="str">
        <f t="shared" si="59"/>
        <v>SÍ</v>
      </c>
    </row>
    <row r="1828" spans="1:10" x14ac:dyDescent="0.3">
      <c r="A1828" t="s">
        <v>169</v>
      </c>
      <c r="B1828" t="s">
        <v>170</v>
      </c>
      <c r="C1828" t="s">
        <v>171</v>
      </c>
      <c r="D1828" s="23">
        <v>46276.659687500003</v>
      </c>
      <c r="E1828" t="s">
        <v>1635</v>
      </c>
      <c r="F1828">
        <v>57.155000000000001</v>
      </c>
      <c r="G1828" t="s">
        <v>40</v>
      </c>
      <c r="I1828" t="str">
        <f t="shared" si="58"/>
        <v>EE10139|INFORME 11/25</v>
      </c>
      <c r="J1828" t="str">
        <f t="shared" si="59"/>
        <v>SÍ</v>
      </c>
    </row>
    <row r="1829" spans="1:10" x14ac:dyDescent="0.3">
      <c r="A1829" t="s">
        <v>313</v>
      </c>
      <c r="B1829" t="s">
        <v>314</v>
      </c>
      <c r="C1829" t="s">
        <v>312</v>
      </c>
      <c r="D1829" s="23">
        <v>46465.359490740739</v>
      </c>
      <c r="E1829" t="s">
        <v>1635</v>
      </c>
      <c r="F1829">
        <v>8020</v>
      </c>
      <c r="G1829" t="s">
        <v>11</v>
      </c>
      <c r="I1829" t="str">
        <f t="shared" si="58"/>
        <v>EE10263|INFORME 09/26</v>
      </c>
      <c r="J1829" t="str">
        <f t="shared" si="59"/>
        <v>SÍ</v>
      </c>
    </row>
    <row r="1830" spans="1:10" x14ac:dyDescent="0.3">
      <c r="A1830" t="s">
        <v>56</v>
      </c>
      <c r="B1830" t="s">
        <v>57</v>
      </c>
      <c r="E1830" t="s">
        <v>1635</v>
      </c>
      <c r="F1830">
        <v>10.025</v>
      </c>
      <c r="G1830" t="s">
        <v>11</v>
      </c>
      <c r="I1830" t="str">
        <f t="shared" si="58"/>
        <v>EE10165|</v>
      </c>
      <c r="J1830" t="str">
        <f t="shared" si="59"/>
        <v>SÍ</v>
      </c>
    </row>
    <row r="1831" spans="1:10" x14ac:dyDescent="0.3">
      <c r="A1831" t="s">
        <v>360</v>
      </c>
      <c r="B1831" t="s">
        <v>361</v>
      </c>
      <c r="C1831" t="s">
        <v>363</v>
      </c>
      <c r="D1831" s="23">
        <v>46235.938888888893</v>
      </c>
      <c r="E1831" t="s">
        <v>1635</v>
      </c>
      <c r="F1831">
        <v>336.80829999999997</v>
      </c>
      <c r="G1831" t="s">
        <v>40</v>
      </c>
      <c r="I1831" t="str">
        <f t="shared" si="58"/>
        <v>MP10002|INFORME 111/26</v>
      </c>
      <c r="J1831" t="str">
        <f t="shared" si="59"/>
        <v>SÍ</v>
      </c>
    </row>
    <row r="1832" spans="1:10" x14ac:dyDescent="0.3">
      <c r="A1832" t="s">
        <v>360</v>
      </c>
      <c r="B1832" t="s">
        <v>361</v>
      </c>
      <c r="C1832" t="s">
        <v>364</v>
      </c>
      <c r="D1832" s="23">
        <v>46235.942789351851</v>
      </c>
      <c r="E1832" t="s">
        <v>1635</v>
      </c>
      <c r="F1832">
        <v>3998.6860999999999</v>
      </c>
      <c r="G1832" t="s">
        <v>40</v>
      </c>
      <c r="I1832" t="str">
        <f t="shared" si="58"/>
        <v>MP10002|INFORME 112/26</v>
      </c>
      <c r="J1832" t="str">
        <f t="shared" si="59"/>
        <v>SÍ</v>
      </c>
    </row>
    <row r="1833" spans="1:10" x14ac:dyDescent="0.3">
      <c r="A1833" t="s">
        <v>443</v>
      </c>
      <c r="B1833" t="s">
        <v>444</v>
      </c>
      <c r="C1833" t="s">
        <v>445</v>
      </c>
      <c r="D1833" s="23">
        <v>46537.683009259257</v>
      </c>
      <c r="E1833" t="s">
        <v>1635</v>
      </c>
      <c r="F1833">
        <v>310.52</v>
      </c>
      <c r="G1833" t="s">
        <v>446</v>
      </c>
      <c r="I1833" t="str">
        <f t="shared" si="58"/>
        <v>MP10013|AO-13/26</v>
      </c>
      <c r="J1833" t="str">
        <f t="shared" si="59"/>
        <v>SÍ</v>
      </c>
    </row>
    <row r="1834" spans="1:10" x14ac:dyDescent="0.3">
      <c r="A1834" t="s">
        <v>164</v>
      </c>
      <c r="B1834" t="s">
        <v>165</v>
      </c>
      <c r="C1834" t="s">
        <v>91</v>
      </c>
      <c r="D1834" s="23">
        <v>46291.432569444441</v>
      </c>
      <c r="E1834" t="s">
        <v>1635</v>
      </c>
      <c r="F1834">
        <v>40.44</v>
      </c>
      <c r="G1834" t="s">
        <v>40</v>
      </c>
      <c r="I1834" t="str">
        <f t="shared" si="58"/>
        <v>EE10222|INFORME 01/25</v>
      </c>
      <c r="J1834" t="str">
        <f t="shared" si="59"/>
        <v>SÍ</v>
      </c>
    </row>
    <row r="1835" spans="1:10" x14ac:dyDescent="0.3">
      <c r="A1835" t="s">
        <v>262</v>
      </c>
      <c r="B1835" t="s">
        <v>263</v>
      </c>
      <c r="C1835" t="s">
        <v>1557</v>
      </c>
      <c r="D1835" s="23">
        <v>46624.505335648151</v>
      </c>
      <c r="E1835" t="s">
        <v>1635</v>
      </c>
      <c r="F1835">
        <v>483</v>
      </c>
      <c r="G1835" t="s">
        <v>11</v>
      </c>
      <c r="I1835" t="str">
        <f t="shared" si="58"/>
        <v>EE10160|CR-19/26</v>
      </c>
      <c r="J1835" t="str">
        <f t="shared" si="59"/>
        <v>SÍ</v>
      </c>
    </row>
    <row r="1836" spans="1:10" x14ac:dyDescent="0.3">
      <c r="A1836" t="s">
        <v>630</v>
      </c>
      <c r="B1836" t="s">
        <v>799</v>
      </c>
      <c r="C1836" t="s">
        <v>1611</v>
      </c>
      <c r="D1836" s="23">
        <v>46509</v>
      </c>
      <c r="E1836" t="s">
        <v>2165</v>
      </c>
      <c r="F1836">
        <v>210</v>
      </c>
      <c r="G1836" t="s">
        <v>2171</v>
      </c>
      <c r="I1836" t="str">
        <f t="shared" si="58"/>
        <v>RT0124PE|RJ-24526-E5</v>
      </c>
      <c r="J1836" t="str">
        <f t="shared" si="59"/>
        <v>SÍ</v>
      </c>
    </row>
    <row r="1837" spans="1:10" x14ac:dyDescent="0.3">
      <c r="A1837" t="s">
        <v>164</v>
      </c>
      <c r="B1837" t="s">
        <v>165</v>
      </c>
      <c r="C1837" t="s">
        <v>91</v>
      </c>
      <c r="D1837" s="23">
        <v>46291.432569444441</v>
      </c>
      <c r="E1837" t="s">
        <v>1641</v>
      </c>
      <c r="F1837">
        <v>1</v>
      </c>
      <c r="G1837" t="s">
        <v>40</v>
      </c>
      <c r="I1837" t="str">
        <f t="shared" si="58"/>
        <v>EE10222|INFORME 01/25</v>
      </c>
      <c r="J1837" t="str">
        <f t="shared" si="59"/>
        <v>SÍ</v>
      </c>
    </row>
    <row r="1838" spans="1:10" x14ac:dyDescent="0.3">
      <c r="A1838" t="s">
        <v>514</v>
      </c>
      <c r="B1838" t="s">
        <v>515</v>
      </c>
      <c r="C1838" t="s">
        <v>88</v>
      </c>
      <c r="D1838" s="23">
        <v>46283.493622685193</v>
      </c>
      <c r="E1838" t="s">
        <v>1635</v>
      </c>
      <c r="F1838">
        <v>168.14</v>
      </c>
      <c r="G1838" t="s">
        <v>40</v>
      </c>
      <c r="I1838" t="str">
        <f t="shared" si="58"/>
        <v>EE10046|INFORME 07/25</v>
      </c>
      <c r="J1838" t="str">
        <f t="shared" si="59"/>
        <v>SÍ</v>
      </c>
    </row>
    <row r="1839" spans="1:10" x14ac:dyDescent="0.3">
      <c r="A1839" t="s">
        <v>218</v>
      </c>
      <c r="B1839" t="s">
        <v>219</v>
      </c>
      <c r="C1839" t="s">
        <v>67</v>
      </c>
      <c r="D1839" s="23">
        <v>46618.760555555556</v>
      </c>
      <c r="E1839" t="s">
        <v>1635</v>
      </c>
      <c r="F1839">
        <v>50.7</v>
      </c>
      <c r="G1839" t="s">
        <v>40</v>
      </c>
      <c r="I1839" t="str">
        <f t="shared" si="58"/>
        <v>MP10018|INFORME 05/25</v>
      </c>
      <c r="J1839" t="str">
        <f t="shared" si="59"/>
        <v>SÍ</v>
      </c>
    </row>
    <row r="1840" spans="1:10" x14ac:dyDescent="0.3">
      <c r="A1840" t="s">
        <v>231</v>
      </c>
      <c r="B1840" t="s">
        <v>232</v>
      </c>
      <c r="C1840" t="s">
        <v>127</v>
      </c>
      <c r="D1840" s="23">
        <v>46286.912106481483</v>
      </c>
      <c r="E1840" t="s">
        <v>1635</v>
      </c>
      <c r="F1840">
        <v>39.700000000000003</v>
      </c>
      <c r="G1840" t="s">
        <v>40</v>
      </c>
      <c r="I1840" t="str">
        <f t="shared" si="58"/>
        <v>MP10048|INFORME 09/25</v>
      </c>
      <c r="J1840" t="str">
        <f t="shared" si="59"/>
        <v>SÍ</v>
      </c>
    </row>
    <row r="1841" spans="1:10" x14ac:dyDescent="0.3">
      <c r="A1841" t="s">
        <v>149</v>
      </c>
      <c r="B1841" t="s">
        <v>150</v>
      </c>
      <c r="C1841" t="s">
        <v>127</v>
      </c>
      <c r="D1841" s="23">
        <v>46255.99863425926</v>
      </c>
      <c r="E1841" t="s">
        <v>1635</v>
      </c>
      <c r="F1841">
        <v>81.72</v>
      </c>
      <c r="G1841" t="s">
        <v>40</v>
      </c>
      <c r="I1841" t="str">
        <f t="shared" si="58"/>
        <v>EE10152|INFORME 09/25</v>
      </c>
      <c r="J1841" t="str">
        <f t="shared" si="59"/>
        <v>SÍ</v>
      </c>
    </row>
    <row r="1842" spans="1:10" x14ac:dyDescent="0.3">
      <c r="A1842" t="s">
        <v>344</v>
      </c>
      <c r="B1842" t="s">
        <v>345</v>
      </c>
      <c r="C1842" t="s">
        <v>288</v>
      </c>
      <c r="D1842" s="23">
        <v>46490.650127314817</v>
      </c>
      <c r="E1842" t="s">
        <v>1635</v>
      </c>
      <c r="F1842">
        <v>83.647999999999996</v>
      </c>
      <c r="G1842" t="s">
        <v>40</v>
      </c>
      <c r="I1842" t="str">
        <f t="shared" si="58"/>
        <v>MP10044|INFORME 03/26</v>
      </c>
      <c r="J1842" t="str">
        <f t="shared" si="59"/>
        <v>SÍ</v>
      </c>
    </row>
    <row r="1843" spans="1:10" x14ac:dyDescent="0.3">
      <c r="A1843" t="s">
        <v>177</v>
      </c>
      <c r="B1843" t="s">
        <v>178</v>
      </c>
      <c r="C1843" t="s">
        <v>179</v>
      </c>
      <c r="D1843" s="23">
        <v>46288.524363425917</v>
      </c>
      <c r="E1843" t="s">
        <v>1635</v>
      </c>
      <c r="F1843">
        <v>4.1967999999999996</v>
      </c>
      <c r="G1843" t="s">
        <v>40</v>
      </c>
      <c r="I1843" t="str">
        <f t="shared" si="58"/>
        <v>EE10138|INFORME 05/25.</v>
      </c>
      <c r="J1843" t="str">
        <f t="shared" si="59"/>
        <v>SÍ</v>
      </c>
    </row>
    <row r="1844" spans="1:10" x14ac:dyDescent="0.3">
      <c r="A1844" t="s">
        <v>177</v>
      </c>
      <c r="B1844" t="s">
        <v>178</v>
      </c>
      <c r="C1844" t="s">
        <v>258</v>
      </c>
      <c r="D1844" s="23">
        <v>46557.416967592602</v>
      </c>
      <c r="E1844" t="s">
        <v>1635</v>
      </c>
      <c r="F1844">
        <v>82.793199999999999</v>
      </c>
      <c r="G1844" t="s">
        <v>40</v>
      </c>
      <c r="I1844" t="str">
        <f t="shared" si="58"/>
        <v>EE10138|INFORME 01/26</v>
      </c>
      <c r="J1844" t="str">
        <f t="shared" si="59"/>
        <v>SÍ</v>
      </c>
    </row>
    <row r="1845" spans="1:10" x14ac:dyDescent="0.3">
      <c r="A1845" t="s">
        <v>443</v>
      </c>
      <c r="B1845" t="s">
        <v>444</v>
      </c>
      <c r="C1845" t="s">
        <v>516</v>
      </c>
      <c r="D1845" s="23">
        <v>46494.409525462957</v>
      </c>
      <c r="E1845" t="s">
        <v>1635</v>
      </c>
      <c r="F1845">
        <v>1677.2</v>
      </c>
      <c r="G1845" t="s">
        <v>446</v>
      </c>
      <c r="I1845" t="str">
        <f t="shared" si="58"/>
        <v>MP10013|AO-14/26</v>
      </c>
      <c r="J1845" t="str">
        <f t="shared" si="59"/>
        <v>SÍ</v>
      </c>
    </row>
    <row r="1846" spans="1:10" x14ac:dyDescent="0.3">
      <c r="A1846" t="s">
        <v>471</v>
      </c>
      <c r="B1846" t="s">
        <v>472</v>
      </c>
      <c r="C1846" t="s">
        <v>1557</v>
      </c>
      <c r="D1846" s="23">
        <v>46620.393703703703</v>
      </c>
      <c r="E1846" t="s">
        <v>10</v>
      </c>
      <c r="F1846">
        <v>9000</v>
      </c>
      <c r="G1846" t="s">
        <v>11</v>
      </c>
      <c r="I1846" t="str">
        <f t="shared" si="58"/>
        <v>EE10009|CR-19/26</v>
      </c>
      <c r="J1846" t="str">
        <f t="shared" si="59"/>
        <v>SÍ</v>
      </c>
    </row>
    <row r="1847" spans="1:10" x14ac:dyDescent="0.3">
      <c r="A1847" t="s">
        <v>415</v>
      </c>
      <c r="B1847" t="s">
        <v>416</v>
      </c>
      <c r="C1847" t="s">
        <v>258</v>
      </c>
      <c r="D1847" s="23">
        <v>46563.436643518522</v>
      </c>
      <c r="E1847" t="s">
        <v>1635</v>
      </c>
      <c r="F1847">
        <v>18</v>
      </c>
      <c r="G1847" t="s">
        <v>40</v>
      </c>
      <c r="I1847" t="str">
        <f t="shared" si="58"/>
        <v>EE10030|INFORME 01/26</v>
      </c>
      <c r="J1847" t="str">
        <f t="shared" si="59"/>
        <v>SÍ</v>
      </c>
    </row>
    <row r="1848" spans="1:10" x14ac:dyDescent="0.3">
      <c r="A1848" t="s">
        <v>630</v>
      </c>
      <c r="B1848" t="s">
        <v>799</v>
      </c>
      <c r="C1848" t="s">
        <v>1612</v>
      </c>
      <c r="D1848" s="23">
        <v>46509.069872685177</v>
      </c>
      <c r="E1848" t="s">
        <v>2147</v>
      </c>
      <c r="F1848">
        <v>255</v>
      </c>
      <c r="G1848" t="s">
        <v>2171</v>
      </c>
      <c r="I1848" t="str">
        <f t="shared" si="58"/>
        <v>RT0124PE|RJ-24526-E1</v>
      </c>
      <c r="J1848" t="str">
        <f t="shared" si="59"/>
        <v>SÍ</v>
      </c>
    </row>
    <row r="1849" spans="1:10" x14ac:dyDescent="0.3">
      <c r="A1849" t="s">
        <v>630</v>
      </c>
      <c r="B1849" t="s">
        <v>799</v>
      </c>
      <c r="C1849" t="s">
        <v>1613</v>
      </c>
      <c r="D1849" s="23">
        <v>46509.556157407409</v>
      </c>
      <c r="E1849" t="s">
        <v>2147</v>
      </c>
      <c r="F1849">
        <v>309</v>
      </c>
      <c r="G1849" t="s">
        <v>2171</v>
      </c>
      <c r="I1849" t="str">
        <f t="shared" si="58"/>
        <v>RT0124PE|RJ-24526-E2</v>
      </c>
      <c r="J1849" t="str">
        <f t="shared" si="59"/>
        <v>SÍ</v>
      </c>
    </row>
    <row r="1850" spans="1:10" x14ac:dyDescent="0.3">
      <c r="A1850" t="s">
        <v>503</v>
      </c>
      <c r="B1850" t="s">
        <v>504</v>
      </c>
      <c r="C1850" t="s">
        <v>505</v>
      </c>
      <c r="D1850" s="23">
        <v>46604.349641203713</v>
      </c>
      <c r="E1850" t="s">
        <v>1635</v>
      </c>
      <c r="F1850">
        <v>81.900000000000006</v>
      </c>
      <c r="G1850" t="s">
        <v>40</v>
      </c>
      <c r="I1850" t="str">
        <f t="shared" si="58"/>
        <v>EE10182|LA-11/26</v>
      </c>
      <c r="J1850" t="str">
        <f t="shared" si="59"/>
        <v>SÍ</v>
      </c>
    </row>
    <row r="1851" spans="1:10" x14ac:dyDescent="0.3">
      <c r="A1851" t="s">
        <v>166</v>
      </c>
      <c r="B1851" t="s">
        <v>167</v>
      </c>
      <c r="C1851" t="s">
        <v>168</v>
      </c>
      <c r="D1851" s="23">
        <v>46291.436018518521</v>
      </c>
      <c r="E1851" t="s">
        <v>1635</v>
      </c>
      <c r="F1851">
        <v>65.52</v>
      </c>
      <c r="G1851" t="s">
        <v>40</v>
      </c>
      <c r="I1851" t="str">
        <f t="shared" si="58"/>
        <v>EE10183|INFORME 03/25</v>
      </c>
      <c r="J1851" t="str">
        <f t="shared" si="59"/>
        <v>SÍ</v>
      </c>
    </row>
    <row r="1852" spans="1:10" x14ac:dyDescent="0.3">
      <c r="A1852" t="s">
        <v>511</v>
      </c>
      <c r="B1852" t="s">
        <v>512</v>
      </c>
      <c r="C1852" t="s">
        <v>513</v>
      </c>
      <c r="D1852" s="23">
        <v>46358.452465277784</v>
      </c>
      <c r="E1852" t="s">
        <v>1635</v>
      </c>
      <c r="F1852">
        <v>0.88</v>
      </c>
      <c r="G1852" t="s">
        <v>40</v>
      </c>
      <c r="I1852" t="str">
        <f t="shared" si="58"/>
        <v>MP10054|INFORME 06/26</v>
      </c>
      <c r="J1852" t="str">
        <f t="shared" si="59"/>
        <v>SÍ</v>
      </c>
    </row>
    <row r="1853" spans="1:10" x14ac:dyDescent="0.3">
      <c r="A1853" t="s">
        <v>511</v>
      </c>
      <c r="B1853" t="s">
        <v>512</v>
      </c>
      <c r="C1853" t="s">
        <v>524</v>
      </c>
      <c r="D1853" s="23">
        <v>46557.574803240743</v>
      </c>
      <c r="E1853" t="s">
        <v>1635</v>
      </c>
      <c r="F1853">
        <v>80</v>
      </c>
      <c r="G1853" t="s">
        <v>40</v>
      </c>
      <c r="I1853" t="str">
        <f t="shared" si="58"/>
        <v>MP10054|SA-07/26</v>
      </c>
      <c r="J1853" t="str">
        <f t="shared" si="59"/>
        <v>SÍ</v>
      </c>
    </row>
    <row r="1854" spans="1:10" x14ac:dyDescent="0.3">
      <c r="A1854" t="s">
        <v>517</v>
      </c>
      <c r="B1854" t="s">
        <v>518</v>
      </c>
      <c r="C1854" t="s">
        <v>1614</v>
      </c>
      <c r="D1854" s="23">
        <v>46275.483807870369</v>
      </c>
      <c r="E1854" t="s">
        <v>10</v>
      </c>
      <c r="F1854">
        <v>16331</v>
      </c>
      <c r="G1854" t="s">
        <v>40</v>
      </c>
      <c r="I1854" t="str">
        <f t="shared" si="58"/>
        <v>MP10009|INFORME 234/26</v>
      </c>
      <c r="J1854" t="str">
        <f t="shared" si="59"/>
        <v>SÍ</v>
      </c>
    </row>
    <row r="1855" spans="1:10" x14ac:dyDescent="0.3">
      <c r="A1855" t="s">
        <v>517</v>
      </c>
      <c r="B1855" t="s">
        <v>518</v>
      </c>
      <c r="C1855" t="s">
        <v>1614</v>
      </c>
      <c r="D1855" s="23">
        <v>46275.483807870369</v>
      </c>
      <c r="E1855" t="s">
        <v>1635</v>
      </c>
      <c r="F1855">
        <v>686.56</v>
      </c>
      <c r="G1855" t="s">
        <v>40</v>
      </c>
      <c r="I1855" t="str">
        <f t="shared" si="58"/>
        <v>MP10009|INFORME 234/26</v>
      </c>
      <c r="J1855" t="str">
        <f t="shared" si="59"/>
        <v>SÍ</v>
      </c>
    </row>
    <row r="1856" spans="1:10" x14ac:dyDescent="0.3">
      <c r="A1856" t="s">
        <v>464</v>
      </c>
      <c r="B1856" t="s">
        <v>465</v>
      </c>
      <c r="C1856" t="s">
        <v>466</v>
      </c>
      <c r="D1856" s="23">
        <v>46582.3593287037</v>
      </c>
      <c r="E1856" t="s">
        <v>1635</v>
      </c>
      <c r="F1856">
        <v>1365</v>
      </c>
      <c r="G1856" t="s">
        <v>11</v>
      </c>
      <c r="I1856" t="str">
        <f t="shared" si="58"/>
        <v>EE10001|CT-16/26</v>
      </c>
      <c r="J1856" t="str">
        <f t="shared" si="59"/>
        <v>SÍ</v>
      </c>
    </row>
    <row r="1857" spans="1:10" x14ac:dyDescent="0.3">
      <c r="A1857" t="s">
        <v>471</v>
      </c>
      <c r="B1857" t="s">
        <v>472</v>
      </c>
      <c r="C1857" t="s">
        <v>1557</v>
      </c>
      <c r="D1857" s="23">
        <v>46620.393703703703</v>
      </c>
      <c r="E1857" t="s">
        <v>1635</v>
      </c>
      <c r="F1857">
        <v>1000</v>
      </c>
      <c r="G1857" t="s">
        <v>11</v>
      </c>
      <c r="I1857" t="str">
        <f t="shared" si="58"/>
        <v>EE10009|CR-19/26</v>
      </c>
      <c r="J1857" t="str">
        <f t="shared" si="59"/>
        <v>SÍ</v>
      </c>
    </row>
    <row r="1858" spans="1:10" x14ac:dyDescent="0.3">
      <c r="A1858" t="s">
        <v>354</v>
      </c>
      <c r="B1858" t="s">
        <v>355</v>
      </c>
      <c r="C1858" t="s">
        <v>513</v>
      </c>
      <c r="D1858" s="23">
        <v>46519.737812500003</v>
      </c>
      <c r="E1858" t="s">
        <v>1635</v>
      </c>
      <c r="F1858">
        <v>1098</v>
      </c>
      <c r="G1858" t="s">
        <v>11</v>
      </c>
      <c r="I1858" t="str">
        <f t="shared" si="58"/>
        <v>EE10058-1|INFORME 06/26</v>
      </c>
      <c r="J1858" t="str">
        <f t="shared" si="59"/>
        <v>SÍ</v>
      </c>
    </row>
    <row r="1859" spans="1:10" x14ac:dyDescent="0.3">
      <c r="A1859" t="s">
        <v>450</v>
      </c>
      <c r="B1859" t="s">
        <v>451</v>
      </c>
      <c r="C1859" t="s">
        <v>1615</v>
      </c>
      <c r="D1859" s="23">
        <v>46620.594988425917</v>
      </c>
      <c r="E1859" t="s">
        <v>10</v>
      </c>
      <c r="F1859">
        <v>5000</v>
      </c>
      <c r="G1859" t="s">
        <v>446</v>
      </c>
      <c r="I1859" t="str">
        <f t="shared" si="58"/>
        <v>MP10015|OP-48/26</v>
      </c>
      <c r="J1859" t="str">
        <f t="shared" si="59"/>
        <v>SÍ</v>
      </c>
    </row>
    <row r="1860" spans="1:10" x14ac:dyDescent="0.3">
      <c r="A1860" t="s">
        <v>730</v>
      </c>
      <c r="B1860" t="s">
        <v>899</v>
      </c>
      <c r="C1860" t="s">
        <v>258</v>
      </c>
      <c r="D1860" s="23">
        <v>46999.620729166672</v>
      </c>
      <c r="E1860" t="s">
        <v>1635</v>
      </c>
      <c r="F1860">
        <v>5500</v>
      </c>
      <c r="G1860" t="s">
        <v>11</v>
      </c>
      <c r="I1860" t="str">
        <f t="shared" si="58"/>
        <v>EE10323|INFORME 01/26</v>
      </c>
      <c r="J1860" t="str">
        <f t="shared" si="59"/>
        <v>SÍ</v>
      </c>
    </row>
    <row r="1861" spans="1:10" x14ac:dyDescent="0.3">
      <c r="A1861" t="s">
        <v>731</v>
      </c>
      <c r="B1861" t="s">
        <v>900</v>
      </c>
      <c r="C1861" t="s">
        <v>258</v>
      </c>
      <c r="D1861" s="23">
        <v>46999.620937500003</v>
      </c>
      <c r="E1861" t="s">
        <v>1635</v>
      </c>
      <c r="F1861">
        <v>3500</v>
      </c>
      <c r="G1861" t="s">
        <v>11</v>
      </c>
      <c r="I1861" t="str">
        <f t="shared" si="58"/>
        <v>EE10325|INFORME 01/26</v>
      </c>
      <c r="J1861" t="str">
        <f t="shared" si="59"/>
        <v>SÍ</v>
      </c>
    </row>
    <row r="1862" spans="1:10" x14ac:dyDescent="0.3">
      <c r="A1862" t="s">
        <v>732</v>
      </c>
      <c r="B1862" t="s">
        <v>901</v>
      </c>
      <c r="C1862" t="s">
        <v>258</v>
      </c>
      <c r="D1862" s="23">
        <v>46999.621157407397</v>
      </c>
      <c r="E1862" t="s">
        <v>1635</v>
      </c>
      <c r="F1862">
        <v>2700</v>
      </c>
      <c r="G1862" t="s">
        <v>11</v>
      </c>
      <c r="I1862" t="str">
        <f t="shared" si="58"/>
        <v>EE10326|INFORME 01/26</v>
      </c>
      <c r="J1862" t="str">
        <f t="shared" si="59"/>
        <v>SÍ</v>
      </c>
    </row>
    <row r="1863" spans="1:10" x14ac:dyDescent="0.3">
      <c r="A1863" t="s">
        <v>733</v>
      </c>
      <c r="B1863" t="s">
        <v>902</v>
      </c>
      <c r="C1863" t="s">
        <v>258</v>
      </c>
      <c r="D1863" s="23">
        <v>46999.621377314812</v>
      </c>
      <c r="E1863" t="s">
        <v>1635</v>
      </c>
      <c r="F1863">
        <v>1900</v>
      </c>
      <c r="G1863" t="s">
        <v>11</v>
      </c>
      <c r="I1863" t="str">
        <f t="shared" si="58"/>
        <v>EE10328|INFORME 01/26</v>
      </c>
      <c r="J1863" t="str">
        <f t="shared" si="59"/>
        <v>SÍ</v>
      </c>
    </row>
    <row r="1864" spans="1:10" x14ac:dyDescent="0.3">
      <c r="A1864" t="s">
        <v>734</v>
      </c>
      <c r="B1864" t="s">
        <v>903</v>
      </c>
      <c r="C1864" t="s">
        <v>258</v>
      </c>
      <c r="D1864" s="23">
        <v>46997.62158564815</v>
      </c>
      <c r="E1864" t="s">
        <v>1635</v>
      </c>
      <c r="F1864">
        <v>660</v>
      </c>
      <c r="G1864" t="s">
        <v>11</v>
      </c>
      <c r="I1864" t="str">
        <f t="shared" si="58"/>
        <v>EE10330|INFORME 01/26</v>
      </c>
      <c r="J1864" t="str">
        <f t="shared" si="59"/>
        <v>SÍ</v>
      </c>
    </row>
    <row r="1865" spans="1:10" x14ac:dyDescent="0.3">
      <c r="A1865" t="s">
        <v>735</v>
      </c>
      <c r="B1865" t="s">
        <v>904</v>
      </c>
      <c r="C1865" t="s">
        <v>258</v>
      </c>
      <c r="D1865" s="23">
        <v>46999.621747685182</v>
      </c>
      <c r="E1865" t="s">
        <v>1635</v>
      </c>
      <c r="F1865">
        <v>660</v>
      </c>
      <c r="G1865" t="s">
        <v>11</v>
      </c>
      <c r="I1865" t="str">
        <f t="shared" si="58"/>
        <v>EE10331|INFORME 01/26</v>
      </c>
      <c r="J1865" t="str">
        <f t="shared" si="59"/>
        <v>SÍ</v>
      </c>
    </row>
    <row r="1866" spans="1:10" x14ac:dyDescent="0.3">
      <c r="A1866" t="s">
        <v>736</v>
      </c>
      <c r="B1866" t="s">
        <v>905</v>
      </c>
      <c r="C1866" t="s">
        <v>258</v>
      </c>
      <c r="D1866" s="23">
        <v>46997.62195601852</v>
      </c>
      <c r="E1866" t="s">
        <v>1635</v>
      </c>
      <c r="F1866">
        <v>1260</v>
      </c>
      <c r="G1866" t="s">
        <v>11</v>
      </c>
      <c r="I1866" t="str">
        <f t="shared" si="58"/>
        <v>EE10332|INFORME 01/26</v>
      </c>
      <c r="J1866" t="str">
        <f t="shared" si="59"/>
        <v>SÍ</v>
      </c>
    </row>
    <row r="1867" spans="1:10" x14ac:dyDescent="0.3">
      <c r="A1867" t="s">
        <v>737</v>
      </c>
      <c r="B1867" t="s">
        <v>906</v>
      </c>
      <c r="C1867" t="s">
        <v>258</v>
      </c>
      <c r="D1867" s="23">
        <v>46631.622129629628</v>
      </c>
      <c r="E1867" t="s">
        <v>1635</v>
      </c>
      <c r="F1867">
        <v>4716</v>
      </c>
      <c r="G1867" t="s">
        <v>11</v>
      </c>
      <c r="I1867" t="str">
        <f t="shared" si="58"/>
        <v>EE10324|INFORME 01/26</v>
      </c>
      <c r="J1867" t="str">
        <f t="shared" si="59"/>
        <v>SÍ</v>
      </c>
    </row>
    <row r="1868" spans="1:10" x14ac:dyDescent="0.3">
      <c r="A1868" t="s">
        <v>738</v>
      </c>
      <c r="B1868" t="s">
        <v>907</v>
      </c>
      <c r="C1868" t="s">
        <v>258</v>
      </c>
      <c r="D1868" s="23">
        <v>46997.622291666667</v>
      </c>
      <c r="E1868" t="s">
        <v>1635</v>
      </c>
      <c r="F1868">
        <v>2200</v>
      </c>
      <c r="G1868" t="s">
        <v>11</v>
      </c>
      <c r="I1868" t="str">
        <f t="shared" si="58"/>
        <v>EE10327|INFORME 01/26</v>
      </c>
      <c r="J1868" t="str">
        <f t="shared" si="59"/>
        <v>SÍ</v>
      </c>
    </row>
    <row r="1869" spans="1:10" x14ac:dyDescent="0.3">
      <c r="A1869" t="s">
        <v>739</v>
      </c>
      <c r="B1869" t="s">
        <v>908</v>
      </c>
      <c r="C1869" t="s">
        <v>258</v>
      </c>
      <c r="D1869" s="23">
        <v>46997.622557870367</v>
      </c>
      <c r="E1869" t="s">
        <v>1635</v>
      </c>
      <c r="F1869">
        <v>1260</v>
      </c>
      <c r="G1869" t="s">
        <v>11</v>
      </c>
      <c r="I1869" t="str">
        <f t="shared" si="58"/>
        <v>EE10329|INFORME 01/26</v>
      </c>
      <c r="J1869" t="str">
        <f t="shared" si="59"/>
        <v>SÍ</v>
      </c>
    </row>
    <row r="1870" spans="1:10" x14ac:dyDescent="0.3">
      <c r="A1870" t="s">
        <v>453</v>
      </c>
      <c r="B1870" t="s">
        <v>454</v>
      </c>
      <c r="C1870" t="s">
        <v>427</v>
      </c>
      <c r="D1870" s="23">
        <v>46633.644074074073</v>
      </c>
      <c r="E1870" t="s">
        <v>10</v>
      </c>
      <c r="F1870">
        <v>3922.84</v>
      </c>
      <c r="G1870" t="s">
        <v>40</v>
      </c>
      <c r="I1870" t="str">
        <f t="shared" si="58"/>
        <v>EE10298|LA-05/26</v>
      </c>
      <c r="J1870" t="str">
        <f t="shared" si="59"/>
        <v>SÍ</v>
      </c>
    </row>
    <row r="1871" spans="1:10" x14ac:dyDescent="0.3">
      <c r="A1871" t="s">
        <v>450</v>
      </c>
      <c r="B1871" t="s">
        <v>451</v>
      </c>
      <c r="C1871" t="s">
        <v>527</v>
      </c>
      <c r="D1871" s="23">
        <v>46627.783518518518</v>
      </c>
      <c r="E1871" t="s">
        <v>1635</v>
      </c>
      <c r="F1871">
        <v>1000</v>
      </c>
      <c r="G1871" t="s">
        <v>446</v>
      </c>
      <c r="I1871" t="str">
        <f t="shared" si="58"/>
        <v>MP10015|OP-47/26</v>
      </c>
      <c r="J1871" t="str">
        <f t="shared" si="59"/>
        <v>SÍ</v>
      </c>
    </row>
    <row r="1872" spans="1:10" x14ac:dyDescent="0.3">
      <c r="A1872" t="s">
        <v>591</v>
      </c>
      <c r="B1872" t="s">
        <v>760</v>
      </c>
      <c r="C1872" t="s">
        <v>1031</v>
      </c>
      <c r="D1872" s="23">
        <v>46511</v>
      </c>
      <c r="E1872" t="s">
        <v>1635</v>
      </c>
      <c r="F1872">
        <v>1</v>
      </c>
      <c r="G1872" t="s">
        <v>2169</v>
      </c>
      <c r="I1872" t="str">
        <f t="shared" si="58"/>
        <v>TC0087PE|SP-18526-E7</v>
      </c>
      <c r="J1872" t="str">
        <f t="shared" si="59"/>
        <v>SÍ</v>
      </c>
    </row>
    <row r="1873" spans="1:10" x14ac:dyDescent="0.3">
      <c r="A1873" t="s">
        <v>585</v>
      </c>
      <c r="B1873" t="s">
        <v>754</v>
      </c>
      <c r="C1873" t="s">
        <v>1440</v>
      </c>
      <c r="D1873" s="23">
        <v>46563</v>
      </c>
      <c r="E1873" t="s">
        <v>1635</v>
      </c>
      <c r="F1873">
        <v>1</v>
      </c>
      <c r="G1873" t="s">
        <v>2169</v>
      </c>
      <c r="I1873" t="str">
        <f t="shared" si="58"/>
        <v>TQ0037PE|QN-17626-E10</v>
      </c>
      <c r="J1873" t="str">
        <f t="shared" si="59"/>
        <v>SÍ</v>
      </c>
    </row>
    <row r="1874" spans="1:10" x14ac:dyDescent="0.3">
      <c r="A1874" t="s">
        <v>588</v>
      </c>
      <c r="B1874" t="s">
        <v>757</v>
      </c>
      <c r="C1874" t="s">
        <v>1030</v>
      </c>
      <c r="D1874" s="23">
        <v>46510.173136574071</v>
      </c>
      <c r="E1874" t="s">
        <v>1635</v>
      </c>
      <c r="F1874">
        <v>1</v>
      </c>
      <c r="G1874" t="s">
        <v>2169</v>
      </c>
      <c r="I1874" t="str">
        <f t="shared" ref="I1874:I1896" si="60">IF(A1874="","",A1874&amp;"|"&amp;C1874)</f>
        <v>TC0086PE|SC-18426-E8</v>
      </c>
      <c r="J1874" t="str">
        <f t="shared" ref="J1874:J1896" si="61">IF(A1874&lt;&gt;"","SÍ","NO")</f>
        <v>SÍ</v>
      </c>
    </row>
    <row r="1875" spans="1:10" x14ac:dyDescent="0.3">
      <c r="A1875" t="s">
        <v>177</v>
      </c>
      <c r="B1875" t="s">
        <v>178</v>
      </c>
      <c r="C1875" t="s">
        <v>258</v>
      </c>
      <c r="D1875" s="23">
        <v>46557.416967592602</v>
      </c>
      <c r="E1875" t="s">
        <v>1641</v>
      </c>
      <c r="F1875">
        <v>1</v>
      </c>
      <c r="G1875" t="s">
        <v>40</v>
      </c>
      <c r="I1875" t="str">
        <f t="shared" si="60"/>
        <v>EE10138|INFORME 01/26</v>
      </c>
      <c r="J1875" t="str">
        <f t="shared" si="61"/>
        <v>SÍ</v>
      </c>
    </row>
    <row r="1876" spans="1:10" x14ac:dyDescent="0.3">
      <c r="A1876" t="s">
        <v>740</v>
      </c>
      <c r="B1876" t="s">
        <v>909</v>
      </c>
      <c r="C1876" t="s">
        <v>1616</v>
      </c>
      <c r="D1876" s="23">
        <v>46571.923449074071</v>
      </c>
      <c r="E1876" t="s">
        <v>1639</v>
      </c>
      <c r="F1876">
        <v>75</v>
      </c>
      <c r="G1876" t="s">
        <v>40</v>
      </c>
      <c r="I1876" t="str">
        <f t="shared" si="60"/>
        <v>INT0002-M|SN-24626</v>
      </c>
      <c r="J1876" t="str">
        <f t="shared" si="61"/>
        <v>SÍ</v>
      </c>
    </row>
    <row r="1877" spans="1:10" x14ac:dyDescent="0.3">
      <c r="A1877" t="s">
        <v>615</v>
      </c>
      <c r="B1877" t="s">
        <v>784</v>
      </c>
      <c r="C1877" t="s">
        <v>1617</v>
      </c>
      <c r="D1877" s="23">
        <v>46571</v>
      </c>
      <c r="E1877" t="s">
        <v>1639</v>
      </c>
      <c r="F1877">
        <v>240</v>
      </c>
      <c r="G1877" t="s">
        <v>2168</v>
      </c>
      <c r="I1877" t="str">
        <f t="shared" si="60"/>
        <v>TC0224PE|LP-24626-E8</v>
      </c>
      <c r="J1877" t="str">
        <f t="shared" si="61"/>
        <v>SÍ</v>
      </c>
    </row>
    <row r="1878" spans="1:10" x14ac:dyDescent="0.3">
      <c r="A1878" t="s">
        <v>360</v>
      </c>
      <c r="B1878" t="s">
        <v>361</v>
      </c>
      <c r="C1878" t="s">
        <v>1618</v>
      </c>
      <c r="D1878" s="23">
        <v>46275.913078703707</v>
      </c>
      <c r="E1878" t="s">
        <v>10</v>
      </c>
      <c r="F1878">
        <v>11862</v>
      </c>
      <c r="G1878" t="s">
        <v>40</v>
      </c>
      <c r="I1878" t="str">
        <f t="shared" si="60"/>
        <v>MP10002|INFORME 192/26</v>
      </c>
      <c r="J1878" t="str">
        <f t="shared" si="61"/>
        <v>SÍ</v>
      </c>
    </row>
    <row r="1879" spans="1:10" x14ac:dyDescent="0.3">
      <c r="A1879" t="s">
        <v>360</v>
      </c>
      <c r="B1879" t="s">
        <v>361</v>
      </c>
      <c r="C1879" t="s">
        <v>1619</v>
      </c>
      <c r="D1879" s="23">
        <v>46275.916388888887</v>
      </c>
      <c r="E1879" t="s">
        <v>10</v>
      </c>
      <c r="F1879">
        <v>20404</v>
      </c>
      <c r="G1879" t="s">
        <v>40</v>
      </c>
      <c r="I1879" t="str">
        <f t="shared" si="60"/>
        <v>MP10002|INFORME 194/26</v>
      </c>
      <c r="J1879" t="str">
        <f t="shared" si="61"/>
        <v>SÍ</v>
      </c>
    </row>
    <row r="1880" spans="1:10" x14ac:dyDescent="0.3">
      <c r="A1880" t="s">
        <v>360</v>
      </c>
      <c r="B1880" t="s">
        <v>361</v>
      </c>
      <c r="C1880" t="s">
        <v>1620</v>
      </c>
      <c r="D1880" s="23">
        <v>46356.91983796296</v>
      </c>
      <c r="E1880" t="s">
        <v>10</v>
      </c>
      <c r="F1880">
        <v>14207</v>
      </c>
      <c r="G1880" t="s">
        <v>40</v>
      </c>
      <c r="I1880" t="str">
        <f t="shared" si="60"/>
        <v>MP10002|INFORME 196/26</v>
      </c>
      <c r="J1880" t="str">
        <f t="shared" si="61"/>
        <v>SÍ</v>
      </c>
    </row>
    <row r="1881" spans="1:10" x14ac:dyDescent="0.3">
      <c r="A1881" t="s">
        <v>360</v>
      </c>
      <c r="B1881" t="s">
        <v>361</v>
      </c>
      <c r="C1881" t="s">
        <v>1621</v>
      </c>
      <c r="D1881" s="23">
        <v>46356.924861111111</v>
      </c>
      <c r="E1881" t="s">
        <v>10</v>
      </c>
      <c r="F1881">
        <v>17707</v>
      </c>
      <c r="G1881" t="s">
        <v>40</v>
      </c>
      <c r="I1881" t="str">
        <f t="shared" si="60"/>
        <v>MP10002|INFORME 207/26</v>
      </c>
      <c r="J1881" t="str">
        <f t="shared" si="61"/>
        <v>SÍ</v>
      </c>
    </row>
    <row r="1882" spans="1:10" x14ac:dyDescent="0.3">
      <c r="A1882" t="s">
        <v>360</v>
      </c>
      <c r="B1882" t="s">
        <v>361</v>
      </c>
      <c r="C1882" t="s">
        <v>1622</v>
      </c>
      <c r="D1882" s="23">
        <v>46329.93246527778</v>
      </c>
      <c r="E1882" t="s">
        <v>10</v>
      </c>
      <c r="F1882">
        <v>17108</v>
      </c>
      <c r="G1882" t="s">
        <v>40</v>
      </c>
      <c r="I1882" t="str">
        <f t="shared" si="60"/>
        <v>MP10002|INFORME 211/26</v>
      </c>
      <c r="J1882" t="str">
        <f t="shared" si="61"/>
        <v>SÍ</v>
      </c>
    </row>
    <row r="1883" spans="1:10" x14ac:dyDescent="0.3">
      <c r="A1883" t="s">
        <v>360</v>
      </c>
      <c r="B1883" t="s">
        <v>361</v>
      </c>
      <c r="C1883" t="s">
        <v>1623</v>
      </c>
      <c r="D1883" s="23">
        <v>46356.936469907407</v>
      </c>
      <c r="E1883" t="s">
        <v>10</v>
      </c>
      <c r="F1883">
        <v>18728</v>
      </c>
      <c r="G1883" t="s">
        <v>40</v>
      </c>
      <c r="I1883" t="str">
        <f t="shared" si="60"/>
        <v>MP10002|INFORME 225/26</v>
      </c>
      <c r="J1883" t="str">
        <f t="shared" si="61"/>
        <v>SÍ</v>
      </c>
    </row>
    <row r="1884" spans="1:10" x14ac:dyDescent="0.3">
      <c r="A1884" t="s">
        <v>360</v>
      </c>
      <c r="B1884" t="s">
        <v>361</v>
      </c>
      <c r="C1884" t="s">
        <v>1624</v>
      </c>
      <c r="D1884" s="23">
        <v>46356.939166666663</v>
      </c>
      <c r="E1884" t="s">
        <v>10</v>
      </c>
      <c r="F1884">
        <v>19410</v>
      </c>
      <c r="G1884" t="s">
        <v>40</v>
      </c>
      <c r="I1884" t="str">
        <f t="shared" si="60"/>
        <v>MP10002|INFORME 228/26</v>
      </c>
      <c r="J1884" t="str">
        <f t="shared" si="61"/>
        <v>SÍ</v>
      </c>
    </row>
    <row r="1885" spans="1:10" x14ac:dyDescent="0.3">
      <c r="A1885" t="s">
        <v>360</v>
      </c>
      <c r="B1885" t="s">
        <v>361</v>
      </c>
      <c r="C1885" t="s">
        <v>1625</v>
      </c>
      <c r="D1885" s="23">
        <v>46356.942418981482</v>
      </c>
      <c r="E1885" t="s">
        <v>10</v>
      </c>
      <c r="F1885">
        <v>22450</v>
      </c>
      <c r="G1885" t="s">
        <v>40</v>
      </c>
      <c r="I1885" t="str">
        <f t="shared" si="60"/>
        <v>MP10002|INFORME 230/26</v>
      </c>
      <c r="J1885" t="str">
        <f t="shared" si="61"/>
        <v>SÍ</v>
      </c>
    </row>
    <row r="1886" spans="1:10" x14ac:dyDescent="0.3">
      <c r="A1886" t="s">
        <v>360</v>
      </c>
      <c r="B1886" t="s">
        <v>361</v>
      </c>
      <c r="C1886" t="s">
        <v>1626</v>
      </c>
      <c r="D1886" s="23">
        <v>46356.944189814807</v>
      </c>
      <c r="E1886" t="s">
        <v>10</v>
      </c>
      <c r="F1886">
        <v>20333</v>
      </c>
      <c r="G1886" t="s">
        <v>40</v>
      </c>
      <c r="I1886" t="str">
        <f t="shared" si="60"/>
        <v>MP10002|INFORME 231/26</v>
      </c>
      <c r="J1886" t="str">
        <f t="shared" si="61"/>
        <v>SÍ</v>
      </c>
    </row>
    <row r="1887" spans="1:10" x14ac:dyDescent="0.3">
      <c r="A1887" t="s">
        <v>630</v>
      </c>
      <c r="B1887" t="s">
        <v>799</v>
      </c>
      <c r="C1887" t="s">
        <v>1627</v>
      </c>
      <c r="D1887" s="23">
        <v>46509</v>
      </c>
      <c r="E1887" t="s">
        <v>1637</v>
      </c>
      <c r="F1887">
        <v>169</v>
      </c>
      <c r="G1887" t="s">
        <v>2171</v>
      </c>
      <c r="I1887" t="str">
        <f t="shared" si="60"/>
        <v>RT0124PE|RJ-24526-E3</v>
      </c>
      <c r="J1887" t="str">
        <f t="shared" si="61"/>
        <v>SÍ</v>
      </c>
    </row>
    <row r="1888" spans="1:10" x14ac:dyDescent="0.3">
      <c r="A1888" t="s">
        <v>630</v>
      </c>
      <c r="B1888" t="s">
        <v>799</v>
      </c>
      <c r="C1888" t="s">
        <v>1628</v>
      </c>
      <c r="D1888" s="23">
        <v>46510.008275462962</v>
      </c>
      <c r="E1888" t="s">
        <v>1637</v>
      </c>
      <c r="F1888">
        <v>22</v>
      </c>
      <c r="G1888" t="s">
        <v>2171</v>
      </c>
      <c r="I1888" t="str">
        <f t="shared" si="60"/>
        <v>RT0124PE|RJ-24626-E3</v>
      </c>
      <c r="J1888" t="str">
        <f t="shared" si="61"/>
        <v>SÍ</v>
      </c>
    </row>
    <row r="1889" spans="1:10" x14ac:dyDescent="0.3">
      <c r="A1889" t="s">
        <v>630</v>
      </c>
      <c r="B1889" t="s">
        <v>799</v>
      </c>
      <c r="C1889" t="s">
        <v>1611</v>
      </c>
      <c r="D1889" s="23">
        <v>46509</v>
      </c>
      <c r="E1889" t="s">
        <v>1637</v>
      </c>
      <c r="F1889">
        <v>33</v>
      </c>
      <c r="G1889" t="s">
        <v>2171</v>
      </c>
      <c r="I1889" t="str">
        <f t="shared" si="60"/>
        <v>RT0124PE|RJ-24526-E5</v>
      </c>
      <c r="J1889" t="str">
        <f t="shared" si="61"/>
        <v>SÍ</v>
      </c>
    </row>
    <row r="1890" spans="1:10" x14ac:dyDescent="0.3">
      <c r="A1890" t="s">
        <v>630</v>
      </c>
      <c r="B1890" t="s">
        <v>799</v>
      </c>
      <c r="C1890" t="s">
        <v>1629</v>
      </c>
      <c r="D1890" s="23">
        <v>46510.013275462959</v>
      </c>
      <c r="E1890" t="s">
        <v>1637</v>
      </c>
      <c r="F1890">
        <v>28</v>
      </c>
      <c r="G1890" t="s">
        <v>2171</v>
      </c>
      <c r="I1890" t="str">
        <f t="shared" si="60"/>
        <v>RT0124PE|RJ-24626-E5</v>
      </c>
      <c r="J1890" t="str">
        <f t="shared" si="61"/>
        <v>SÍ</v>
      </c>
    </row>
    <row r="1891" spans="1:10" x14ac:dyDescent="0.3">
      <c r="A1891" t="s">
        <v>703</v>
      </c>
      <c r="B1891" t="s">
        <v>872</v>
      </c>
      <c r="C1891" t="s">
        <v>1600</v>
      </c>
      <c r="D1891" s="23">
        <v>46569.924131944441</v>
      </c>
      <c r="E1891" t="s">
        <v>1637</v>
      </c>
      <c r="F1891">
        <v>40</v>
      </c>
      <c r="G1891" t="s">
        <v>2169</v>
      </c>
      <c r="I1891" t="str">
        <f t="shared" si="60"/>
        <v>TC0083PE|SN-24426-E7</v>
      </c>
      <c r="J1891" t="str">
        <f t="shared" si="61"/>
        <v>SÍ</v>
      </c>
    </row>
    <row r="1892" spans="1:10" x14ac:dyDescent="0.3">
      <c r="A1892" t="s">
        <v>703</v>
      </c>
      <c r="B1892" t="s">
        <v>872</v>
      </c>
      <c r="C1892" t="s">
        <v>1630</v>
      </c>
      <c r="D1892" s="23">
        <v>46570</v>
      </c>
      <c r="E1892" t="s">
        <v>1637</v>
      </c>
      <c r="F1892">
        <v>80</v>
      </c>
      <c r="G1892" t="s">
        <v>2169</v>
      </c>
      <c r="I1892" t="str">
        <f t="shared" si="60"/>
        <v>TC0083PE|SN-24526-E7</v>
      </c>
      <c r="J1892" t="str">
        <f t="shared" si="61"/>
        <v>SÍ</v>
      </c>
    </row>
    <row r="1893" spans="1:10" x14ac:dyDescent="0.3">
      <c r="A1893" t="s">
        <v>583</v>
      </c>
      <c r="B1893" t="s">
        <v>752</v>
      </c>
      <c r="C1893" t="s">
        <v>1599</v>
      </c>
      <c r="D1893" s="23">
        <v>46569.969606481478</v>
      </c>
      <c r="E1893" t="s">
        <v>1637</v>
      </c>
      <c r="F1893">
        <v>40</v>
      </c>
      <c r="G1893" t="s">
        <v>2166</v>
      </c>
      <c r="I1893" t="str">
        <f t="shared" si="60"/>
        <v>TC0016PE|SN-24426-E8</v>
      </c>
      <c r="J1893" t="str">
        <f t="shared" si="61"/>
        <v>SÍ</v>
      </c>
    </row>
    <row r="1894" spans="1:10" x14ac:dyDescent="0.3">
      <c r="A1894" t="s">
        <v>583</v>
      </c>
      <c r="B1894" t="s">
        <v>752</v>
      </c>
      <c r="C1894" t="s">
        <v>1631</v>
      </c>
      <c r="D1894" s="23">
        <v>46570.957476851851</v>
      </c>
      <c r="E1894" t="s">
        <v>1637</v>
      </c>
      <c r="F1894">
        <v>181</v>
      </c>
      <c r="G1894" t="s">
        <v>2166</v>
      </c>
      <c r="I1894" t="str">
        <f t="shared" si="60"/>
        <v>TC0016PE|SN-24526-E8</v>
      </c>
      <c r="J1894" t="str">
        <f t="shared" si="61"/>
        <v>SÍ</v>
      </c>
    </row>
    <row r="1895" spans="1:10" x14ac:dyDescent="0.3">
      <c r="A1895" t="s">
        <v>644</v>
      </c>
      <c r="B1895" t="s">
        <v>813</v>
      </c>
      <c r="C1895" t="s">
        <v>1632</v>
      </c>
      <c r="D1895" s="23">
        <v>46510.197476851848</v>
      </c>
      <c r="E1895" t="s">
        <v>1637</v>
      </c>
      <c r="F1895">
        <v>120</v>
      </c>
      <c r="G1895" t="s">
        <v>2170</v>
      </c>
      <c r="I1895" t="str">
        <f t="shared" si="60"/>
        <v>BS0003PE|BJ-24626-E2</v>
      </c>
      <c r="J1895" t="str">
        <f t="shared" si="61"/>
        <v>SÍ</v>
      </c>
    </row>
    <row r="1896" spans="1:10" x14ac:dyDescent="0.3">
      <c r="A1896" t="s">
        <v>644</v>
      </c>
      <c r="B1896" t="s">
        <v>813</v>
      </c>
      <c r="C1896" t="s">
        <v>1633</v>
      </c>
      <c r="D1896" s="23">
        <v>46510.195914351847</v>
      </c>
      <c r="E1896" t="s">
        <v>1637</v>
      </c>
      <c r="F1896">
        <v>60</v>
      </c>
      <c r="G1896" t="s">
        <v>2170</v>
      </c>
      <c r="I1896" t="str">
        <f t="shared" si="60"/>
        <v>BS0003PE|BJ-24626-E1</v>
      </c>
      <c r="J1896" t="str">
        <f t="shared" si="61"/>
        <v>SÍ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60"/>
  <sheetViews>
    <sheetView showGridLines="0" workbookViewId="0">
      <selection activeCell="B1" sqref="B1"/>
    </sheetView>
  </sheetViews>
  <sheetFormatPr baseColWidth="10" defaultColWidth="8.88671875" defaultRowHeight="14.4" x14ac:dyDescent="0.3"/>
  <cols>
    <col min="1" max="1" width="16.109375" style="28" customWidth="1"/>
    <col min="2" max="2" width="33.33203125" customWidth="1"/>
    <col min="3" max="3" width="18.88671875" customWidth="1"/>
    <col min="4" max="4" width="8.88671875" customWidth="1"/>
    <col min="5" max="5" width="36.6640625" customWidth="1"/>
  </cols>
  <sheetData>
    <row r="1" spans="1:5" x14ac:dyDescent="0.3">
      <c r="A1" s="25" t="s">
        <v>531</v>
      </c>
      <c r="B1" s="5" t="s">
        <v>532</v>
      </c>
      <c r="C1" s="5" t="s">
        <v>533</v>
      </c>
      <c r="D1" s="5" t="s">
        <v>534</v>
      </c>
      <c r="E1" s="6" t="s">
        <v>535</v>
      </c>
    </row>
    <row r="2" spans="1:5" ht="28.8" x14ac:dyDescent="0.3">
      <c r="A2" s="13" t="s">
        <v>2186</v>
      </c>
      <c r="B2" s="7" t="s">
        <v>1643</v>
      </c>
      <c r="C2" s="13" t="s">
        <v>2186</v>
      </c>
      <c r="D2" t="s">
        <v>536</v>
      </c>
      <c r="E2" s="13" t="s">
        <v>3323</v>
      </c>
    </row>
    <row r="3" spans="1:5" x14ac:dyDescent="0.3">
      <c r="A3" s="26" t="s">
        <v>1634</v>
      </c>
      <c r="B3" s="8" t="s">
        <v>1634</v>
      </c>
      <c r="C3" s="13" t="s">
        <v>1634</v>
      </c>
      <c r="D3" s="9" t="s">
        <v>536</v>
      </c>
      <c r="E3" s="13" t="s">
        <v>3323</v>
      </c>
    </row>
    <row r="4" spans="1:5" ht="28.8" x14ac:dyDescent="0.3">
      <c r="A4" s="13" t="s">
        <v>2187</v>
      </c>
      <c r="B4" t="s">
        <v>2094</v>
      </c>
      <c r="C4" s="13" t="s">
        <v>2187</v>
      </c>
      <c r="D4" s="9" t="s">
        <v>536</v>
      </c>
      <c r="E4" s="13" t="s">
        <v>3323</v>
      </c>
    </row>
    <row r="5" spans="1:5" x14ac:dyDescent="0.3">
      <c r="A5" s="26" t="s">
        <v>1641</v>
      </c>
      <c r="B5" t="s">
        <v>1641</v>
      </c>
      <c r="C5" s="13" t="s">
        <v>1641</v>
      </c>
      <c r="D5" s="9" t="s">
        <v>536</v>
      </c>
      <c r="E5" s="13" t="s">
        <v>3323</v>
      </c>
    </row>
    <row r="6" spans="1:5" ht="28.8" x14ac:dyDescent="0.3">
      <c r="A6" s="26" t="s">
        <v>1640</v>
      </c>
      <c r="B6" t="s">
        <v>1640</v>
      </c>
      <c r="C6" s="13" t="s">
        <v>1640</v>
      </c>
      <c r="D6" s="9" t="s">
        <v>536</v>
      </c>
      <c r="E6" s="13" t="s">
        <v>3323</v>
      </c>
    </row>
    <row r="7" spans="1:5" x14ac:dyDescent="0.3">
      <c r="A7" s="13" t="s">
        <v>2188</v>
      </c>
      <c r="B7" t="s">
        <v>1644</v>
      </c>
      <c r="C7" s="13" t="s">
        <v>2188</v>
      </c>
      <c r="D7" s="9" t="s">
        <v>536</v>
      </c>
      <c r="E7" s="13" t="s">
        <v>3323</v>
      </c>
    </row>
    <row r="8" spans="1:5" x14ac:dyDescent="0.3">
      <c r="A8" s="26" t="s">
        <v>10</v>
      </c>
      <c r="B8" t="s">
        <v>10</v>
      </c>
      <c r="C8" s="13" t="s">
        <v>10</v>
      </c>
      <c r="D8" s="9" t="s">
        <v>536</v>
      </c>
      <c r="E8" s="13" t="s">
        <v>3323</v>
      </c>
    </row>
    <row r="9" spans="1:5" x14ac:dyDescent="0.3">
      <c r="A9" s="26" t="s">
        <v>2093</v>
      </c>
      <c r="B9" t="s">
        <v>2093</v>
      </c>
      <c r="C9" s="13" t="s">
        <v>2093</v>
      </c>
      <c r="D9" s="9" t="s">
        <v>536</v>
      </c>
      <c r="E9" s="13" t="s">
        <v>3323</v>
      </c>
    </row>
    <row r="10" spans="1:5" ht="28.8" x14ac:dyDescent="0.3">
      <c r="A10" s="26" t="s">
        <v>3200</v>
      </c>
      <c r="B10" t="s">
        <v>3200</v>
      </c>
      <c r="C10" s="13" t="s">
        <v>3200</v>
      </c>
      <c r="D10" s="9" t="s">
        <v>536</v>
      </c>
      <c r="E10" s="13" t="s">
        <v>3323</v>
      </c>
    </row>
    <row r="11" spans="1:5" x14ac:dyDescent="0.3">
      <c r="A11" s="13" t="s">
        <v>1642</v>
      </c>
      <c r="B11" t="s">
        <v>1642</v>
      </c>
      <c r="C11" s="13" t="s">
        <v>1642</v>
      </c>
      <c r="D11" s="9" t="s">
        <v>536</v>
      </c>
      <c r="E11" s="13" t="s">
        <v>3323</v>
      </c>
    </row>
    <row r="12" spans="1:5" ht="28.8" x14ac:dyDescent="0.3">
      <c r="A12" s="13" t="s">
        <v>2189</v>
      </c>
      <c r="B12" t="s">
        <v>2189</v>
      </c>
      <c r="C12" s="13" t="s">
        <v>2189</v>
      </c>
      <c r="D12" s="9" t="s">
        <v>536</v>
      </c>
      <c r="E12" s="13" t="s">
        <v>3323</v>
      </c>
    </row>
    <row r="13" spans="1:5" ht="43.2" x14ac:dyDescent="0.3">
      <c r="A13" s="13" t="s">
        <v>2190</v>
      </c>
      <c r="B13" t="s">
        <v>2190</v>
      </c>
      <c r="C13" s="13" t="s">
        <v>2190</v>
      </c>
      <c r="D13" s="9" t="s">
        <v>536</v>
      </c>
      <c r="E13" s="13" t="s">
        <v>3323</v>
      </c>
    </row>
    <row r="14" spans="1:5" x14ac:dyDescent="0.3">
      <c r="A14" s="13" t="s">
        <v>1638</v>
      </c>
      <c r="B14" t="s">
        <v>1638</v>
      </c>
      <c r="C14" s="13" t="s">
        <v>1638</v>
      </c>
      <c r="D14" s="9" t="s">
        <v>536</v>
      </c>
      <c r="E14" s="13" t="s">
        <v>3323</v>
      </c>
    </row>
    <row r="15" spans="1:5" x14ac:dyDescent="0.3">
      <c r="A15" s="13" t="s">
        <v>1637</v>
      </c>
      <c r="B15" t="s">
        <v>1637</v>
      </c>
      <c r="C15" s="13" t="s">
        <v>1637</v>
      </c>
      <c r="D15" s="9" t="s">
        <v>536</v>
      </c>
      <c r="E15" s="13" t="s">
        <v>3323</v>
      </c>
    </row>
    <row r="16" spans="1:5" ht="43.2" x14ac:dyDescent="0.3">
      <c r="A16" s="26" t="s">
        <v>2147</v>
      </c>
      <c r="B16" t="s">
        <v>2147</v>
      </c>
      <c r="C16" s="13" t="s">
        <v>2147</v>
      </c>
      <c r="D16" s="9" t="s">
        <v>536</v>
      </c>
      <c r="E16" s="13" t="s">
        <v>3323</v>
      </c>
    </row>
    <row r="17" spans="1:5" ht="28.8" x14ac:dyDescent="0.3">
      <c r="A17" s="13" t="s">
        <v>2191</v>
      </c>
      <c r="B17" t="s">
        <v>2191</v>
      </c>
      <c r="C17" s="13" t="s">
        <v>2191</v>
      </c>
      <c r="D17" s="9" t="s">
        <v>536</v>
      </c>
      <c r="E17" s="13" t="s">
        <v>3323</v>
      </c>
    </row>
    <row r="18" spans="1:5" ht="43.2" x14ac:dyDescent="0.3">
      <c r="A18" s="13" t="s">
        <v>2192</v>
      </c>
      <c r="B18" t="s">
        <v>2192</v>
      </c>
      <c r="C18" s="13" t="s">
        <v>2192</v>
      </c>
      <c r="D18" s="9" t="s">
        <v>536</v>
      </c>
      <c r="E18" s="13" t="s">
        <v>3323</v>
      </c>
    </row>
    <row r="19" spans="1:5" ht="43.2" x14ac:dyDescent="0.3">
      <c r="A19" s="13" t="s">
        <v>2165</v>
      </c>
      <c r="B19" t="s">
        <v>2165</v>
      </c>
      <c r="C19" s="13" t="s">
        <v>2165</v>
      </c>
      <c r="D19" s="9" t="s">
        <v>536</v>
      </c>
      <c r="E19" s="13" t="s">
        <v>3323</v>
      </c>
    </row>
    <row r="20" spans="1:5" ht="43.2" x14ac:dyDescent="0.3">
      <c r="A20" s="13" t="s">
        <v>2193</v>
      </c>
      <c r="B20" t="s">
        <v>2193</v>
      </c>
      <c r="C20" s="13" t="s">
        <v>2193</v>
      </c>
      <c r="D20" s="9" t="s">
        <v>536</v>
      </c>
      <c r="E20" s="13" t="s">
        <v>3323</v>
      </c>
    </row>
    <row r="21" spans="1:5" ht="43.2" x14ac:dyDescent="0.3">
      <c r="A21" s="13" t="s">
        <v>2194</v>
      </c>
      <c r="B21" t="s">
        <v>2194</v>
      </c>
      <c r="C21" s="13" t="s">
        <v>2194</v>
      </c>
      <c r="D21" s="9" t="s">
        <v>536</v>
      </c>
      <c r="E21" s="13" t="s">
        <v>3323</v>
      </c>
    </row>
    <row r="22" spans="1:5" ht="43.2" x14ac:dyDescent="0.3">
      <c r="A22" s="13" t="s">
        <v>2195</v>
      </c>
      <c r="B22" t="s">
        <v>2195</v>
      </c>
      <c r="C22" s="13" t="s">
        <v>2195</v>
      </c>
      <c r="D22" s="9" t="s">
        <v>536</v>
      </c>
      <c r="E22" s="13" t="s">
        <v>3323</v>
      </c>
    </row>
    <row r="23" spans="1:5" ht="43.2" x14ac:dyDescent="0.3">
      <c r="A23" s="13" t="s">
        <v>2196</v>
      </c>
      <c r="B23" t="s">
        <v>2196</v>
      </c>
      <c r="C23" s="13" t="s">
        <v>2196</v>
      </c>
      <c r="D23" s="9" t="s">
        <v>536</v>
      </c>
      <c r="E23" s="13" t="s">
        <v>3323</v>
      </c>
    </row>
    <row r="24" spans="1:5" ht="43.2" x14ac:dyDescent="0.3">
      <c r="A24" s="13" t="s">
        <v>2197</v>
      </c>
      <c r="B24" t="s">
        <v>2197</v>
      </c>
      <c r="C24" s="13" t="s">
        <v>2197</v>
      </c>
      <c r="D24" s="9" t="s">
        <v>536</v>
      </c>
      <c r="E24" s="13" t="s">
        <v>3323</v>
      </c>
    </row>
    <row r="25" spans="1:5" ht="43.2" x14ac:dyDescent="0.3">
      <c r="A25" s="13" t="s">
        <v>2198</v>
      </c>
      <c r="B25" t="s">
        <v>2198</v>
      </c>
      <c r="C25" s="13" t="s">
        <v>2198</v>
      </c>
      <c r="D25" s="9" t="s">
        <v>536</v>
      </c>
      <c r="E25" s="13" t="s">
        <v>3323</v>
      </c>
    </row>
    <row r="26" spans="1:5" ht="43.2" x14ac:dyDescent="0.3">
      <c r="A26" s="13" t="s">
        <v>2199</v>
      </c>
      <c r="B26" t="s">
        <v>2199</v>
      </c>
      <c r="C26" s="13" t="s">
        <v>2199</v>
      </c>
      <c r="D26" s="9" t="s">
        <v>536</v>
      </c>
      <c r="E26" s="13" t="s">
        <v>3323</v>
      </c>
    </row>
    <row r="27" spans="1:5" ht="43.2" x14ac:dyDescent="0.3">
      <c r="A27" s="13" t="s">
        <v>2200</v>
      </c>
      <c r="B27" t="s">
        <v>2200</v>
      </c>
      <c r="C27" s="13" t="s">
        <v>2200</v>
      </c>
      <c r="D27" s="9" t="s">
        <v>536</v>
      </c>
      <c r="E27" s="13" t="s">
        <v>3323</v>
      </c>
    </row>
    <row r="28" spans="1:5" ht="43.2" x14ac:dyDescent="0.3">
      <c r="A28" s="13" t="s">
        <v>2201</v>
      </c>
      <c r="B28" t="s">
        <v>2201</v>
      </c>
      <c r="C28" s="13" t="s">
        <v>2201</v>
      </c>
      <c r="D28" s="9" t="s">
        <v>536</v>
      </c>
      <c r="E28" s="13" t="s">
        <v>3323</v>
      </c>
    </row>
    <row r="29" spans="1:5" ht="43.2" x14ac:dyDescent="0.3">
      <c r="A29" s="13" t="s">
        <v>2202</v>
      </c>
      <c r="B29" t="s">
        <v>2202</v>
      </c>
      <c r="C29" s="13" t="s">
        <v>2202</v>
      </c>
      <c r="D29" s="9" t="s">
        <v>536</v>
      </c>
      <c r="E29" s="13" t="s">
        <v>3323</v>
      </c>
    </row>
    <row r="30" spans="1:5" ht="43.2" x14ac:dyDescent="0.3">
      <c r="A30" s="13" t="s">
        <v>2203</v>
      </c>
      <c r="B30" t="s">
        <v>2203</v>
      </c>
      <c r="C30" s="13" t="s">
        <v>2203</v>
      </c>
      <c r="D30" s="9" t="s">
        <v>536</v>
      </c>
      <c r="E30" s="13" t="s">
        <v>3323</v>
      </c>
    </row>
    <row r="31" spans="1:5" ht="43.2" x14ac:dyDescent="0.3">
      <c r="A31" s="13" t="s">
        <v>2204</v>
      </c>
      <c r="B31" t="s">
        <v>2204</v>
      </c>
      <c r="C31" s="13" t="s">
        <v>2204</v>
      </c>
      <c r="D31" s="9" t="s">
        <v>536</v>
      </c>
      <c r="E31" s="13" t="s">
        <v>3323</v>
      </c>
    </row>
    <row r="32" spans="1:5" ht="43.2" x14ac:dyDescent="0.3">
      <c r="A32" s="13" t="s">
        <v>2205</v>
      </c>
      <c r="B32" t="s">
        <v>2205</v>
      </c>
      <c r="C32" s="13" t="s">
        <v>2205</v>
      </c>
      <c r="D32" s="9" t="s">
        <v>536</v>
      </c>
      <c r="E32" s="13" t="s">
        <v>3323</v>
      </c>
    </row>
    <row r="33" spans="1:5" ht="43.2" x14ac:dyDescent="0.3">
      <c r="A33" s="13" t="s">
        <v>2206</v>
      </c>
      <c r="B33" t="s">
        <v>2206</v>
      </c>
      <c r="C33" s="13" t="s">
        <v>2206</v>
      </c>
      <c r="D33" s="9" t="s">
        <v>536</v>
      </c>
      <c r="E33" s="13" t="s">
        <v>3323</v>
      </c>
    </row>
    <row r="34" spans="1:5" ht="43.2" x14ac:dyDescent="0.3">
      <c r="A34" s="13" t="s">
        <v>2207</v>
      </c>
      <c r="B34" t="s">
        <v>2207</v>
      </c>
      <c r="C34" s="13" t="s">
        <v>2207</v>
      </c>
      <c r="D34" s="9" t="s">
        <v>536</v>
      </c>
      <c r="E34" s="13" t="s">
        <v>3323</v>
      </c>
    </row>
    <row r="35" spans="1:5" ht="43.2" x14ac:dyDescent="0.3">
      <c r="A35" s="13" t="s">
        <v>2208</v>
      </c>
      <c r="B35" t="s">
        <v>2208</v>
      </c>
      <c r="C35" s="13" t="s">
        <v>2208</v>
      </c>
      <c r="D35" s="9" t="s">
        <v>536</v>
      </c>
      <c r="E35" s="13" t="s">
        <v>3323</v>
      </c>
    </row>
    <row r="36" spans="1:5" ht="43.2" x14ac:dyDescent="0.3">
      <c r="A36" s="13" t="s">
        <v>2209</v>
      </c>
      <c r="B36" t="s">
        <v>2209</v>
      </c>
      <c r="C36" s="13" t="s">
        <v>2209</v>
      </c>
      <c r="D36" s="9" t="s">
        <v>536</v>
      </c>
      <c r="E36" s="13" t="s">
        <v>3323</v>
      </c>
    </row>
    <row r="37" spans="1:5" ht="43.2" x14ac:dyDescent="0.3">
      <c r="A37" s="13" t="s">
        <v>2210</v>
      </c>
      <c r="B37" t="s">
        <v>2210</v>
      </c>
      <c r="C37" s="13" t="s">
        <v>2210</v>
      </c>
      <c r="D37" s="9" t="s">
        <v>536</v>
      </c>
      <c r="E37" s="13" t="s">
        <v>3323</v>
      </c>
    </row>
    <row r="38" spans="1:5" ht="43.2" x14ac:dyDescent="0.3">
      <c r="A38" s="13" t="s">
        <v>2211</v>
      </c>
      <c r="B38" t="s">
        <v>2211</v>
      </c>
      <c r="C38" s="13" t="s">
        <v>2211</v>
      </c>
      <c r="D38" s="9" t="s">
        <v>536</v>
      </c>
      <c r="E38" s="13" t="s">
        <v>3323</v>
      </c>
    </row>
    <row r="39" spans="1:5" ht="43.2" x14ac:dyDescent="0.3">
      <c r="A39" s="13" t="s">
        <v>2212</v>
      </c>
      <c r="B39" t="s">
        <v>2212</v>
      </c>
      <c r="C39" s="13" t="s">
        <v>2212</v>
      </c>
      <c r="D39" s="9" t="s">
        <v>536</v>
      </c>
      <c r="E39" s="13" t="s">
        <v>3323</v>
      </c>
    </row>
    <row r="40" spans="1:5" ht="43.2" x14ac:dyDescent="0.3">
      <c r="A40" s="13" t="s">
        <v>2213</v>
      </c>
      <c r="B40" t="s">
        <v>2213</v>
      </c>
      <c r="C40" s="13" t="s">
        <v>2213</v>
      </c>
      <c r="D40" s="9" t="s">
        <v>536</v>
      </c>
      <c r="E40" s="13" t="s">
        <v>3323</v>
      </c>
    </row>
    <row r="41" spans="1:5" ht="43.2" x14ac:dyDescent="0.3">
      <c r="A41" s="13" t="s">
        <v>2214</v>
      </c>
      <c r="B41" t="s">
        <v>2214</v>
      </c>
      <c r="C41" s="13" t="s">
        <v>2214</v>
      </c>
      <c r="D41" s="9" t="s">
        <v>536</v>
      </c>
      <c r="E41" s="13" t="s">
        <v>3323</v>
      </c>
    </row>
    <row r="42" spans="1:5" ht="43.2" x14ac:dyDescent="0.3">
      <c r="A42" s="13" t="s">
        <v>2215</v>
      </c>
      <c r="B42" t="s">
        <v>2215</v>
      </c>
      <c r="C42" s="13" t="s">
        <v>2215</v>
      </c>
      <c r="D42" s="9" t="s">
        <v>536</v>
      </c>
      <c r="E42" s="13" t="s">
        <v>3323</v>
      </c>
    </row>
    <row r="43" spans="1:5" ht="43.2" x14ac:dyDescent="0.3">
      <c r="A43" s="13" t="s">
        <v>2216</v>
      </c>
      <c r="B43" t="s">
        <v>2216</v>
      </c>
      <c r="C43" s="13" t="s">
        <v>2216</v>
      </c>
      <c r="D43" s="9" t="s">
        <v>536</v>
      </c>
      <c r="E43" s="13" t="s">
        <v>3323</v>
      </c>
    </row>
    <row r="44" spans="1:5" ht="43.2" x14ac:dyDescent="0.3">
      <c r="A44" s="13" t="s">
        <v>2217</v>
      </c>
      <c r="B44" t="s">
        <v>2217</v>
      </c>
      <c r="C44" s="13" t="s">
        <v>2217</v>
      </c>
      <c r="D44" s="9" t="s">
        <v>536</v>
      </c>
      <c r="E44" s="13" t="s">
        <v>3323</v>
      </c>
    </row>
    <row r="45" spans="1:5" ht="43.2" x14ac:dyDescent="0.3">
      <c r="A45" s="13" t="s">
        <v>2218</v>
      </c>
      <c r="B45" t="s">
        <v>2218</v>
      </c>
      <c r="C45" s="13" t="s">
        <v>2218</v>
      </c>
      <c r="D45" s="9" t="s">
        <v>536</v>
      </c>
      <c r="E45" s="13" t="s">
        <v>3323</v>
      </c>
    </row>
    <row r="46" spans="1:5" ht="43.2" x14ac:dyDescent="0.3">
      <c r="A46" s="13" t="s">
        <v>2219</v>
      </c>
      <c r="B46" t="s">
        <v>2219</v>
      </c>
      <c r="C46" s="13" t="s">
        <v>2219</v>
      </c>
      <c r="D46" s="9" t="s">
        <v>536</v>
      </c>
      <c r="E46" s="13" t="s">
        <v>3323</v>
      </c>
    </row>
    <row r="47" spans="1:5" ht="43.2" x14ac:dyDescent="0.3">
      <c r="A47" s="13" t="s">
        <v>2220</v>
      </c>
      <c r="B47" t="s">
        <v>2220</v>
      </c>
      <c r="C47" s="13" t="s">
        <v>2220</v>
      </c>
      <c r="D47" s="9" t="s">
        <v>536</v>
      </c>
      <c r="E47" s="13" t="s">
        <v>3323</v>
      </c>
    </row>
    <row r="48" spans="1:5" ht="43.2" x14ac:dyDescent="0.3">
      <c r="A48" s="13" t="s">
        <v>2221</v>
      </c>
      <c r="B48" t="s">
        <v>2221</v>
      </c>
      <c r="C48" s="13" t="s">
        <v>2221</v>
      </c>
      <c r="D48" s="9" t="s">
        <v>536</v>
      </c>
      <c r="E48" s="13" t="s">
        <v>3323</v>
      </c>
    </row>
    <row r="49" spans="1:5" ht="43.2" x14ac:dyDescent="0.3">
      <c r="A49" s="13" t="s">
        <v>2222</v>
      </c>
      <c r="B49" t="s">
        <v>2222</v>
      </c>
      <c r="C49" s="13" t="s">
        <v>2222</v>
      </c>
      <c r="D49" s="9" t="s">
        <v>536</v>
      </c>
      <c r="E49" s="13" t="s">
        <v>3323</v>
      </c>
    </row>
    <row r="50" spans="1:5" ht="43.2" x14ac:dyDescent="0.3">
      <c r="A50" s="13" t="s">
        <v>1646</v>
      </c>
      <c r="B50" t="s">
        <v>1646</v>
      </c>
      <c r="C50" s="13" t="s">
        <v>1646</v>
      </c>
      <c r="D50" s="9" t="s">
        <v>536</v>
      </c>
      <c r="E50" s="13" t="s">
        <v>3323</v>
      </c>
    </row>
    <row r="51" spans="1:5" ht="43.2" x14ac:dyDescent="0.3">
      <c r="A51" s="13" t="s">
        <v>2223</v>
      </c>
      <c r="B51" t="s">
        <v>2223</v>
      </c>
      <c r="C51" s="13" t="s">
        <v>2223</v>
      </c>
      <c r="D51" s="9" t="s">
        <v>536</v>
      </c>
      <c r="E51" s="13" t="s">
        <v>3323</v>
      </c>
    </row>
    <row r="52" spans="1:5" ht="43.2" x14ac:dyDescent="0.3">
      <c r="A52" s="13" t="s">
        <v>2224</v>
      </c>
      <c r="B52" t="s">
        <v>2224</v>
      </c>
      <c r="C52" s="13" t="s">
        <v>2224</v>
      </c>
      <c r="D52" s="9" t="s">
        <v>536</v>
      </c>
      <c r="E52" s="13" t="s">
        <v>3323</v>
      </c>
    </row>
    <row r="53" spans="1:5" ht="43.2" x14ac:dyDescent="0.3">
      <c r="A53" s="13" t="s">
        <v>2225</v>
      </c>
      <c r="B53" t="s">
        <v>2225</v>
      </c>
      <c r="C53" s="13" t="s">
        <v>2225</v>
      </c>
      <c r="D53" s="9" t="s">
        <v>536</v>
      </c>
      <c r="E53" s="13" t="s">
        <v>3323</v>
      </c>
    </row>
    <row r="54" spans="1:5" ht="43.2" x14ac:dyDescent="0.3">
      <c r="A54" s="13" t="s">
        <v>2226</v>
      </c>
      <c r="B54" t="s">
        <v>2226</v>
      </c>
      <c r="C54" s="13" t="s">
        <v>2226</v>
      </c>
      <c r="D54" s="9" t="s">
        <v>536</v>
      </c>
      <c r="E54" s="13" t="s">
        <v>3323</v>
      </c>
    </row>
    <row r="55" spans="1:5" ht="43.2" x14ac:dyDescent="0.3">
      <c r="A55" s="13" t="s">
        <v>2227</v>
      </c>
      <c r="B55" t="s">
        <v>2227</v>
      </c>
      <c r="C55" s="13" t="s">
        <v>2227</v>
      </c>
      <c r="D55" s="9" t="s">
        <v>536</v>
      </c>
      <c r="E55" s="13" t="s">
        <v>3323</v>
      </c>
    </row>
    <row r="56" spans="1:5" ht="43.2" x14ac:dyDescent="0.3">
      <c r="A56" s="13" t="s">
        <v>2228</v>
      </c>
      <c r="B56" t="s">
        <v>2228</v>
      </c>
      <c r="C56" s="13" t="s">
        <v>2228</v>
      </c>
      <c r="D56" s="9" t="s">
        <v>536</v>
      </c>
      <c r="E56" s="13" t="s">
        <v>3323</v>
      </c>
    </row>
    <row r="57" spans="1:5" ht="43.2" x14ac:dyDescent="0.3">
      <c r="A57" s="13" t="s">
        <v>2229</v>
      </c>
      <c r="B57" t="s">
        <v>2229</v>
      </c>
      <c r="C57" s="13" t="s">
        <v>2229</v>
      </c>
      <c r="D57" s="9" t="s">
        <v>536</v>
      </c>
      <c r="E57" s="13" t="s">
        <v>3323</v>
      </c>
    </row>
    <row r="58" spans="1:5" ht="43.2" x14ac:dyDescent="0.3">
      <c r="A58" s="13" t="s">
        <v>2230</v>
      </c>
      <c r="B58" t="s">
        <v>2230</v>
      </c>
      <c r="C58" s="13" t="s">
        <v>2230</v>
      </c>
      <c r="D58" s="9" t="s">
        <v>536</v>
      </c>
      <c r="E58" s="13" t="s">
        <v>3323</v>
      </c>
    </row>
    <row r="59" spans="1:5" ht="43.2" x14ac:dyDescent="0.3">
      <c r="A59" s="13" t="s">
        <v>2231</v>
      </c>
      <c r="B59" t="s">
        <v>2231</v>
      </c>
      <c r="C59" s="13" t="s">
        <v>2231</v>
      </c>
      <c r="D59" s="9" t="s">
        <v>536</v>
      </c>
      <c r="E59" s="13" t="s">
        <v>3323</v>
      </c>
    </row>
    <row r="60" spans="1:5" ht="43.2" x14ac:dyDescent="0.3">
      <c r="A60" s="13" t="s">
        <v>2232</v>
      </c>
      <c r="B60" t="s">
        <v>2232</v>
      </c>
      <c r="C60" s="13" t="s">
        <v>2232</v>
      </c>
      <c r="D60" s="9" t="s">
        <v>536</v>
      </c>
      <c r="E60" s="13" t="s">
        <v>3323</v>
      </c>
    </row>
    <row r="61" spans="1:5" ht="43.2" x14ac:dyDescent="0.3">
      <c r="A61" s="13" t="s">
        <v>2233</v>
      </c>
      <c r="B61" t="s">
        <v>2233</v>
      </c>
      <c r="C61" s="13" t="s">
        <v>2233</v>
      </c>
      <c r="D61" s="9" t="s">
        <v>536</v>
      </c>
      <c r="E61" s="13" t="s">
        <v>3323</v>
      </c>
    </row>
    <row r="62" spans="1:5" ht="43.2" x14ac:dyDescent="0.3">
      <c r="A62" s="13" t="s">
        <v>2234</v>
      </c>
      <c r="B62" t="s">
        <v>2234</v>
      </c>
      <c r="C62" s="13" t="s">
        <v>2234</v>
      </c>
      <c r="D62" s="9" t="s">
        <v>536</v>
      </c>
      <c r="E62" s="13" t="s">
        <v>3323</v>
      </c>
    </row>
    <row r="63" spans="1:5" ht="43.2" x14ac:dyDescent="0.3">
      <c r="A63" s="13" t="s">
        <v>2235</v>
      </c>
      <c r="B63" t="s">
        <v>2235</v>
      </c>
      <c r="C63" s="13" t="s">
        <v>2235</v>
      </c>
      <c r="D63" s="9" t="s">
        <v>536</v>
      </c>
      <c r="E63" s="13" t="s">
        <v>3323</v>
      </c>
    </row>
    <row r="64" spans="1:5" ht="43.2" x14ac:dyDescent="0.3">
      <c r="A64" s="13" t="s">
        <v>2236</v>
      </c>
      <c r="B64" t="s">
        <v>2236</v>
      </c>
      <c r="C64" s="13" t="s">
        <v>2236</v>
      </c>
      <c r="D64" s="9" t="s">
        <v>536</v>
      </c>
      <c r="E64" s="13" t="s">
        <v>3323</v>
      </c>
    </row>
    <row r="65" spans="1:5" ht="43.2" x14ac:dyDescent="0.3">
      <c r="A65" s="13" t="s">
        <v>2237</v>
      </c>
      <c r="B65" t="s">
        <v>2237</v>
      </c>
      <c r="C65" s="13" t="s">
        <v>2237</v>
      </c>
      <c r="D65" s="9" t="s">
        <v>536</v>
      </c>
      <c r="E65" s="13" t="s">
        <v>3323</v>
      </c>
    </row>
    <row r="66" spans="1:5" ht="43.2" x14ac:dyDescent="0.3">
      <c r="A66" s="13" t="s">
        <v>2238</v>
      </c>
      <c r="B66" t="s">
        <v>2238</v>
      </c>
      <c r="C66" s="13" t="s">
        <v>2238</v>
      </c>
      <c r="D66" s="9" t="s">
        <v>536</v>
      </c>
      <c r="E66" s="13" t="s">
        <v>3323</v>
      </c>
    </row>
    <row r="67" spans="1:5" ht="43.2" x14ac:dyDescent="0.3">
      <c r="A67" s="13" t="s">
        <v>2239</v>
      </c>
      <c r="B67" t="s">
        <v>2239</v>
      </c>
      <c r="C67" s="13" t="s">
        <v>2239</v>
      </c>
      <c r="D67" s="9" t="s">
        <v>536</v>
      </c>
      <c r="E67" s="13" t="s">
        <v>3323</v>
      </c>
    </row>
    <row r="68" spans="1:5" ht="43.2" x14ac:dyDescent="0.3">
      <c r="A68" s="13" t="s">
        <v>2240</v>
      </c>
      <c r="B68" t="s">
        <v>2240</v>
      </c>
      <c r="C68" s="13" t="s">
        <v>2240</v>
      </c>
      <c r="D68" s="9" t="s">
        <v>536</v>
      </c>
      <c r="E68" s="13" t="s">
        <v>3323</v>
      </c>
    </row>
    <row r="69" spans="1:5" ht="43.2" x14ac:dyDescent="0.3">
      <c r="A69" s="13" t="s">
        <v>2241</v>
      </c>
      <c r="B69" t="s">
        <v>2241</v>
      </c>
      <c r="C69" s="13" t="s">
        <v>2241</v>
      </c>
      <c r="D69" s="9" t="s">
        <v>536</v>
      </c>
      <c r="E69" s="13" t="s">
        <v>3323</v>
      </c>
    </row>
    <row r="70" spans="1:5" ht="43.2" x14ac:dyDescent="0.3">
      <c r="A70" s="13" t="s">
        <v>2242</v>
      </c>
      <c r="B70" t="s">
        <v>2242</v>
      </c>
      <c r="C70" s="13" t="s">
        <v>2242</v>
      </c>
      <c r="D70" s="9" t="s">
        <v>536</v>
      </c>
      <c r="E70" s="13" t="s">
        <v>3323</v>
      </c>
    </row>
    <row r="71" spans="1:5" ht="43.2" x14ac:dyDescent="0.3">
      <c r="A71" s="13" t="s">
        <v>2243</v>
      </c>
      <c r="B71" t="s">
        <v>2243</v>
      </c>
      <c r="C71" s="13" t="s">
        <v>2243</v>
      </c>
      <c r="D71" s="9" t="s">
        <v>536</v>
      </c>
      <c r="E71" s="13" t="s">
        <v>3323</v>
      </c>
    </row>
    <row r="72" spans="1:5" ht="43.2" x14ac:dyDescent="0.3">
      <c r="A72" s="13" t="s">
        <v>2244</v>
      </c>
      <c r="B72" t="s">
        <v>2244</v>
      </c>
      <c r="C72" s="13" t="s">
        <v>2244</v>
      </c>
      <c r="D72" s="9" t="s">
        <v>536</v>
      </c>
      <c r="E72" s="13" t="s">
        <v>3323</v>
      </c>
    </row>
    <row r="73" spans="1:5" ht="43.2" x14ac:dyDescent="0.3">
      <c r="A73" s="13" t="s">
        <v>2245</v>
      </c>
      <c r="B73" t="s">
        <v>2245</v>
      </c>
      <c r="C73" s="13" t="s">
        <v>2245</v>
      </c>
      <c r="D73" s="9" t="s">
        <v>536</v>
      </c>
      <c r="E73" s="13" t="s">
        <v>3323</v>
      </c>
    </row>
    <row r="74" spans="1:5" ht="43.2" x14ac:dyDescent="0.3">
      <c r="A74" s="13" t="s">
        <v>2246</v>
      </c>
      <c r="B74" t="s">
        <v>2246</v>
      </c>
      <c r="C74" s="13" t="s">
        <v>2246</v>
      </c>
      <c r="D74" s="9" t="s">
        <v>536</v>
      </c>
      <c r="E74" s="13" t="s">
        <v>3323</v>
      </c>
    </row>
    <row r="75" spans="1:5" ht="43.2" x14ac:dyDescent="0.3">
      <c r="A75" s="13" t="s">
        <v>2247</v>
      </c>
      <c r="B75" t="s">
        <v>2247</v>
      </c>
      <c r="C75" s="13" t="s">
        <v>2247</v>
      </c>
      <c r="D75" s="9" t="s">
        <v>536</v>
      </c>
      <c r="E75" s="13" t="s">
        <v>3323</v>
      </c>
    </row>
    <row r="76" spans="1:5" ht="43.2" x14ac:dyDescent="0.3">
      <c r="A76" s="13" t="s">
        <v>2248</v>
      </c>
      <c r="B76" t="s">
        <v>2248</v>
      </c>
      <c r="C76" s="13" t="s">
        <v>2248</v>
      </c>
      <c r="D76" s="9" t="s">
        <v>536</v>
      </c>
      <c r="E76" s="13" t="s">
        <v>3323</v>
      </c>
    </row>
    <row r="77" spans="1:5" ht="43.2" x14ac:dyDescent="0.3">
      <c r="A77" s="13" t="s">
        <v>2249</v>
      </c>
      <c r="B77" t="s">
        <v>2249</v>
      </c>
      <c r="C77" s="13" t="s">
        <v>2249</v>
      </c>
      <c r="D77" s="9" t="s">
        <v>536</v>
      </c>
      <c r="E77" s="13" t="s">
        <v>3323</v>
      </c>
    </row>
    <row r="78" spans="1:5" ht="43.2" x14ac:dyDescent="0.3">
      <c r="A78" s="13" t="s">
        <v>2250</v>
      </c>
      <c r="B78" t="s">
        <v>2250</v>
      </c>
      <c r="C78" s="13" t="s">
        <v>2250</v>
      </c>
      <c r="D78" s="9" t="s">
        <v>536</v>
      </c>
      <c r="E78" s="13" t="s">
        <v>3323</v>
      </c>
    </row>
    <row r="79" spans="1:5" ht="43.2" x14ac:dyDescent="0.3">
      <c r="A79" s="13" t="s">
        <v>2251</v>
      </c>
      <c r="B79" t="s">
        <v>2251</v>
      </c>
      <c r="C79" s="13" t="s">
        <v>2251</v>
      </c>
      <c r="D79" s="9" t="s">
        <v>536</v>
      </c>
      <c r="E79" s="13" t="s">
        <v>3323</v>
      </c>
    </row>
    <row r="80" spans="1:5" ht="43.2" x14ac:dyDescent="0.3">
      <c r="A80" s="13" t="s">
        <v>2252</v>
      </c>
      <c r="B80" t="s">
        <v>2252</v>
      </c>
      <c r="C80" s="13" t="s">
        <v>2252</v>
      </c>
      <c r="D80" s="9" t="s">
        <v>536</v>
      </c>
      <c r="E80" s="13" t="s">
        <v>3323</v>
      </c>
    </row>
    <row r="81" spans="1:5" ht="43.2" x14ac:dyDescent="0.3">
      <c r="A81" s="13" t="s">
        <v>2253</v>
      </c>
      <c r="B81" t="s">
        <v>2253</v>
      </c>
      <c r="C81" s="13" t="s">
        <v>2253</v>
      </c>
      <c r="D81" s="9" t="s">
        <v>536</v>
      </c>
      <c r="E81" s="13" t="s">
        <v>3323</v>
      </c>
    </row>
    <row r="82" spans="1:5" ht="43.2" x14ac:dyDescent="0.3">
      <c r="A82" s="13" t="s">
        <v>2254</v>
      </c>
      <c r="B82" t="s">
        <v>2254</v>
      </c>
      <c r="C82" s="13" t="s">
        <v>2254</v>
      </c>
      <c r="D82" s="9" t="s">
        <v>536</v>
      </c>
      <c r="E82" s="13" t="s">
        <v>3323</v>
      </c>
    </row>
    <row r="83" spans="1:5" ht="43.2" x14ac:dyDescent="0.3">
      <c r="A83" s="13" t="s">
        <v>2255</v>
      </c>
      <c r="B83" t="s">
        <v>2255</v>
      </c>
      <c r="C83" s="13" t="s">
        <v>2255</v>
      </c>
      <c r="D83" s="9" t="s">
        <v>536</v>
      </c>
      <c r="E83" s="13" t="s">
        <v>3323</v>
      </c>
    </row>
    <row r="84" spans="1:5" ht="43.2" x14ac:dyDescent="0.3">
      <c r="A84" s="13" t="s">
        <v>1648</v>
      </c>
      <c r="B84" t="s">
        <v>1648</v>
      </c>
      <c r="C84" s="13" t="s">
        <v>1648</v>
      </c>
      <c r="D84" s="9" t="s">
        <v>536</v>
      </c>
      <c r="E84" s="13" t="s">
        <v>3323</v>
      </c>
    </row>
    <row r="85" spans="1:5" ht="43.2" x14ac:dyDescent="0.3">
      <c r="A85" s="13" t="s">
        <v>2256</v>
      </c>
      <c r="B85" t="s">
        <v>2256</v>
      </c>
      <c r="C85" s="13" t="s">
        <v>2256</v>
      </c>
      <c r="D85" s="9" t="s">
        <v>536</v>
      </c>
      <c r="E85" s="13" t="s">
        <v>3323</v>
      </c>
    </row>
    <row r="86" spans="1:5" ht="43.2" x14ac:dyDescent="0.3">
      <c r="A86" s="13" t="s">
        <v>2257</v>
      </c>
      <c r="B86" t="s">
        <v>2257</v>
      </c>
      <c r="C86" s="13" t="s">
        <v>2257</v>
      </c>
      <c r="D86" s="9" t="s">
        <v>536</v>
      </c>
      <c r="E86" s="13" t="s">
        <v>3323</v>
      </c>
    </row>
    <row r="87" spans="1:5" ht="43.2" x14ac:dyDescent="0.3">
      <c r="A87" s="13" t="s">
        <v>2258</v>
      </c>
      <c r="B87" t="s">
        <v>2258</v>
      </c>
      <c r="C87" s="13" t="s">
        <v>2258</v>
      </c>
      <c r="D87" s="9" t="s">
        <v>536</v>
      </c>
      <c r="E87" s="13" t="s">
        <v>3323</v>
      </c>
    </row>
    <row r="88" spans="1:5" ht="43.2" x14ac:dyDescent="0.3">
      <c r="A88" s="13" t="s">
        <v>2259</v>
      </c>
      <c r="B88" t="s">
        <v>2259</v>
      </c>
      <c r="C88" s="13" t="s">
        <v>2259</v>
      </c>
      <c r="D88" s="9" t="s">
        <v>536</v>
      </c>
      <c r="E88" s="13" t="s">
        <v>3323</v>
      </c>
    </row>
    <row r="89" spans="1:5" ht="43.2" x14ac:dyDescent="0.3">
      <c r="A89" s="13" t="s">
        <v>2260</v>
      </c>
      <c r="B89" t="s">
        <v>2260</v>
      </c>
      <c r="C89" s="13" t="s">
        <v>2260</v>
      </c>
      <c r="D89" s="9" t="s">
        <v>536</v>
      </c>
      <c r="E89" s="13" t="s">
        <v>3323</v>
      </c>
    </row>
    <row r="90" spans="1:5" ht="43.2" x14ac:dyDescent="0.3">
      <c r="A90" s="13" t="s">
        <v>1647</v>
      </c>
      <c r="B90" t="s">
        <v>1647</v>
      </c>
      <c r="C90" s="13" t="s">
        <v>1647</v>
      </c>
      <c r="D90" s="9" t="s">
        <v>536</v>
      </c>
      <c r="E90" s="13" t="s">
        <v>3323</v>
      </c>
    </row>
    <row r="91" spans="1:5" ht="43.2" x14ac:dyDescent="0.3">
      <c r="A91" s="13" t="s">
        <v>2261</v>
      </c>
      <c r="B91" t="s">
        <v>2261</v>
      </c>
      <c r="C91" s="13" t="s">
        <v>2261</v>
      </c>
      <c r="D91" s="9" t="s">
        <v>536</v>
      </c>
      <c r="E91" s="13" t="s">
        <v>3323</v>
      </c>
    </row>
    <row r="92" spans="1:5" ht="43.2" x14ac:dyDescent="0.3">
      <c r="A92" s="13" t="s">
        <v>2262</v>
      </c>
      <c r="B92" t="s">
        <v>2262</v>
      </c>
      <c r="C92" s="13" t="s">
        <v>2262</v>
      </c>
      <c r="D92" s="9" t="s">
        <v>536</v>
      </c>
      <c r="E92" s="13" t="s">
        <v>3323</v>
      </c>
    </row>
    <row r="93" spans="1:5" ht="43.2" x14ac:dyDescent="0.3">
      <c r="A93" s="13" t="s">
        <v>2263</v>
      </c>
      <c r="B93" t="s">
        <v>2263</v>
      </c>
      <c r="C93" s="13" t="s">
        <v>2263</v>
      </c>
      <c r="D93" s="9" t="s">
        <v>536</v>
      </c>
      <c r="E93" s="13" t="s">
        <v>3323</v>
      </c>
    </row>
    <row r="94" spans="1:5" ht="43.2" x14ac:dyDescent="0.3">
      <c r="A94" s="13" t="s">
        <v>2264</v>
      </c>
      <c r="B94" t="s">
        <v>2264</v>
      </c>
      <c r="C94" s="13" t="s">
        <v>2264</v>
      </c>
      <c r="D94" s="9" t="s">
        <v>536</v>
      </c>
      <c r="E94" s="13" t="s">
        <v>3323</v>
      </c>
    </row>
    <row r="95" spans="1:5" ht="43.2" x14ac:dyDescent="0.3">
      <c r="A95" s="13" t="s">
        <v>2265</v>
      </c>
      <c r="B95" t="s">
        <v>2265</v>
      </c>
      <c r="C95" s="13" t="s">
        <v>2265</v>
      </c>
      <c r="D95" s="9" t="s">
        <v>536</v>
      </c>
      <c r="E95" s="13" t="s">
        <v>3323</v>
      </c>
    </row>
    <row r="96" spans="1:5" ht="43.2" x14ac:dyDescent="0.3">
      <c r="A96" s="13" t="s">
        <v>2266</v>
      </c>
      <c r="B96" t="s">
        <v>2266</v>
      </c>
      <c r="C96" s="13" t="s">
        <v>2266</v>
      </c>
      <c r="D96" s="9" t="s">
        <v>536</v>
      </c>
      <c r="E96" s="13" t="s">
        <v>3323</v>
      </c>
    </row>
    <row r="97" spans="1:5" ht="43.2" x14ac:dyDescent="0.3">
      <c r="A97" s="13" t="s">
        <v>1645</v>
      </c>
      <c r="B97" t="s">
        <v>1645</v>
      </c>
      <c r="C97" s="13" t="s">
        <v>1645</v>
      </c>
      <c r="D97" s="9" t="s">
        <v>536</v>
      </c>
      <c r="E97" s="13" t="s">
        <v>3323</v>
      </c>
    </row>
    <row r="98" spans="1:5" ht="43.2" x14ac:dyDescent="0.3">
      <c r="A98" s="13" t="s">
        <v>2267</v>
      </c>
      <c r="B98" t="s">
        <v>2267</v>
      </c>
      <c r="C98" s="13" t="s">
        <v>2267</v>
      </c>
      <c r="D98" s="9" t="s">
        <v>536</v>
      </c>
      <c r="E98" s="13" t="s">
        <v>3323</v>
      </c>
    </row>
    <row r="99" spans="1:5" ht="43.2" x14ac:dyDescent="0.3">
      <c r="A99" s="13" t="s">
        <v>2268</v>
      </c>
      <c r="B99" t="s">
        <v>2268</v>
      </c>
      <c r="C99" s="13" t="s">
        <v>2268</v>
      </c>
      <c r="D99" s="9" t="s">
        <v>536</v>
      </c>
      <c r="E99" s="13" t="s">
        <v>3323</v>
      </c>
    </row>
    <row r="100" spans="1:5" ht="43.2" x14ac:dyDescent="0.3">
      <c r="A100" s="13" t="s">
        <v>2269</v>
      </c>
      <c r="B100" t="s">
        <v>2269</v>
      </c>
      <c r="C100" s="13" t="s">
        <v>2269</v>
      </c>
      <c r="D100" s="9" t="s">
        <v>536</v>
      </c>
      <c r="E100" s="13" t="s">
        <v>3323</v>
      </c>
    </row>
    <row r="101" spans="1:5" ht="43.2" x14ac:dyDescent="0.3">
      <c r="A101" s="13" t="s">
        <v>2270</v>
      </c>
      <c r="B101" t="s">
        <v>2270</v>
      </c>
      <c r="C101" s="13" t="s">
        <v>2270</v>
      </c>
      <c r="D101" s="9" t="s">
        <v>536</v>
      </c>
      <c r="E101" s="13" t="s">
        <v>3323</v>
      </c>
    </row>
    <row r="102" spans="1:5" ht="43.2" x14ac:dyDescent="0.3">
      <c r="A102" s="13" t="s">
        <v>2271</v>
      </c>
      <c r="B102" t="s">
        <v>2271</v>
      </c>
      <c r="C102" s="13" t="s">
        <v>2271</v>
      </c>
      <c r="D102" s="9" t="s">
        <v>536</v>
      </c>
      <c r="E102" s="13" t="s">
        <v>3323</v>
      </c>
    </row>
    <row r="103" spans="1:5" ht="43.2" x14ac:dyDescent="0.3">
      <c r="A103" s="13" t="s">
        <v>2272</v>
      </c>
      <c r="B103" t="s">
        <v>2272</v>
      </c>
      <c r="C103" s="13" t="s">
        <v>2272</v>
      </c>
      <c r="D103" s="9" t="s">
        <v>536</v>
      </c>
      <c r="E103" s="13" t="s">
        <v>3323</v>
      </c>
    </row>
    <row r="104" spans="1:5" ht="43.2" x14ac:dyDescent="0.3">
      <c r="A104" s="13" t="s">
        <v>1651</v>
      </c>
      <c r="B104" t="s">
        <v>1651</v>
      </c>
      <c r="C104" s="13" t="s">
        <v>1651</v>
      </c>
      <c r="D104" s="9" t="s">
        <v>536</v>
      </c>
      <c r="E104" s="13" t="s">
        <v>3323</v>
      </c>
    </row>
    <row r="105" spans="1:5" ht="43.2" x14ac:dyDescent="0.3">
      <c r="A105" s="13" t="s">
        <v>1650</v>
      </c>
      <c r="B105" t="s">
        <v>1650</v>
      </c>
      <c r="C105" s="13" t="s">
        <v>1650</v>
      </c>
      <c r="D105" s="9" t="s">
        <v>536</v>
      </c>
      <c r="E105" s="13" t="s">
        <v>3323</v>
      </c>
    </row>
    <row r="106" spans="1:5" ht="43.2" x14ac:dyDescent="0.3">
      <c r="A106" s="13" t="s">
        <v>2273</v>
      </c>
      <c r="B106" t="s">
        <v>2273</v>
      </c>
      <c r="C106" s="13" t="s">
        <v>2273</v>
      </c>
      <c r="D106" s="9" t="s">
        <v>536</v>
      </c>
      <c r="E106" s="13" t="s">
        <v>3323</v>
      </c>
    </row>
    <row r="107" spans="1:5" ht="43.2" x14ac:dyDescent="0.3">
      <c r="A107" s="13" t="s">
        <v>1649</v>
      </c>
      <c r="B107" t="s">
        <v>1649</v>
      </c>
      <c r="C107" s="13" t="s">
        <v>1649</v>
      </c>
      <c r="D107" s="9" t="s">
        <v>536</v>
      </c>
      <c r="E107" s="13" t="s">
        <v>3323</v>
      </c>
    </row>
    <row r="108" spans="1:5" ht="43.2" x14ac:dyDescent="0.3">
      <c r="A108" s="13" t="s">
        <v>1652</v>
      </c>
      <c r="B108" t="s">
        <v>1652</v>
      </c>
      <c r="C108" s="13" t="s">
        <v>1652</v>
      </c>
      <c r="D108" s="9" t="s">
        <v>536</v>
      </c>
      <c r="E108" s="13" t="s">
        <v>3323</v>
      </c>
    </row>
    <row r="109" spans="1:5" ht="43.2" x14ac:dyDescent="0.3">
      <c r="A109" s="13" t="s">
        <v>2274</v>
      </c>
      <c r="B109" t="s">
        <v>2274</v>
      </c>
      <c r="C109" s="13" t="s">
        <v>2274</v>
      </c>
      <c r="D109" s="9" t="s">
        <v>536</v>
      </c>
      <c r="E109" s="13" t="s">
        <v>3323</v>
      </c>
    </row>
    <row r="110" spans="1:5" ht="43.2" x14ac:dyDescent="0.3">
      <c r="A110" s="13" t="s">
        <v>2275</v>
      </c>
      <c r="B110" t="s">
        <v>2275</v>
      </c>
      <c r="C110" s="13" t="s">
        <v>2275</v>
      </c>
      <c r="D110" s="9" t="s">
        <v>536</v>
      </c>
      <c r="E110" s="13" t="s">
        <v>3323</v>
      </c>
    </row>
    <row r="111" spans="1:5" ht="43.2" x14ac:dyDescent="0.3">
      <c r="A111" s="13" t="s">
        <v>2276</v>
      </c>
      <c r="B111" t="s">
        <v>2276</v>
      </c>
      <c r="C111" s="13" t="s">
        <v>2276</v>
      </c>
      <c r="D111" s="9" t="s">
        <v>536</v>
      </c>
      <c r="E111" s="13" t="s">
        <v>3323</v>
      </c>
    </row>
    <row r="112" spans="1:5" ht="43.2" x14ac:dyDescent="0.3">
      <c r="A112" s="13" t="s">
        <v>1653</v>
      </c>
      <c r="B112" t="s">
        <v>1653</v>
      </c>
      <c r="C112" s="13" t="s">
        <v>1653</v>
      </c>
      <c r="D112" s="9" t="s">
        <v>536</v>
      </c>
      <c r="E112" s="13" t="s">
        <v>3323</v>
      </c>
    </row>
    <row r="113" spans="1:5" ht="43.2" x14ac:dyDescent="0.3">
      <c r="A113" s="13" t="s">
        <v>2277</v>
      </c>
      <c r="B113" t="s">
        <v>2277</v>
      </c>
      <c r="C113" s="13" t="s">
        <v>2277</v>
      </c>
      <c r="D113" s="9" t="s">
        <v>536</v>
      </c>
      <c r="E113" s="13" t="s">
        <v>3323</v>
      </c>
    </row>
    <row r="114" spans="1:5" ht="43.2" x14ac:dyDescent="0.3">
      <c r="A114" s="13" t="s">
        <v>1654</v>
      </c>
      <c r="B114" t="s">
        <v>1654</v>
      </c>
      <c r="C114" s="13" t="s">
        <v>1654</v>
      </c>
      <c r="D114" s="9" t="s">
        <v>536</v>
      </c>
      <c r="E114" s="13" t="s">
        <v>3323</v>
      </c>
    </row>
    <row r="115" spans="1:5" ht="43.2" x14ac:dyDescent="0.3">
      <c r="A115" s="13" t="s">
        <v>1655</v>
      </c>
      <c r="B115" t="s">
        <v>1655</v>
      </c>
      <c r="C115" s="13" t="s">
        <v>1655</v>
      </c>
      <c r="D115" s="9" t="s">
        <v>536</v>
      </c>
      <c r="E115" s="13" t="s">
        <v>3323</v>
      </c>
    </row>
    <row r="116" spans="1:5" ht="43.2" x14ac:dyDescent="0.3">
      <c r="A116" s="13" t="s">
        <v>2278</v>
      </c>
      <c r="B116" t="s">
        <v>2278</v>
      </c>
      <c r="C116" s="13" t="s">
        <v>2278</v>
      </c>
      <c r="D116" s="9" t="s">
        <v>536</v>
      </c>
      <c r="E116" s="13" t="s">
        <v>3323</v>
      </c>
    </row>
    <row r="117" spans="1:5" ht="43.2" x14ac:dyDescent="0.3">
      <c r="A117" s="13" t="s">
        <v>2279</v>
      </c>
      <c r="B117" t="s">
        <v>2279</v>
      </c>
      <c r="C117" s="13" t="s">
        <v>2279</v>
      </c>
      <c r="D117" s="9" t="s">
        <v>536</v>
      </c>
      <c r="E117" s="13" t="s">
        <v>3323</v>
      </c>
    </row>
    <row r="118" spans="1:5" ht="43.2" x14ac:dyDescent="0.3">
      <c r="A118" s="13" t="s">
        <v>2280</v>
      </c>
      <c r="B118" t="s">
        <v>2280</v>
      </c>
      <c r="C118" s="13" t="s">
        <v>2280</v>
      </c>
      <c r="D118" s="9" t="s">
        <v>536</v>
      </c>
      <c r="E118" s="13" t="s">
        <v>3323</v>
      </c>
    </row>
    <row r="119" spans="1:5" ht="43.2" x14ac:dyDescent="0.3">
      <c r="A119" s="13" t="s">
        <v>2281</v>
      </c>
      <c r="B119" t="s">
        <v>2281</v>
      </c>
      <c r="C119" s="13" t="s">
        <v>2281</v>
      </c>
      <c r="D119" s="9" t="s">
        <v>536</v>
      </c>
      <c r="E119" s="13" t="s">
        <v>3323</v>
      </c>
    </row>
    <row r="120" spans="1:5" ht="43.2" x14ac:dyDescent="0.3">
      <c r="A120" s="13" t="s">
        <v>2282</v>
      </c>
      <c r="B120" t="s">
        <v>2282</v>
      </c>
      <c r="C120" s="13" t="s">
        <v>2282</v>
      </c>
      <c r="D120" s="9" t="s">
        <v>536</v>
      </c>
      <c r="E120" s="13" t="s">
        <v>3323</v>
      </c>
    </row>
    <row r="121" spans="1:5" ht="43.2" x14ac:dyDescent="0.3">
      <c r="A121" s="13" t="s">
        <v>1661</v>
      </c>
      <c r="B121" t="s">
        <v>1661</v>
      </c>
      <c r="C121" s="13" t="s">
        <v>1661</v>
      </c>
      <c r="D121" s="9" t="s">
        <v>536</v>
      </c>
      <c r="E121" s="13" t="s">
        <v>3323</v>
      </c>
    </row>
    <row r="122" spans="1:5" ht="43.2" x14ac:dyDescent="0.3">
      <c r="A122" s="13" t="s">
        <v>1660</v>
      </c>
      <c r="B122" t="s">
        <v>1660</v>
      </c>
      <c r="C122" s="13" t="s">
        <v>1660</v>
      </c>
      <c r="D122" s="9" t="s">
        <v>536</v>
      </c>
      <c r="E122" s="13" t="s">
        <v>3323</v>
      </c>
    </row>
    <row r="123" spans="1:5" ht="43.2" x14ac:dyDescent="0.3">
      <c r="A123" s="13" t="s">
        <v>2283</v>
      </c>
      <c r="B123" t="s">
        <v>2283</v>
      </c>
      <c r="C123" s="13" t="s">
        <v>2283</v>
      </c>
      <c r="D123" s="9" t="s">
        <v>536</v>
      </c>
      <c r="E123" s="13" t="s">
        <v>3323</v>
      </c>
    </row>
    <row r="124" spans="1:5" ht="43.2" x14ac:dyDescent="0.3">
      <c r="A124" s="13" t="s">
        <v>2284</v>
      </c>
      <c r="B124" t="s">
        <v>2284</v>
      </c>
      <c r="C124" s="13" t="s">
        <v>2284</v>
      </c>
      <c r="D124" s="9" t="s">
        <v>536</v>
      </c>
      <c r="E124" s="13" t="s">
        <v>3323</v>
      </c>
    </row>
    <row r="125" spans="1:5" ht="43.2" x14ac:dyDescent="0.3">
      <c r="A125" s="13" t="s">
        <v>2121</v>
      </c>
      <c r="B125" t="s">
        <v>2121</v>
      </c>
      <c r="C125" s="13" t="s">
        <v>2121</v>
      </c>
      <c r="D125" s="9" t="s">
        <v>536</v>
      </c>
      <c r="E125" s="13" t="s">
        <v>3323</v>
      </c>
    </row>
    <row r="126" spans="1:5" ht="43.2" x14ac:dyDescent="0.3">
      <c r="A126" s="13" t="s">
        <v>2285</v>
      </c>
      <c r="B126" t="s">
        <v>2285</v>
      </c>
      <c r="C126" s="13" t="s">
        <v>2285</v>
      </c>
      <c r="D126" s="9" t="s">
        <v>536</v>
      </c>
      <c r="E126" s="13" t="s">
        <v>3323</v>
      </c>
    </row>
    <row r="127" spans="1:5" ht="43.2" x14ac:dyDescent="0.3">
      <c r="A127" s="13" t="s">
        <v>2120</v>
      </c>
      <c r="B127" t="s">
        <v>2120</v>
      </c>
      <c r="C127" s="13" t="s">
        <v>2120</v>
      </c>
      <c r="D127" s="9" t="s">
        <v>536</v>
      </c>
      <c r="E127" s="13" t="s">
        <v>3323</v>
      </c>
    </row>
    <row r="128" spans="1:5" ht="43.2" x14ac:dyDescent="0.3">
      <c r="A128" s="13" t="s">
        <v>2119</v>
      </c>
      <c r="B128" t="s">
        <v>2119</v>
      </c>
      <c r="C128" s="13" t="s">
        <v>2119</v>
      </c>
      <c r="D128" s="9" t="s">
        <v>536</v>
      </c>
      <c r="E128" s="13" t="s">
        <v>3323</v>
      </c>
    </row>
    <row r="129" spans="1:5" ht="43.2" x14ac:dyDescent="0.3">
      <c r="A129" s="13" t="s">
        <v>2286</v>
      </c>
      <c r="B129" t="s">
        <v>2286</v>
      </c>
      <c r="C129" s="13" t="s">
        <v>2286</v>
      </c>
      <c r="D129" s="9" t="s">
        <v>536</v>
      </c>
      <c r="E129" s="13" t="s">
        <v>3323</v>
      </c>
    </row>
    <row r="130" spans="1:5" ht="43.2" x14ac:dyDescent="0.3">
      <c r="A130" s="13" t="s">
        <v>2287</v>
      </c>
      <c r="B130" t="s">
        <v>2287</v>
      </c>
      <c r="C130" s="13" t="s">
        <v>2287</v>
      </c>
      <c r="D130" s="9" t="s">
        <v>536</v>
      </c>
      <c r="E130" s="13" t="s">
        <v>3323</v>
      </c>
    </row>
    <row r="131" spans="1:5" ht="43.2" x14ac:dyDescent="0.3">
      <c r="A131" s="13" t="s">
        <v>2288</v>
      </c>
      <c r="B131" t="s">
        <v>2288</v>
      </c>
      <c r="C131" s="13" t="s">
        <v>2288</v>
      </c>
      <c r="D131" s="9" t="s">
        <v>536</v>
      </c>
      <c r="E131" s="13" t="s">
        <v>3323</v>
      </c>
    </row>
    <row r="132" spans="1:5" ht="43.2" x14ac:dyDescent="0.3">
      <c r="A132" s="13" t="s">
        <v>2289</v>
      </c>
      <c r="B132" t="s">
        <v>2289</v>
      </c>
      <c r="C132" s="13" t="s">
        <v>2289</v>
      </c>
      <c r="D132" s="9" t="s">
        <v>536</v>
      </c>
      <c r="E132" s="13" t="s">
        <v>3323</v>
      </c>
    </row>
    <row r="133" spans="1:5" ht="43.2" x14ac:dyDescent="0.3">
      <c r="A133" s="13" t="s">
        <v>2290</v>
      </c>
      <c r="B133" t="s">
        <v>2290</v>
      </c>
      <c r="C133" s="13" t="s">
        <v>2290</v>
      </c>
      <c r="D133" s="9" t="s">
        <v>536</v>
      </c>
      <c r="E133" s="13" t="s">
        <v>3323</v>
      </c>
    </row>
    <row r="134" spans="1:5" ht="43.2" x14ac:dyDescent="0.3">
      <c r="A134" s="13" t="s">
        <v>2291</v>
      </c>
      <c r="B134" t="s">
        <v>2291</v>
      </c>
      <c r="C134" s="13" t="s">
        <v>2291</v>
      </c>
      <c r="D134" s="9" t="s">
        <v>536</v>
      </c>
      <c r="E134" s="13" t="s">
        <v>3323</v>
      </c>
    </row>
    <row r="135" spans="1:5" ht="43.2" x14ac:dyDescent="0.3">
      <c r="A135" s="13" t="s">
        <v>1659</v>
      </c>
      <c r="B135" t="s">
        <v>1659</v>
      </c>
      <c r="C135" s="13" t="s">
        <v>1659</v>
      </c>
      <c r="D135" s="9" t="s">
        <v>536</v>
      </c>
      <c r="E135" s="13" t="s">
        <v>3323</v>
      </c>
    </row>
    <row r="136" spans="1:5" ht="43.2" x14ac:dyDescent="0.3">
      <c r="A136" s="13" t="s">
        <v>2292</v>
      </c>
      <c r="B136" t="s">
        <v>2292</v>
      </c>
      <c r="C136" s="13" t="s">
        <v>2292</v>
      </c>
      <c r="D136" s="9" t="s">
        <v>536</v>
      </c>
      <c r="E136" s="13" t="s">
        <v>3323</v>
      </c>
    </row>
    <row r="137" spans="1:5" ht="43.2" x14ac:dyDescent="0.3">
      <c r="A137" s="13" t="s">
        <v>2293</v>
      </c>
      <c r="B137" t="s">
        <v>2293</v>
      </c>
      <c r="C137" s="13" t="s">
        <v>2293</v>
      </c>
      <c r="D137" s="9" t="s">
        <v>536</v>
      </c>
      <c r="E137" s="13" t="s">
        <v>3323</v>
      </c>
    </row>
    <row r="138" spans="1:5" ht="43.2" x14ac:dyDescent="0.3">
      <c r="A138" s="13" t="s">
        <v>2294</v>
      </c>
      <c r="B138" t="s">
        <v>2294</v>
      </c>
      <c r="C138" s="13" t="s">
        <v>2294</v>
      </c>
      <c r="D138" s="9" t="s">
        <v>536</v>
      </c>
      <c r="E138" s="13" t="s">
        <v>3323</v>
      </c>
    </row>
    <row r="139" spans="1:5" ht="43.2" x14ac:dyDescent="0.3">
      <c r="A139" s="13" t="s">
        <v>2295</v>
      </c>
      <c r="B139" t="s">
        <v>2295</v>
      </c>
      <c r="C139" s="13" t="s">
        <v>2295</v>
      </c>
      <c r="D139" s="9" t="s">
        <v>536</v>
      </c>
      <c r="E139" s="13" t="s">
        <v>3323</v>
      </c>
    </row>
    <row r="140" spans="1:5" ht="43.2" x14ac:dyDescent="0.3">
      <c r="A140" s="13" t="s">
        <v>2296</v>
      </c>
      <c r="B140" t="s">
        <v>2296</v>
      </c>
      <c r="C140" s="13" t="s">
        <v>2296</v>
      </c>
      <c r="D140" s="9" t="s">
        <v>536</v>
      </c>
      <c r="E140" s="13" t="s">
        <v>3323</v>
      </c>
    </row>
    <row r="141" spans="1:5" ht="43.2" x14ac:dyDescent="0.3">
      <c r="A141" s="13" t="s">
        <v>2297</v>
      </c>
      <c r="B141" t="s">
        <v>2297</v>
      </c>
      <c r="C141" s="13" t="s">
        <v>2297</v>
      </c>
      <c r="D141" s="9" t="s">
        <v>536</v>
      </c>
      <c r="E141" s="13" t="s">
        <v>3323</v>
      </c>
    </row>
    <row r="142" spans="1:5" ht="43.2" x14ac:dyDescent="0.3">
      <c r="A142" s="13" t="s">
        <v>2298</v>
      </c>
      <c r="B142" t="s">
        <v>2298</v>
      </c>
      <c r="C142" s="13" t="s">
        <v>2298</v>
      </c>
      <c r="D142" s="9" t="s">
        <v>536</v>
      </c>
      <c r="E142" s="13" t="s">
        <v>3323</v>
      </c>
    </row>
    <row r="143" spans="1:5" ht="43.2" x14ac:dyDescent="0.3">
      <c r="A143" s="13" t="s">
        <v>2299</v>
      </c>
      <c r="B143" t="s">
        <v>2299</v>
      </c>
      <c r="C143" s="13" t="s">
        <v>2299</v>
      </c>
      <c r="D143" s="9" t="s">
        <v>536</v>
      </c>
      <c r="E143" s="13" t="s">
        <v>3323</v>
      </c>
    </row>
    <row r="144" spans="1:5" ht="43.2" x14ac:dyDescent="0.3">
      <c r="A144" s="13" t="s">
        <v>2300</v>
      </c>
      <c r="B144" t="s">
        <v>2300</v>
      </c>
      <c r="C144" s="13" t="s">
        <v>2300</v>
      </c>
      <c r="D144" s="9" t="s">
        <v>536</v>
      </c>
      <c r="E144" s="13" t="s">
        <v>3323</v>
      </c>
    </row>
    <row r="145" spans="1:5" ht="43.2" x14ac:dyDescent="0.3">
      <c r="A145" s="13" t="s">
        <v>2301</v>
      </c>
      <c r="B145" t="s">
        <v>2301</v>
      </c>
      <c r="C145" s="13" t="s">
        <v>2301</v>
      </c>
      <c r="D145" s="9" t="s">
        <v>536</v>
      </c>
      <c r="E145" s="13" t="s">
        <v>3323</v>
      </c>
    </row>
    <row r="146" spans="1:5" ht="43.2" x14ac:dyDescent="0.3">
      <c r="A146" s="13" t="s">
        <v>2302</v>
      </c>
      <c r="B146" t="s">
        <v>2302</v>
      </c>
      <c r="C146" s="13" t="s">
        <v>2302</v>
      </c>
      <c r="D146" s="9" t="s">
        <v>536</v>
      </c>
      <c r="E146" s="13" t="s">
        <v>3323</v>
      </c>
    </row>
    <row r="147" spans="1:5" ht="43.2" x14ac:dyDescent="0.3">
      <c r="A147" s="13" t="s">
        <v>2303</v>
      </c>
      <c r="B147" t="s">
        <v>2303</v>
      </c>
      <c r="C147" s="13" t="s">
        <v>2303</v>
      </c>
      <c r="D147" s="9" t="s">
        <v>536</v>
      </c>
      <c r="E147" s="13" t="s">
        <v>3323</v>
      </c>
    </row>
    <row r="148" spans="1:5" ht="43.2" x14ac:dyDescent="0.3">
      <c r="A148" s="13" t="s">
        <v>2304</v>
      </c>
      <c r="B148" t="s">
        <v>2304</v>
      </c>
      <c r="C148" s="13" t="s">
        <v>2304</v>
      </c>
      <c r="D148" s="9" t="s">
        <v>536</v>
      </c>
      <c r="E148" s="13" t="s">
        <v>3323</v>
      </c>
    </row>
    <row r="149" spans="1:5" ht="43.2" x14ac:dyDescent="0.3">
      <c r="A149" s="13" t="s">
        <v>2305</v>
      </c>
      <c r="B149" t="s">
        <v>2305</v>
      </c>
      <c r="C149" s="13" t="s">
        <v>2305</v>
      </c>
      <c r="D149" s="9" t="s">
        <v>536</v>
      </c>
      <c r="E149" s="13" t="s">
        <v>3323</v>
      </c>
    </row>
    <row r="150" spans="1:5" ht="43.2" x14ac:dyDescent="0.3">
      <c r="A150" s="13" t="s">
        <v>2306</v>
      </c>
      <c r="B150" t="s">
        <v>2306</v>
      </c>
      <c r="C150" s="13" t="s">
        <v>2306</v>
      </c>
      <c r="D150" s="9" t="s">
        <v>536</v>
      </c>
      <c r="E150" s="13" t="s">
        <v>3323</v>
      </c>
    </row>
    <row r="151" spans="1:5" ht="43.2" x14ac:dyDescent="0.3">
      <c r="A151" s="13" t="s">
        <v>2307</v>
      </c>
      <c r="B151" t="s">
        <v>2307</v>
      </c>
      <c r="C151" s="13" t="s">
        <v>2307</v>
      </c>
      <c r="D151" s="9" t="s">
        <v>536</v>
      </c>
      <c r="E151" s="13" t="s">
        <v>3323</v>
      </c>
    </row>
    <row r="152" spans="1:5" ht="43.2" x14ac:dyDescent="0.3">
      <c r="A152" s="13" t="s">
        <v>2308</v>
      </c>
      <c r="B152" t="s">
        <v>2308</v>
      </c>
      <c r="C152" s="13" t="s">
        <v>2308</v>
      </c>
      <c r="D152" s="9" t="s">
        <v>536</v>
      </c>
      <c r="E152" s="13" t="s">
        <v>3323</v>
      </c>
    </row>
    <row r="153" spans="1:5" ht="43.2" x14ac:dyDescent="0.3">
      <c r="A153" s="13" t="s">
        <v>2309</v>
      </c>
      <c r="B153" t="s">
        <v>2309</v>
      </c>
      <c r="C153" s="13" t="s">
        <v>2309</v>
      </c>
      <c r="D153" s="9" t="s">
        <v>536</v>
      </c>
      <c r="E153" s="13" t="s">
        <v>3323</v>
      </c>
    </row>
    <row r="154" spans="1:5" ht="43.2" x14ac:dyDescent="0.3">
      <c r="A154" s="13" t="s">
        <v>2310</v>
      </c>
      <c r="B154" t="s">
        <v>2310</v>
      </c>
      <c r="C154" s="13" t="s">
        <v>2310</v>
      </c>
      <c r="D154" s="9" t="s">
        <v>536</v>
      </c>
      <c r="E154" s="13" t="s">
        <v>3323</v>
      </c>
    </row>
    <row r="155" spans="1:5" ht="43.2" x14ac:dyDescent="0.3">
      <c r="A155" s="13" t="s">
        <v>2311</v>
      </c>
      <c r="B155" t="s">
        <v>2311</v>
      </c>
      <c r="C155" s="13" t="s">
        <v>2311</v>
      </c>
      <c r="D155" s="9" t="s">
        <v>536</v>
      </c>
      <c r="E155" s="13" t="s">
        <v>3323</v>
      </c>
    </row>
    <row r="156" spans="1:5" ht="43.2" x14ac:dyDescent="0.3">
      <c r="A156" s="13" t="s">
        <v>2312</v>
      </c>
      <c r="B156" t="s">
        <v>2312</v>
      </c>
      <c r="C156" s="13" t="s">
        <v>2312</v>
      </c>
      <c r="D156" s="9" t="s">
        <v>536</v>
      </c>
      <c r="E156" s="13" t="s">
        <v>3323</v>
      </c>
    </row>
    <row r="157" spans="1:5" ht="43.2" x14ac:dyDescent="0.3">
      <c r="A157" s="13" t="s">
        <v>2313</v>
      </c>
      <c r="B157" t="s">
        <v>2313</v>
      </c>
      <c r="C157" s="13" t="s">
        <v>2313</v>
      </c>
      <c r="D157" s="9" t="s">
        <v>536</v>
      </c>
      <c r="E157" s="13" t="s">
        <v>3323</v>
      </c>
    </row>
    <row r="158" spans="1:5" ht="43.2" x14ac:dyDescent="0.3">
      <c r="A158" s="13" t="s">
        <v>2314</v>
      </c>
      <c r="B158" t="s">
        <v>2314</v>
      </c>
      <c r="C158" s="13" t="s">
        <v>2314</v>
      </c>
      <c r="D158" s="9" t="s">
        <v>536</v>
      </c>
      <c r="E158" s="13" t="s">
        <v>3323</v>
      </c>
    </row>
    <row r="159" spans="1:5" ht="43.2" x14ac:dyDescent="0.3">
      <c r="A159" s="13" t="s">
        <v>2315</v>
      </c>
      <c r="B159" t="s">
        <v>2315</v>
      </c>
      <c r="C159" s="13" t="s">
        <v>2315</v>
      </c>
      <c r="D159" s="9" t="s">
        <v>536</v>
      </c>
      <c r="E159" s="13" t="s">
        <v>3323</v>
      </c>
    </row>
    <row r="160" spans="1:5" ht="43.2" x14ac:dyDescent="0.3">
      <c r="A160" s="13" t="s">
        <v>2316</v>
      </c>
      <c r="B160" t="s">
        <v>2316</v>
      </c>
      <c r="C160" s="13" t="s">
        <v>2316</v>
      </c>
      <c r="D160" s="9" t="s">
        <v>536</v>
      </c>
      <c r="E160" s="13" t="s">
        <v>3323</v>
      </c>
    </row>
    <row r="161" spans="1:5" ht="43.2" x14ac:dyDescent="0.3">
      <c r="A161" s="13" t="s">
        <v>2317</v>
      </c>
      <c r="B161" t="s">
        <v>2317</v>
      </c>
      <c r="C161" s="13" t="s">
        <v>2317</v>
      </c>
      <c r="D161" s="9" t="s">
        <v>536</v>
      </c>
      <c r="E161" s="13" t="s">
        <v>3323</v>
      </c>
    </row>
    <row r="162" spans="1:5" ht="43.2" x14ac:dyDescent="0.3">
      <c r="A162" s="13" t="s">
        <v>2318</v>
      </c>
      <c r="B162" t="s">
        <v>2318</v>
      </c>
      <c r="C162" s="13" t="s">
        <v>2318</v>
      </c>
      <c r="D162" s="9" t="s">
        <v>536</v>
      </c>
      <c r="E162" s="13" t="s">
        <v>3323</v>
      </c>
    </row>
    <row r="163" spans="1:5" ht="43.2" x14ac:dyDescent="0.3">
      <c r="A163" s="13" t="s">
        <v>2319</v>
      </c>
      <c r="B163" t="s">
        <v>2319</v>
      </c>
      <c r="C163" s="13" t="s">
        <v>2319</v>
      </c>
      <c r="D163" s="9" t="s">
        <v>536</v>
      </c>
      <c r="E163" s="13" t="s">
        <v>3323</v>
      </c>
    </row>
    <row r="164" spans="1:5" ht="43.2" x14ac:dyDescent="0.3">
      <c r="A164" s="13" t="s">
        <v>2320</v>
      </c>
      <c r="B164" t="s">
        <v>2320</v>
      </c>
      <c r="C164" s="13" t="s">
        <v>2320</v>
      </c>
      <c r="D164" s="9" t="s">
        <v>536</v>
      </c>
      <c r="E164" s="13" t="s">
        <v>3323</v>
      </c>
    </row>
    <row r="165" spans="1:5" ht="28.8" x14ac:dyDescent="0.3">
      <c r="A165" s="13" t="s">
        <v>2321</v>
      </c>
      <c r="B165" t="s">
        <v>2321</v>
      </c>
      <c r="C165" s="13" t="s">
        <v>2321</v>
      </c>
      <c r="D165" s="9" t="s">
        <v>536</v>
      </c>
      <c r="E165" s="13" t="s">
        <v>3323</v>
      </c>
    </row>
    <row r="166" spans="1:5" ht="43.2" x14ac:dyDescent="0.3">
      <c r="A166" s="13" t="s">
        <v>2322</v>
      </c>
      <c r="B166" t="s">
        <v>2322</v>
      </c>
      <c r="C166" s="13" t="s">
        <v>2322</v>
      </c>
      <c r="D166" s="9" t="s">
        <v>536</v>
      </c>
      <c r="E166" s="13" t="s">
        <v>3323</v>
      </c>
    </row>
    <row r="167" spans="1:5" ht="43.2" x14ac:dyDescent="0.3">
      <c r="A167" s="13" t="s">
        <v>2323</v>
      </c>
      <c r="B167" t="s">
        <v>2323</v>
      </c>
      <c r="C167" s="13" t="s">
        <v>2323</v>
      </c>
      <c r="D167" s="9" t="s">
        <v>536</v>
      </c>
      <c r="E167" s="13" t="s">
        <v>3323</v>
      </c>
    </row>
    <row r="168" spans="1:5" ht="43.2" x14ac:dyDescent="0.3">
      <c r="A168" s="13" t="s">
        <v>2324</v>
      </c>
      <c r="B168" t="s">
        <v>2324</v>
      </c>
      <c r="C168" s="13" t="s">
        <v>2324</v>
      </c>
      <c r="D168" s="9" t="s">
        <v>536</v>
      </c>
      <c r="E168" s="13" t="s">
        <v>3323</v>
      </c>
    </row>
    <row r="169" spans="1:5" ht="43.2" x14ac:dyDescent="0.3">
      <c r="A169" s="13" t="s">
        <v>2325</v>
      </c>
      <c r="B169" t="s">
        <v>2325</v>
      </c>
      <c r="C169" s="13" t="s">
        <v>2325</v>
      </c>
      <c r="D169" s="9" t="s">
        <v>536</v>
      </c>
      <c r="E169" s="13" t="s">
        <v>3323</v>
      </c>
    </row>
    <row r="170" spans="1:5" ht="43.2" x14ac:dyDescent="0.3">
      <c r="A170" s="13" t="s">
        <v>2326</v>
      </c>
      <c r="B170" t="s">
        <v>2326</v>
      </c>
      <c r="C170" s="13" t="s">
        <v>2326</v>
      </c>
      <c r="D170" s="9" t="s">
        <v>536</v>
      </c>
      <c r="E170" s="13" t="s">
        <v>3323</v>
      </c>
    </row>
    <row r="171" spans="1:5" ht="43.2" x14ac:dyDescent="0.3">
      <c r="A171" s="13" t="s">
        <v>2327</v>
      </c>
      <c r="B171" t="s">
        <v>2327</v>
      </c>
      <c r="C171" s="13" t="s">
        <v>2327</v>
      </c>
      <c r="D171" s="9" t="s">
        <v>536</v>
      </c>
      <c r="E171" s="13" t="s">
        <v>3323</v>
      </c>
    </row>
    <row r="172" spans="1:5" ht="43.2" x14ac:dyDescent="0.3">
      <c r="A172" s="13" t="s">
        <v>2328</v>
      </c>
      <c r="B172" t="s">
        <v>2328</v>
      </c>
      <c r="C172" s="13" t="s">
        <v>2328</v>
      </c>
      <c r="D172" s="9" t="s">
        <v>536</v>
      </c>
      <c r="E172" s="13" t="s">
        <v>3323</v>
      </c>
    </row>
    <row r="173" spans="1:5" ht="43.2" x14ac:dyDescent="0.3">
      <c r="A173" s="13" t="s">
        <v>2329</v>
      </c>
      <c r="B173" t="s">
        <v>2329</v>
      </c>
      <c r="C173" s="13" t="s">
        <v>2329</v>
      </c>
      <c r="D173" s="9" t="s">
        <v>536</v>
      </c>
      <c r="E173" s="13" t="s">
        <v>3323</v>
      </c>
    </row>
    <row r="174" spans="1:5" ht="43.2" x14ac:dyDescent="0.3">
      <c r="A174" s="13" t="s">
        <v>2330</v>
      </c>
      <c r="B174" t="s">
        <v>2330</v>
      </c>
      <c r="C174" s="13" t="s">
        <v>2330</v>
      </c>
      <c r="D174" s="9" t="s">
        <v>536</v>
      </c>
      <c r="E174" s="13" t="s">
        <v>3323</v>
      </c>
    </row>
    <row r="175" spans="1:5" ht="43.2" x14ac:dyDescent="0.3">
      <c r="A175" s="13" t="s">
        <v>2331</v>
      </c>
      <c r="B175" t="s">
        <v>2331</v>
      </c>
      <c r="C175" s="13" t="s">
        <v>2331</v>
      </c>
      <c r="D175" s="9" t="s">
        <v>536</v>
      </c>
      <c r="E175" s="13" t="s">
        <v>3323</v>
      </c>
    </row>
    <row r="176" spans="1:5" ht="43.2" x14ac:dyDescent="0.3">
      <c r="A176" s="13" t="s">
        <v>2332</v>
      </c>
      <c r="B176" t="s">
        <v>2332</v>
      </c>
      <c r="C176" s="13" t="s">
        <v>2332</v>
      </c>
      <c r="D176" s="9" t="s">
        <v>536</v>
      </c>
      <c r="E176" s="13" t="s">
        <v>3323</v>
      </c>
    </row>
    <row r="177" spans="1:5" ht="43.2" x14ac:dyDescent="0.3">
      <c r="A177" s="13" t="s">
        <v>1658</v>
      </c>
      <c r="B177" t="s">
        <v>1658</v>
      </c>
      <c r="C177" s="13" t="s">
        <v>1658</v>
      </c>
      <c r="D177" s="9" t="s">
        <v>536</v>
      </c>
      <c r="E177" s="13" t="s">
        <v>3323</v>
      </c>
    </row>
    <row r="178" spans="1:5" ht="43.2" x14ac:dyDescent="0.3">
      <c r="A178" s="13" t="s">
        <v>1657</v>
      </c>
      <c r="B178" t="s">
        <v>1657</v>
      </c>
      <c r="C178" s="13" t="s">
        <v>1657</v>
      </c>
      <c r="D178" s="9" t="s">
        <v>536</v>
      </c>
      <c r="E178" s="13" t="s">
        <v>3323</v>
      </c>
    </row>
    <row r="179" spans="1:5" ht="43.2" x14ac:dyDescent="0.3">
      <c r="A179" s="13" t="s">
        <v>1656</v>
      </c>
      <c r="B179" t="s">
        <v>1656</v>
      </c>
      <c r="C179" s="13" t="s">
        <v>1656</v>
      </c>
      <c r="D179" s="9" t="s">
        <v>536</v>
      </c>
      <c r="E179" s="13" t="s">
        <v>3323</v>
      </c>
    </row>
    <row r="180" spans="1:5" ht="43.2" x14ac:dyDescent="0.3">
      <c r="A180" s="13" t="s">
        <v>2333</v>
      </c>
      <c r="B180" t="s">
        <v>2333</v>
      </c>
      <c r="C180" s="13" t="s">
        <v>2333</v>
      </c>
      <c r="D180" s="9" t="s">
        <v>536</v>
      </c>
      <c r="E180" s="13" t="s">
        <v>3323</v>
      </c>
    </row>
    <row r="181" spans="1:5" ht="43.2" x14ac:dyDescent="0.3">
      <c r="A181" s="13" t="s">
        <v>2334</v>
      </c>
      <c r="B181" t="s">
        <v>2334</v>
      </c>
      <c r="C181" s="13" t="s">
        <v>2334</v>
      </c>
      <c r="D181" s="9" t="s">
        <v>536</v>
      </c>
      <c r="E181" s="13" t="s">
        <v>3323</v>
      </c>
    </row>
    <row r="182" spans="1:5" ht="43.2" x14ac:dyDescent="0.3">
      <c r="A182" s="13" t="s">
        <v>2091</v>
      </c>
      <c r="B182" t="s">
        <v>2091</v>
      </c>
      <c r="C182" s="13" t="s">
        <v>2091</v>
      </c>
      <c r="D182" s="9" t="s">
        <v>536</v>
      </c>
      <c r="E182" s="13" t="s">
        <v>3323</v>
      </c>
    </row>
    <row r="183" spans="1:5" ht="43.2" x14ac:dyDescent="0.3">
      <c r="A183" s="13" t="s">
        <v>2335</v>
      </c>
      <c r="B183" t="s">
        <v>2335</v>
      </c>
      <c r="C183" s="13" t="s">
        <v>2335</v>
      </c>
      <c r="D183" s="9" t="s">
        <v>536</v>
      </c>
      <c r="E183" s="13" t="s">
        <v>3323</v>
      </c>
    </row>
    <row r="184" spans="1:5" ht="43.2" x14ac:dyDescent="0.3">
      <c r="A184" s="13" t="s">
        <v>2336</v>
      </c>
      <c r="B184" t="s">
        <v>2336</v>
      </c>
      <c r="C184" s="13" t="s">
        <v>2336</v>
      </c>
      <c r="D184" s="9" t="s">
        <v>536</v>
      </c>
      <c r="E184" s="13" t="s">
        <v>3323</v>
      </c>
    </row>
    <row r="185" spans="1:5" ht="43.2" x14ac:dyDescent="0.3">
      <c r="A185" s="13" t="s">
        <v>2337</v>
      </c>
      <c r="B185" t="s">
        <v>2337</v>
      </c>
      <c r="C185" s="13" t="s">
        <v>2337</v>
      </c>
      <c r="D185" s="9" t="s">
        <v>536</v>
      </c>
      <c r="E185" s="13" t="s">
        <v>3323</v>
      </c>
    </row>
    <row r="186" spans="1:5" ht="43.2" x14ac:dyDescent="0.3">
      <c r="A186" s="13" t="s">
        <v>2338</v>
      </c>
      <c r="B186" t="s">
        <v>2338</v>
      </c>
      <c r="C186" s="13" t="s">
        <v>2338</v>
      </c>
      <c r="D186" s="9" t="s">
        <v>536</v>
      </c>
      <c r="E186" s="13" t="s">
        <v>3323</v>
      </c>
    </row>
    <row r="187" spans="1:5" ht="43.2" x14ac:dyDescent="0.3">
      <c r="A187" s="13" t="s">
        <v>2339</v>
      </c>
      <c r="B187" t="s">
        <v>2339</v>
      </c>
      <c r="C187" s="13" t="s">
        <v>2339</v>
      </c>
      <c r="D187" s="9" t="s">
        <v>536</v>
      </c>
      <c r="E187" s="13" t="s">
        <v>3323</v>
      </c>
    </row>
    <row r="188" spans="1:5" ht="43.2" x14ac:dyDescent="0.3">
      <c r="A188" s="13" t="s">
        <v>2340</v>
      </c>
      <c r="B188" t="s">
        <v>2340</v>
      </c>
      <c r="C188" s="13" t="s">
        <v>2340</v>
      </c>
      <c r="D188" s="9" t="s">
        <v>536</v>
      </c>
      <c r="E188" s="13" t="s">
        <v>3323</v>
      </c>
    </row>
    <row r="189" spans="1:5" ht="43.2" x14ac:dyDescent="0.3">
      <c r="A189" s="13" t="s">
        <v>2341</v>
      </c>
      <c r="B189" t="s">
        <v>2341</v>
      </c>
      <c r="C189" s="13" t="s">
        <v>2341</v>
      </c>
      <c r="D189" s="9" t="s">
        <v>536</v>
      </c>
      <c r="E189" s="13" t="s">
        <v>3323</v>
      </c>
    </row>
    <row r="190" spans="1:5" ht="43.2" x14ac:dyDescent="0.3">
      <c r="A190" s="13" t="s">
        <v>2342</v>
      </c>
      <c r="B190" t="s">
        <v>2342</v>
      </c>
      <c r="C190" s="13" t="s">
        <v>2342</v>
      </c>
      <c r="D190" s="9" t="s">
        <v>536</v>
      </c>
      <c r="E190" s="13" t="s">
        <v>3323</v>
      </c>
    </row>
    <row r="191" spans="1:5" ht="43.2" x14ac:dyDescent="0.3">
      <c r="A191" s="13" t="s">
        <v>2090</v>
      </c>
      <c r="B191" t="s">
        <v>2090</v>
      </c>
      <c r="C191" s="13" t="s">
        <v>2090</v>
      </c>
      <c r="D191" s="9" t="s">
        <v>536</v>
      </c>
      <c r="E191" s="13" t="s">
        <v>3323</v>
      </c>
    </row>
    <row r="192" spans="1:5" ht="43.2" x14ac:dyDescent="0.3">
      <c r="A192" s="13" t="s">
        <v>2343</v>
      </c>
      <c r="B192" t="s">
        <v>2343</v>
      </c>
      <c r="C192" s="13" t="s">
        <v>2343</v>
      </c>
      <c r="D192" s="9" t="s">
        <v>536</v>
      </c>
      <c r="E192" s="13" t="s">
        <v>3323</v>
      </c>
    </row>
    <row r="193" spans="1:5" ht="43.2" x14ac:dyDescent="0.3">
      <c r="A193" s="13" t="s">
        <v>2344</v>
      </c>
      <c r="B193" t="s">
        <v>2344</v>
      </c>
      <c r="C193" s="13" t="s">
        <v>2344</v>
      </c>
      <c r="D193" s="9" t="s">
        <v>536</v>
      </c>
      <c r="E193" s="13" t="s">
        <v>3323</v>
      </c>
    </row>
    <row r="194" spans="1:5" ht="43.2" x14ac:dyDescent="0.3">
      <c r="A194" s="13" t="s">
        <v>2345</v>
      </c>
      <c r="B194" t="s">
        <v>2345</v>
      </c>
      <c r="C194" s="13" t="s">
        <v>2345</v>
      </c>
      <c r="D194" s="9" t="s">
        <v>536</v>
      </c>
      <c r="E194" s="13" t="s">
        <v>3323</v>
      </c>
    </row>
    <row r="195" spans="1:5" ht="43.2" x14ac:dyDescent="0.3">
      <c r="A195" s="13" t="s">
        <v>2346</v>
      </c>
      <c r="B195" t="s">
        <v>2346</v>
      </c>
      <c r="C195" s="13" t="s">
        <v>2346</v>
      </c>
      <c r="D195" s="9" t="s">
        <v>536</v>
      </c>
      <c r="E195" s="13" t="s">
        <v>3323</v>
      </c>
    </row>
    <row r="196" spans="1:5" ht="43.2" x14ac:dyDescent="0.3">
      <c r="A196" s="13" t="s">
        <v>2089</v>
      </c>
      <c r="B196" t="s">
        <v>2089</v>
      </c>
      <c r="C196" s="13" t="s">
        <v>2089</v>
      </c>
      <c r="D196" s="9" t="s">
        <v>536</v>
      </c>
      <c r="E196" s="13" t="s">
        <v>3323</v>
      </c>
    </row>
    <row r="197" spans="1:5" ht="43.2" x14ac:dyDescent="0.3">
      <c r="A197" s="13" t="s">
        <v>2347</v>
      </c>
      <c r="B197" t="s">
        <v>2347</v>
      </c>
      <c r="C197" s="13" t="s">
        <v>2347</v>
      </c>
      <c r="D197" s="9" t="s">
        <v>536</v>
      </c>
      <c r="E197" s="13" t="s">
        <v>3323</v>
      </c>
    </row>
    <row r="198" spans="1:5" ht="43.2" x14ac:dyDescent="0.3">
      <c r="A198" s="13" t="s">
        <v>2088</v>
      </c>
      <c r="B198" t="s">
        <v>2088</v>
      </c>
      <c r="C198" s="13" t="s">
        <v>2088</v>
      </c>
      <c r="D198" s="9" t="s">
        <v>536</v>
      </c>
      <c r="E198" s="13" t="s">
        <v>3323</v>
      </c>
    </row>
    <row r="199" spans="1:5" ht="43.2" x14ac:dyDescent="0.3">
      <c r="A199" s="13" t="s">
        <v>2348</v>
      </c>
      <c r="B199" t="s">
        <v>2348</v>
      </c>
      <c r="C199" s="13" t="s">
        <v>2348</v>
      </c>
      <c r="D199" s="9" t="s">
        <v>536</v>
      </c>
      <c r="E199" s="13" t="s">
        <v>3323</v>
      </c>
    </row>
    <row r="200" spans="1:5" ht="43.2" x14ac:dyDescent="0.3">
      <c r="A200" s="13" t="s">
        <v>2349</v>
      </c>
      <c r="B200" t="s">
        <v>2349</v>
      </c>
      <c r="C200" s="13" t="s">
        <v>2349</v>
      </c>
      <c r="D200" s="9" t="s">
        <v>536</v>
      </c>
      <c r="E200" s="13" t="s">
        <v>3323</v>
      </c>
    </row>
    <row r="201" spans="1:5" ht="43.2" x14ac:dyDescent="0.3">
      <c r="A201" s="13" t="s">
        <v>2350</v>
      </c>
      <c r="B201" t="s">
        <v>2350</v>
      </c>
      <c r="C201" s="13" t="s">
        <v>2350</v>
      </c>
      <c r="D201" s="9" t="s">
        <v>536</v>
      </c>
      <c r="E201" s="13" t="s">
        <v>3323</v>
      </c>
    </row>
    <row r="202" spans="1:5" ht="43.2" x14ac:dyDescent="0.3">
      <c r="A202" s="13" t="s">
        <v>2351</v>
      </c>
      <c r="B202" t="s">
        <v>2351</v>
      </c>
      <c r="C202" s="13" t="s">
        <v>2351</v>
      </c>
      <c r="D202" s="9" t="s">
        <v>536</v>
      </c>
      <c r="E202" s="13" t="s">
        <v>3323</v>
      </c>
    </row>
    <row r="203" spans="1:5" ht="43.2" x14ac:dyDescent="0.3">
      <c r="A203" s="13" t="s">
        <v>2352</v>
      </c>
      <c r="B203" t="s">
        <v>2352</v>
      </c>
      <c r="C203" s="13" t="s">
        <v>2352</v>
      </c>
      <c r="D203" s="9" t="s">
        <v>536</v>
      </c>
      <c r="E203" s="13" t="s">
        <v>3323</v>
      </c>
    </row>
    <row r="204" spans="1:5" ht="43.2" x14ac:dyDescent="0.3">
      <c r="A204" s="13" t="s">
        <v>2353</v>
      </c>
      <c r="B204" t="s">
        <v>2353</v>
      </c>
      <c r="C204" s="13" t="s">
        <v>2353</v>
      </c>
      <c r="D204" s="9" t="s">
        <v>536</v>
      </c>
      <c r="E204" s="13" t="s">
        <v>3323</v>
      </c>
    </row>
    <row r="205" spans="1:5" ht="43.2" x14ac:dyDescent="0.3">
      <c r="A205" s="13" t="s">
        <v>2151</v>
      </c>
      <c r="B205" t="s">
        <v>2151</v>
      </c>
      <c r="C205" s="13" t="s">
        <v>2151</v>
      </c>
      <c r="D205" s="9" t="s">
        <v>536</v>
      </c>
      <c r="E205" s="13" t="s">
        <v>3323</v>
      </c>
    </row>
    <row r="206" spans="1:5" ht="43.2" x14ac:dyDescent="0.3">
      <c r="A206" s="13" t="s">
        <v>2354</v>
      </c>
      <c r="B206" t="s">
        <v>2354</v>
      </c>
      <c r="C206" s="13" t="s">
        <v>2354</v>
      </c>
      <c r="D206" s="9" t="s">
        <v>536</v>
      </c>
      <c r="E206" s="13" t="s">
        <v>3323</v>
      </c>
    </row>
    <row r="207" spans="1:5" ht="43.2" x14ac:dyDescent="0.3">
      <c r="A207" s="13" t="s">
        <v>2355</v>
      </c>
      <c r="B207" t="s">
        <v>2355</v>
      </c>
      <c r="C207" s="13" t="s">
        <v>2355</v>
      </c>
      <c r="D207" s="9" t="s">
        <v>536</v>
      </c>
      <c r="E207" s="13" t="s">
        <v>3323</v>
      </c>
    </row>
    <row r="208" spans="1:5" ht="43.2" x14ac:dyDescent="0.3">
      <c r="A208" s="13" t="s">
        <v>2356</v>
      </c>
      <c r="B208" t="s">
        <v>2356</v>
      </c>
      <c r="C208" s="13" t="s">
        <v>2356</v>
      </c>
      <c r="D208" s="9" t="s">
        <v>536</v>
      </c>
      <c r="E208" s="13" t="s">
        <v>3323</v>
      </c>
    </row>
    <row r="209" spans="1:5" ht="43.2" x14ac:dyDescent="0.3">
      <c r="A209" s="13" t="s">
        <v>2357</v>
      </c>
      <c r="B209" t="s">
        <v>2357</v>
      </c>
      <c r="C209" s="13" t="s">
        <v>2357</v>
      </c>
      <c r="D209" s="9" t="s">
        <v>536</v>
      </c>
      <c r="E209" s="13" t="s">
        <v>3323</v>
      </c>
    </row>
    <row r="210" spans="1:5" ht="43.2" x14ac:dyDescent="0.3">
      <c r="A210" s="13" t="s">
        <v>2358</v>
      </c>
      <c r="B210" t="s">
        <v>2358</v>
      </c>
      <c r="C210" s="13" t="s">
        <v>2358</v>
      </c>
      <c r="D210" s="9" t="s">
        <v>536</v>
      </c>
      <c r="E210" s="13" t="s">
        <v>3323</v>
      </c>
    </row>
    <row r="211" spans="1:5" ht="43.2" x14ac:dyDescent="0.3">
      <c r="A211" s="13" t="s">
        <v>2359</v>
      </c>
      <c r="B211" t="s">
        <v>2359</v>
      </c>
      <c r="C211" s="13" t="s">
        <v>2359</v>
      </c>
      <c r="D211" s="9" t="s">
        <v>536</v>
      </c>
      <c r="E211" s="13" t="s">
        <v>3323</v>
      </c>
    </row>
    <row r="212" spans="1:5" ht="43.2" x14ac:dyDescent="0.3">
      <c r="A212" s="13" t="s">
        <v>2087</v>
      </c>
      <c r="B212" t="s">
        <v>2087</v>
      </c>
      <c r="C212" s="13" t="s">
        <v>2087</v>
      </c>
      <c r="D212" s="9" t="s">
        <v>536</v>
      </c>
      <c r="E212" s="13" t="s">
        <v>3323</v>
      </c>
    </row>
    <row r="213" spans="1:5" ht="43.2" x14ac:dyDescent="0.3">
      <c r="A213" s="13" t="s">
        <v>2086</v>
      </c>
      <c r="B213" t="s">
        <v>2086</v>
      </c>
      <c r="C213" s="13" t="s">
        <v>2086</v>
      </c>
      <c r="D213" s="9" t="s">
        <v>536</v>
      </c>
      <c r="E213" s="13" t="s">
        <v>3323</v>
      </c>
    </row>
    <row r="214" spans="1:5" ht="43.2" x14ac:dyDescent="0.3">
      <c r="A214" s="13" t="s">
        <v>2085</v>
      </c>
      <c r="B214" t="s">
        <v>2085</v>
      </c>
      <c r="C214" s="13" t="s">
        <v>2085</v>
      </c>
      <c r="D214" s="9" t="s">
        <v>536</v>
      </c>
      <c r="E214" s="13" t="s">
        <v>3323</v>
      </c>
    </row>
    <row r="215" spans="1:5" ht="43.2" x14ac:dyDescent="0.3">
      <c r="A215" s="13" t="s">
        <v>2360</v>
      </c>
      <c r="B215" t="s">
        <v>2360</v>
      </c>
      <c r="C215" s="13" t="s">
        <v>2360</v>
      </c>
      <c r="D215" s="9" t="s">
        <v>536</v>
      </c>
      <c r="E215" s="13" t="s">
        <v>3323</v>
      </c>
    </row>
    <row r="216" spans="1:5" ht="43.2" x14ac:dyDescent="0.3">
      <c r="A216" s="13" t="s">
        <v>2361</v>
      </c>
      <c r="B216" t="s">
        <v>2361</v>
      </c>
      <c r="C216" s="13" t="s">
        <v>2361</v>
      </c>
      <c r="D216" s="9" t="s">
        <v>536</v>
      </c>
      <c r="E216" s="13" t="s">
        <v>3323</v>
      </c>
    </row>
    <row r="217" spans="1:5" ht="43.2" x14ac:dyDescent="0.3">
      <c r="A217" s="13" t="s">
        <v>2362</v>
      </c>
      <c r="B217" t="s">
        <v>2362</v>
      </c>
      <c r="C217" s="13" t="s">
        <v>2362</v>
      </c>
      <c r="D217" s="9" t="s">
        <v>536</v>
      </c>
      <c r="E217" s="13" t="s">
        <v>3323</v>
      </c>
    </row>
    <row r="218" spans="1:5" ht="43.2" x14ac:dyDescent="0.3">
      <c r="A218" s="13" t="s">
        <v>2363</v>
      </c>
      <c r="B218" t="s">
        <v>2363</v>
      </c>
      <c r="C218" s="13" t="s">
        <v>2363</v>
      </c>
      <c r="D218" s="9" t="s">
        <v>536</v>
      </c>
      <c r="E218" s="13" t="s">
        <v>3323</v>
      </c>
    </row>
    <row r="219" spans="1:5" ht="43.2" x14ac:dyDescent="0.3">
      <c r="A219" s="13" t="s">
        <v>2084</v>
      </c>
      <c r="B219" t="s">
        <v>2084</v>
      </c>
      <c r="C219" s="13" t="s">
        <v>2084</v>
      </c>
      <c r="D219" s="9" t="s">
        <v>536</v>
      </c>
      <c r="E219" s="13" t="s">
        <v>3323</v>
      </c>
    </row>
    <row r="220" spans="1:5" ht="43.2" x14ac:dyDescent="0.3">
      <c r="A220" s="13" t="s">
        <v>2083</v>
      </c>
      <c r="B220" t="s">
        <v>2083</v>
      </c>
      <c r="C220" s="13" t="s">
        <v>2083</v>
      </c>
      <c r="D220" s="9" t="s">
        <v>536</v>
      </c>
      <c r="E220" s="13" t="s">
        <v>3323</v>
      </c>
    </row>
    <row r="221" spans="1:5" ht="43.2" x14ac:dyDescent="0.3">
      <c r="A221" s="13" t="s">
        <v>2082</v>
      </c>
      <c r="B221" t="s">
        <v>2082</v>
      </c>
      <c r="C221" s="13" t="s">
        <v>2082</v>
      </c>
      <c r="D221" s="9" t="s">
        <v>536</v>
      </c>
      <c r="E221" s="13" t="s">
        <v>3323</v>
      </c>
    </row>
    <row r="222" spans="1:5" ht="43.2" x14ac:dyDescent="0.3">
      <c r="A222" s="13" t="s">
        <v>2364</v>
      </c>
      <c r="B222" t="s">
        <v>2364</v>
      </c>
      <c r="C222" s="13" t="s">
        <v>2364</v>
      </c>
      <c r="D222" s="9" t="s">
        <v>536</v>
      </c>
      <c r="E222" s="13" t="s">
        <v>3323</v>
      </c>
    </row>
    <row r="223" spans="1:5" ht="43.2" x14ac:dyDescent="0.3">
      <c r="A223" s="13" t="s">
        <v>2365</v>
      </c>
      <c r="B223" t="s">
        <v>2365</v>
      </c>
      <c r="C223" s="13" t="s">
        <v>2365</v>
      </c>
      <c r="D223" s="9" t="s">
        <v>536</v>
      </c>
      <c r="E223" s="13" t="s">
        <v>3323</v>
      </c>
    </row>
    <row r="224" spans="1:5" ht="43.2" x14ac:dyDescent="0.3">
      <c r="A224" s="13" t="s">
        <v>2081</v>
      </c>
      <c r="B224" t="s">
        <v>2081</v>
      </c>
      <c r="C224" s="13" t="s">
        <v>2081</v>
      </c>
      <c r="D224" s="9" t="s">
        <v>536</v>
      </c>
      <c r="E224" s="13" t="s">
        <v>3323</v>
      </c>
    </row>
    <row r="225" spans="1:5" ht="43.2" x14ac:dyDescent="0.3">
      <c r="A225" s="13" t="s">
        <v>2366</v>
      </c>
      <c r="B225" t="s">
        <v>2366</v>
      </c>
      <c r="C225" s="13" t="s">
        <v>2366</v>
      </c>
      <c r="D225" s="9" t="s">
        <v>536</v>
      </c>
      <c r="E225" s="13" t="s">
        <v>3323</v>
      </c>
    </row>
    <row r="226" spans="1:5" ht="43.2" x14ac:dyDescent="0.3">
      <c r="A226" s="13" t="s">
        <v>2080</v>
      </c>
      <c r="B226" t="s">
        <v>2080</v>
      </c>
      <c r="C226" s="13" t="s">
        <v>2080</v>
      </c>
      <c r="D226" s="9" t="s">
        <v>536</v>
      </c>
      <c r="E226" s="13" t="s">
        <v>3323</v>
      </c>
    </row>
    <row r="227" spans="1:5" ht="43.2" x14ac:dyDescent="0.3">
      <c r="A227" s="13" t="s">
        <v>2079</v>
      </c>
      <c r="B227" t="s">
        <v>2079</v>
      </c>
      <c r="C227" s="13" t="s">
        <v>2079</v>
      </c>
      <c r="D227" s="9" t="s">
        <v>536</v>
      </c>
      <c r="E227" s="13" t="s">
        <v>3323</v>
      </c>
    </row>
    <row r="228" spans="1:5" ht="43.2" x14ac:dyDescent="0.3">
      <c r="A228" s="13" t="s">
        <v>2078</v>
      </c>
      <c r="B228" t="s">
        <v>2078</v>
      </c>
      <c r="C228" s="13" t="s">
        <v>2078</v>
      </c>
      <c r="D228" s="9" t="s">
        <v>536</v>
      </c>
      <c r="E228" s="13" t="s">
        <v>3323</v>
      </c>
    </row>
    <row r="229" spans="1:5" ht="43.2" x14ac:dyDescent="0.3">
      <c r="A229" s="13" t="s">
        <v>2367</v>
      </c>
      <c r="B229" t="s">
        <v>2367</v>
      </c>
      <c r="C229" s="13" t="s">
        <v>2367</v>
      </c>
      <c r="D229" s="9" t="s">
        <v>536</v>
      </c>
      <c r="E229" s="13" t="s">
        <v>3323</v>
      </c>
    </row>
    <row r="230" spans="1:5" ht="43.2" x14ac:dyDescent="0.3">
      <c r="A230" s="13" t="s">
        <v>2368</v>
      </c>
      <c r="B230" t="s">
        <v>2368</v>
      </c>
      <c r="C230" s="13" t="s">
        <v>2368</v>
      </c>
      <c r="D230" s="9" t="s">
        <v>536</v>
      </c>
      <c r="E230" s="13" t="s">
        <v>3323</v>
      </c>
    </row>
    <row r="231" spans="1:5" ht="43.2" x14ac:dyDescent="0.3">
      <c r="A231" s="13" t="s">
        <v>2369</v>
      </c>
      <c r="B231" t="s">
        <v>2369</v>
      </c>
      <c r="C231" s="13" t="s">
        <v>2369</v>
      </c>
      <c r="D231" s="9" t="s">
        <v>536</v>
      </c>
      <c r="E231" s="13" t="s">
        <v>3323</v>
      </c>
    </row>
    <row r="232" spans="1:5" ht="43.2" x14ac:dyDescent="0.3">
      <c r="A232" s="13" t="s">
        <v>2370</v>
      </c>
      <c r="B232" t="s">
        <v>2370</v>
      </c>
      <c r="C232" s="13" t="s">
        <v>2370</v>
      </c>
      <c r="D232" s="9" t="s">
        <v>536</v>
      </c>
      <c r="E232" s="13" t="s">
        <v>3323</v>
      </c>
    </row>
    <row r="233" spans="1:5" ht="43.2" x14ac:dyDescent="0.3">
      <c r="A233" s="13" t="s">
        <v>2077</v>
      </c>
      <c r="B233" t="s">
        <v>2077</v>
      </c>
      <c r="C233" s="13" t="s">
        <v>2077</v>
      </c>
      <c r="D233" s="9" t="s">
        <v>536</v>
      </c>
      <c r="E233" s="13" t="s">
        <v>3323</v>
      </c>
    </row>
    <row r="234" spans="1:5" ht="43.2" x14ac:dyDescent="0.3">
      <c r="A234" s="13" t="s">
        <v>2371</v>
      </c>
      <c r="B234" t="s">
        <v>2371</v>
      </c>
      <c r="C234" s="13" t="s">
        <v>2371</v>
      </c>
      <c r="D234" s="9" t="s">
        <v>536</v>
      </c>
      <c r="E234" s="13" t="s">
        <v>3323</v>
      </c>
    </row>
    <row r="235" spans="1:5" ht="43.2" x14ac:dyDescent="0.3">
      <c r="A235" s="13" t="s">
        <v>2076</v>
      </c>
      <c r="B235" t="s">
        <v>2076</v>
      </c>
      <c r="C235" s="13" t="s">
        <v>2076</v>
      </c>
      <c r="D235" s="9" t="s">
        <v>536</v>
      </c>
      <c r="E235" s="13" t="s">
        <v>3323</v>
      </c>
    </row>
    <row r="236" spans="1:5" ht="43.2" x14ac:dyDescent="0.3">
      <c r="A236" s="13" t="s">
        <v>2372</v>
      </c>
      <c r="B236" t="s">
        <v>2372</v>
      </c>
      <c r="C236" s="13" t="s">
        <v>2372</v>
      </c>
      <c r="D236" s="9" t="s">
        <v>536</v>
      </c>
      <c r="E236" s="13" t="s">
        <v>3323</v>
      </c>
    </row>
    <row r="237" spans="1:5" ht="43.2" x14ac:dyDescent="0.3">
      <c r="A237" s="13" t="s">
        <v>2373</v>
      </c>
      <c r="B237" t="s">
        <v>2373</v>
      </c>
      <c r="C237" s="13" t="s">
        <v>2373</v>
      </c>
      <c r="D237" s="9" t="s">
        <v>536</v>
      </c>
      <c r="E237" s="13" t="s">
        <v>3323</v>
      </c>
    </row>
    <row r="238" spans="1:5" ht="43.2" x14ac:dyDescent="0.3">
      <c r="A238" s="13" t="s">
        <v>2374</v>
      </c>
      <c r="B238" t="s">
        <v>2374</v>
      </c>
      <c r="C238" s="13" t="s">
        <v>2374</v>
      </c>
      <c r="D238" s="9" t="s">
        <v>536</v>
      </c>
      <c r="E238" s="13" t="s">
        <v>3323</v>
      </c>
    </row>
    <row r="239" spans="1:5" ht="43.2" x14ac:dyDescent="0.3">
      <c r="A239" s="13" t="s">
        <v>2375</v>
      </c>
      <c r="B239" t="s">
        <v>2375</v>
      </c>
      <c r="C239" s="13" t="s">
        <v>2375</v>
      </c>
      <c r="D239" s="9" t="s">
        <v>536</v>
      </c>
      <c r="E239" s="13" t="s">
        <v>3323</v>
      </c>
    </row>
    <row r="240" spans="1:5" ht="43.2" x14ac:dyDescent="0.3">
      <c r="A240" s="13" t="s">
        <v>2075</v>
      </c>
      <c r="B240" t="s">
        <v>2075</v>
      </c>
      <c r="C240" s="13" t="s">
        <v>2075</v>
      </c>
      <c r="D240" s="9" t="s">
        <v>536</v>
      </c>
      <c r="E240" s="13" t="s">
        <v>3323</v>
      </c>
    </row>
    <row r="241" spans="1:5" ht="43.2" x14ac:dyDescent="0.3">
      <c r="A241" s="13" t="s">
        <v>2074</v>
      </c>
      <c r="B241" t="s">
        <v>2074</v>
      </c>
      <c r="C241" s="13" t="s">
        <v>2074</v>
      </c>
      <c r="D241" s="9" t="s">
        <v>536</v>
      </c>
      <c r="E241" s="13" t="s">
        <v>3323</v>
      </c>
    </row>
    <row r="242" spans="1:5" ht="43.2" x14ac:dyDescent="0.3">
      <c r="A242" s="13" t="s">
        <v>2073</v>
      </c>
      <c r="B242" t="s">
        <v>2073</v>
      </c>
      <c r="C242" s="13" t="s">
        <v>2073</v>
      </c>
      <c r="D242" s="9" t="s">
        <v>536</v>
      </c>
      <c r="E242" s="13" t="s">
        <v>3323</v>
      </c>
    </row>
    <row r="243" spans="1:5" ht="43.2" x14ac:dyDescent="0.3">
      <c r="A243" s="13" t="s">
        <v>2376</v>
      </c>
      <c r="B243" t="s">
        <v>2376</v>
      </c>
      <c r="C243" s="13" t="s">
        <v>2376</v>
      </c>
      <c r="D243" s="9" t="s">
        <v>536</v>
      </c>
      <c r="E243" s="13" t="s">
        <v>3323</v>
      </c>
    </row>
    <row r="244" spans="1:5" ht="43.2" x14ac:dyDescent="0.3">
      <c r="A244" s="13" t="s">
        <v>2377</v>
      </c>
      <c r="B244" t="s">
        <v>2377</v>
      </c>
      <c r="C244" s="13" t="s">
        <v>2377</v>
      </c>
      <c r="D244" s="9" t="s">
        <v>536</v>
      </c>
      <c r="E244" s="13" t="s">
        <v>3323</v>
      </c>
    </row>
    <row r="245" spans="1:5" ht="43.2" x14ac:dyDescent="0.3">
      <c r="A245" s="13" t="s">
        <v>2378</v>
      </c>
      <c r="B245" t="s">
        <v>2378</v>
      </c>
      <c r="C245" s="13" t="s">
        <v>2378</v>
      </c>
      <c r="D245" s="9" t="s">
        <v>536</v>
      </c>
      <c r="E245" s="13" t="s">
        <v>3323</v>
      </c>
    </row>
    <row r="246" spans="1:5" ht="43.2" x14ac:dyDescent="0.3">
      <c r="A246" s="13" t="s">
        <v>2379</v>
      </c>
      <c r="B246" t="s">
        <v>2379</v>
      </c>
      <c r="C246" s="13" t="s">
        <v>2379</v>
      </c>
      <c r="D246" s="9" t="s">
        <v>536</v>
      </c>
      <c r="E246" s="13" t="s">
        <v>3323</v>
      </c>
    </row>
    <row r="247" spans="1:5" ht="43.2" x14ac:dyDescent="0.3">
      <c r="A247" s="13" t="s">
        <v>2072</v>
      </c>
      <c r="B247" t="s">
        <v>2072</v>
      </c>
      <c r="C247" s="13" t="s">
        <v>2072</v>
      </c>
      <c r="D247" s="9" t="s">
        <v>536</v>
      </c>
      <c r="E247" s="13" t="s">
        <v>3323</v>
      </c>
    </row>
    <row r="248" spans="1:5" ht="43.2" x14ac:dyDescent="0.3">
      <c r="A248" s="13" t="s">
        <v>2071</v>
      </c>
      <c r="B248" t="s">
        <v>2071</v>
      </c>
      <c r="C248" s="13" t="s">
        <v>2071</v>
      </c>
      <c r="D248" s="9" t="s">
        <v>536</v>
      </c>
      <c r="E248" s="13" t="s">
        <v>3323</v>
      </c>
    </row>
    <row r="249" spans="1:5" ht="43.2" x14ac:dyDescent="0.3">
      <c r="A249" s="13" t="s">
        <v>2070</v>
      </c>
      <c r="B249" t="s">
        <v>2070</v>
      </c>
      <c r="C249" s="13" t="s">
        <v>2070</v>
      </c>
      <c r="D249" s="9" t="s">
        <v>536</v>
      </c>
      <c r="E249" s="13" t="s">
        <v>3323</v>
      </c>
    </row>
    <row r="250" spans="1:5" ht="43.2" x14ac:dyDescent="0.3">
      <c r="A250" s="13" t="s">
        <v>2380</v>
      </c>
      <c r="B250" t="s">
        <v>2380</v>
      </c>
      <c r="C250" s="13" t="s">
        <v>2380</v>
      </c>
      <c r="D250" s="9" t="s">
        <v>536</v>
      </c>
      <c r="E250" s="13" t="s">
        <v>3323</v>
      </c>
    </row>
    <row r="251" spans="1:5" ht="43.2" x14ac:dyDescent="0.3">
      <c r="A251" s="13" t="s">
        <v>2381</v>
      </c>
      <c r="B251" t="s">
        <v>2381</v>
      </c>
      <c r="C251" s="13" t="s">
        <v>2381</v>
      </c>
      <c r="D251" s="9" t="s">
        <v>536</v>
      </c>
      <c r="E251" s="13" t="s">
        <v>3323</v>
      </c>
    </row>
    <row r="252" spans="1:5" ht="43.2" x14ac:dyDescent="0.3">
      <c r="A252" s="13" t="s">
        <v>2382</v>
      </c>
      <c r="B252" t="s">
        <v>2382</v>
      </c>
      <c r="C252" s="13" t="s">
        <v>2382</v>
      </c>
      <c r="D252" s="9" t="s">
        <v>536</v>
      </c>
      <c r="E252" s="13" t="s">
        <v>3323</v>
      </c>
    </row>
    <row r="253" spans="1:5" ht="43.2" x14ac:dyDescent="0.3">
      <c r="A253" s="13" t="s">
        <v>2383</v>
      </c>
      <c r="B253" t="s">
        <v>2383</v>
      </c>
      <c r="C253" s="13" t="s">
        <v>2383</v>
      </c>
      <c r="D253" s="9" t="s">
        <v>536</v>
      </c>
      <c r="E253" s="13" t="s">
        <v>3323</v>
      </c>
    </row>
    <row r="254" spans="1:5" ht="43.2" x14ac:dyDescent="0.3">
      <c r="A254" s="13" t="s">
        <v>2384</v>
      </c>
      <c r="B254" t="s">
        <v>2384</v>
      </c>
      <c r="C254" s="13" t="s">
        <v>2384</v>
      </c>
      <c r="D254" s="9" t="s">
        <v>536</v>
      </c>
      <c r="E254" s="13" t="s">
        <v>3323</v>
      </c>
    </row>
    <row r="255" spans="1:5" ht="43.2" x14ac:dyDescent="0.3">
      <c r="A255" s="13" t="s">
        <v>2069</v>
      </c>
      <c r="B255" t="s">
        <v>2069</v>
      </c>
      <c r="C255" s="13" t="s">
        <v>2069</v>
      </c>
      <c r="D255" s="9" t="s">
        <v>536</v>
      </c>
      <c r="E255" s="13" t="s">
        <v>3323</v>
      </c>
    </row>
    <row r="256" spans="1:5" ht="43.2" x14ac:dyDescent="0.3">
      <c r="A256" s="13" t="s">
        <v>2068</v>
      </c>
      <c r="B256" t="s">
        <v>2068</v>
      </c>
      <c r="C256" s="13" t="s">
        <v>2068</v>
      </c>
      <c r="D256" s="9" t="s">
        <v>536</v>
      </c>
      <c r="E256" s="13" t="s">
        <v>3323</v>
      </c>
    </row>
    <row r="257" spans="1:5" ht="43.2" x14ac:dyDescent="0.3">
      <c r="A257" s="13" t="s">
        <v>2385</v>
      </c>
      <c r="B257" t="s">
        <v>2385</v>
      </c>
      <c r="C257" s="13" t="s">
        <v>2385</v>
      </c>
      <c r="D257" s="9" t="s">
        <v>536</v>
      </c>
      <c r="E257" s="13" t="s">
        <v>3323</v>
      </c>
    </row>
    <row r="258" spans="1:5" ht="43.2" x14ac:dyDescent="0.3">
      <c r="A258" s="13" t="s">
        <v>2386</v>
      </c>
      <c r="B258" t="s">
        <v>2386</v>
      </c>
      <c r="C258" s="13" t="s">
        <v>2386</v>
      </c>
      <c r="D258" s="9" t="s">
        <v>536</v>
      </c>
      <c r="E258" s="13" t="s">
        <v>3323</v>
      </c>
    </row>
    <row r="259" spans="1:5" ht="43.2" x14ac:dyDescent="0.3">
      <c r="A259" s="13" t="s">
        <v>2387</v>
      </c>
      <c r="B259" t="s">
        <v>2387</v>
      </c>
      <c r="C259" s="13" t="s">
        <v>2387</v>
      </c>
      <c r="D259" s="9" t="s">
        <v>536</v>
      </c>
      <c r="E259" s="13" t="s">
        <v>3323</v>
      </c>
    </row>
    <row r="260" spans="1:5" ht="43.2" x14ac:dyDescent="0.3">
      <c r="A260" s="13" t="s">
        <v>2388</v>
      </c>
      <c r="B260" t="s">
        <v>2388</v>
      </c>
      <c r="C260" s="13" t="s">
        <v>2388</v>
      </c>
      <c r="D260" s="9" t="s">
        <v>536</v>
      </c>
      <c r="E260" s="13" t="s">
        <v>3323</v>
      </c>
    </row>
    <row r="261" spans="1:5" ht="43.2" x14ac:dyDescent="0.3">
      <c r="A261" s="13" t="s">
        <v>2389</v>
      </c>
      <c r="B261" t="s">
        <v>2389</v>
      </c>
      <c r="C261" s="13" t="s">
        <v>2389</v>
      </c>
      <c r="D261" s="9" t="s">
        <v>536</v>
      </c>
      <c r="E261" s="13" t="s">
        <v>3323</v>
      </c>
    </row>
    <row r="262" spans="1:5" ht="43.2" x14ac:dyDescent="0.3">
      <c r="A262" s="13" t="s">
        <v>2390</v>
      </c>
      <c r="B262" t="s">
        <v>2390</v>
      </c>
      <c r="C262" s="13" t="s">
        <v>2390</v>
      </c>
      <c r="D262" s="9" t="s">
        <v>536</v>
      </c>
      <c r="E262" s="13" t="s">
        <v>3323</v>
      </c>
    </row>
    <row r="263" spans="1:5" ht="43.2" x14ac:dyDescent="0.3">
      <c r="A263" s="13" t="s">
        <v>2067</v>
      </c>
      <c r="B263" t="s">
        <v>2067</v>
      </c>
      <c r="C263" s="13" t="s">
        <v>2067</v>
      </c>
      <c r="D263" s="9" t="s">
        <v>536</v>
      </c>
      <c r="E263" s="13" t="s">
        <v>3323</v>
      </c>
    </row>
    <row r="264" spans="1:5" ht="43.2" x14ac:dyDescent="0.3">
      <c r="A264" s="13" t="s">
        <v>2391</v>
      </c>
      <c r="B264" t="s">
        <v>2391</v>
      </c>
      <c r="C264" s="13" t="s">
        <v>2391</v>
      </c>
      <c r="D264" s="9" t="s">
        <v>536</v>
      </c>
      <c r="E264" s="13" t="s">
        <v>3323</v>
      </c>
    </row>
    <row r="265" spans="1:5" ht="43.2" x14ac:dyDescent="0.3">
      <c r="A265" s="13" t="s">
        <v>2392</v>
      </c>
      <c r="B265" t="s">
        <v>2392</v>
      </c>
      <c r="C265" s="13" t="s">
        <v>2392</v>
      </c>
      <c r="D265" s="9" t="s">
        <v>536</v>
      </c>
      <c r="E265" s="13" t="s">
        <v>3323</v>
      </c>
    </row>
    <row r="266" spans="1:5" ht="43.2" x14ac:dyDescent="0.3">
      <c r="A266" s="13" t="s">
        <v>2066</v>
      </c>
      <c r="B266" t="s">
        <v>2066</v>
      </c>
      <c r="C266" s="13" t="s">
        <v>2066</v>
      </c>
      <c r="D266" s="9" t="s">
        <v>536</v>
      </c>
      <c r="E266" s="13" t="s">
        <v>3323</v>
      </c>
    </row>
    <row r="267" spans="1:5" ht="43.2" x14ac:dyDescent="0.3">
      <c r="A267" s="13" t="s">
        <v>2393</v>
      </c>
      <c r="B267" t="s">
        <v>2393</v>
      </c>
      <c r="C267" s="13" t="s">
        <v>2393</v>
      </c>
      <c r="D267" s="9" t="s">
        <v>536</v>
      </c>
      <c r="E267" s="13" t="s">
        <v>3323</v>
      </c>
    </row>
    <row r="268" spans="1:5" ht="43.2" x14ac:dyDescent="0.3">
      <c r="A268" s="13" t="s">
        <v>2394</v>
      </c>
      <c r="B268" t="s">
        <v>2394</v>
      </c>
      <c r="C268" s="13" t="s">
        <v>2394</v>
      </c>
      <c r="D268" s="9" t="s">
        <v>536</v>
      </c>
      <c r="E268" s="13" t="s">
        <v>3323</v>
      </c>
    </row>
    <row r="269" spans="1:5" ht="43.2" x14ac:dyDescent="0.3">
      <c r="A269" s="13" t="s">
        <v>2395</v>
      </c>
      <c r="B269" t="s">
        <v>2395</v>
      </c>
      <c r="C269" s="13" t="s">
        <v>2395</v>
      </c>
      <c r="D269" s="9" t="s">
        <v>536</v>
      </c>
      <c r="E269" s="13" t="s">
        <v>3323</v>
      </c>
    </row>
    <row r="270" spans="1:5" ht="43.2" x14ac:dyDescent="0.3">
      <c r="A270" s="13" t="s">
        <v>2396</v>
      </c>
      <c r="B270" t="s">
        <v>2396</v>
      </c>
      <c r="C270" s="13" t="s">
        <v>2396</v>
      </c>
      <c r="D270" s="9" t="s">
        <v>536</v>
      </c>
      <c r="E270" s="13" t="s">
        <v>3323</v>
      </c>
    </row>
    <row r="271" spans="1:5" ht="43.2" x14ac:dyDescent="0.3">
      <c r="A271" s="13" t="s">
        <v>2397</v>
      </c>
      <c r="B271" t="s">
        <v>2397</v>
      </c>
      <c r="C271" s="13" t="s">
        <v>2397</v>
      </c>
      <c r="D271" s="9" t="s">
        <v>536</v>
      </c>
      <c r="E271" s="13" t="s">
        <v>3323</v>
      </c>
    </row>
    <row r="272" spans="1:5" ht="43.2" x14ac:dyDescent="0.3">
      <c r="A272" s="13" t="s">
        <v>2398</v>
      </c>
      <c r="B272" t="s">
        <v>2398</v>
      </c>
      <c r="C272" s="13" t="s">
        <v>2398</v>
      </c>
      <c r="D272" s="9" t="s">
        <v>536</v>
      </c>
      <c r="E272" s="13" t="s">
        <v>3323</v>
      </c>
    </row>
    <row r="273" spans="1:5" ht="43.2" x14ac:dyDescent="0.3">
      <c r="A273" s="13" t="s">
        <v>2399</v>
      </c>
      <c r="B273" t="s">
        <v>2399</v>
      </c>
      <c r="C273" s="13" t="s">
        <v>2399</v>
      </c>
      <c r="D273" s="9" t="s">
        <v>536</v>
      </c>
      <c r="E273" s="13" t="s">
        <v>3323</v>
      </c>
    </row>
    <row r="274" spans="1:5" ht="43.2" x14ac:dyDescent="0.3">
      <c r="A274" s="13" t="s">
        <v>2400</v>
      </c>
      <c r="B274" t="s">
        <v>2400</v>
      </c>
      <c r="C274" s="13" t="s">
        <v>2400</v>
      </c>
      <c r="D274" s="9" t="s">
        <v>536</v>
      </c>
      <c r="E274" s="13" t="s">
        <v>3323</v>
      </c>
    </row>
    <row r="275" spans="1:5" ht="43.2" x14ac:dyDescent="0.3">
      <c r="A275" s="13" t="s">
        <v>2401</v>
      </c>
      <c r="B275" t="s">
        <v>2401</v>
      </c>
      <c r="C275" s="13" t="s">
        <v>2401</v>
      </c>
      <c r="D275" s="9" t="s">
        <v>536</v>
      </c>
      <c r="E275" s="13" t="s">
        <v>3323</v>
      </c>
    </row>
    <row r="276" spans="1:5" ht="43.2" x14ac:dyDescent="0.3">
      <c r="A276" s="13" t="s">
        <v>2402</v>
      </c>
      <c r="B276" t="s">
        <v>2402</v>
      </c>
      <c r="C276" s="13" t="s">
        <v>2402</v>
      </c>
      <c r="D276" s="9" t="s">
        <v>536</v>
      </c>
      <c r="E276" s="13" t="s">
        <v>3323</v>
      </c>
    </row>
    <row r="277" spans="1:5" ht="43.2" x14ac:dyDescent="0.3">
      <c r="A277" s="13" t="s">
        <v>2403</v>
      </c>
      <c r="B277" t="s">
        <v>2403</v>
      </c>
      <c r="C277" s="13" t="s">
        <v>2403</v>
      </c>
      <c r="D277" s="9" t="s">
        <v>536</v>
      </c>
      <c r="E277" s="13" t="s">
        <v>3323</v>
      </c>
    </row>
    <row r="278" spans="1:5" ht="43.2" x14ac:dyDescent="0.3">
      <c r="A278" s="13" t="s">
        <v>2404</v>
      </c>
      <c r="B278" t="s">
        <v>2404</v>
      </c>
      <c r="C278" s="13" t="s">
        <v>2404</v>
      </c>
      <c r="D278" s="9" t="s">
        <v>536</v>
      </c>
      <c r="E278" s="13" t="s">
        <v>3323</v>
      </c>
    </row>
    <row r="279" spans="1:5" ht="43.2" x14ac:dyDescent="0.3">
      <c r="A279" s="13" t="s">
        <v>2405</v>
      </c>
      <c r="B279" t="s">
        <v>2405</v>
      </c>
      <c r="C279" s="13" t="s">
        <v>2405</v>
      </c>
      <c r="D279" s="9" t="s">
        <v>536</v>
      </c>
      <c r="E279" s="13" t="s">
        <v>3323</v>
      </c>
    </row>
    <row r="280" spans="1:5" ht="43.2" x14ac:dyDescent="0.3">
      <c r="A280" s="13" t="s">
        <v>2406</v>
      </c>
      <c r="B280" t="s">
        <v>2406</v>
      </c>
      <c r="C280" s="13" t="s">
        <v>2406</v>
      </c>
      <c r="D280" s="9" t="s">
        <v>536</v>
      </c>
      <c r="E280" s="13" t="s">
        <v>3323</v>
      </c>
    </row>
    <row r="281" spans="1:5" ht="43.2" x14ac:dyDescent="0.3">
      <c r="A281" s="13" t="s">
        <v>2407</v>
      </c>
      <c r="B281" t="s">
        <v>2407</v>
      </c>
      <c r="C281" s="13" t="s">
        <v>2407</v>
      </c>
      <c r="D281" s="9" t="s">
        <v>536</v>
      </c>
      <c r="E281" s="13" t="s">
        <v>3323</v>
      </c>
    </row>
    <row r="282" spans="1:5" ht="43.2" x14ac:dyDescent="0.3">
      <c r="A282" s="13" t="s">
        <v>2408</v>
      </c>
      <c r="B282" t="s">
        <v>2408</v>
      </c>
      <c r="C282" s="13" t="s">
        <v>2408</v>
      </c>
      <c r="D282" s="9" t="s">
        <v>536</v>
      </c>
      <c r="E282" s="13" t="s">
        <v>3323</v>
      </c>
    </row>
    <row r="283" spans="1:5" ht="43.2" x14ac:dyDescent="0.3">
      <c r="A283" s="13" t="s">
        <v>2409</v>
      </c>
      <c r="B283" t="s">
        <v>2409</v>
      </c>
      <c r="C283" s="13" t="s">
        <v>2409</v>
      </c>
      <c r="D283" s="9" t="s">
        <v>536</v>
      </c>
      <c r="E283" s="13" t="s">
        <v>3323</v>
      </c>
    </row>
    <row r="284" spans="1:5" ht="43.2" x14ac:dyDescent="0.3">
      <c r="A284" s="13" t="s">
        <v>2410</v>
      </c>
      <c r="B284" t="s">
        <v>2410</v>
      </c>
      <c r="C284" s="13" t="s">
        <v>2410</v>
      </c>
      <c r="D284" s="9" t="s">
        <v>536</v>
      </c>
      <c r="E284" s="13" t="s">
        <v>3323</v>
      </c>
    </row>
    <row r="285" spans="1:5" ht="43.2" x14ac:dyDescent="0.3">
      <c r="A285" s="13" t="s">
        <v>2411</v>
      </c>
      <c r="B285" t="s">
        <v>2411</v>
      </c>
      <c r="C285" s="13" t="s">
        <v>2411</v>
      </c>
      <c r="D285" s="9" t="s">
        <v>536</v>
      </c>
      <c r="E285" s="13" t="s">
        <v>3323</v>
      </c>
    </row>
    <row r="286" spans="1:5" ht="43.2" x14ac:dyDescent="0.3">
      <c r="A286" s="13" t="s">
        <v>2412</v>
      </c>
      <c r="B286" t="s">
        <v>2412</v>
      </c>
      <c r="C286" s="13" t="s">
        <v>2412</v>
      </c>
      <c r="D286" s="9" t="s">
        <v>536</v>
      </c>
      <c r="E286" s="13" t="s">
        <v>3323</v>
      </c>
    </row>
    <row r="287" spans="1:5" ht="43.2" x14ac:dyDescent="0.3">
      <c r="A287" s="13" t="s">
        <v>2413</v>
      </c>
      <c r="B287" t="s">
        <v>2413</v>
      </c>
      <c r="C287" s="13" t="s">
        <v>2413</v>
      </c>
      <c r="D287" s="9" t="s">
        <v>536</v>
      </c>
      <c r="E287" s="13" t="s">
        <v>3323</v>
      </c>
    </row>
    <row r="288" spans="1:5" ht="43.2" x14ac:dyDescent="0.3">
      <c r="A288" s="13" t="s">
        <v>2414</v>
      </c>
      <c r="B288" t="s">
        <v>2414</v>
      </c>
      <c r="C288" s="13" t="s">
        <v>2414</v>
      </c>
      <c r="D288" s="9" t="s">
        <v>536</v>
      </c>
      <c r="E288" s="13" t="s">
        <v>3323</v>
      </c>
    </row>
    <row r="289" spans="1:5" ht="43.2" x14ac:dyDescent="0.3">
      <c r="A289" s="13" t="s">
        <v>2415</v>
      </c>
      <c r="B289" t="s">
        <v>2415</v>
      </c>
      <c r="C289" s="13" t="s">
        <v>2415</v>
      </c>
      <c r="D289" s="9" t="s">
        <v>536</v>
      </c>
      <c r="E289" s="13" t="s">
        <v>3323</v>
      </c>
    </row>
    <row r="290" spans="1:5" ht="43.2" x14ac:dyDescent="0.3">
      <c r="A290" s="13" t="s">
        <v>2416</v>
      </c>
      <c r="B290" t="s">
        <v>2416</v>
      </c>
      <c r="C290" s="13" t="s">
        <v>2416</v>
      </c>
      <c r="D290" s="9" t="s">
        <v>536</v>
      </c>
      <c r="E290" s="13" t="s">
        <v>3323</v>
      </c>
    </row>
    <row r="291" spans="1:5" ht="43.2" x14ac:dyDescent="0.3">
      <c r="A291" s="13" t="s">
        <v>2417</v>
      </c>
      <c r="B291" t="s">
        <v>2417</v>
      </c>
      <c r="C291" s="13" t="s">
        <v>2417</v>
      </c>
      <c r="D291" s="9" t="s">
        <v>536</v>
      </c>
      <c r="E291" s="13" t="s">
        <v>3323</v>
      </c>
    </row>
    <row r="292" spans="1:5" ht="43.2" x14ac:dyDescent="0.3">
      <c r="A292" s="13" t="s">
        <v>2418</v>
      </c>
      <c r="B292" t="s">
        <v>2418</v>
      </c>
      <c r="C292" s="13" t="s">
        <v>2418</v>
      </c>
      <c r="D292" s="9" t="s">
        <v>536</v>
      </c>
      <c r="E292" s="13" t="s">
        <v>3323</v>
      </c>
    </row>
    <row r="293" spans="1:5" ht="43.2" x14ac:dyDescent="0.3">
      <c r="A293" s="13" t="s">
        <v>2419</v>
      </c>
      <c r="B293" t="s">
        <v>2419</v>
      </c>
      <c r="C293" s="13" t="s">
        <v>2419</v>
      </c>
      <c r="D293" s="9" t="s">
        <v>536</v>
      </c>
      <c r="E293" s="13" t="s">
        <v>3323</v>
      </c>
    </row>
    <row r="294" spans="1:5" ht="43.2" x14ac:dyDescent="0.3">
      <c r="A294" s="13" t="s">
        <v>2420</v>
      </c>
      <c r="B294" t="s">
        <v>2420</v>
      </c>
      <c r="C294" s="13" t="s">
        <v>2420</v>
      </c>
      <c r="D294" s="9" t="s">
        <v>536</v>
      </c>
      <c r="E294" s="13" t="s">
        <v>3323</v>
      </c>
    </row>
    <row r="295" spans="1:5" ht="43.2" x14ac:dyDescent="0.3">
      <c r="A295" s="13" t="s">
        <v>2421</v>
      </c>
      <c r="B295" t="s">
        <v>2421</v>
      </c>
      <c r="C295" s="13" t="s">
        <v>2421</v>
      </c>
      <c r="D295" s="9" t="s">
        <v>536</v>
      </c>
      <c r="E295" s="13" t="s">
        <v>3323</v>
      </c>
    </row>
    <row r="296" spans="1:5" ht="43.2" x14ac:dyDescent="0.3">
      <c r="A296" s="13" t="s">
        <v>2422</v>
      </c>
      <c r="B296" t="s">
        <v>2422</v>
      </c>
      <c r="C296" s="13" t="s">
        <v>2422</v>
      </c>
      <c r="D296" s="9" t="s">
        <v>536</v>
      </c>
      <c r="E296" s="13" t="s">
        <v>3323</v>
      </c>
    </row>
    <row r="297" spans="1:5" ht="43.2" x14ac:dyDescent="0.3">
      <c r="A297" s="13" t="s">
        <v>2423</v>
      </c>
      <c r="B297" t="s">
        <v>2423</v>
      </c>
      <c r="C297" s="13" t="s">
        <v>2423</v>
      </c>
      <c r="D297" s="9" t="s">
        <v>536</v>
      </c>
      <c r="E297" s="13" t="s">
        <v>3323</v>
      </c>
    </row>
    <row r="298" spans="1:5" ht="43.2" x14ac:dyDescent="0.3">
      <c r="A298" s="13" t="s">
        <v>2424</v>
      </c>
      <c r="B298" t="s">
        <v>2424</v>
      </c>
      <c r="C298" s="13" t="s">
        <v>2424</v>
      </c>
      <c r="D298" s="9" t="s">
        <v>536</v>
      </c>
      <c r="E298" s="13" t="s">
        <v>3323</v>
      </c>
    </row>
    <row r="299" spans="1:5" ht="43.2" x14ac:dyDescent="0.3">
      <c r="A299" s="13" t="s">
        <v>2425</v>
      </c>
      <c r="B299" t="s">
        <v>2425</v>
      </c>
      <c r="C299" s="13" t="s">
        <v>2425</v>
      </c>
      <c r="D299" s="9" t="s">
        <v>536</v>
      </c>
      <c r="E299" s="13" t="s">
        <v>3323</v>
      </c>
    </row>
    <row r="300" spans="1:5" ht="43.2" x14ac:dyDescent="0.3">
      <c r="A300" s="13" t="s">
        <v>2426</v>
      </c>
      <c r="B300" t="s">
        <v>2426</v>
      </c>
      <c r="C300" s="13" t="s">
        <v>2426</v>
      </c>
      <c r="D300" s="9" t="s">
        <v>536</v>
      </c>
      <c r="E300" s="13" t="s">
        <v>3323</v>
      </c>
    </row>
    <row r="301" spans="1:5" ht="43.2" x14ac:dyDescent="0.3">
      <c r="A301" s="13" t="s">
        <v>2427</v>
      </c>
      <c r="B301" t="s">
        <v>2427</v>
      </c>
      <c r="C301" s="13" t="s">
        <v>2427</v>
      </c>
      <c r="D301" s="9" t="s">
        <v>536</v>
      </c>
      <c r="E301" s="13" t="s">
        <v>3323</v>
      </c>
    </row>
    <row r="302" spans="1:5" ht="43.2" x14ac:dyDescent="0.3">
      <c r="A302" s="13" t="s">
        <v>2428</v>
      </c>
      <c r="B302" t="s">
        <v>2428</v>
      </c>
      <c r="C302" s="13" t="s">
        <v>2428</v>
      </c>
      <c r="D302" s="9" t="s">
        <v>536</v>
      </c>
      <c r="E302" s="13" t="s">
        <v>3323</v>
      </c>
    </row>
    <row r="303" spans="1:5" ht="43.2" x14ac:dyDescent="0.3">
      <c r="A303" s="13" t="s">
        <v>2429</v>
      </c>
      <c r="B303" t="s">
        <v>2429</v>
      </c>
      <c r="C303" s="13" t="s">
        <v>2429</v>
      </c>
      <c r="D303" s="9" t="s">
        <v>536</v>
      </c>
      <c r="E303" s="13" t="s">
        <v>3323</v>
      </c>
    </row>
    <row r="304" spans="1:5" ht="43.2" x14ac:dyDescent="0.3">
      <c r="A304" s="13" t="s">
        <v>2430</v>
      </c>
      <c r="B304" t="s">
        <v>2430</v>
      </c>
      <c r="C304" s="13" t="s">
        <v>2430</v>
      </c>
      <c r="D304" s="9" t="s">
        <v>536</v>
      </c>
      <c r="E304" s="13" t="s">
        <v>3323</v>
      </c>
    </row>
    <row r="305" spans="1:5" ht="43.2" x14ac:dyDescent="0.3">
      <c r="A305" s="13" t="s">
        <v>2431</v>
      </c>
      <c r="B305" t="s">
        <v>2431</v>
      </c>
      <c r="C305" s="13" t="s">
        <v>2431</v>
      </c>
      <c r="D305" s="9" t="s">
        <v>536</v>
      </c>
      <c r="E305" s="13" t="s">
        <v>3323</v>
      </c>
    </row>
    <row r="306" spans="1:5" ht="43.2" x14ac:dyDescent="0.3">
      <c r="A306" s="13" t="s">
        <v>2432</v>
      </c>
      <c r="B306" t="s">
        <v>2432</v>
      </c>
      <c r="C306" s="13" t="s">
        <v>2432</v>
      </c>
      <c r="D306" s="9" t="s">
        <v>536</v>
      </c>
      <c r="E306" s="13" t="s">
        <v>3323</v>
      </c>
    </row>
    <row r="307" spans="1:5" ht="43.2" x14ac:dyDescent="0.3">
      <c r="A307" s="13" t="s">
        <v>2433</v>
      </c>
      <c r="B307" t="s">
        <v>2433</v>
      </c>
      <c r="C307" s="13" t="s">
        <v>2433</v>
      </c>
      <c r="D307" s="9" t="s">
        <v>536</v>
      </c>
      <c r="E307" s="13" t="s">
        <v>3323</v>
      </c>
    </row>
    <row r="308" spans="1:5" ht="43.2" x14ac:dyDescent="0.3">
      <c r="A308" s="13" t="s">
        <v>2434</v>
      </c>
      <c r="B308" t="s">
        <v>2434</v>
      </c>
      <c r="C308" s="13" t="s">
        <v>2434</v>
      </c>
      <c r="D308" s="9" t="s">
        <v>536</v>
      </c>
      <c r="E308" s="13" t="s">
        <v>3323</v>
      </c>
    </row>
    <row r="309" spans="1:5" ht="43.2" x14ac:dyDescent="0.3">
      <c r="A309" s="13" t="s">
        <v>2435</v>
      </c>
      <c r="B309" t="s">
        <v>2435</v>
      </c>
      <c r="C309" s="13" t="s">
        <v>2435</v>
      </c>
      <c r="D309" s="9" t="s">
        <v>536</v>
      </c>
      <c r="E309" s="13" t="s">
        <v>3323</v>
      </c>
    </row>
    <row r="310" spans="1:5" ht="43.2" x14ac:dyDescent="0.3">
      <c r="A310" s="13" t="s">
        <v>2436</v>
      </c>
      <c r="B310" t="s">
        <v>2436</v>
      </c>
      <c r="C310" s="13" t="s">
        <v>2436</v>
      </c>
      <c r="D310" s="9" t="s">
        <v>536</v>
      </c>
      <c r="E310" s="13" t="s">
        <v>3323</v>
      </c>
    </row>
    <row r="311" spans="1:5" ht="43.2" x14ac:dyDescent="0.3">
      <c r="A311" s="13" t="s">
        <v>2437</v>
      </c>
      <c r="B311" t="s">
        <v>2437</v>
      </c>
      <c r="C311" s="13" t="s">
        <v>2437</v>
      </c>
      <c r="D311" s="9" t="s">
        <v>536</v>
      </c>
      <c r="E311" s="13" t="s">
        <v>3323</v>
      </c>
    </row>
    <row r="312" spans="1:5" ht="43.2" x14ac:dyDescent="0.3">
      <c r="A312" s="13" t="s">
        <v>2438</v>
      </c>
      <c r="B312" t="s">
        <v>2438</v>
      </c>
      <c r="C312" s="13" t="s">
        <v>2438</v>
      </c>
      <c r="D312" s="9" t="s">
        <v>536</v>
      </c>
      <c r="E312" s="13" t="s">
        <v>3323</v>
      </c>
    </row>
    <row r="313" spans="1:5" ht="28.8" x14ac:dyDescent="0.3">
      <c r="A313" s="13" t="s">
        <v>2439</v>
      </c>
      <c r="B313" t="s">
        <v>2439</v>
      </c>
      <c r="C313" s="13" t="s">
        <v>2439</v>
      </c>
      <c r="D313" s="9" t="s">
        <v>536</v>
      </c>
      <c r="E313" s="13" t="s">
        <v>3323</v>
      </c>
    </row>
    <row r="314" spans="1:5" ht="43.2" x14ac:dyDescent="0.3">
      <c r="A314" s="13" t="s">
        <v>2440</v>
      </c>
      <c r="B314" t="s">
        <v>2440</v>
      </c>
      <c r="C314" s="13" t="s">
        <v>2440</v>
      </c>
      <c r="D314" s="9" t="s">
        <v>536</v>
      </c>
      <c r="E314" s="13" t="s">
        <v>3323</v>
      </c>
    </row>
    <row r="315" spans="1:5" ht="43.2" x14ac:dyDescent="0.3">
      <c r="A315" s="13" t="s">
        <v>2441</v>
      </c>
      <c r="B315" t="s">
        <v>2441</v>
      </c>
      <c r="C315" s="13" t="s">
        <v>2441</v>
      </c>
      <c r="D315" s="9" t="s">
        <v>536</v>
      </c>
      <c r="E315" s="13" t="s">
        <v>3323</v>
      </c>
    </row>
    <row r="316" spans="1:5" ht="43.2" x14ac:dyDescent="0.3">
      <c r="A316" s="13" t="s">
        <v>2442</v>
      </c>
      <c r="B316" t="s">
        <v>2442</v>
      </c>
      <c r="C316" s="13" t="s">
        <v>2442</v>
      </c>
      <c r="D316" s="9" t="s">
        <v>536</v>
      </c>
      <c r="E316" s="13" t="s">
        <v>3323</v>
      </c>
    </row>
    <row r="317" spans="1:5" ht="43.2" x14ac:dyDescent="0.3">
      <c r="A317" s="13" t="s">
        <v>2443</v>
      </c>
      <c r="B317" t="s">
        <v>2443</v>
      </c>
      <c r="C317" s="13" t="s">
        <v>2443</v>
      </c>
      <c r="D317" s="9" t="s">
        <v>536</v>
      </c>
      <c r="E317" s="13" t="s">
        <v>3323</v>
      </c>
    </row>
    <row r="318" spans="1:5" ht="43.2" x14ac:dyDescent="0.3">
      <c r="A318" s="13" t="s">
        <v>2065</v>
      </c>
      <c r="B318" t="s">
        <v>2065</v>
      </c>
      <c r="C318" s="13" t="s">
        <v>2065</v>
      </c>
      <c r="D318" s="9" t="s">
        <v>536</v>
      </c>
      <c r="E318" s="13" t="s">
        <v>3323</v>
      </c>
    </row>
    <row r="319" spans="1:5" ht="43.2" x14ac:dyDescent="0.3">
      <c r="A319" s="13" t="s">
        <v>2152</v>
      </c>
      <c r="B319" t="s">
        <v>2152</v>
      </c>
      <c r="C319" s="13" t="s">
        <v>2152</v>
      </c>
      <c r="D319" s="9" t="s">
        <v>536</v>
      </c>
      <c r="E319" s="13" t="s">
        <v>3323</v>
      </c>
    </row>
    <row r="320" spans="1:5" ht="43.2" x14ac:dyDescent="0.3">
      <c r="A320" s="13" t="s">
        <v>2444</v>
      </c>
      <c r="B320" t="s">
        <v>2444</v>
      </c>
      <c r="C320" s="13" t="s">
        <v>2444</v>
      </c>
      <c r="D320" s="9" t="s">
        <v>536</v>
      </c>
      <c r="E320" s="13" t="s">
        <v>3323</v>
      </c>
    </row>
    <row r="321" spans="1:5" ht="43.2" x14ac:dyDescent="0.3">
      <c r="A321" s="13" t="s">
        <v>2445</v>
      </c>
      <c r="B321" t="s">
        <v>2445</v>
      </c>
      <c r="C321" s="13" t="s">
        <v>2445</v>
      </c>
      <c r="D321" s="9" t="s">
        <v>536</v>
      </c>
      <c r="E321" s="13" t="s">
        <v>3323</v>
      </c>
    </row>
    <row r="322" spans="1:5" ht="43.2" x14ac:dyDescent="0.3">
      <c r="A322" s="13" t="s">
        <v>2446</v>
      </c>
      <c r="B322" t="s">
        <v>2446</v>
      </c>
      <c r="C322" s="13" t="s">
        <v>2446</v>
      </c>
      <c r="D322" s="9" t="s">
        <v>536</v>
      </c>
      <c r="E322" s="13" t="s">
        <v>3323</v>
      </c>
    </row>
    <row r="323" spans="1:5" ht="43.2" x14ac:dyDescent="0.3">
      <c r="A323" s="13" t="s">
        <v>2447</v>
      </c>
      <c r="B323" t="s">
        <v>2447</v>
      </c>
      <c r="C323" s="13" t="s">
        <v>2447</v>
      </c>
      <c r="D323" s="9" t="s">
        <v>536</v>
      </c>
      <c r="E323" s="13" t="s">
        <v>3323</v>
      </c>
    </row>
    <row r="324" spans="1:5" ht="43.2" x14ac:dyDescent="0.3">
      <c r="A324" s="13" t="s">
        <v>2448</v>
      </c>
      <c r="B324" t="s">
        <v>2448</v>
      </c>
      <c r="C324" s="13" t="s">
        <v>2448</v>
      </c>
      <c r="D324" s="9" t="s">
        <v>536</v>
      </c>
      <c r="E324" s="13" t="s">
        <v>3323</v>
      </c>
    </row>
    <row r="325" spans="1:5" ht="43.2" x14ac:dyDescent="0.3">
      <c r="A325" s="13" t="s">
        <v>2155</v>
      </c>
      <c r="B325" t="s">
        <v>2155</v>
      </c>
      <c r="C325" s="13" t="s">
        <v>2155</v>
      </c>
      <c r="D325" s="9" t="s">
        <v>536</v>
      </c>
      <c r="E325" s="13" t="s">
        <v>3323</v>
      </c>
    </row>
    <row r="326" spans="1:5" ht="43.2" x14ac:dyDescent="0.3">
      <c r="A326" s="13" t="s">
        <v>2154</v>
      </c>
      <c r="B326" t="s">
        <v>2154</v>
      </c>
      <c r="C326" s="13" t="s">
        <v>2154</v>
      </c>
      <c r="D326" s="9" t="s">
        <v>536</v>
      </c>
      <c r="E326" s="13" t="s">
        <v>3323</v>
      </c>
    </row>
    <row r="327" spans="1:5" ht="43.2" x14ac:dyDescent="0.3">
      <c r="A327" s="13" t="s">
        <v>2153</v>
      </c>
      <c r="B327" t="s">
        <v>2153</v>
      </c>
      <c r="C327" s="13" t="s">
        <v>2153</v>
      </c>
      <c r="D327" s="9" t="s">
        <v>536</v>
      </c>
      <c r="E327" s="13" t="s">
        <v>3323</v>
      </c>
    </row>
    <row r="328" spans="1:5" ht="43.2" x14ac:dyDescent="0.3">
      <c r="A328" s="13" t="s">
        <v>2449</v>
      </c>
      <c r="B328" t="s">
        <v>2449</v>
      </c>
      <c r="C328" s="13" t="s">
        <v>2449</v>
      </c>
      <c r="D328" s="9" t="s">
        <v>536</v>
      </c>
      <c r="E328" s="13" t="s">
        <v>3323</v>
      </c>
    </row>
    <row r="329" spans="1:5" ht="43.2" x14ac:dyDescent="0.3">
      <c r="A329" s="13" t="s">
        <v>2450</v>
      </c>
      <c r="B329" t="s">
        <v>2450</v>
      </c>
      <c r="C329" s="13" t="s">
        <v>2450</v>
      </c>
      <c r="D329" s="9" t="s">
        <v>536</v>
      </c>
      <c r="E329" s="13" t="s">
        <v>3323</v>
      </c>
    </row>
    <row r="330" spans="1:5" ht="43.2" x14ac:dyDescent="0.3">
      <c r="A330" s="13" t="s">
        <v>2451</v>
      </c>
      <c r="B330" t="s">
        <v>2451</v>
      </c>
      <c r="C330" s="13" t="s">
        <v>2451</v>
      </c>
      <c r="D330" s="9" t="s">
        <v>536</v>
      </c>
      <c r="E330" s="13" t="s">
        <v>3323</v>
      </c>
    </row>
    <row r="331" spans="1:5" ht="43.2" x14ac:dyDescent="0.3">
      <c r="A331" s="13" t="s">
        <v>2452</v>
      </c>
      <c r="B331" t="s">
        <v>2452</v>
      </c>
      <c r="C331" s="13" t="s">
        <v>2452</v>
      </c>
      <c r="D331" s="9" t="s">
        <v>536</v>
      </c>
      <c r="E331" s="13" t="s">
        <v>3323</v>
      </c>
    </row>
    <row r="332" spans="1:5" ht="43.2" x14ac:dyDescent="0.3">
      <c r="A332" s="13" t="s">
        <v>2159</v>
      </c>
      <c r="B332" t="s">
        <v>2159</v>
      </c>
      <c r="C332" s="13" t="s">
        <v>2159</v>
      </c>
      <c r="D332" s="9" t="s">
        <v>536</v>
      </c>
      <c r="E332" s="13" t="s">
        <v>3323</v>
      </c>
    </row>
    <row r="333" spans="1:5" ht="43.2" x14ac:dyDescent="0.3">
      <c r="A333" s="13" t="s">
        <v>2158</v>
      </c>
      <c r="B333" t="s">
        <v>2158</v>
      </c>
      <c r="C333" s="13" t="s">
        <v>2158</v>
      </c>
      <c r="D333" s="9" t="s">
        <v>536</v>
      </c>
      <c r="E333" s="13" t="s">
        <v>3323</v>
      </c>
    </row>
    <row r="334" spans="1:5" ht="43.2" x14ac:dyDescent="0.3">
      <c r="A334" s="13" t="s">
        <v>2156</v>
      </c>
      <c r="B334" t="s">
        <v>2156</v>
      </c>
      <c r="C334" s="13" t="s">
        <v>2156</v>
      </c>
      <c r="D334" s="9" t="s">
        <v>536</v>
      </c>
      <c r="E334" s="13" t="s">
        <v>3323</v>
      </c>
    </row>
    <row r="335" spans="1:5" ht="43.2" x14ac:dyDescent="0.3">
      <c r="A335" s="13" t="s">
        <v>2453</v>
      </c>
      <c r="B335" t="s">
        <v>2453</v>
      </c>
      <c r="C335" s="13" t="s">
        <v>2453</v>
      </c>
      <c r="D335" s="9" t="s">
        <v>536</v>
      </c>
      <c r="E335" s="13" t="s">
        <v>3323</v>
      </c>
    </row>
    <row r="336" spans="1:5" ht="43.2" x14ac:dyDescent="0.3">
      <c r="A336" s="13" t="s">
        <v>2454</v>
      </c>
      <c r="B336" t="s">
        <v>2454</v>
      </c>
      <c r="C336" s="13" t="s">
        <v>2454</v>
      </c>
      <c r="D336" s="9" t="s">
        <v>536</v>
      </c>
      <c r="E336" s="13" t="s">
        <v>3323</v>
      </c>
    </row>
    <row r="337" spans="1:5" ht="43.2" x14ac:dyDescent="0.3">
      <c r="A337" s="13" t="s">
        <v>2455</v>
      </c>
      <c r="B337" t="s">
        <v>2455</v>
      </c>
      <c r="C337" s="13" t="s">
        <v>2455</v>
      </c>
      <c r="D337" s="9" t="s">
        <v>536</v>
      </c>
      <c r="E337" s="13" t="s">
        <v>3323</v>
      </c>
    </row>
    <row r="338" spans="1:5" ht="43.2" x14ac:dyDescent="0.3">
      <c r="A338" s="13" t="s">
        <v>2456</v>
      </c>
      <c r="B338" t="s">
        <v>2456</v>
      </c>
      <c r="C338" s="13" t="s">
        <v>2456</v>
      </c>
      <c r="D338" s="9" t="s">
        <v>536</v>
      </c>
      <c r="E338" s="13" t="s">
        <v>3323</v>
      </c>
    </row>
    <row r="339" spans="1:5" ht="43.2" x14ac:dyDescent="0.3">
      <c r="A339" s="13" t="s">
        <v>2457</v>
      </c>
      <c r="B339" t="s">
        <v>2457</v>
      </c>
      <c r="C339" s="13" t="s">
        <v>2457</v>
      </c>
      <c r="D339" s="9" t="s">
        <v>536</v>
      </c>
      <c r="E339" s="13" t="s">
        <v>3323</v>
      </c>
    </row>
    <row r="340" spans="1:5" ht="43.2" x14ac:dyDescent="0.3">
      <c r="A340" s="13" t="s">
        <v>2458</v>
      </c>
      <c r="B340" t="s">
        <v>2458</v>
      </c>
      <c r="C340" s="13" t="s">
        <v>2458</v>
      </c>
      <c r="D340" s="9" t="s">
        <v>536</v>
      </c>
      <c r="E340" s="13" t="s">
        <v>3323</v>
      </c>
    </row>
    <row r="341" spans="1:5" ht="43.2" x14ac:dyDescent="0.3">
      <c r="A341" s="13" t="s">
        <v>2459</v>
      </c>
      <c r="B341" t="s">
        <v>2459</v>
      </c>
      <c r="C341" s="13" t="s">
        <v>2459</v>
      </c>
      <c r="D341" s="9" t="s">
        <v>536</v>
      </c>
      <c r="E341" s="13" t="s">
        <v>3323</v>
      </c>
    </row>
    <row r="342" spans="1:5" ht="43.2" x14ac:dyDescent="0.3">
      <c r="A342" s="13" t="s">
        <v>2460</v>
      </c>
      <c r="B342" t="s">
        <v>2460</v>
      </c>
      <c r="C342" s="13" t="s">
        <v>2460</v>
      </c>
      <c r="D342" s="9" t="s">
        <v>536</v>
      </c>
      <c r="E342" s="13" t="s">
        <v>3323</v>
      </c>
    </row>
    <row r="343" spans="1:5" ht="43.2" x14ac:dyDescent="0.3">
      <c r="A343" s="13" t="s">
        <v>2461</v>
      </c>
      <c r="B343" t="s">
        <v>2461</v>
      </c>
      <c r="C343" s="13" t="s">
        <v>2461</v>
      </c>
      <c r="D343" s="9" t="s">
        <v>536</v>
      </c>
      <c r="E343" s="13" t="s">
        <v>3323</v>
      </c>
    </row>
    <row r="344" spans="1:5" ht="43.2" x14ac:dyDescent="0.3">
      <c r="A344" s="13" t="s">
        <v>2462</v>
      </c>
      <c r="B344" t="s">
        <v>2462</v>
      </c>
      <c r="C344" s="13" t="s">
        <v>2462</v>
      </c>
      <c r="D344" s="9" t="s">
        <v>536</v>
      </c>
      <c r="E344" s="13" t="s">
        <v>3323</v>
      </c>
    </row>
    <row r="345" spans="1:5" ht="43.2" x14ac:dyDescent="0.3">
      <c r="A345" s="13" t="s">
        <v>2463</v>
      </c>
      <c r="B345" t="s">
        <v>2463</v>
      </c>
      <c r="C345" s="13" t="s">
        <v>2463</v>
      </c>
      <c r="D345" s="9" t="s">
        <v>536</v>
      </c>
      <c r="E345" s="13" t="s">
        <v>3323</v>
      </c>
    </row>
    <row r="346" spans="1:5" ht="43.2" x14ac:dyDescent="0.3">
      <c r="A346" s="13" t="s">
        <v>2161</v>
      </c>
      <c r="B346" t="s">
        <v>2161</v>
      </c>
      <c r="C346" s="13" t="s">
        <v>2161</v>
      </c>
      <c r="D346" s="9" t="s">
        <v>536</v>
      </c>
      <c r="E346" s="13" t="s">
        <v>3323</v>
      </c>
    </row>
    <row r="347" spans="1:5" ht="43.2" x14ac:dyDescent="0.3">
      <c r="A347" s="13" t="s">
        <v>2160</v>
      </c>
      <c r="B347" t="s">
        <v>2160</v>
      </c>
      <c r="C347" s="13" t="s">
        <v>2160</v>
      </c>
      <c r="D347" s="9" t="s">
        <v>536</v>
      </c>
      <c r="E347" s="13" t="s">
        <v>3323</v>
      </c>
    </row>
    <row r="348" spans="1:5" ht="43.2" x14ac:dyDescent="0.3">
      <c r="A348" s="13" t="s">
        <v>2464</v>
      </c>
      <c r="B348" t="s">
        <v>2464</v>
      </c>
      <c r="C348" s="13" t="s">
        <v>2464</v>
      </c>
      <c r="D348" s="9" t="s">
        <v>536</v>
      </c>
      <c r="E348" s="13" t="s">
        <v>3323</v>
      </c>
    </row>
    <row r="349" spans="1:5" ht="43.2" x14ac:dyDescent="0.3">
      <c r="A349" s="13" t="s">
        <v>2465</v>
      </c>
      <c r="B349" t="s">
        <v>2465</v>
      </c>
      <c r="C349" s="13" t="s">
        <v>2465</v>
      </c>
      <c r="D349" s="9" t="s">
        <v>536</v>
      </c>
      <c r="E349" s="13" t="s">
        <v>3323</v>
      </c>
    </row>
    <row r="350" spans="1:5" ht="43.2" x14ac:dyDescent="0.3">
      <c r="A350" s="13" t="s">
        <v>2466</v>
      </c>
      <c r="B350" t="s">
        <v>2466</v>
      </c>
      <c r="C350" s="13" t="s">
        <v>2466</v>
      </c>
      <c r="D350" s="9" t="s">
        <v>536</v>
      </c>
      <c r="E350" s="13" t="s">
        <v>3323</v>
      </c>
    </row>
    <row r="351" spans="1:5" ht="43.2" x14ac:dyDescent="0.3">
      <c r="A351" s="13" t="s">
        <v>2467</v>
      </c>
      <c r="B351" t="s">
        <v>2467</v>
      </c>
      <c r="C351" s="13" t="s">
        <v>2467</v>
      </c>
      <c r="D351" s="9" t="s">
        <v>536</v>
      </c>
      <c r="E351" s="13" t="s">
        <v>3323</v>
      </c>
    </row>
    <row r="352" spans="1:5" ht="43.2" x14ac:dyDescent="0.3">
      <c r="A352" s="13" t="s">
        <v>2064</v>
      </c>
      <c r="B352" t="s">
        <v>2064</v>
      </c>
      <c r="C352" s="13" t="s">
        <v>2064</v>
      </c>
      <c r="D352" s="9" t="s">
        <v>536</v>
      </c>
      <c r="E352" s="13" t="s">
        <v>3323</v>
      </c>
    </row>
    <row r="353" spans="1:5" ht="43.2" x14ac:dyDescent="0.3">
      <c r="A353" s="13" t="s">
        <v>2468</v>
      </c>
      <c r="B353" t="s">
        <v>2468</v>
      </c>
      <c r="C353" s="13" t="s">
        <v>2468</v>
      </c>
      <c r="D353" s="9" t="s">
        <v>536</v>
      </c>
      <c r="E353" s="13" t="s">
        <v>3323</v>
      </c>
    </row>
    <row r="354" spans="1:5" ht="43.2" x14ac:dyDescent="0.3">
      <c r="A354" s="13" t="s">
        <v>2063</v>
      </c>
      <c r="B354" t="s">
        <v>2063</v>
      </c>
      <c r="C354" s="13" t="s">
        <v>2063</v>
      </c>
      <c r="D354" s="9" t="s">
        <v>536</v>
      </c>
      <c r="E354" s="13" t="s">
        <v>3323</v>
      </c>
    </row>
    <row r="355" spans="1:5" ht="43.2" x14ac:dyDescent="0.3">
      <c r="A355" s="13" t="s">
        <v>2062</v>
      </c>
      <c r="B355" t="s">
        <v>2062</v>
      </c>
      <c r="C355" s="13" t="s">
        <v>2062</v>
      </c>
      <c r="D355" s="9" t="s">
        <v>536</v>
      </c>
      <c r="E355" s="13" t="s">
        <v>3323</v>
      </c>
    </row>
    <row r="356" spans="1:5" ht="43.2" x14ac:dyDescent="0.3">
      <c r="A356" s="13" t="s">
        <v>2469</v>
      </c>
      <c r="B356" t="s">
        <v>2469</v>
      </c>
      <c r="C356" s="13" t="s">
        <v>2469</v>
      </c>
      <c r="D356" s="9" t="s">
        <v>536</v>
      </c>
      <c r="E356" s="13" t="s">
        <v>3323</v>
      </c>
    </row>
    <row r="357" spans="1:5" ht="43.2" x14ac:dyDescent="0.3">
      <c r="A357" s="13" t="s">
        <v>2470</v>
      </c>
      <c r="B357" t="s">
        <v>2470</v>
      </c>
      <c r="C357" s="13" t="s">
        <v>2470</v>
      </c>
      <c r="D357" s="9" t="s">
        <v>536</v>
      </c>
      <c r="E357" s="13" t="s">
        <v>3323</v>
      </c>
    </row>
    <row r="358" spans="1:5" ht="43.2" x14ac:dyDescent="0.3">
      <c r="A358" s="13" t="s">
        <v>2134</v>
      </c>
      <c r="B358" t="s">
        <v>2134</v>
      </c>
      <c r="C358" s="13" t="s">
        <v>2134</v>
      </c>
      <c r="D358" s="9" t="s">
        <v>536</v>
      </c>
      <c r="E358" s="13" t="s">
        <v>3323</v>
      </c>
    </row>
    <row r="359" spans="1:5" ht="43.2" x14ac:dyDescent="0.3">
      <c r="A359" s="13" t="s">
        <v>2133</v>
      </c>
      <c r="B359" t="s">
        <v>2133</v>
      </c>
      <c r="C359" s="13" t="s">
        <v>2133</v>
      </c>
      <c r="D359" s="9" t="s">
        <v>536</v>
      </c>
      <c r="E359" s="13" t="s">
        <v>3323</v>
      </c>
    </row>
    <row r="360" spans="1:5" ht="43.2" x14ac:dyDescent="0.3">
      <c r="A360" s="13" t="s">
        <v>2135</v>
      </c>
      <c r="B360" t="s">
        <v>2135</v>
      </c>
      <c r="C360" s="13" t="s">
        <v>2135</v>
      </c>
      <c r="D360" s="9" t="s">
        <v>536</v>
      </c>
      <c r="E360" s="13" t="s">
        <v>3323</v>
      </c>
    </row>
    <row r="361" spans="1:5" ht="43.2" x14ac:dyDescent="0.3">
      <c r="A361" s="13" t="s">
        <v>2061</v>
      </c>
      <c r="B361" t="s">
        <v>2061</v>
      </c>
      <c r="C361" s="13" t="s">
        <v>2061</v>
      </c>
      <c r="D361" s="9" t="s">
        <v>536</v>
      </c>
      <c r="E361" s="13" t="s">
        <v>3323</v>
      </c>
    </row>
    <row r="362" spans="1:5" ht="43.2" x14ac:dyDescent="0.3">
      <c r="A362" s="13" t="s">
        <v>2162</v>
      </c>
      <c r="B362" t="s">
        <v>2162</v>
      </c>
      <c r="C362" s="13" t="s">
        <v>2162</v>
      </c>
      <c r="D362" s="9" t="s">
        <v>536</v>
      </c>
      <c r="E362" s="13" t="s">
        <v>3323</v>
      </c>
    </row>
    <row r="363" spans="1:5" ht="43.2" x14ac:dyDescent="0.3">
      <c r="A363" s="13" t="s">
        <v>2471</v>
      </c>
      <c r="B363" t="s">
        <v>2471</v>
      </c>
      <c r="C363" s="13" t="s">
        <v>2471</v>
      </c>
      <c r="D363" s="9" t="s">
        <v>536</v>
      </c>
      <c r="E363" s="13" t="s">
        <v>3323</v>
      </c>
    </row>
    <row r="364" spans="1:5" ht="43.2" x14ac:dyDescent="0.3">
      <c r="A364" s="13" t="s">
        <v>2472</v>
      </c>
      <c r="B364" t="s">
        <v>2472</v>
      </c>
      <c r="C364" s="13" t="s">
        <v>2472</v>
      </c>
      <c r="D364" s="9" t="s">
        <v>536</v>
      </c>
      <c r="E364" s="13" t="s">
        <v>3323</v>
      </c>
    </row>
    <row r="365" spans="1:5" ht="43.2" x14ac:dyDescent="0.3">
      <c r="A365" s="13" t="s">
        <v>2060</v>
      </c>
      <c r="B365" t="s">
        <v>2060</v>
      </c>
      <c r="C365" s="13" t="s">
        <v>2060</v>
      </c>
      <c r="D365" s="9" t="s">
        <v>536</v>
      </c>
      <c r="E365" s="13" t="s">
        <v>3323</v>
      </c>
    </row>
    <row r="366" spans="1:5" ht="43.2" x14ac:dyDescent="0.3">
      <c r="A366" s="13" t="s">
        <v>2059</v>
      </c>
      <c r="B366" t="s">
        <v>2059</v>
      </c>
      <c r="C366" s="13" t="s">
        <v>2059</v>
      </c>
      <c r="D366" s="9" t="s">
        <v>536</v>
      </c>
      <c r="E366" s="13" t="s">
        <v>3323</v>
      </c>
    </row>
    <row r="367" spans="1:5" ht="43.2" x14ac:dyDescent="0.3">
      <c r="A367" s="13" t="s">
        <v>2058</v>
      </c>
      <c r="B367" t="s">
        <v>2058</v>
      </c>
      <c r="C367" s="13" t="s">
        <v>2058</v>
      </c>
      <c r="D367" s="9" t="s">
        <v>536</v>
      </c>
      <c r="E367" s="13" t="s">
        <v>3323</v>
      </c>
    </row>
    <row r="368" spans="1:5" ht="43.2" x14ac:dyDescent="0.3">
      <c r="A368" s="13" t="s">
        <v>2057</v>
      </c>
      <c r="B368" t="s">
        <v>2057</v>
      </c>
      <c r="C368" s="13" t="s">
        <v>2057</v>
      </c>
      <c r="D368" s="9" t="s">
        <v>536</v>
      </c>
      <c r="E368" s="13" t="s">
        <v>3323</v>
      </c>
    </row>
    <row r="369" spans="1:5" ht="43.2" x14ac:dyDescent="0.3">
      <c r="A369" s="13" t="s">
        <v>2056</v>
      </c>
      <c r="B369" t="s">
        <v>2056</v>
      </c>
      <c r="C369" s="13" t="s">
        <v>2056</v>
      </c>
      <c r="D369" s="9" t="s">
        <v>536</v>
      </c>
      <c r="E369" s="13" t="s">
        <v>3323</v>
      </c>
    </row>
    <row r="370" spans="1:5" ht="43.2" x14ac:dyDescent="0.3">
      <c r="A370" s="13" t="s">
        <v>2473</v>
      </c>
      <c r="B370" t="s">
        <v>2473</v>
      </c>
      <c r="C370" s="13" t="s">
        <v>2473</v>
      </c>
      <c r="D370" s="9" t="s">
        <v>536</v>
      </c>
      <c r="E370" s="13" t="s">
        <v>3323</v>
      </c>
    </row>
    <row r="371" spans="1:5" ht="43.2" x14ac:dyDescent="0.3">
      <c r="A371" s="13" t="s">
        <v>2474</v>
      </c>
      <c r="B371" t="s">
        <v>2474</v>
      </c>
      <c r="C371" s="13" t="s">
        <v>2474</v>
      </c>
      <c r="D371" s="9" t="s">
        <v>536</v>
      </c>
      <c r="E371" s="13" t="s">
        <v>3323</v>
      </c>
    </row>
    <row r="372" spans="1:5" ht="43.2" x14ac:dyDescent="0.3">
      <c r="A372" s="13" t="s">
        <v>2475</v>
      </c>
      <c r="B372" t="s">
        <v>2475</v>
      </c>
      <c r="C372" s="13" t="s">
        <v>2475</v>
      </c>
      <c r="D372" s="9" t="s">
        <v>536</v>
      </c>
      <c r="E372" s="13" t="s">
        <v>3323</v>
      </c>
    </row>
    <row r="373" spans="1:5" ht="43.2" x14ac:dyDescent="0.3">
      <c r="A373" s="13" t="s">
        <v>2055</v>
      </c>
      <c r="B373" t="s">
        <v>2055</v>
      </c>
      <c r="C373" s="13" t="s">
        <v>2055</v>
      </c>
      <c r="D373" s="9" t="s">
        <v>536</v>
      </c>
      <c r="E373" s="13" t="s">
        <v>3323</v>
      </c>
    </row>
    <row r="374" spans="1:5" ht="43.2" x14ac:dyDescent="0.3">
      <c r="A374" s="13" t="s">
        <v>2054</v>
      </c>
      <c r="B374" t="s">
        <v>2054</v>
      </c>
      <c r="C374" s="13" t="s">
        <v>2054</v>
      </c>
      <c r="D374" s="9" t="s">
        <v>536</v>
      </c>
      <c r="E374" s="13" t="s">
        <v>3323</v>
      </c>
    </row>
    <row r="375" spans="1:5" ht="43.2" x14ac:dyDescent="0.3">
      <c r="A375" s="13" t="s">
        <v>2053</v>
      </c>
      <c r="B375" t="s">
        <v>2053</v>
      </c>
      <c r="C375" s="13" t="s">
        <v>2053</v>
      </c>
      <c r="D375" s="9" t="s">
        <v>536</v>
      </c>
      <c r="E375" s="13" t="s">
        <v>3323</v>
      </c>
    </row>
    <row r="376" spans="1:5" ht="43.2" x14ac:dyDescent="0.3">
      <c r="A376" s="13" t="s">
        <v>2052</v>
      </c>
      <c r="B376" t="s">
        <v>2052</v>
      </c>
      <c r="C376" s="13" t="s">
        <v>2052</v>
      </c>
      <c r="D376" s="9" t="s">
        <v>536</v>
      </c>
      <c r="E376" s="13" t="s">
        <v>3323</v>
      </c>
    </row>
    <row r="377" spans="1:5" ht="43.2" x14ac:dyDescent="0.3">
      <c r="A377" s="13" t="s">
        <v>2476</v>
      </c>
      <c r="B377" t="s">
        <v>2476</v>
      </c>
      <c r="C377" s="13" t="s">
        <v>2476</v>
      </c>
      <c r="D377" s="9" t="s">
        <v>536</v>
      </c>
      <c r="E377" s="13" t="s">
        <v>3323</v>
      </c>
    </row>
    <row r="378" spans="1:5" ht="43.2" x14ac:dyDescent="0.3">
      <c r="A378" s="13" t="s">
        <v>2477</v>
      </c>
      <c r="B378" t="s">
        <v>2477</v>
      </c>
      <c r="C378" s="13" t="s">
        <v>2477</v>
      </c>
      <c r="D378" s="9" t="s">
        <v>536</v>
      </c>
      <c r="E378" s="13" t="s">
        <v>3323</v>
      </c>
    </row>
    <row r="379" spans="1:5" ht="43.2" x14ac:dyDescent="0.3">
      <c r="A379" s="13" t="s">
        <v>2478</v>
      </c>
      <c r="B379" t="s">
        <v>2478</v>
      </c>
      <c r="C379" s="13" t="s">
        <v>2478</v>
      </c>
      <c r="D379" s="9" t="s">
        <v>536</v>
      </c>
      <c r="E379" s="13" t="s">
        <v>3323</v>
      </c>
    </row>
    <row r="380" spans="1:5" ht="43.2" x14ac:dyDescent="0.3">
      <c r="A380" s="13" t="s">
        <v>2479</v>
      </c>
      <c r="B380" t="s">
        <v>2479</v>
      </c>
      <c r="C380" s="13" t="s">
        <v>2479</v>
      </c>
      <c r="D380" s="9" t="s">
        <v>536</v>
      </c>
      <c r="E380" s="13" t="s">
        <v>3323</v>
      </c>
    </row>
    <row r="381" spans="1:5" ht="43.2" x14ac:dyDescent="0.3">
      <c r="A381" s="13" t="s">
        <v>2051</v>
      </c>
      <c r="B381" t="s">
        <v>2051</v>
      </c>
      <c r="C381" s="13" t="s">
        <v>2051</v>
      </c>
      <c r="D381" s="9" t="s">
        <v>536</v>
      </c>
      <c r="E381" s="13" t="s">
        <v>3323</v>
      </c>
    </row>
    <row r="382" spans="1:5" ht="43.2" x14ac:dyDescent="0.3">
      <c r="A382" s="13" t="s">
        <v>2480</v>
      </c>
      <c r="B382" t="s">
        <v>2480</v>
      </c>
      <c r="C382" s="13" t="s">
        <v>2480</v>
      </c>
      <c r="D382" s="9" t="s">
        <v>536</v>
      </c>
      <c r="E382" s="13" t="s">
        <v>3323</v>
      </c>
    </row>
    <row r="383" spans="1:5" ht="43.2" x14ac:dyDescent="0.3">
      <c r="A383" s="13" t="s">
        <v>2481</v>
      </c>
      <c r="B383" t="s">
        <v>2481</v>
      </c>
      <c r="C383" s="13" t="s">
        <v>2481</v>
      </c>
      <c r="D383" s="9" t="s">
        <v>536</v>
      </c>
      <c r="E383" s="13" t="s">
        <v>3323</v>
      </c>
    </row>
    <row r="384" spans="1:5" ht="43.2" x14ac:dyDescent="0.3">
      <c r="A384" s="13" t="s">
        <v>2482</v>
      </c>
      <c r="B384" t="s">
        <v>2482</v>
      </c>
      <c r="C384" s="13" t="s">
        <v>2482</v>
      </c>
      <c r="D384" s="9" t="s">
        <v>536</v>
      </c>
      <c r="E384" s="13" t="s">
        <v>3323</v>
      </c>
    </row>
    <row r="385" spans="1:5" ht="43.2" x14ac:dyDescent="0.3">
      <c r="A385" s="13" t="s">
        <v>2483</v>
      </c>
      <c r="B385" t="s">
        <v>2483</v>
      </c>
      <c r="C385" s="13" t="s">
        <v>2483</v>
      </c>
      <c r="D385" s="9" t="s">
        <v>536</v>
      </c>
      <c r="E385" s="13" t="s">
        <v>3323</v>
      </c>
    </row>
    <row r="386" spans="1:5" ht="43.2" x14ac:dyDescent="0.3">
      <c r="A386" s="13" t="s">
        <v>2484</v>
      </c>
      <c r="B386" t="s">
        <v>2484</v>
      </c>
      <c r="C386" s="13" t="s">
        <v>2484</v>
      </c>
      <c r="D386" s="9" t="s">
        <v>536</v>
      </c>
      <c r="E386" s="13" t="s">
        <v>3323</v>
      </c>
    </row>
    <row r="387" spans="1:5" ht="43.2" x14ac:dyDescent="0.3">
      <c r="A387" s="13" t="s">
        <v>2485</v>
      </c>
      <c r="B387" t="s">
        <v>2485</v>
      </c>
      <c r="C387" s="13" t="s">
        <v>2485</v>
      </c>
      <c r="D387" s="9" t="s">
        <v>536</v>
      </c>
      <c r="E387" s="13" t="s">
        <v>3323</v>
      </c>
    </row>
    <row r="388" spans="1:5" ht="43.2" x14ac:dyDescent="0.3">
      <c r="A388" s="13" t="s">
        <v>2163</v>
      </c>
      <c r="B388" t="s">
        <v>2163</v>
      </c>
      <c r="C388" s="13" t="s">
        <v>2163</v>
      </c>
      <c r="D388" s="9" t="s">
        <v>536</v>
      </c>
      <c r="E388" s="13" t="s">
        <v>3323</v>
      </c>
    </row>
    <row r="389" spans="1:5" ht="43.2" x14ac:dyDescent="0.3">
      <c r="A389" s="13" t="s">
        <v>2138</v>
      </c>
      <c r="B389" t="s">
        <v>2138</v>
      </c>
      <c r="C389" s="13" t="s">
        <v>2138</v>
      </c>
      <c r="D389" s="9" t="s">
        <v>536</v>
      </c>
      <c r="E389" s="13" t="s">
        <v>3323</v>
      </c>
    </row>
    <row r="390" spans="1:5" ht="43.2" x14ac:dyDescent="0.3">
      <c r="A390" s="13" t="s">
        <v>2486</v>
      </c>
      <c r="B390" t="s">
        <v>2486</v>
      </c>
      <c r="C390" s="13" t="s">
        <v>2486</v>
      </c>
      <c r="D390" s="9" t="s">
        <v>536</v>
      </c>
      <c r="E390" s="13" t="s">
        <v>3323</v>
      </c>
    </row>
    <row r="391" spans="1:5" ht="43.2" x14ac:dyDescent="0.3">
      <c r="A391" s="13" t="s">
        <v>2487</v>
      </c>
      <c r="B391" t="s">
        <v>2487</v>
      </c>
      <c r="C391" s="13" t="s">
        <v>2487</v>
      </c>
      <c r="D391" s="9" t="s">
        <v>536</v>
      </c>
      <c r="E391" s="13" t="s">
        <v>3323</v>
      </c>
    </row>
    <row r="392" spans="1:5" ht="43.2" x14ac:dyDescent="0.3">
      <c r="A392" s="13" t="s">
        <v>2488</v>
      </c>
      <c r="B392" t="s">
        <v>2488</v>
      </c>
      <c r="C392" s="13" t="s">
        <v>2488</v>
      </c>
      <c r="D392" s="9" t="s">
        <v>536</v>
      </c>
      <c r="E392" s="13" t="s">
        <v>3323</v>
      </c>
    </row>
    <row r="393" spans="1:5" ht="43.2" x14ac:dyDescent="0.3">
      <c r="A393" s="13" t="s">
        <v>2489</v>
      </c>
      <c r="B393" t="s">
        <v>2489</v>
      </c>
      <c r="C393" s="13" t="s">
        <v>2489</v>
      </c>
      <c r="D393" s="9" t="s">
        <v>536</v>
      </c>
      <c r="E393" s="13" t="s">
        <v>3323</v>
      </c>
    </row>
    <row r="394" spans="1:5" ht="43.2" x14ac:dyDescent="0.3">
      <c r="A394" s="13" t="s">
        <v>2157</v>
      </c>
      <c r="B394" t="s">
        <v>2157</v>
      </c>
      <c r="C394" s="13" t="s">
        <v>2157</v>
      </c>
      <c r="D394" s="9" t="s">
        <v>536</v>
      </c>
      <c r="E394" s="13" t="s">
        <v>3323</v>
      </c>
    </row>
    <row r="395" spans="1:5" ht="43.2" x14ac:dyDescent="0.3">
      <c r="A395" s="13" t="s">
        <v>2164</v>
      </c>
      <c r="B395" t="s">
        <v>2164</v>
      </c>
      <c r="C395" s="13" t="s">
        <v>2164</v>
      </c>
      <c r="D395" s="9" t="s">
        <v>536</v>
      </c>
      <c r="E395" s="13" t="s">
        <v>3323</v>
      </c>
    </row>
    <row r="396" spans="1:5" ht="43.2" x14ac:dyDescent="0.3">
      <c r="A396" s="13" t="s">
        <v>2490</v>
      </c>
      <c r="B396" t="s">
        <v>2490</v>
      </c>
      <c r="C396" s="13" t="s">
        <v>2490</v>
      </c>
      <c r="D396" s="9" t="s">
        <v>536</v>
      </c>
      <c r="E396" s="13" t="s">
        <v>3323</v>
      </c>
    </row>
    <row r="397" spans="1:5" ht="43.2" x14ac:dyDescent="0.3">
      <c r="A397" s="13" t="s">
        <v>2050</v>
      </c>
      <c r="B397" t="s">
        <v>2050</v>
      </c>
      <c r="C397" s="13" t="s">
        <v>2050</v>
      </c>
      <c r="D397" s="9" t="s">
        <v>536</v>
      </c>
      <c r="E397" s="13" t="s">
        <v>3323</v>
      </c>
    </row>
    <row r="398" spans="1:5" ht="43.2" x14ac:dyDescent="0.3">
      <c r="A398" s="13" t="s">
        <v>2491</v>
      </c>
      <c r="B398" t="s">
        <v>2491</v>
      </c>
      <c r="C398" s="13" t="s">
        <v>2491</v>
      </c>
      <c r="D398" s="9" t="s">
        <v>536</v>
      </c>
      <c r="E398" s="13" t="s">
        <v>3323</v>
      </c>
    </row>
    <row r="399" spans="1:5" ht="43.2" x14ac:dyDescent="0.3">
      <c r="A399" s="13" t="s">
        <v>2492</v>
      </c>
      <c r="B399" t="s">
        <v>2492</v>
      </c>
      <c r="C399" s="13" t="s">
        <v>2492</v>
      </c>
      <c r="D399" s="9" t="s">
        <v>536</v>
      </c>
      <c r="E399" s="13" t="s">
        <v>3323</v>
      </c>
    </row>
    <row r="400" spans="1:5" ht="43.2" x14ac:dyDescent="0.3">
      <c r="A400" s="13" t="s">
        <v>2493</v>
      </c>
      <c r="B400" t="s">
        <v>2493</v>
      </c>
      <c r="C400" s="13" t="s">
        <v>2493</v>
      </c>
      <c r="D400" s="9" t="s">
        <v>536</v>
      </c>
      <c r="E400" s="13" t="s">
        <v>3323</v>
      </c>
    </row>
    <row r="401" spans="1:5" ht="43.2" x14ac:dyDescent="0.3">
      <c r="A401" s="13" t="s">
        <v>2494</v>
      </c>
      <c r="B401" t="s">
        <v>2494</v>
      </c>
      <c r="C401" s="13" t="s">
        <v>2494</v>
      </c>
      <c r="D401" s="9" t="s">
        <v>536</v>
      </c>
      <c r="E401" s="13" t="s">
        <v>3323</v>
      </c>
    </row>
    <row r="402" spans="1:5" ht="43.2" x14ac:dyDescent="0.3">
      <c r="A402" s="13" t="s">
        <v>2495</v>
      </c>
      <c r="B402" t="s">
        <v>2495</v>
      </c>
      <c r="C402" s="13" t="s">
        <v>2495</v>
      </c>
      <c r="D402" s="9" t="s">
        <v>536</v>
      </c>
      <c r="E402" s="13" t="s">
        <v>3323</v>
      </c>
    </row>
    <row r="403" spans="1:5" ht="43.2" x14ac:dyDescent="0.3">
      <c r="A403" s="13" t="s">
        <v>2496</v>
      </c>
      <c r="B403" t="s">
        <v>2496</v>
      </c>
      <c r="C403" s="13" t="s">
        <v>2496</v>
      </c>
      <c r="D403" s="9" t="s">
        <v>536</v>
      </c>
      <c r="E403" s="13" t="s">
        <v>3323</v>
      </c>
    </row>
    <row r="404" spans="1:5" ht="43.2" x14ac:dyDescent="0.3">
      <c r="A404" s="13" t="s">
        <v>2497</v>
      </c>
      <c r="B404" t="s">
        <v>2497</v>
      </c>
      <c r="C404" s="13" t="s">
        <v>2497</v>
      </c>
      <c r="D404" s="9" t="s">
        <v>536</v>
      </c>
      <c r="E404" s="13" t="s">
        <v>3323</v>
      </c>
    </row>
    <row r="405" spans="1:5" ht="43.2" x14ac:dyDescent="0.3">
      <c r="A405" s="13" t="s">
        <v>2498</v>
      </c>
      <c r="B405" t="s">
        <v>2498</v>
      </c>
      <c r="C405" s="13" t="s">
        <v>2498</v>
      </c>
      <c r="D405" s="9" t="s">
        <v>536</v>
      </c>
      <c r="E405" s="13" t="s">
        <v>3323</v>
      </c>
    </row>
    <row r="406" spans="1:5" ht="43.2" x14ac:dyDescent="0.3">
      <c r="A406" s="13" t="s">
        <v>2499</v>
      </c>
      <c r="B406" t="s">
        <v>2499</v>
      </c>
      <c r="C406" s="13" t="s">
        <v>2499</v>
      </c>
      <c r="D406" s="9" t="s">
        <v>536</v>
      </c>
      <c r="E406" s="13" t="s">
        <v>3323</v>
      </c>
    </row>
    <row r="407" spans="1:5" ht="43.2" x14ac:dyDescent="0.3">
      <c r="A407" s="13" t="s">
        <v>2500</v>
      </c>
      <c r="B407" t="s">
        <v>2500</v>
      </c>
      <c r="C407" s="13" t="s">
        <v>2500</v>
      </c>
      <c r="D407" s="9" t="s">
        <v>536</v>
      </c>
      <c r="E407" s="13" t="s">
        <v>3323</v>
      </c>
    </row>
    <row r="408" spans="1:5" ht="43.2" x14ac:dyDescent="0.3">
      <c r="A408" s="13" t="s">
        <v>2501</v>
      </c>
      <c r="B408" t="s">
        <v>2501</v>
      </c>
      <c r="C408" s="13" t="s">
        <v>2501</v>
      </c>
      <c r="D408" s="9" t="s">
        <v>536</v>
      </c>
      <c r="E408" s="13" t="s">
        <v>3323</v>
      </c>
    </row>
    <row r="409" spans="1:5" ht="43.2" x14ac:dyDescent="0.3">
      <c r="A409" s="13" t="s">
        <v>2502</v>
      </c>
      <c r="B409" t="s">
        <v>2502</v>
      </c>
      <c r="C409" s="13" t="s">
        <v>2502</v>
      </c>
      <c r="D409" s="9" t="s">
        <v>536</v>
      </c>
      <c r="E409" s="13" t="s">
        <v>3323</v>
      </c>
    </row>
    <row r="410" spans="1:5" ht="43.2" x14ac:dyDescent="0.3">
      <c r="A410" s="13" t="s">
        <v>2503</v>
      </c>
      <c r="B410" t="s">
        <v>2503</v>
      </c>
      <c r="C410" s="13" t="s">
        <v>2503</v>
      </c>
      <c r="D410" s="9" t="s">
        <v>536</v>
      </c>
      <c r="E410" s="13" t="s">
        <v>3323</v>
      </c>
    </row>
    <row r="411" spans="1:5" ht="43.2" x14ac:dyDescent="0.3">
      <c r="A411" s="13" t="s">
        <v>2049</v>
      </c>
      <c r="B411" t="s">
        <v>2049</v>
      </c>
      <c r="C411" s="13" t="s">
        <v>2049</v>
      </c>
      <c r="D411" s="9" t="s">
        <v>536</v>
      </c>
      <c r="E411" s="13" t="s">
        <v>3323</v>
      </c>
    </row>
    <row r="412" spans="1:5" ht="43.2" x14ac:dyDescent="0.3">
      <c r="A412" s="13" t="s">
        <v>2504</v>
      </c>
      <c r="B412" t="s">
        <v>2504</v>
      </c>
      <c r="C412" s="13" t="s">
        <v>2504</v>
      </c>
      <c r="D412" s="9" t="s">
        <v>536</v>
      </c>
      <c r="E412" s="13" t="s">
        <v>3323</v>
      </c>
    </row>
    <row r="413" spans="1:5" ht="43.2" x14ac:dyDescent="0.3">
      <c r="A413" s="13" t="s">
        <v>2505</v>
      </c>
      <c r="B413" t="s">
        <v>2505</v>
      </c>
      <c r="C413" s="13" t="s">
        <v>2505</v>
      </c>
      <c r="D413" s="9" t="s">
        <v>536</v>
      </c>
      <c r="E413" s="13" t="s">
        <v>3323</v>
      </c>
    </row>
    <row r="414" spans="1:5" ht="43.2" x14ac:dyDescent="0.3">
      <c r="A414" s="13" t="s">
        <v>2109</v>
      </c>
      <c r="B414" t="s">
        <v>2109</v>
      </c>
      <c r="C414" s="13" t="s">
        <v>2109</v>
      </c>
      <c r="D414" s="9" t="s">
        <v>536</v>
      </c>
      <c r="E414" s="13" t="s">
        <v>3323</v>
      </c>
    </row>
    <row r="415" spans="1:5" ht="43.2" x14ac:dyDescent="0.3">
      <c r="A415" s="13" t="s">
        <v>2048</v>
      </c>
      <c r="B415" t="s">
        <v>2048</v>
      </c>
      <c r="C415" s="13" t="s">
        <v>2048</v>
      </c>
      <c r="D415" s="9" t="s">
        <v>536</v>
      </c>
      <c r="E415" s="13" t="s">
        <v>3323</v>
      </c>
    </row>
    <row r="416" spans="1:5" ht="43.2" x14ac:dyDescent="0.3">
      <c r="A416" s="13" t="s">
        <v>2047</v>
      </c>
      <c r="B416" t="s">
        <v>2047</v>
      </c>
      <c r="C416" s="13" t="s">
        <v>2047</v>
      </c>
      <c r="D416" s="9" t="s">
        <v>536</v>
      </c>
      <c r="E416" s="13" t="s">
        <v>3323</v>
      </c>
    </row>
    <row r="417" spans="1:5" ht="43.2" x14ac:dyDescent="0.3">
      <c r="A417" s="13" t="s">
        <v>2046</v>
      </c>
      <c r="B417" t="s">
        <v>2046</v>
      </c>
      <c r="C417" s="13" t="s">
        <v>2046</v>
      </c>
      <c r="D417" s="9" t="s">
        <v>536</v>
      </c>
      <c r="E417" s="13" t="s">
        <v>3323</v>
      </c>
    </row>
    <row r="418" spans="1:5" ht="43.2" x14ac:dyDescent="0.3">
      <c r="A418" s="13" t="s">
        <v>2506</v>
      </c>
      <c r="B418" t="s">
        <v>2506</v>
      </c>
      <c r="C418" s="13" t="s">
        <v>2506</v>
      </c>
      <c r="D418" s="9" t="s">
        <v>536</v>
      </c>
      <c r="E418" s="13" t="s">
        <v>3323</v>
      </c>
    </row>
    <row r="419" spans="1:5" ht="43.2" x14ac:dyDescent="0.3">
      <c r="A419" s="13" t="s">
        <v>2507</v>
      </c>
      <c r="B419" t="s">
        <v>2507</v>
      </c>
      <c r="C419" s="13" t="s">
        <v>2507</v>
      </c>
      <c r="D419" s="9" t="s">
        <v>536</v>
      </c>
      <c r="E419" s="13" t="s">
        <v>3323</v>
      </c>
    </row>
    <row r="420" spans="1:5" ht="43.2" x14ac:dyDescent="0.3">
      <c r="A420" s="13" t="s">
        <v>2508</v>
      </c>
      <c r="B420" t="s">
        <v>2508</v>
      </c>
      <c r="C420" s="13" t="s">
        <v>2508</v>
      </c>
      <c r="D420" s="9" t="s">
        <v>536</v>
      </c>
      <c r="E420" s="13" t="s">
        <v>3323</v>
      </c>
    </row>
    <row r="421" spans="1:5" ht="43.2" x14ac:dyDescent="0.3">
      <c r="A421" s="13" t="s">
        <v>2509</v>
      </c>
      <c r="B421" t="s">
        <v>2509</v>
      </c>
      <c r="C421" s="13" t="s">
        <v>2509</v>
      </c>
      <c r="D421" s="9" t="s">
        <v>536</v>
      </c>
      <c r="E421" s="13" t="s">
        <v>3323</v>
      </c>
    </row>
    <row r="422" spans="1:5" ht="43.2" x14ac:dyDescent="0.3">
      <c r="A422" s="13" t="s">
        <v>2510</v>
      </c>
      <c r="B422" t="s">
        <v>2510</v>
      </c>
      <c r="C422" s="13" t="s">
        <v>2510</v>
      </c>
      <c r="D422" s="9" t="s">
        <v>536</v>
      </c>
      <c r="E422" s="13" t="s">
        <v>3323</v>
      </c>
    </row>
    <row r="423" spans="1:5" ht="43.2" x14ac:dyDescent="0.3">
      <c r="A423" s="13" t="s">
        <v>2511</v>
      </c>
      <c r="B423" t="s">
        <v>2511</v>
      </c>
      <c r="C423" s="13" t="s">
        <v>2511</v>
      </c>
      <c r="D423" s="9" t="s">
        <v>536</v>
      </c>
      <c r="E423" s="13" t="s">
        <v>3323</v>
      </c>
    </row>
    <row r="424" spans="1:5" ht="43.2" x14ac:dyDescent="0.3">
      <c r="A424" s="13" t="s">
        <v>2512</v>
      </c>
      <c r="B424" t="s">
        <v>2512</v>
      </c>
      <c r="C424" s="13" t="s">
        <v>2512</v>
      </c>
      <c r="D424" s="9" t="s">
        <v>536</v>
      </c>
      <c r="E424" s="13" t="s">
        <v>3323</v>
      </c>
    </row>
    <row r="425" spans="1:5" ht="43.2" x14ac:dyDescent="0.3">
      <c r="A425" s="13" t="s">
        <v>2045</v>
      </c>
      <c r="B425" t="s">
        <v>2045</v>
      </c>
      <c r="C425" s="13" t="s">
        <v>2045</v>
      </c>
      <c r="D425" s="9" t="s">
        <v>536</v>
      </c>
      <c r="E425" s="13" t="s">
        <v>3323</v>
      </c>
    </row>
    <row r="426" spans="1:5" ht="43.2" x14ac:dyDescent="0.3">
      <c r="A426" s="13" t="s">
        <v>2513</v>
      </c>
      <c r="B426" t="s">
        <v>2513</v>
      </c>
      <c r="C426" s="13" t="s">
        <v>2513</v>
      </c>
      <c r="D426" s="9" t="s">
        <v>536</v>
      </c>
      <c r="E426" s="13" t="s">
        <v>3323</v>
      </c>
    </row>
    <row r="427" spans="1:5" ht="43.2" x14ac:dyDescent="0.3">
      <c r="A427" s="13" t="s">
        <v>2514</v>
      </c>
      <c r="B427" t="s">
        <v>2514</v>
      </c>
      <c r="C427" s="13" t="s">
        <v>2514</v>
      </c>
      <c r="D427" s="9" t="s">
        <v>536</v>
      </c>
      <c r="E427" s="13" t="s">
        <v>3323</v>
      </c>
    </row>
    <row r="428" spans="1:5" ht="43.2" x14ac:dyDescent="0.3">
      <c r="A428" s="13" t="s">
        <v>2515</v>
      </c>
      <c r="B428" t="s">
        <v>2515</v>
      </c>
      <c r="C428" s="13" t="s">
        <v>2515</v>
      </c>
      <c r="D428" s="9" t="s">
        <v>536</v>
      </c>
      <c r="E428" s="13" t="s">
        <v>3323</v>
      </c>
    </row>
    <row r="429" spans="1:5" ht="43.2" x14ac:dyDescent="0.3">
      <c r="A429" s="13" t="s">
        <v>2516</v>
      </c>
      <c r="B429" t="s">
        <v>2516</v>
      </c>
      <c r="C429" s="13" t="s">
        <v>2516</v>
      </c>
      <c r="D429" s="9" t="s">
        <v>536</v>
      </c>
      <c r="E429" s="13" t="s">
        <v>3323</v>
      </c>
    </row>
    <row r="430" spans="1:5" ht="43.2" x14ac:dyDescent="0.3">
      <c r="A430" s="13" t="s">
        <v>2517</v>
      </c>
      <c r="B430" t="s">
        <v>2517</v>
      </c>
      <c r="C430" s="13" t="s">
        <v>2517</v>
      </c>
      <c r="D430" s="9" t="s">
        <v>536</v>
      </c>
      <c r="E430" s="13" t="s">
        <v>3323</v>
      </c>
    </row>
    <row r="431" spans="1:5" ht="43.2" x14ac:dyDescent="0.3">
      <c r="A431" s="13" t="s">
        <v>2518</v>
      </c>
      <c r="B431" t="s">
        <v>2518</v>
      </c>
      <c r="C431" s="13" t="s">
        <v>2518</v>
      </c>
      <c r="D431" s="9" t="s">
        <v>536</v>
      </c>
      <c r="E431" s="13" t="s">
        <v>3323</v>
      </c>
    </row>
    <row r="432" spans="1:5" ht="43.2" x14ac:dyDescent="0.3">
      <c r="A432" s="13" t="s">
        <v>2519</v>
      </c>
      <c r="B432" t="s">
        <v>2519</v>
      </c>
      <c r="C432" s="13" t="s">
        <v>2519</v>
      </c>
      <c r="D432" s="9" t="s">
        <v>536</v>
      </c>
      <c r="E432" s="13" t="s">
        <v>3323</v>
      </c>
    </row>
    <row r="433" spans="1:5" ht="43.2" x14ac:dyDescent="0.3">
      <c r="A433" s="13" t="s">
        <v>2520</v>
      </c>
      <c r="B433" t="s">
        <v>2520</v>
      </c>
      <c r="C433" s="13" t="s">
        <v>2520</v>
      </c>
      <c r="D433" s="9" t="s">
        <v>536</v>
      </c>
      <c r="E433" s="13" t="s">
        <v>3323</v>
      </c>
    </row>
    <row r="434" spans="1:5" ht="43.2" x14ac:dyDescent="0.3">
      <c r="A434" s="13" t="s">
        <v>2521</v>
      </c>
      <c r="B434" t="s">
        <v>2521</v>
      </c>
      <c r="C434" s="13" t="s">
        <v>2521</v>
      </c>
      <c r="D434" s="9" t="s">
        <v>536</v>
      </c>
      <c r="E434" s="13" t="s">
        <v>3323</v>
      </c>
    </row>
    <row r="435" spans="1:5" ht="43.2" x14ac:dyDescent="0.3">
      <c r="A435" s="13" t="s">
        <v>2522</v>
      </c>
      <c r="B435" t="s">
        <v>2522</v>
      </c>
      <c r="C435" s="13" t="s">
        <v>2522</v>
      </c>
      <c r="D435" s="9" t="s">
        <v>536</v>
      </c>
      <c r="E435" s="13" t="s">
        <v>3323</v>
      </c>
    </row>
    <row r="436" spans="1:5" ht="43.2" x14ac:dyDescent="0.3">
      <c r="A436" s="13" t="s">
        <v>2523</v>
      </c>
      <c r="B436" t="s">
        <v>2523</v>
      </c>
      <c r="C436" s="13" t="s">
        <v>2523</v>
      </c>
      <c r="D436" s="9" t="s">
        <v>536</v>
      </c>
      <c r="E436" s="13" t="s">
        <v>3323</v>
      </c>
    </row>
    <row r="437" spans="1:5" ht="43.2" x14ac:dyDescent="0.3">
      <c r="A437" s="13" t="s">
        <v>2524</v>
      </c>
      <c r="B437" t="s">
        <v>2524</v>
      </c>
      <c r="C437" s="13" t="s">
        <v>2524</v>
      </c>
      <c r="D437" s="9" t="s">
        <v>536</v>
      </c>
      <c r="E437" s="13" t="s">
        <v>3323</v>
      </c>
    </row>
    <row r="438" spans="1:5" ht="43.2" x14ac:dyDescent="0.3">
      <c r="A438" s="13" t="s">
        <v>2525</v>
      </c>
      <c r="B438" t="s">
        <v>2525</v>
      </c>
      <c r="C438" s="13" t="s">
        <v>2525</v>
      </c>
      <c r="D438" s="9" t="s">
        <v>536</v>
      </c>
      <c r="E438" s="13" t="s">
        <v>3323</v>
      </c>
    </row>
    <row r="439" spans="1:5" ht="43.2" x14ac:dyDescent="0.3">
      <c r="A439" s="13" t="s">
        <v>2526</v>
      </c>
      <c r="B439" t="s">
        <v>2526</v>
      </c>
      <c r="C439" s="13" t="s">
        <v>2526</v>
      </c>
      <c r="D439" s="9" t="s">
        <v>536</v>
      </c>
      <c r="E439" s="13" t="s">
        <v>3323</v>
      </c>
    </row>
    <row r="440" spans="1:5" ht="43.2" x14ac:dyDescent="0.3">
      <c r="A440" s="13" t="s">
        <v>2527</v>
      </c>
      <c r="B440" t="s">
        <v>2527</v>
      </c>
      <c r="C440" s="13" t="s">
        <v>2527</v>
      </c>
      <c r="D440" s="9" t="s">
        <v>536</v>
      </c>
      <c r="E440" s="13" t="s">
        <v>3323</v>
      </c>
    </row>
    <row r="441" spans="1:5" ht="43.2" x14ac:dyDescent="0.3">
      <c r="A441" s="13" t="s">
        <v>2528</v>
      </c>
      <c r="B441" t="s">
        <v>2528</v>
      </c>
      <c r="C441" s="13" t="s">
        <v>2528</v>
      </c>
      <c r="D441" s="9" t="s">
        <v>536</v>
      </c>
      <c r="E441" s="13" t="s">
        <v>3323</v>
      </c>
    </row>
    <row r="442" spans="1:5" ht="43.2" x14ac:dyDescent="0.3">
      <c r="A442" s="13" t="s">
        <v>2529</v>
      </c>
      <c r="B442" t="s">
        <v>2529</v>
      </c>
      <c r="C442" s="13" t="s">
        <v>2529</v>
      </c>
      <c r="D442" s="9" t="s">
        <v>536</v>
      </c>
      <c r="E442" s="13" t="s">
        <v>3323</v>
      </c>
    </row>
    <row r="443" spans="1:5" ht="43.2" x14ac:dyDescent="0.3">
      <c r="A443" s="13" t="s">
        <v>2530</v>
      </c>
      <c r="B443" t="s">
        <v>2530</v>
      </c>
      <c r="C443" s="13" t="s">
        <v>2530</v>
      </c>
      <c r="D443" s="9" t="s">
        <v>536</v>
      </c>
      <c r="E443" s="13" t="s">
        <v>3323</v>
      </c>
    </row>
    <row r="444" spans="1:5" ht="43.2" x14ac:dyDescent="0.3">
      <c r="A444" s="13" t="s">
        <v>2531</v>
      </c>
      <c r="B444" t="s">
        <v>2531</v>
      </c>
      <c r="C444" s="13" t="s">
        <v>2531</v>
      </c>
      <c r="D444" s="9" t="s">
        <v>536</v>
      </c>
      <c r="E444" s="13" t="s">
        <v>3323</v>
      </c>
    </row>
    <row r="445" spans="1:5" ht="43.2" x14ac:dyDescent="0.3">
      <c r="A445" s="13" t="s">
        <v>2532</v>
      </c>
      <c r="B445" t="s">
        <v>2532</v>
      </c>
      <c r="C445" s="13" t="s">
        <v>2532</v>
      </c>
      <c r="D445" s="9" t="s">
        <v>536</v>
      </c>
      <c r="E445" s="13" t="s">
        <v>3323</v>
      </c>
    </row>
    <row r="446" spans="1:5" ht="43.2" x14ac:dyDescent="0.3">
      <c r="A446" s="13" t="s">
        <v>2533</v>
      </c>
      <c r="B446" t="s">
        <v>2533</v>
      </c>
      <c r="C446" s="13" t="s">
        <v>2533</v>
      </c>
      <c r="D446" s="9" t="s">
        <v>536</v>
      </c>
      <c r="E446" s="13" t="s">
        <v>3323</v>
      </c>
    </row>
    <row r="447" spans="1:5" ht="43.2" x14ac:dyDescent="0.3">
      <c r="A447" s="13" t="s">
        <v>2534</v>
      </c>
      <c r="B447" t="s">
        <v>2534</v>
      </c>
      <c r="C447" s="13" t="s">
        <v>2534</v>
      </c>
      <c r="D447" s="9" t="s">
        <v>536</v>
      </c>
      <c r="E447" s="13" t="s">
        <v>3323</v>
      </c>
    </row>
    <row r="448" spans="1:5" ht="43.2" x14ac:dyDescent="0.3">
      <c r="A448" s="13" t="s">
        <v>2535</v>
      </c>
      <c r="B448" t="s">
        <v>2535</v>
      </c>
      <c r="C448" s="13" t="s">
        <v>2535</v>
      </c>
      <c r="D448" s="9" t="s">
        <v>536</v>
      </c>
      <c r="E448" s="13" t="s">
        <v>3323</v>
      </c>
    </row>
    <row r="449" spans="1:5" ht="43.2" x14ac:dyDescent="0.3">
      <c r="A449" s="13" t="s">
        <v>2536</v>
      </c>
      <c r="B449" t="s">
        <v>2536</v>
      </c>
      <c r="C449" s="13" t="s">
        <v>2536</v>
      </c>
      <c r="D449" s="9" t="s">
        <v>536</v>
      </c>
      <c r="E449" s="13" t="s">
        <v>3323</v>
      </c>
    </row>
    <row r="450" spans="1:5" ht="43.2" x14ac:dyDescent="0.3">
      <c r="A450" s="13" t="s">
        <v>2537</v>
      </c>
      <c r="B450" t="s">
        <v>2537</v>
      </c>
      <c r="C450" s="13" t="s">
        <v>2537</v>
      </c>
      <c r="D450" s="9" t="s">
        <v>536</v>
      </c>
      <c r="E450" s="13" t="s">
        <v>3323</v>
      </c>
    </row>
    <row r="451" spans="1:5" ht="43.2" x14ac:dyDescent="0.3">
      <c r="A451" s="13" t="s">
        <v>2538</v>
      </c>
      <c r="B451" t="s">
        <v>2538</v>
      </c>
      <c r="C451" s="13" t="s">
        <v>2538</v>
      </c>
      <c r="D451" s="9" t="s">
        <v>536</v>
      </c>
      <c r="E451" s="13" t="s">
        <v>3323</v>
      </c>
    </row>
    <row r="452" spans="1:5" ht="43.2" x14ac:dyDescent="0.3">
      <c r="A452" s="13" t="s">
        <v>2146</v>
      </c>
      <c r="B452" t="s">
        <v>2146</v>
      </c>
      <c r="C452" s="13" t="s">
        <v>2146</v>
      </c>
      <c r="D452" s="9" t="s">
        <v>536</v>
      </c>
      <c r="E452" s="13" t="s">
        <v>3323</v>
      </c>
    </row>
    <row r="453" spans="1:5" ht="43.2" x14ac:dyDescent="0.3">
      <c r="A453" s="13" t="s">
        <v>2145</v>
      </c>
      <c r="B453" t="s">
        <v>2145</v>
      </c>
      <c r="C453" s="13" t="s">
        <v>2145</v>
      </c>
      <c r="D453" s="9" t="s">
        <v>536</v>
      </c>
      <c r="E453" s="13" t="s">
        <v>3323</v>
      </c>
    </row>
    <row r="454" spans="1:5" ht="43.2" x14ac:dyDescent="0.3">
      <c r="A454" s="13" t="s">
        <v>2539</v>
      </c>
      <c r="B454" t="s">
        <v>2539</v>
      </c>
      <c r="C454" s="13" t="s">
        <v>2539</v>
      </c>
      <c r="D454" s="9" t="s">
        <v>536</v>
      </c>
      <c r="E454" s="13" t="s">
        <v>3323</v>
      </c>
    </row>
    <row r="455" spans="1:5" ht="43.2" x14ac:dyDescent="0.3">
      <c r="A455" s="13" t="s">
        <v>2540</v>
      </c>
      <c r="B455" t="s">
        <v>2540</v>
      </c>
      <c r="C455" s="13" t="s">
        <v>2540</v>
      </c>
      <c r="D455" s="9" t="s">
        <v>536</v>
      </c>
      <c r="E455" s="13" t="s">
        <v>3323</v>
      </c>
    </row>
    <row r="456" spans="1:5" ht="43.2" x14ac:dyDescent="0.3">
      <c r="A456" s="13" t="s">
        <v>2541</v>
      </c>
      <c r="B456" t="s">
        <v>2541</v>
      </c>
      <c r="C456" s="13" t="s">
        <v>2541</v>
      </c>
      <c r="D456" s="9" t="s">
        <v>536</v>
      </c>
      <c r="E456" s="13" t="s">
        <v>3323</v>
      </c>
    </row>
    <row r="457" spans="1:5" ht="43.2" x14ac:dyDescent="0.3">
      <c r="A457" s="13" t="s">
        <v>2542</v>
      </c>
      <c r="B457" t="s">
        <v>2542</v>
      </c>
      <c r="C457" s="13" t="s">
        <v>2542</v>
      </c>
      <c r="D457" s="9" t="s">
        <v>536</v>
      </c>
      <c r="E457" s="13" t="s">
        <v>3323</v>
      </c>
    </row>
    <row r="458" spans="1:5" ht="43.2" x14ac:dyDescent="0.3">
      <c r="A458" s="13" t="s">
        <v>2543</v>
      </c>
      <c r="B458" t="s">
        <v>2543</v>
      </c>
      <c r="C458" s="13" t="s">
        <v>2543</v>
      </c>
      <c r="D458" s="9" t="s">
        <v>536</v>
      </c>
      <c r="E458" s="13" t="s">
        <v>3323</v>
      </c>
    </row>
    <row r="459" spans="1:5" ht="43.2" x14ac:dyDescent="0.3">
      <c r="A459" s="13" t="s">
        <v>2544</v>
      </c>
      <c r="B459" t="s">
        <v>2544</v>
      </c>
      <c r="C459" s="13" t="s">
        <v>2544</v>
      </c>
      <c r="D459" s="9" t="s">
        <v>536</v>
      </c>
      <c r="E459" s="13" t="s">
        <v>3323</v>
      </c>
    </row>
    <row r="460" spans="1:5" ht="43.2" x14ac:dyDescent="0.3">
      <c r="A460" s="13" t="s">
        <v>2545</v>
      </c>
      <c r="B460" t="s">
        <v>2545</v>
      </c>
      <c r="C460" s="13" t="s">
        <v>2545</v>
      </c>
      <c r="D460" s="9" t="s">
        <v>536</v>
      </c>
      <c r="E460" s="13" t="s">
        <v>3323</v>
      </c>
    </row>
    <row r="461" spans="1:5" ht="28.8" x14ac:dyDescent="0.3">
      <c r="A461" s="13" t="s">
        <v>2546</v>
      </c>
      <c r="B461" t="s">
        <v>2546</v>
      </c>
      <c r="C461" s="13" t="s">
        <v>2546</v>
      </c>
      <c r="D461" s="9" t="s">
        <v>536</v>
      </c>
      <c r="E461" s="13" t="s">
        <v>3323</v>
      </c>
    </row>
    <row r="462" spans="1:5" ht="43.2" x14ac:dyDescent="0.3">
      <c r="A462" s="13" t="s">
        <v>2547</v>
      </c>
      <c r="B462" t="s">
        <v>2547</v>
      </c>
      <c r="C462" s="13" t="s">
        <v>2547</v>
      </c>
      <c r="D462" s="9" t="s">
        <v>536</v>
      </c>
      <c r="E462" s="13" t="s">
        <v>3323</v>
      </c>
    </row>
    <row r="463" spans="1:5" ht="43.2" x14ac:dyDescent="0.3">
      <c r="A463" s="13" t="s">
        <v>2548</v>
      </c>
      <c r="B463" t="s">
        <v>2548</v>
      </c>
      <c r="C463" s="13" t="s">
        <v>2548</v>
      </c>
      <c r="D463" s="9" t="s">
        <v>536</v>
      </c>
      <c r="E463" s="13" t="s">
        <v>3323</v>
      </c>
    </row>
    <row r="464" spans="1:5" ht="43.2" x14ac:dyDescent="0.3">
      <c r="A464" s="13" t="s">
        <v>2044</v>
      </c>
      <c r="B464" t="s">
        <v>2044</v>
      </c>
      <c r="C464" s="13" t="s">
        <v>2044</v>
      </c>
      <c r="D464" s="9" t="s">
        <v>536</v>
      </c>
      <c r="E464" s="13" t="s">
        <v>3323</v>
      </c>
    </row>
    <row r="465" spans="1:5" ht="43.2" x14ac:dyDescent="0.3">
      <c r="A465" s="13" t="s">
        <v>2549</v>
      </c>
      <c r="B465" t="s">
        <v>2549</v>
      </c>
      <c r="C465" s="13" t="s">
        <v>2549</v>
      </c>
      <c r="D465" s="9" t="s">
        <v>536</v>
      </c>
      <c r="E465" s="13" t="s">
        <v>3323</v>
      </c>
    </row>
    <row r="466" spans="1:5" ht="43.2" x14ac:dyDescent="0.3">
      <c r="A466" s="13" t="s">
        <v>2043</v>
      </c>
      <c r="B466" t="s">
        <v>2043</v>
      </c>
      <c r="C466" s="13" t="s">
        <v>2043</v>
      </c>
      <c r="D466" s="9" t="s">
        <v>536</v>
      </c>
      <c r="E466" s="13" t="s">
        <v>3323</v>
      </c>
    </row>
    <row r="467" spans="1:5" ht="43.2" x14ac:dyDescent="0.3">
      <c r="A467" s="13" t="s">
        <v>2140</v>
      </c>
      <c r="B467" t="s">
        <v>2140</v>
      </c>
      <c r="C467" s="13" t="s">
        <v>2140</v>
      </c>
      <c r="D467" s="9" t="s">
        <v>536</v>
      </c>
      <c r="E467" s="13" t="s">
        <v>3323</v>
      </c>
    </row>
    <row r="468" spans="1:5" ht="43.2" x14ac:dyDescent="0.3">
      <c r="A468" s="13" t="s">
        <v>2042</v>
      </c>
      <c r="B468" t="s">
        <v>2042</v>
      </c>
      <c r="C468" s="13" t="s">
        <v>2042</v>
      </c>
      <c r="D468" s="9" t="s">
        <v>536</v>
      </c>
      <c r="E468" s="13" t="s">
        <v>3323</v>
      </c>
    </row>
    <row r="469" spans="1:5" ht="43.2" x14ac:dyDescent="0.3">
      <c r="A469" s="13" t="s">
        <v>2550</v>
      </c>
      <c r="B469" t="s">
        <v>2550</v>
      </c>
      <c r="C469" s="13" t="s">
        <v>2550</v>
      </c>
      <c r="D469" s="9" t="s">
        <v>536</v>
      </c>
      <c r="E469" s="13" t="s">
        <v>3323</v>
      </c>
    </row>
    <row r="470" spans="1:5" ht="43.2" x14ac:dyDescent="0.3">
      <c r="A470" s="13" t="s">
        <v>2551</v>
      </c>
      <c r="B470" t="s">
        <v>2551</v>
      </c>
      <c r="C470" s="13" t="s">
        <v>2551</v>
      </c>
      <c r="D470" s="9" t="s">
        <v>536</v>
      </c>
      <c r="E470" s="13" t="s">
        <v>3323</v>
      </c>
    </row>
    <row r="471" spans="1:5" ht="43.2" x14ac:dyDescent="0.3">
      <c r="A471" s="13" t="s">
        <v>2552</v>
      </c>
      <c r="B471" t="s">
        <v>2552</v>
      </c>
      <c r="C471" s="13" t="s">
        <v>2552</v>
      </c>
      <c r="D471" s="9" t="s">
        <v>536</v>
      </c>
      <c r="E471" s="13" t="s">
        <v>3323</v>
      </c>
    </row>
    <row r="472" spans="1:5" ht="43.2" x14ac:dyDescent="0.3">
      <c r="A472" s="13" t="s">
        <v>2041</v>
      </c>
      <c r="B472" t="s">
        <v>2041</v>
      </c>
      <c r="C472" s="13" t="s">
        <v>2041</v>
      </c>
      <c r="D472" s="9" t="s">
        <v>536</v>
      </c>
      <c r="E472" s="13" t="s">
        <v>3323</v>
      </c>
    </row>
    <row r="473" spans="1:5" ht="43.2" x14ac:dyDescent="0.3">
      <c r="A473" s="13" t="s">
        <v>2139</v>
      </c>
      <c r="B473" t="s">
        <v>2139</v>
      </c>
      <c r="C473" s="13" t="s">
        <v>2139</v>
      </c>
      <c r="D473" s="9" t="s">
        <v>536</v>
      </c>
      <c r="E473" s="13" t="s">
        <v>3323</v>
      </c>
    </row>
    <row r="474" spans="1:5" ht="43.2" x14ac:dyDescent="0.3">
      <c r="A474" s="13" t="s">
        <v>2127</v>
      </c>
      <c r="B474" t="s">
        <v>2127</v>
      </c>
      <c r="C474" s="13" t="s">
        <v>2127</v>
      </c>
      <c r="D474" s="9" t="s">
        <v>536</v>
      </c>
      <c r="E474" s="13" t="s">
        <v>3323</v>
      </c>
    </row>
    <row r="475" spans="1:5" ht="43.2" x14ac:dyDescent="0.3">
      <c r="A475" s="13" t="s">
        <v>2040</v>
      </c>
      <c r="B475" t="s">
        <v>2040</v>
      </c>
      <c r="C475" s="13" t="s">
        <v>2040</v>
      </c>
      <c r="D475" s="9" t="s">
        <v>536</v>
      </c>
      <c r="E475" s="13" t="s">
        <v>3323</v>
      </c>
    </row>
    <row r="476" spans="1:5" ht="43.2" x14ac:dyDescent="0.3">
      <c r="A476" s="13" t="s">
        <v>2553</v>
      </c>
      <c r="B476" t="s">
        <v>2553</v>
      </c>
      <c r="C476" s="13" t="s">
        <v>2553</v>
      </c>
      <c r="D476" s="9" t="s">
        <v>536</v>
      </c>
      <c r="E476" s="13" t="s">
        <v>3323</v>
      </c>
    </row>
    <row r="477" spans="1:5" ht="43.2" x14ac:dyDescent="0.3">
      <c r="A477" s="13" t="s">
        <v>2554</v>
      </c>
      <c r="B477" t="s">
        <v>2554</v>
      </c>
      <c r="C477" s="13" t="s">
        <v>2554</v>
      </c>
      <c r="D477" s="9" t="s">
        <v>536</v>
      </c>
      <c r="E477" s="13" t="s">
        <v>3323</v>
      </c>
    </row>
    <row r="478" spans="1:5" ht="43.2" x14ac:dyDescent="0.3">
      <c r="A478" s="13" t="s">
        <v>2555</v>
      </c>
      <c r="B478" t="s">
        <v>2555</v>
      </c>
      <c r="C478" s="13" t="s">
        <v>2555</v>
      </c>
      <c r="D478" s="9" t="s">
        <v>536</v>
      </c>
      <c r="E478" s="13" t="s">
        <v>3323</v>
      </c>
    </row>
    <row r="479" spans="1:5" ht="43.2" x14ac:dyDescent="0.3">
      <c r="A479" s="13" t="s">
        <v>2556</v>
      </c>
      <c r="B479" t="s">
        <v>2556</v>
      </c>
      <c r="C479" s="13" t="s">
        <v>2556</v>
      </c>
      <c r="D479" s="9" t="s">
        <v>536</v>
      </c>
      <c r="E479" s="13" t="s">
        <v>3323</v>
      </c>
    </row>
    <row r="480" spans="1:5" ht="43.2" x14ac:dyDescent="0.3">
      <c r="A480" s="13" t="s">
        <v>2039</v>
      </c>
      <c r="B480" t="s">
        <v>2039</v>
      </c>
      <c r="C480" s="13" t="s">
        <v>2039</v>
      </c>
      <c r="D480" s="9" t="s">
        <v>536</v>
      </c>
      <c r="E480" s="13" t="s">
        <v>3323</v>
      </c>
    </row>
    <row r="481" spans="1:5" ht="43.2" x14ac:dyDescent="0.3">
      <c r="A481" s="13" t="s">
        <v>2038</v>
      </c>
      <c r="B481" t="s">
        <v>2038</v>
      </c>
      <c r="C481" s="13" t="s">
        <v>2038</v>
      </c>
      <c r="D481" s="9" t="s">
        <v>536</v>
      </c>
      <c r="E481" s="13" t="s">
        <v>3323</v>
      </c>
    </row>
    <row r="482" spans="1:5" ht="43.2" x14ac:dyDescent="0.3">
      <c r="A482" s="13" t="s">
        <v>2037</v>
      </c>
      <c r="B482" t="s">
        <v>2037</v>
      </c>
      <c r="C482" s="13" t="s">
        <v>2037</v>
      </c>
      <c r="D482" s="9" t="s">
        <v>536</v>
      </c>
      <c r="E482" s="13" t="s">
        <v>3323</v>
      </c>
    </row>
    <row r="483" spans="1:5" ht="43.2" x14ac:dyDescent="0.3">
      <c r="A483" s="13" t="s">
        <v>2557</v>
      </c>
      <c r="B483" t="s">
        <v>2557</v>
      </c>
      <c r="C483" s="13" t="s">
        <v>2557</v>
      </c>
      <c r="D483" s="9" t="s">
        <v>536</v>
      </c>
      <c r="E483" s="13" t="s">
        <v>3323</v>
      </c>
    </row>
    <row r="484" spans="1:5" ht="43.2" x14ac:dyDescent="0.3">
      <c r="A484" s="13" t="s">
        <v>2558</v>
      </c>
      <c r="B484" t="s">
        <v>2558</v>
      </c>
      <c r="C484" s="13" t="s">
        <v>2558</v>
      </c>
      <c r="D484" s="9" t="s">
        <v>536</v>
      </c>
      <c r="E484" s="13" t="s">
        <v>3323</v>
      </c>
    </row>
    <row r="485" spans="1:5" ht="43.2" x14ac:dyDescent="0.3">
      <c r="A485" s="13" t="s">
        <v>2559</v>
      </c>
      <c r="B485" t="s">
        <v>2559</v>
      </c>
      <c r="C485" s="13" t="s">
        <v>2559</v>
      </c>
      <c r="D485" s="9" t="s">
        <v>536</v>
      </c>
      <c r="E485" s="13" t="s">
        <v>3323</v>
      </c>
    </row>
    <row r="486" spans="1:5" ht="43.2" x14ac:dyDescent="0.3">
      <c r="A486" s="13" t="s">
        <v>2036</v>
      </c>
      <c r="B486" t="s">
        <v>2036</v>
      </c>
      <c r="C486" s="13" t="s">
        <v>2036</v>
      </c>
      <c r="D486" s="9" t="s">
        <v>536</v>
      </c>
      <c r="E486" s="13" t="s">
        <v>3323</v>
      </c>
    </row>
    <row r="487" spans="1:5" ht="43.2" x14ac:dyDescent="0.3">
      <c r="A487" s="13" t="s">
        <v>2560</v>
      </c>
      <c r="B487" t="s">
        <v>2560</v>
      </c>
      <c r="C487" s="13" t="s">
        <v>2560</v>
      </c>
      <c r="D487" s="9" t="s">
        <v>536</v>
      </c>
      <c r="E487" s="13" t="s">
        <v>3323</v>
      </c>
    </row>
    <row r="488" spans="1:5" ht="43.2" x14ac:dyDescent="0.3">
      <c r="A488" s="13" t="s">
        <v>2035</v>
      </c>
      <c r="B488" t="s">
        <v>2035</v>
      </c>
      <c r="C488" s="13" t="s">
        <v>2035</v>
      </c>
      <c r="D488" s="9" t="s">
        <v>536</v>
      </c>
      <c r="E488" s="13" t="s">
        <v>3323</v>
      </c>
    </row>
    <row r="489" spans="1:5" ht="43.2" x14ac:dyDescent="0.3">
      <c r="A489" s="13" t="s">
        <v>2034</v>
      </c>
      <c r="B489" t="s">
        <v>2034</v>
      </c>
      <c r="C489" s="13" t="s">
        <v>2034</v>
      </c>
      <c r="D489" s="9" t="s">
        <v>536</v>
      </c>
      <c r="E489" s="13" t="s">
        <v>3323</v>
      </c>
    </row>
    <row r="490" spans="1:5" ht="43.2" x14ac:dyDescent="0.3">
      <c r="A490" s="13" t="s">
        <v>2561</v>
      </c>
      <c r="B490" t="s">
        <v>2561</v>
      </c>
      <c r="C490" s="13" t="s">
        <v>2561</v>
      </c>
      <c r="D490" s="9" t="s">
        <v>536</v>
      </c>
      <c r="E490" s="13" t="s">
        <v>3323</v>
      </c>
    </row>
    <row r="491" spans="1:5" ht="43.2" x14ac:dyDescent="0.3">
      <c r="A491" s="13" t="s">
        <v>2562</v>
      </c>
      <c r="B491" t="s">
        <v>2562</v>
      </c>
      <c r="C491" s="13" t="s">
        <v>2562</v>
      </c>
      <c r="D491" s="9" t="s">
        <v>536</v>
      </c>
      <c r="E491" s="13" t="s">
        <v>3323</v>
      </c>
    </row>
    <row r="492" spans="1:5" ht="43.2" x14ac:dyDescent="0.3">
      <c r="A492" s="13" t="s">
        <v>2110</v>
      </c>
      <c r="B492" t="s">
        <v>2110</v>
      </c>
      <c r="C492" s="13" t="s">
        <v>2110</v>
      </c>
      <c r="D492" s="9" t="s">
        <v>536</v>
      </c>
      <c r="E492" s="13" t="s">
        <v>3323</v>
      </c>
    </row>
    <row r="493" spans="1:5" ht="43.2" x14ac:dyDescent="0.3">
      <c r="A493" s="13" t="s">
        <v>2033</v>
      </c>
      <c r="B493" t="s">
        <v>2033</v>
      </c>
      <c r="C493" s="13" t="s">
        <v>2033</v>
      </c>
      <c r="D493" s="9" t="s">
        <v>536</v>
      </c>
      <c r="E493" s="13" t="s">
        <v>3323</v>
      </c>
    </row>
    <row r="494" spans="1:5" ht="43.2" x14ac:dyDescent="0.3">
      <c r="A494" s="13" t="s">
        <v>2563</v>
      </c>
      <c r="B494" t="s">
        <v>2563</v>
      </c>
      <c r="C494" s="13" t="s">
        <v>2563</v>
      </c>
      <c r="D494" s="9" t="s">
        <v>536</v>
      </c>
      <c r="E494" s="13" t="s">
        <v>3323</v>
      </c>
    </row>
    <row r="495" spans="1:5" ht="43.2" x14ac:dyDescent="0.3">
      <c r="A495" s="13" t="s">
        <v>2032</v>
      </c>
      <c r="B495" t="s">
        <v>2032</v>
      </c>
      <c r="C495" s="13" t="s">
        <v>2032</v>
      </c>
      <c r="D495" s="9" t="s">
        <v>536</v>
      </c>
      <c r="E495" s="13" t="s">
        <v>3323</v>
      </c>
    </row>
    <row r="496" spans="1:5" ht="43.2" x14ac:dyDescent="0.3">
      <c r="A496" s="13" t="s">
        <v>2031</v>
      </c>
      <c r="B496" t="s">
        <v>2031</v>
      </c>
      <c r="C496" s="13" t="s">
        <v>2031</v>
      </c>
      <c r="D496" s="9" t="s">
        <v>536</v>
      </c>
      <c r="E496" s="13" t="s">
        <v>3323</v>
      </c>
    </row>
    <row r="497" spans="1:5" ht="43.2" x14ac:dyDescent="0.3">
      <c r="A497" s="13" t="s">
        <v>2564</v>
      </c>
      <c r="B497" t="s">
        <v>2564</v>
      </c>
      <c r="C497" s="13" t="s">
        <v>2564</v>
      </c>
      <c r="D497" s="9" t="s">
        <v>536</v>
      </c>
      <c r="E497" s="13" t="s">
        <v>3323</v>
      </c>
    </row>
    <row r="498" spans="1:5" ht="43.2" x14ac:dyDescent="0.3">
      <c r="A498" s="13" t="s">
        <v>2565</v>
      </c>
      <c r="B498" t="s">
        <v>2565</v>
      </c>
      <c r="C498" s="13" t="s">
        <v>2565</v>
      </c>
      <c r="D498" s="9" t="s">
        <v>536</v>
      </c>
      <c r="E498" s="13" t="s">
        <v>3323</v>
      </c>
    </row>
    <row r="499" spans="1:5" ht="43.2" x14ac:dyDescent="0.3">
      <c r="A499" s="13" t="s">
        <v>2030</v>
      </c>
      <c r="B499" t="s">
        <v>2030</v>
      </c>
      <c r="C499" s="13" t="s">
        <v>2030</v>
      </c>
      <c r="D499" s="9" t="s">
        <v>536</v>
      </c>
      <c r="E499" s="13" t="s">
        <v>3323</v>
      </c>
    </row>
    <row r="500" spans="1:5" ht="43.2" x14ac:dyDescent="0.3">
      <c r="A500" s="13" t="s">
        <v>2566</v>
      </c>
      <c r="B500" t="s">
        <v>2566</v>
      </c>
      <c r="C500" s="13" t="s">
        <v>2566</v>
      </c>
      <c r="D500" s="9" t="s">
        <v>536</v>
      </c>
      <c r="E500" s="13" t="s">
        <v>3323</v>
      </c>
    </row>
    <row r="501" spans="1:5" ht="43.2" x14ac:dyDescent="0.3">
      <c r="A501" s="13" t="s">
        <v>2029</v>
      </c>
      <c r="B501" t="s">
        <v>2029</v>
      </c>
      <c r="C501" s="13" t="s">
        <v>2029</v>
      </c>
      <c r="D501" s="9" t="s">
        <v>536</v>
      </c>
      <c r="E501" s="13" t="s">
        <v>3323</v>
      </c>
    </row>
    <row r="502" spans="1:5" ht="43.2" x14ac:dyDescent="0.3">
      <c r="A502" s="13" t="s">
        <v>2567</v>
      </c>
      <c r="B502" t="s">
        <v>2567</v>
      </c>
      <c r="C502" s="13" t="s">
        <v>2567</v>
      </c>
      <c r="D502" s="9" t="s">
        <v>536</v>
      </c>
      <c r="E502" s="13" t="s">
        <v>3323</v>
      </c>
    </row>
    <row r="503" spans="1:5" ht="43.2" x14ac:dyDescent="0.3">
      <c r="A503" s="13" t="s">
        <v>2028</v>
      </c>
      <c r="B503" t="s">
        <v>2028</v>
      </c>
      <c r="C503" s="13" t="s">
        <v>2028</v>
      </c>
      <c r="D503" s="9" t="s">
        <v>536</v>
      </c>
      <c r="E503" s="13" t="s">
        <v>3323</v>
      </c>
    </row>
    <row r="504" spans="1:5" ht="43.2" x14ac:dyDescent="0.3">
      <c r="A504" s="13" t="s">
        <v>2568</v>
      </c>
      <c r="B504" t="s">
        <v>2568</v>
      </c>
      <c r="C504" s="13" t="s">
        <v>2568</v>
      </c>
      <c r="D504" s="9" t="s">
        <v>536</v>
      </c>
      <c r="E504" s="13" t="s">
        <v>3323</v>
      </c>
    </row>
    <row r="505" spans="1:5" ht="43.2" x14ac:dyDescent="0.3">
      <c r="A505" s="13" t="s">
        <v>2569</v>
      </c>
      <c r="B505" t="s">
        <v>2569</v>
      </c>
      <c r="C505" s="13" t="s">
        <v>2569</v>
      </c>
      <c r="D505" s="9" t="s">
        <v>536</v>
      </c>
      <c r="E505" s="13" t="s">
        <v>3323</v>
      </c>
    </row>
    <row r="506" spans="1:5" ht="43.2" x14ac:dyDescent="0.3">
      <c r="A506" s="13" t="s">
        <v>2570</v>
      </c>
      <c r="B506" t="s">
        <v>2570</v>
      </c>
      <c r="C506" s="13" t="s">
        <v>2570</v>
      </c>
      <c r="D506" s="9" t="s">
        <v>536</v>
      </c>
      <c r="E506" s="13" t="s">
        <v>3323</v>
      </c>
    </row>
    <row r="507" spans="1:5" ht="43.2" x14ac:dyDescent="0.3">
      <c r="A507" s="13" t="s">
        <v>2027</v>
      </c>
      <c r="B507" t="s">
        <v>2027</v>
      </c>
      <c r="C507" s="13" t="s">
        <v>2027</v>
      </c>
      <c r="D507" s="9" t="s">
        <v>536</v>
      </c>
      <c r="E507" s="13" t="s">
        <v>3323</v>
      </c>
    </row>
    <row r="508" spans="1:5" ht="43.2" x14ac:dyDescent="0.3">
      <c r="A508" s="13" t="s">
        <v>2026</v>
      </c>
      <c r="B508" t="s">
        <v>2026</v>
      </c>
      <c r="C508" s="13" t="s">
        <v>2026</v>
      </c>
      <c r="D508" s="9" t="s">
        <v>536</v>
      </c>
      <c r="E508" s="13" t="s">
        <v>3323</v>
      </c>
    </row>
    <row r="509" spans="1:5" ht="43.2" x14ac:dyDescent="0.3">
      <c r="A509" s="13" t="s">
        <v>2571</v>
      </c>
      <c r="B509" t="s">
        <v>2571</v>
      </c>
      <c r="C509" s="13" t="s">
        <v>2571</v>
      </c>
      <c r="D509" s="9" t="s">
        <v>536</v>
      </c>
      <c r="E509" s="13" t="s">
        <v>3323</v>
      </c>
    </row>
    <row r="510" spans="1:5" ht="43.2" x14ac:dyDescent="0.3">
      <c r="A510" s="13" t="s">
        <v>2025</v>
      </c>
      <c r="B510" t="s">
        <v>2025</v>
      </c>
      <c r="C510" s="13" t="s">
        <v>2025</v>
      </c>
      <c r="D510" s="9" t="s">
        <v>536</v>
      </c>
      <c r="E510" s="13" t="s">
        <v>3323</v>
      </c>
    </row>
    <row r="511" spans="1:5" ht="43.2" x14ac:dyDescent="0.3">
      <c r="A511" s="13" t="s">
        <v>2572</v>
      </c>
      <c r="B511" t="s">
        <v>2572</v>
      </c>
      <c r="C511" s="13" t="s">
        <v>2572</v>
      </c>
      <c r="D511" s="9" t="s">
        <v>536</v>
      </c>
      <c r="E511" s="13" t="s">
        <v>3323</v>
      </c>
    </row>
    <row r="512" spans="1:5" ht="43.2" x14ac:dyDescent="0.3">
      <c r="A512" s="13" t="s">
        <v>2573</v>
      </c>
      <c r="B512" t="s">
        <v>2573</v>
      </c>
      <c r="C512" s="13" t="s">
        <v>2573</v>
      </c>
      <c r="D512" s="9" t="s">
        <v>536</v>
      </c>
      <c r="E512" s="13" t="s">
        <v>3323</v>
      </c>
    </row>
    <row r="513" spans="1:5" ht="43.2" x14ac:dyDescent="0.3">
      <c r="A513" s="13" t="s">
        <v>2024</v>
      </c>
      <c r="B513" t="s">
        <v>2024</v>
      </c>
      <c r="C513" s="13" t="s">
        <v>2024</v>
      </c>
      <c r="D513" s="9" t="s">
        <v>536</v>
      </c>
      <c r="E513" s="13" t="s">
        <v>3323</v>
      </c>
    </row>
    <row r="514" spans="1:5" ht="43.2" x14ac:dyDescent="0.3">
      <c r="A514" s="13" t="s">
        <v>2023</v>
      </c>
      <c r="B514" t="s">
        <v>2023</v>
      </c>
      <c r="C514" s="13" t="s">
        <v>2023</v>
      </c>
      <c r="D514" s="9" t="s">
        <v>536</v>
      </c>
      <c r="E514" s="13" t="s">
        <v>3323</v>
      </c>
    </row>
    <row r="515" spans="1:5" ht="43.2" x14ac:dyDescent="0.3">
      <c r="A515" s="13" t="s">
        <v>2022</v>
      </c>
      <c r="B515" t="s">
        <v>2022</v>
      </c>
      <c r="C515" s="13" t="s">
        <v>2022</v>
      </c>
      <c r="D515" s="9" t="s">
        <v>536</v>
      </c>
      <c r="E515" s="13" t="s">
        <v>3323</v>
      </c>
    </row>
    <row r="516" spans="1:5" ht="43.2" x14ac:dyDescent="0.3">
      <c r="A516" s="13" t="s">
        <v>2129</v>
      </c>
      <c r="B516" t="s">
        <v>2129</v>
      </c>
      <c r="C516" s="13" t="s">
        <v>2129</v>
      </c>
      <c r="D516" s="9" t="s">
        <v>536</v>
      </c>
      <c r="E516" s="13" t="s">
        <v>3323</v>
      </c>
    </row>
    <row r="517" spans="1:5" ht="43.2" x14ac:dyDescent="0.3">
      <c r="A517" s="13" t="s">
        <v>2128</v>
      </c>
      <c r="B517" t="s">
        <v>2128</v>
      </c>
      <c r="C517" s="13" t="s">
        <v>2128</v>
      </c>
      <c r="D517" s="9" t="s">
        <v>536</v>
      </c>
      <c r="E517" s="13" t="s">
        <v>3323</v>
      </c>
    </row>
    <row r="518" spans="1:5" ht="43.2" x14ac:dyDescent="0.3">
      <c r="A518" s="13" t="s">
        <v>2574</v>
      </c>
      <c r="B518" t="s">
        <v>2574</v>
      </c>
      <c r="C518" s="13" t="s">
        <v>2574</v>
      </c>
      <c r="D518" s="9" t="s">
        <v>536</v>
      </c>
      <c r="E518" s="13" t="s">
        <v>3323</v>
      </c>
    </row>
    <row r="519" spans="1:5" ht="43.2" x14ac:dyDescent="0.3">
      <c r="A519" s="13" t="s">
        <v>2575</v>
      </c>
      <c r="B519" t="s">
        <v>2575</v>
      </c>
      <c r="C519" s="13" t="s">
        <v>2575</v>
      </c>
      <c r="D519" s="9" t="s">
        <v>536</v>
      </c>
      <c r="E519" s="13" t="s">
        <v>3323</v>
      </c>
    </row>
    <row r="520" spans="1:5" ht="43.2" x14ac:dyDescent="0.3">
      <c r="A520" s="13" t="s">
        <v>2576</v>
      </c>
      <c r="B520" t="s">
        <v>2576</v>
      </c>
      <c r="C520" s="13" t="s">
        <v>2576</v>
      </c>
      <c r="D520" s="9" t="s">
        <v>536</v>
      </c>
      <c r="E520" s="13" t="s">
        <v>3323</v>
      </c>
    </row>
    <row r="521" spans="1:5" ht="43.2" x14ac:dyDescent="0.3">
      <c r="A521" s="13" t="s">
        <v>2131</v>
      </c>
      <c r="B521" t="s">
        <v>2131</v>
      </c>
      <c r="C521" s="13" t="s">
        <v>2131</v>
      </c>
      <c r="D521" s="9" t="s">
        <v>536</v>
      </c>
      <c r="E521" s="13" t="s">
        <v>3323</v>
      </c>
    </row>
    <row r="522" spans="1:5" ht="43.2" x14ac:dyDescent="0.3">
      <c r="A522" s="13" t="s">
        <v>2021</v>
      </c>
      <c r="B522" t="s">
        <v>2021</v>
      </c>
      <c r="C522" s="13" t="s">
        <v>2021</v>
      </c>
      <c r="D522" s="9" t="s">
        <v>536</v>
      </c>
      <c r="E522" s="13" t="s">
        <v>3323</v>
      </c>
    </row>
    <row r="523" spans="1:5" ht="43.2" x14ac:dyDescent="0.3">
      <c r="A523" s="13" t="s">
        <v>2137</v>
      </c>
      <c r="B523" t="s">
        <v>2137</v>
      </c>
      <c r="C523" s="13" t="s">
        <v>2137</v>
      </c>
      <c r="D523" s="9" t="s">
        <v>536</v>
      </c>
      <c r="E523" s="13" t="s">
        <v>3323</v>
      </c>
    </row>
    <row r="524" spans="1:5" ht="43.2" x14ac:dyDescent="0.3">
      <c r="A524" s="13" t="s">
        <v>2136</v>
      </c>
      <c r="B524" t="s">
        <v>2136</v>
      </c>
      <c r="C524" s="13" t="s">
        <v>2136</v>
      </c>
      <c r="D524" s="9" t="s">
        <v>536</v>
      </c>
      <c r="E524" s="13" t="s">
        <v>3323</v>
      </c>
    </row>
    <row r="525" spans="1:5" ht="43.2" x14ac:dyDescent="0.3">
      <c r="A525" s="13" t="s">
        <v>2577</v>
      </c>
      <c r="B525" t="s">
        <v>2577</v>
      </c>
      <c r="C525" s="13" t="s">
        <v>2577</v>
      </c>
      <c r="D525" s="9" t="s">
        <v>536</v>
      </c>
      <c r="E525" s="13" t="s">
        <v>3323</v>
      </c>
    </row>
    <row r="526" spans="1:5" ht="43.2" x14ac:dyDescent="0.3">
      <c r="A526" s="13" t="s">
        <v>2578</v>
      </c>
      <c r="B526" t="s">
        <v>2578</v>
      </c>
      <c r="C526" s="13" t="s">
        <v>2578</v>
      </c>
      <c r="D526" s="9" t="s">
        <v>536</v>
      </c>
      <c r="E526" s="13" t="s">
        <v>3323</v>
      </c>
    </row>
    <row r="527" spans="1:5" ht="43.2" x14ac:dyDescent="0.3">
      <c r="A527" s="13" t="s">
        <v>2020</v>
      </c>
      <c r="B527" t="s">
        <v>2020</v>
      </c>
      <c r="C527" s="13" t="s">
        <v>2020</v>
      </c>
      <c r="D527" s="9" t="s">
        <v>536</v>
      </c>
      <c r="E527" s="13" t="s">
        <v>3323</v>
      </c>
    </row>
    <row r="528" spans="1:5" ht="43.2" x14ac:dyDescent="0.3">
      <c r="A528" s="13" t="s">
        <v>2019</v>
      </c>
      <c r="B528" t="s">
        <v>2019</v>
      </c>
      <c r="C528" s="13" t="s">
        <v>2019</v>
      </c>
      <c r="D528" s="9" t="s">
        <v>536</v>
      </c>
      <c r="E528" s="13" t="s">
        <v>3323</v>
      </c>
    </row>
    <row r="529" spans="1:5" ht="43.2" x14ac:dyDescent="0.3">
      <c r="A529" s="13" t="s">
        <v>2579</v>
      </c>
      <c r="B529" t="s">
        <v>2579</v>
      </c>
      <c r="C529" s="13" t="s">
        <v>2579</v>
      </c>
      <c r="D529" s="9" t="s">
        <v>536</v>
      </c>
      <c r="E529" s="13" t="s">
        <v>3323</v>
      </c>
    </row>
    <row r="530" spans="1:5" ht="43.2" x14ac:dyDescent="0.3">
      <c r="A530" s="13" t="s">
        <v>2580</v>
      </c>
      <c r="B530" t="s">
        <v>2580</v>
      </c>
      <c r="C530" s="13" t="s">
        <v>2580</v>
      </c>
      <c r="D530" s="9" t="s">
        <v>536</v>
      </c>
      <c r="E530" s="13" t="s">
        <v>3323</v>
      </c>
    </row>
    <row r="531" spans="1:5" ht="43.2" x14ac:dyDescent="0.3">
      <c r="A531" s="13" t="s">
        <v>2018</v>
      </c>
      <c r="B531" t="s">
        <v>2018</v>
      </c>
      <c r="C531" s="13" t="s">
        <v>2018</v>
      </c>
      <c r="D531" s="9" t="s">
        <v>536</v>
      </c>
      <c r="E531" s="13" t="s">
        <v>3323</v>
      </c>
    </row>
    <row r="532" spans="1:5" ht="43.2" x14ac:dyDescent="0.3">
      <c r="A532" s="13" t="s">
        <v>2581</v>
      </c>
      <c r="B532" t="s">
        <v>2581</v>
      </c>
      <c r="C532" s="13" t="s">
        <v>2581</v>
      </c>
      <c r="D532" s="9" t="s">
        <v>536</v>
      </c>
      <c r="E532" s="13" t="s">
        <v>3323</v>
      </c>
    </row>
    <row r="533" spans="1:5" ht="43.2" x14ac:dyDescent="0.3">
      <c r="A533" s="13" t="s">
        <v>2582</v>
      </c>
      <c r="B533" t="s">
        <v>2582</v>
      </c>
      <c r="C533" s="13" t="s">
        <v>2582</v>
      </c>
      <c r="D533" s="9" t="s">
        <v>536</v>
      </c>
      <c r="E533" s="13" t="s">
        <v>3323</v>
      </c>
    </row>
    <row r="534" spans="1:5" ht="43.2" x14ac:dyDescent="0.3">
      <c r="A534" s="13" t="s">
        <v>2583</v>
      </c>
      <c r="B534" t="s">
        <v>2583</v>
      </c>
      <c r="C534" s="13" t="s">
        <v>2583</v>
      </c>
      <c r="D534" s="9" t="s">
        <v>536</v>
      </c>
      <c r="E534" s="13" t="s">
        <v>3323</v>
      </c>
    </row>
    <row r="535" spans="1:5" ht="43.2" x14ac:dyDescent="0.3">
      <c r="A535" s="13" t="s">
        <v>2017</v>
      </c>
      <c r="B535" t="s">
        <v>2017</v>
      </c>
      <c r="C535" s="13" t="s">
        <v>2017</v>
      </c>
      <c r="D535" s="9" t="s">
        <v>536</v>
      </c>
      <c r="E535" s="13" t="s">
        <v>3323</v>
      </c>
    </row>
    <row r="536" spans="1:5" ht="43.2" x14ac:dyDescent="0.3">
      <c r="A536" s="13" t="s">
        <v>2584</v>
      </c>
      <c r="B536" t="s">
        <v>2584</v>
      </c>
      <c r="C536" s="13" t="s">
        <v>2584</v>
      </c>
      <c r="D536" s="9" t="s">
        <v>536</v>
      </c>
      <c r="E536" s="13" t="s">
        <v>3323</v>
      </c>
    </row>
    <row r="537" spans="1:5" ht="43.2" x14ac:dyDescent="0.3">
      <c r="A537" s="13" t="s">
        <v>2130</v>
      </c>
      <c r="B537" t="s">
        <v>2130</v>
      </c>
      <c r="C537" s="13" t="s">
        <v>2130</v>
      </c>
      <c r="D537" s="9" t="s">
        <v>536</v>
      </c>
      <c r="E537" s="13" t="s">
        <v>3323</v>
      </c>
    </row>
    <row r="538" spans="1:5" ht="43.2" x14ac:dyDescent="0.3">
      <c r="A538" s="13" t="s">
        <v>2016</v>
      </c>
      <c r="B538" t="s">
        <v>2016</v>
      </c>
      <c r="C538" s="13" t="s">
        <v>2016</v>
      </c>
      <c r="D538" s="9" t="s">
        <v>536</v>
      </c>
      <c r="E538" s="13" t="s">
        <v>3323</v>
      </c>
    </row>
    <row r="539" spans="1:5" ht="43.2" x14ac:dyDescent="0.3">
      <c r="A539" s="13" t="s">
        <v>2585</v>
      </c>
      <c r="B539" t="s">
        <v>2585</v>
      </c>
      <c r="C539" s="13" t="s">
        <v>2585</v>
      </c>
      <c r="D539" s="9" t="s">
        <v>536</v>
      </c>
      <c r="E539" s="13" t="s">
        <v>3323</v>
      </c>
    </row>
    <row r="540" spans="1:5" ht="43.2" x14ac:dyDescent="0.3">
      <c r="A540" s="13" t="s">
        <v>2586</v>
      </c>
      <c r="B540" t="s">
        <v>2586</v>
      </c>
      <c r="C540" s="13" t="s">
        <v>2586</v>
      </c>
      <c r="D540" s="9" t="s">
        <v>536</v>
      </c>
      <c r="E540" s="13" t="s">
        <v>3323</v>
      </c>
    </row>
    <row r="541" spans="1:5" ht="43.2" x14ac:dyDescent="0.3">
      <c r="A541" s="13" t="s">
        <v>2587</v>
      </c>
      <c r="B541" t="s">
        <v>2587</v>
      </c>
      <c r="C541" s="13" t="s">
        <v>2587</v>
      </c>
      <c r="D541" s="9" t="s">
        <v>536</v>
      </c>
      <c r="E541" s="13" t="s">
        <v>3323</v>
      </c>
    </row>
    <row r="542" spans="1:5" ht="43.2" x14ac:dyDescent="0.3">
      <c r="A542" s="13" t="s">
        <v>2015</v>
      </c>
      <c r="B542" t="s">
        <v>2015</v>
      </c>
      <c r="C542" s="13" t="s">
        <v>2015</v>
      </c>
      <c r="D542" s="9" t="s">
        <v>536</v>
      </c>
      <c r="E542" s="13" t="s">
        <v>3323</v>
      </c>
    </row>
    <row r="543" spans="1:5" ht="43.2" x14ac:dyDescent="0.3">
      <c r="A543" s="13" t="s">
        <v>2588</v>
      </c>
      <c r="B543" t="s">
        <v>2588</v>
      </c>
      <c r="C543" s="13" t="s">
        <v>2588</v>
      </c>
      <c r="D543" s="9" t="s">
        <v>536</v>
      </c>
      <c r="E543" s="13" t="s">
        <v>3323</v>
      </c>
    </row>
    <row r="544" spans="1:5" ht="43.2" x14ac:dyDescent="0.3">
      <c r="A544" s="13" t="s">
        <v>2589</v>
      </c>
      <c r="B544" t="s">
        <v>2589</v>
      </c>
      <c r="C544" s="13" t="s">
        <v>2589</v>
      </c>
      <c r="D544" s="9" t="s">
        <v>536</v>
      </c>
      <c r="E544" s="13" t="s">
        <v>3323</v>
      </c>
    </row>
    <row r="545" spans="1:5" ht="43.2" x14ac:dyDescent="0.3">
      <c r="A545" s="13" t="s">
        <v>2014</v>
      </c>
      <c r="B545" t="s">
        <v>2014</v>
      </c>
      <c r="C545" s="13" t="s">
        <v>2014</v>
      </c>
      <c r="D545" s="9" t="s">
        <v>536</v>
      </c>
      <c r="E545" s="13" t="s">
        <v>3323</v>
      </c>
    </row>
    <row r="546" spans="1:5" ht="43.2" x14ac:dyDescent="0.3">
      <c r="A546" s="13" t="s">
        <v>2590</v>
      </c>
      <c r="B546" t="s">
        <v>2590</v>
      </c>
      <c r="C546" s="13" t="s">
        <v>2590</v>
      </c>
      <c r="D546" s="9" t="s">
        <v>536</v>
      </c>
      <c r="E546" s="13" t="s">
        <v>3323</v>
      </c>
    </row>
    <row r="547" spans="1:5" ht="43.2" x14ac:dyDescent="0.3">
      <c r="A547" s="13" t="s">
        <v>2591</v>
      </c>
      <c r="B547" t="s">
        <v>2591</v>
      </c>
      <c r="C547" s="13" t="s">
        <v>2591</v>
      </c>
      <c r="D547" s="9" t="s">
        <v>536</v>
      </c>
      <c r="E547" s="13" t="s">
        <v>3323</v>
      </c>
    </row>
    <row r="548" spans="1:5" ht="43.2" x14ac:dyDescent="0.3">
      <c r="A548" s="13" t="s">
        <v>2592</v>
      </c>
      <c r="B548" t="s">
        <v>2592</v>
      </c>
      <c r="C548" s="13" t="s">
        <v>2592</v>
      </c>
      <c r="D548" s="9" t="s">
        <v>536</v>
      </c>
      <c r="E548" s="13" t="s">
        <v>3323</v>
      </c>
    </row>
    <row r="549" spans="1:5" ht="43.2" x14ac:dyDescent="0.3">
      <c r="A549" s="13" t="s">
        <v>2593</v>
      </c>
      <c r="B549" t="s">
        <v>2593</v>
      </c>
      <c r="C549" s="13" t="s">
        <v>2593</v>
      </c>
      <c r="D549" s="9" t="s">
        <v>536</v>
      </c>
      <c r="E549" s="13" t="s">
        <v>3323</v>
      </c>
    </row>
    <row r="550" spans="1:5" ht="43.2" x14ac:dyDescent="0.3">
      <c r="A550" s="13" t="s">
        <v>2013</v>
      </c>
      <c r="B550" t="s">
        <v>2013</v>
      </c>
      <c r="C550" s="13" t="s">
        <v>2013</v>
      </c>
      <c r="D550" s="9" t="s">
        <v>536</v>
      </c>
      <c r="E550" s="13" t="s">
        <v>3323</v>
      </c>
    </row>
    <row r="551" spans="1:5" ht="43.2" x14ac:dyDescent="0.3">
      <c r="A551" s="13" t="s">
        <v>2012</v>
      </c>
      <c r="B551" t="s">
        <v>2012</v>
      </c>
      <c r="C551" s="13" t="s">
        <v>2012</v>
      </c>
      <c r="D551" s="9" t="s">
        <v>536</v>
      </c>
      <c r="E551" s="13" t="s">
        <v>3323</v>
      </c>
    </row>
    <row r="552" spans="1:5" ht="43.2" x14ac:dyDescent="0.3">
      <c r="A552" s="13" t="s">
        <v>2011</v>
      </c>
      <c r="B552" t="s">
        <v>2011</v>
      </c>
      <c r="C552" s="13" t="s">
        <v>2011</v>
      </c>
      <c r="D552" s="9" t="s">
        <v>536</v>
      </c>
      <c r="E552" s="13" t="s">
        <v>3323</v>
      </c>
    </row>
    <row r="553" spans="1:5" ht="43.2" x14ac:dyDescent="0.3">
      <c r="A553" s="13" t="s">
        <v>2594</v>
      </c>
      <c r="B553" t="s">
        <v>2594</v>
      </c>
      <c r="C553" s="13" t="s">
        <v>2594</v>
      </c>
      <c r="D553" s="9" t="s">
        <v>536</v>
      </c>
      <c r="E553" s="13" t="s">
        <v>3323</v>
      </c>
    </row>
    <row r="554" spans="1:5" ht="43.2" x14ac:dyDescent="0.3">
      <c r="A554" s="13" t="s">
        <v>2595</v>
      </c>
      <c r="B554" t="s">
        <v>2595</v>
      </c>
      <c r="C554" s="13" t="s">
        <v>2595</v>
      </c>
      <c r="D554" s="9" t="s">
        <v>536</v>
      </c>
      <c r="E554" s="13" t="s">
        <v>3323</v>
      </c>
    </row>
    <row r="555" spans="1:5" ht="43.2" x14ac:dyDescent="0.3">
      <c r="A555" s="13" t="s">
        <v>2596</v>
      </c>
      <c r="B555" t="s">
        <v>2596</v>
      </c>
      <c r="C555" s="13" t="s">
        <v>2596</v>
      </c>
      <c r="D555" s="9" t="s">
        <v>536</v>
      </c>
      <c r="E555" s="13" t="s">
        <v>3323</v>
      </c>
    </row>
    <row r="556" spans="1:5" ht="43.2" x14ac:dyDescent="0.3">
      <c r="A556" s="13" t="s">
        <v>2597</v>
      </c>
      <c r="B556" t="s">
        <v>2597</v>
      </c>
      <c r="C556" s="13" t="s">
        <v>2597</v>
      </c>
      <c r="D556" s="9" t="s">
        <v>536</v>
      </c>
      <c r="E556" s="13" t="s">
        <v>3323</v>
      </c>
    </row>
    <row r="557" spans="1:5" ht="43.2" x14ac:dyDescent="0.3">
      <c r="A557" s="13" t="s">
        <v>2598</v>
      </c>
      <c r="B557" t="s">
        <v>2598</v>
      </c>
      <c r="C557" s="13" t="s">
        <v>2598</v>
      </c>
      <c r="D557" s="9" t="s">
        <v>536</v>
      </c>
      <c r="E557" s="13" t="s">
        <v>3323</v>
      </c>
    </row>
    <row r="558" spans="1:5" ht="43.2" x14ac:dyDescent="0.3">
      <c r="A558" s="13" t="s">
        <v>2599</v>
      </c>
      <c r="B558" t="s">
        <v>2599</v>
      </c>
      <c r="C558" s="13" t="s">
        <v>2599</v>
      </c>
      <c r="D558" s="9" t="s">
        <v>536</v>
      </c>
      <c r="E558" s="13" t="s">
        <v>3323</v>
      </c>
    </row>
    <row r="559" spans="1:5" ht="43.2" x14ac:dyDescent="0.3">
      <c r="A559" s="13" t="s">
        <v>2600</v>
      </c>
      <c r="B559" t="s">
        <v>2600</v>
      </c>
      <c r="C559" s="13" t="s">
        <v>2600</v>
      </c>
      <c r="D559" s="9" t="s">
        <v>536</v>
      </c>
      <c r="E559" s="13" t="s">
        <v>3323</v>
      </c>
    </row>
    <row r="560" spans="1:5" ht="43.2" x14ac:dyDescent="0.3">
      <c r="A560" s="13" t="s">
        <v>2601</v>
      </c>
      <c r="B560" t="s">
        <v>2601</v>
      </c>
      <c r="C560" s="13" t="s">
        <v>2601</v>
      </c>
      <c r="D560" s="9" t="s">
        <v>536</v>
      </c>
      <c r="E560" s="13" t="s">
        <v>3323</v>
      </c>
    </row>
    <row r="561" spans="1:5" ht="43.2" x14ac:dyDescent="0.3">
      <c r="A561" s="13" t="s">
        <v>2602</v>
      </c>
      <c r="B561" t="s">
        <v>2602</v>
      </c>
      <c r="C561" s="13" t="s">
        <v>2602</v>
      </c>
      <c r="D561" s="9" t="s">
        <v>536</v>
      </c>
      <c r="E561" s="13" t="s">
        <v>3323</v>
      </c>
    </row>
    <row r="562" spans="1:5" ht="43.2" x14ac:dyDescent="0.3">
      <c r="A562" s="13" t="s">
        <v>2603</v>
      </c>
      <c r="B562" t="s">
        <v>2603</v>
      </c>
      <c r="C562" s="13" t="s">
        <v>2603</v>
      </c>
      <c r="D562" s="9" t="s">
        <v>536</v>
      </c>
      <c r="E562" s="13" t="s">
        <v>3323</v>
      </c>
    </row>
    <row r="563" spans="1:5" ht="43.2" x14ac:dyDescent="0.3">
      <c r="A563" s="13" t="s">
        <v>2604</v>
      </c>
      <c r="B563" t="s">
        <v>2604</v>
      </c>
      <c r="C563" s="13" t="s">
        <v>2604</v>
      </c>
      <c r="D563" s="9" t="s">
        <v>536</v>
      </c>
      <c r="E563" s="13" t="s">
        <v>3323</v>
      </c>
    </row>
    <row r="564" spans="1:5" ht="43.2" x14ac:dyDescent="0.3">
      <c r="A564" s="13" t="s">
        <v>2605</v>
      </c>
      <c r="B564" t="s">
        <v>2605</v>
      </c>
      <c r="C564" s="13" t="s">
        <v>2605</v>
      </c>
      <c r="D564" s="9" t="s">
        <v>536</v>
      </c>
      <c r="E564" s="13" t="s">
        <v>3323</v>
      </c>
    </row>
    <row r="565" spans="1:5" ht="43.2" x14ac:dyDescent="0.3">
      <c r="A565" s="13" t="s">
        <v>2606</v>
      </c>
      <c r="B565" t="s">
        <v>2606</v>
      </c>
      <c r="C565" s="13" t="s">
        <v>2606</v>
      </c>
      <c r="D565" s="9" t="s">
        <v>536</v>
      </c>
      <c r="E565" s="13" t="s">
        <v>3323</v>
      </c>
    </row>
    <row r="566" spans="1:5" ht="43.2" x14ac:dyDescent="0.3">
      <c r="A566" s="13" t="s">
        <v>2607</v>
      </c>
      <c r="B566" t="s">
        <v>2607</v>
      </c>
      <c r="C566" s="13" t="s">
        <v>2607</v>
      </c>
      <c r="D566" s="9" t="s">
        <v>536</v>
      </c>
      <c r="E566" s="13" t="s">
        <v>3323</v>
      </c>
    </row>
    <row r="567" spans="1:5" ht="43.2" x14ac:dyDescent="0.3">
      <c r="A567" s="13" t="s">
        <v>2608</v>
      </c>
      <c r="B567" t="s">
        <v>2608</v>
      </c>
      <c r="C567" s="13" t="s">
        <v>2608</v>
      </c>
      <c r="D567" s="9" t="s">
        <v>536</v>
      </c>
      <c r="E567" s="13" t="s">
        <v>3323</v>
      </c>
    </row>
    <row r="568" spans="1:5" ht="43.2" x14ac:dyDescent="0.3">
      <c r="A568" s="13" t="s">
        <v>2609</v>
      </c>
      <c r="B568" t="s">
        <v>2609</v>
      </c>
      <c r="C568" s="13" t="s">
        <v>2609</v>
      </c>
      <c r="D568" s="9" t="s">
        <v>536</v>
      </c>
      <c r="E568" s="13" t="s">
        <v>3323</v>
      </c>
    </row>
    <row r="569" spans="1:5" ht="43.2" x14ac:dyDescent="0.3">
      <c r="A569" s="13" t="s">
        <v>2610</v>
      </c>
      <c r="B569" t="s">
        <v>2610</v>
      </c>
      <c r="C569" s="13" t="s">
        <v>2610</v>
      </c>
      <c r="D569" s="9" t="s">
        <v>536</v>
      </c>
      <c r="E569" s="13" t="s">
        <v>3323</v>
      </c>
    </row>
    <row r="570" spans="1:5" ht="43.2" x14ac:dyDescent="0.3">
      <c r="A570" s="13" t="s">
        <v>2611</v>
      </c>
      <c r="B570" t="s">
        <v>2611</v>
      </c>
      <c r="C570" s="13" t="s">
        <v>2611</v>
      </c>
      <c r="D570" s="9" t="s">
        <v>536</v>
      </c>
      <c r="E570" s="13" t="s">
        <v>3323</v>
      </c>
    </row>
    <row r="571" spans="1:5" ht="43.2" x14ac:dyDescent="0.3">
      <c r="A571" s="13" t="s">
        <v>2010</v>
      </c>
      <c r="B571" t="s">
        <v>2010</v>
      </c>
      <c r="C571" s="13" t="s">
        <v>2010</v>
      </c>
      <c r="D571" s="9" t="s">
        <v>536</v>
      </c>
      <c r="E571" s="13" t="s">
        <v>3323</v>
      </c>
    </row>
    <row r="572" spans="1:5" ht="43.2" x14ac:dyDescent="0.3">
      <c r="A572" s="13" t="s">
        <v>2612</v>
      </c>
      <c r="B572" t="s">
        <v>2612</v>
      </c>
      <c r="C572" s="13" t="s">
        <v>2612</v>
      </c>
      <c r="D572" s="9" t="s">
        <v>536</v>
      </c>
      <c r="E572" s="13" t="s">
        <v>3323</v>
      </c>
    </row>
    <row r="573" spans="1:5" ht="43.2" x14ac:dyDescent="0.3">
      <c r="A573" s="13" t="s">
        <v>2009</v>
      </c>
      <c r="B573" t="s">
        <v>2009</v>
      </c>
      <c r="C573" s="13" t="s">
        <v>2009</v>
      </c>
      <c r="D573" s="9" t="s">
        <v>536</v>
      </c>
      <c r="E573" s="13" t="s">
        <v>3323</v>
      </c>
    </row>
    <row r="574" spans="1:5" ht="43.2" x14ac:dyDescent="0.3">
      <c r="A574" s="13" t="s">
        <v>2613</v>
      </c>
      <c r="B574" t="s">
        <v>2613</v>
      </c>
      <c r="C574" s="13" t="s">
        <v>2613</v>
      </c>
      <c r="D574" s="9" t="s">
        <v>536</v>
      </c>
      <c r="E574" s="13" t="s">
        <v>3323</v>
      </c>
    </row>
    <row r="575" spans="1:5" ht="43.2" x14ac:dyDescent="0.3">
      <c r="A575" s="13" t="s">
        <v>2614</v>
      </c>
      <c r="B575" t="s">
        <v>2614</v>
      </c>
      <c r="C575" s="13" t="s">
        <v>2614</v>
      </c>
      <c r="D575" s="9" t="s">
        <v>536</v>
      </c>
      <c r="E575" s="13" t="s">
        <v>3323</v>
      </c>
    </row>
    <row r="576" spans="1:5" ht="43.2" x14ac:dyDescent="0.3">
      <c r="A576" s="13" t="s">
        <v>2615</v>
      </c>
      <c r="B576" t="s">
        <v>2615</v>
      </c>
      <c r="C576" s="13" t="s">
        <v>2615</v>
      </c>
      <c r="D576" s="9" t="s">
        <v>536</v>
      </c>
      <c r="E576" s="13" t="s">
        <v>3323</v>
      </c>
    </row>
    <row r="577" spans="1:5" ht="43.2" x14ac:dyDescent="0.3">
      <c r="A577" s="13" t="s">
        <v>2616</v>
      </c>
      <c r="B577" t="s">
        <v>2616</v>
      </c>
      <c r="C577" s="13" t="s">
        <v>2616</v>
      </c>
      <c r="D577" s="9" t="s">
        <v>536</v>
      </c>
      <c r="E577" s="13" t="s">
        <v>3323</v>
      </c>
    </row>
    <row r="578" spans="1:5" ht="43.2" x14ac:dyDescent="0.3">
      <c r="A578" s="13" t="s">
        <v>2617</v>
      </c>
      <c r="B578" t="s">
        <v>2617</v>
      </c>
      <c r="C578" s="13" t="s">
        <v>2617</v>
      </c>
      <c r="D578" s="9" t="s">
        <v>536</v>
      </c>
      <c r="E578" s="13" t="s">
        <v>3323</v>
      </c>
    </row>
    <row r="579" spans="1:5" ht="43.2" x14ac:dyDescent="0.3">
      <c r="A579" s="13" t="s">
        <v>2113</v>
      </c>
      <c r="B579" t="s">
        <v>2113</v>
      </c>
      <c r="C579" s="13" t="s">
        <v>2113</v>
      </c>
      <c r="D579" s="9" t="s">
        <v>536</v>
      </c>
      <c r="E579" s="13" t="s">
        <v>3323</v>
      </c>
    </row>
    <row r="580" spans="1:5" ht="43.2" x14ac:dyDescent="0.3">
      <c r="A580" s="13" t="s">
        <v>2008</v>
      </c>
      <c r="B580" t="s">
        <v>2008</v>
      </c>
      <c r="C580" s="13" t="s">
        <v>2008</v>
      </c>
      <c r="D580" s="9" t="s">
        <v>536</v>
      </c>
      <c r="E580" s="13" t="s">
        <v>3323</v>
      </c>
    </row>
    <row r="581" spans="1:5" ht="43.2" x14ac:dyDescent="0.3">
      <c r="A581" s="13" t="s">
        <v>2618</v>
      </c>
      <c r="B581" t="s">
        <v>2618</v>
      </c>
      <c r="C581" s="13" t="s">
        <v>2618</v>
      </c>
      <c r="D581" s="9" t="s">
        <v>536</v>
      </c>
      <c r="E581" s="13" t="s">
        <v>3323</v>
      </c>
    </row>
    <row r="582" spans="1:5" ht="43.2" x14ac:dyDescent="0.3">
      <c r="A582" s="13" t="s">
        <v>2619</v>
      </c>
      <c r="B582" t="s">
        <v>2619</v>
      </c>
      <c r="C582" s="13" t="s">
        <v>2619</v>
      </c>
      <c r="D582" s="9" t="s">
        <v>536</v>
      </c>
      <c r="E582" s="13" t="s">
        <v>3323</v>
      </c>
    </row>
    <row r="583" spans="1:5" ht="43.2" x14ac:dyDescent="0.3">
      <c r="A583" s="13" t="s">
        <v>2620</v>
      </c>
      <c r="B583" t="s">
        <v>2620</v>
      </c>
      <c r="C583" s="13" t="s">
        <v>2620</v>
      </c>
      <c r="D583" s="9" t="s">
        <v>536</v>
      </c>
      <c r="E583" s="13" t="s">
        <v>3323</v>
      </c>
    </row>
    <row r="584" spans="1:5" ht="43.2" x14ac:dyDescent="0.3">
      <c r="A584" s="13" t="s">
        <v>2621</v>
      </c>
      <c r="B584" t="s">
        <v>2621</v>
      </c>
      <c r="C584" s="13" t="s">
        <v>2621</v>
      </c>
      <c r="D584" s="9" t="s">
        <v>536</v>
      </c>
      <c r="E584" s="13" t="s">
        <v>3323</v>
      </c>
    </row>
    <row r="585" spans="1:5" ht="43.2" x14ac:dyDescent="0.3">
      <c r="A585" s="13" t="s">
        <v>2622</v>
      </c>
      <c r="B585" t="s">
        <v>2622</v>
      </c>
      <c r="C585" s="13" t="s">
        <v>2622</v>
      </c>
      <c r="D585" s="9" t="s">
        <v>536</v>
      </c>
      <c r="E585" s="13" t="s">
        <v>3323</v>
      </c>
    </row>
    <row r="586" spans="1:5" ht="43.2" x14ac:dyDescent="0.3">
      <c r="A586" s="13" t="s">
        <v>2623</v>
      </c>
      <c r="B586" t="s">
        <v>2623</v>
      </c>
      <c r="C586" s="13" t="s">
        <v>2623</v>
      </c>
      <c r="D586" s="9" t="s">
        <v>536</v>
      </c>
      <c r="E586" s="13" t="s">
        <v>3323</v>
      </c>
    </row>
    <row r="587" spans="1:5" ht="43.2" x14ac:dyDescent="0.3">
      <c r="A587" s="13" t="s">
        <v>2624</v>
      </c>
      <c r="B587" t="s">
        <v>2624</v>
      </c>
      <c r="C587" s="13" t="s">
        <v>2624</v>
      </c>
      <c r="D587" s="9" t="s">
        <v>536</v>
      </c>
      <c r="E587" s="13" t="s">
        <v>3323</v>
      </c>
    </row>
    <row r="588" spans="1:5" ht="43.2" x14ac:dyDescent="0.3">
      <c r="A588" s="13" t="s">
        <v>2625</v>
      </c>
      <c r="B588" t="s">
        <v>2625</v>
      </c>
      <c r="C588" s="13" t="s">
        <v>2625</v>
      </c>
      <c r="D588" s="9" t="s">
        <v>536</v>
      </c>
      <c r="E588" s="13" t="s">
        <v>3323</v>
      </c>
    </row>
    <row r="589" spans="1:5" ht="43.2" x14ac:dyDescent="0.3">
      <c r="A589" s="13" t="s">
        <v>2626</v>
      </c>
      <c r="B589" t="s">
        <v>2626</v>
      </c>
      <c r="C589" s="13" t="s">
        <v>2626</v>
      </c>
      <c r="D589" s="9" t="s">
        <v>536</v>
      </c>
      <c r="E589" s="13" t="s">
        <v>3323</v>
      </c>
    </row>
    <row r="590" spans="1:5" ht="43.2" x14ac:dyDescent="0.3">
      <c r="A590" s="13" t="s">
        <v>2627</v>
      </c>
      <c r="B590" t="s">
        <v>2627</v>
      </c>
      <c r="C590" s="13" t="s">
        <v>2627</v>
      </c>
      <c r="D590" s="9" t="s">
        <v>536</v>
      </c>
      <c r="E590" s="13" t="s">
        <v>3323</v>
      </c>
    </row>
    <row r="591" spans="1:5" ht="43.2" x14ac:dyDescent="0.3">
      <c r="A591" s="13" t="s">
        <v>2628</v>
      </c>
      <c r="B591" t="s">
        <v>2628</v>
      </c>
      <c r="C591" s="13" t="s">
        <v>2628</v>
      </c>
      <c r="D591" s="9" t="s">
        <v>536</v>
      </c>
      <c r="E591" s="13" t="s">
        <v>3323</v>
      </c>
    </row>
    <row r="592" spans="1:5" ht="43.2" x14ac:dyDescent="0.3">
      <c r="A592" s="13" t="s">
        <v>2629</v>
      </c>
      <c r="B592" t="s">
        <v>2629</v>
      </c>
      <c r="C592" s="13" t="s">
        <v>2629</v>
      </c>
      <c r="D592" s="9" t="s">
        <v>536</v>
      </c>
      <c r="E592" s="13" t="s">
        <v>3323</v>
      </c>
    </row>
    <row r="593" spans="1:5" ht="43.2" x14ac:dyDescent="0.3">
      <c r="A593" s="13" t="s">
        <v>2112</v>
      </c>
      <c r="B593" t="s">
        <v>2112</v>
      </c>
      <c r="C593" s="13" t="s">
        <v>2112</v>
      </c>
      <c r="D593" s="9" t="s">
        <v>536</v>
      </c>
      <c r="E593" s="13" t="s">
        <v>3323</v>
      </c>
    </row>
    <row r="594" spans="1:5" ht="43.2" x14ac:dyDescent="0.3">
      <c r="A594" s="13" t="s">
        <v>2630</v>
      </c>
      <c r="B594" t="s">
        <v>2630</v>
      </c>
      <c r="C594" s="13" t="s">
        <v>2630</v>
      </c>
      <c r="D594" s="9" t="s">
        <v>536</v>
      </c>
      <c r="E594" s="13" t="s">
        <v>3323</v>
      </c>
    </row>
    <row r="595" spans="1:5" ht="43.2" x14ac:dyDescent="0.3">
      <c r="A595" s="13" t="s">
        <v>2631</v>
      </c>
      <c r="B595" t="s">
        <v>2631</v>
      </c>
      <c r="C595" s="13" t="s">
        <v>2631</v>
      </c>
      <c r="D595" s="9" t="s">
        <v>536</v>
      </c>
      <c r="E595" s="13" t="s">
        <v>3323</v>
      </c>
    </row>
    <row r="596" spans="1:5" ht="43.2" x14ac:dyDescent="0.3">
      <c r="A596" s="13" t="s">
        <v>2632</v>
      </c>
      <c r="B596" t="s">
        <v>2632</v>
      </c>
      <c r="C596" s="13" t="s">
        <v>2632</v>
      </c>
      <c r="D596" s="9" t="s">
        <v>536</v>
      </c>
      <c r="E596" s="13" t="s">
        <v>3323</v>
      </c>
    </row>
    <row r="597" spans="1:5" ht="43.2" x14ac:dyDescent="0.3">
      <c r="A597" s="13" t="s">
        <v>2633</v>
      </c>
      <c r="B597" t="s">
        <v>2633</v>
      </c>
      <c r="C597" s="13" t="s">
        <v>2633</v>
      </c>
      <c r="D597" s="9" t="s">
        <v>536</v>
      </c>
      <c r="E597" s="13" t="s">
        <v>3323</v>
      </c>
    </row>
    <row r="598" spans="1:5" ht="43.2" x14ac:dyDescent="0.3">
      <c r="A598" s="13" t="s">
        <v>2007</v>
      </c>
      <c r="B598" t="s">
        <v>2007</v>
      </c>
      <c r="C598" s="13" t="s">
        <v>2007</v>
      </c>
      <c r="D598" s="9" t="s">
        <v>536</v>
      </c>
      <c r="E598" s="13" t="s">
        <v>3323</v>
      </c>
    </row>
    <row r="599" spans="1:5" ht="43.2" x14ac:dyDescent="0.3">
      <c r="A599" s="13" t="s">
        <v>2006</v>
      </c>
      <c r="B599" t="s">
        <v>2006</v>
      </c>
      <c r="C599" s="13" t="s">
        <v>2006</v>
      </c>
      <c r="D599" s="9" t="s">
        <v>536</v>
      </c>
      <c r="E599" s="13" t="s">
        <v>3323</v>
      </c>
    </row>
    <row r="600" spans="1:5" ht="43.2" x14ac:dyDescent="0.3">
      <c r="A600" s="13" t="s">
        <v>2005</v>
      </c>
      <c r="B600" t="s">
        <v>2005</v>
      </c>
      <c r="C600" s="13" t="s">
        <v>2005</v>
      </c>
      <c r="D600" s="9" t="s">
        <v>536</v>
      </c>
      <c r="E600" s="13" t="s">
        <v>3323</v>
      </c>
    </row>
    <row r="601" spans="1:5" ht="43.2" x14ac:dyDescent="0.3">
      <c r="A601" s="13" t="s">
        <v>2004</v>
      </c>
      <c r="B601" t="s">
        <v>2004</v>
      </c>
      <c r="C601" s="13" t="s">
        <v>2004</v>
      </c>
      <c r="D601" s="9" t="s">
        <v>536</v>
      </c>
      <c r="E601" s="13" t="s">
        <v>3323</v>
      </c>
    </row>
    <row r="602" spans="1:5" ht="43.2" x14ac:dyDescent="0.3">
      <c r="A602" s="13" t="s">
        <v>2634</v>
      </c>
      <c r="B602" t="s">
        <v>2634</v>
      </c>
      <c r="C602" s="13" t="s">
        <v>2634</v>
      </c>
      <c r="D602" s="9" t="s">
        <v>536</v>
      </c>
      <c r="E602" s="13" t="s">
        <v>3323</v>
      </c>
    </row>
    <row r="603" spans="1:5" ht="43.2" x14ac:dyDescent="0.3">
      <c r="A603" s="13" t="s">
        <v>2635</v>
      </c>
      <c r="B603" t="s">
        <v>2635</v>
      </c>
      <c r="C603" s="13" t="s">
        <v>2635</v>
      </c>
      <c r="D603" s="9" t="s">
        <v>536</v>
      </c>
      <c r="E603" s="13" t="s">
        <v>3323</v>
      </c>
    </row>
    <row r="604" spans="1:5" ht="43.2" x14ac:dyDescent="0.3">
      <c r="A604" s="13" t="s">
        <v>2636</v>
      </c>
      <c r="B604" t="s">
        <v>2636</v>
      </c>
      <c r="C604" s="13" t="s">
        <v>2636</v>
      </c>
      <c r="D604" s="9" t="s">
        <v>536</v>
      </c>
      <c r="E604" s="13" t="s">
        <v>3323</v>
      </c>
    </row>
    <row r="605" spans="1:5" ht="43.2" x14ac:dyDescent="0.3">
      <c r="A605" s="13" t="s">
        <v>2637</v>
      </c>
      <c r="B605" t="s">
        <v>2637</v>
      </c>
      <c r="C605" s="13" t="s">
        <v>2637</v>
      </c>
      <c r="D605" s="9" t="s">
        <v>536</v>
      </c>
      <c r="E605" s="13" t="s">
        <v>3323</v>
      </c>
    </row>
    <row r="606" spans="1:5" ht="43.2" x14ac:dyDescent="0.3">
      <c r="A606" s="13" t="s">
        <v>2638</v>
      </c>
      <c r="B606" t="s">
        <v>2638</v>
      </c>
      <c r="C606" s="13" t="s">
        <v>2638</v>
      </c>
      <c r="D606" s="9" t="s">
        <v>536</v>
      </c>
      <c r="E606" s="13" t="s">
        <v>3323</v>
      </c>
    </row>
    <row r="607" spans="1:5" ht="43.2" x14ac:dyDescent="0.3">
      <c r="A607" s="13" t="s">
        <v>2639</v>
      </c>
      <c r="B607" t="s">
        <v>2639</v>
      </c>
      <c r="C607" s="13" t="s">
        <v>2639</v>
      </c>
      <c r="D607" s="9" t="s">
        <v>536</v>
      </c>
      <c r="E607" s="13" t="s">
        <v>3323</v>
      </c>
    </row>
    <row r="608" spans="1:5" ht="43.2" x14ac:dyDescent="0.3">
      <c r="A608" s="13" t="s">
        <v>2640</v>
      </c>
      <c r="B608" t="s">
        <v>2640</v>
      </c>
      <c r="C608" s="13" t="s">
        <v>2640</v>
      </c>
      <c r="D608" s="9" t="s">
        <v>536</v>
      </c>
      <c r="E608" s="13" t="s">
        <v>3323</v>
      </c>
    </row>
    <row r="609" spans="1:5" ht="28.8" x14ac:dyDescent="0.3">
      <c r="A609" s="13" t="s">
        <v>2641</v>
      </c>
      <c r="B609" t="s">
        <v>2641</v>
      </c>
      <c r="C609" s="13" t="s">
        <v>2641</v>
      </c>
      <c r="D609" s="9" t="s">
        <v>536</v>
      </c>
      <c r="E609" s="13" t="s">
        <v>3323</v>
      </c>
    </row>
    <row r="610" spans="1:5" ht="43.2" x14ac:dyDescent="0.3">
      <c r="A610" s="13" t="s">
        <v>2642</v>
      </c>
      <c r="B610" t="s">
        <v>2642</v>
      </c>
      <c r="C610" s="13" t="s">
        <v>2642</v>
      </c>
      <c r="D610" s="9" t="s">
        <v>536</v>
      </c>
      <c r="E610" s="13" t="s">
        <v>3323</v>
      </c>
    </row>
    <row r="611" spans="1:5" ht="43.2" x14ac:dyDescent="0.3">
      <c r="A611" s="13" t="s">
        <v>2643</v>
      </c>
      <c r="B611" t="s">
        <v>2643</v>
      </c>
      <c r="C611" s="13" t="s">
        <v>2643</v>
      </c>
      <c r="D611" s="9" t="s">
        <v>536</v>
      </c>
      <c r="E611" s="13" t="s">
        <v>3323</v>
      </c>
    </row>
    <row r="612" spans="1:5" ht="43.2" x14ac:dyDescent="0.3">
      <c r="A612" s="13" t="s">
        <v>2644</v>
      </c>
      <c r="B612" t="s">
        <v>2644</v>
      </c>
      <c r="C612" s="13" t="s">
        <v>2644</v>
      </c>
      <c r="D612" s="9" t="s">
        <v>536</v>
      </c>
      <c r="E612" s="13" t="s">
        <v>3323</v>
      </c>
    </row>
    <row r="613" spans="1:5" ht="43.2" x14ac:dyDescent="0.3">
      <c r="A613" s="13" t="s">
        <v>2003</v>
      </c>
      <c r="B613" t="s">
        <v>2003</v>
      </c>
      <c r="C613" s="13" t="s">
        <v>2003</v>
      </c>
      <c r="D613" s="9" t="s">
        <v>536</v>
      </c>
      <c r="E613" s="13" t="s">
        <v>3323</v>
      </c>
    </row>
    <row r="614" spans="1:5" ht="43.2" x14ac:dyDescent="0.3">
      <c r="A614" s="13" t="s">
        <v>2645</v>
      </c>
      <c r="B614" t="s">
        <v>2645</v>
      </c>
      <c r="C614" s="13" t="s">
        <v>2645</v>
      </c>
      <c r="D614" s="9" t="s">
        <v>536</v>
      </c>
      <c r="E614" s="13" t="s">
        <v>3323</v>
      </c>
    </row>
    <row r="615" spans="1:5" ht="43.2" x14ac:dyDescent="0.3">
      <c r="A615" s="13" t="s">
        <v>2646</v>
      </c>
      <c r="B615" t="s">
        <v>2646</v>
      </c>
      <c r="C615" s="13" t="s">
        <v>2646</v>
      </c>
      <c r="D615" s="9" t="s">
        <v>536</v>
      </c>
      <c r="E615" s="13" t="s">
        <v>3323</v>
      </c>
    </row>
    <row r="616" spans="1:5" ht="43.2" x14ac:dyDescent="0.3">
      <c r="A616" s="13" t="s">
        <v>2002</v>
      </c>
      <c r="B616" t="s">
        <v>2002</v>
      </c>
      <c r="C616" s="13" t="s">
        <v>2002</v>
      </c>
      <c r="D616" s="9" t="s">
        <v>536</v>
      </c>
      <c r="E616" s="13" t="s">
        <v>3323</v>
      </c>
    </row>
    <row r="617" spans="1:5" ht="43.2" x14ac:dyDescent="0.3">
      <c r="A617" s="13" t="s">
        <v>2647</v>
      </c>
      <c r="B617" t="s">
        <v>2647</v>
      </c>
      <c r="C617" s="13" t="s">
        <v>2647</v>
      </c>
      <c r="D617" s="9" t="s">
        <v>536</v>
      </c>
      <c r="E617" s="13" t="s">
        <v>3323</v>
      </c>
    </row>
    <row r="618" spans="1:5" ht="43.2" x14ac:dyDescent="0.3">
      <c r="A618" s="13" t="s">
        <v>2648</v>
      </c>
      <c r="B618" t="s">
        <v>2648</v>
      </c>
      <c r="C618" s="13" t="s">
        <v>2648</v>
      </c>
      <c r="D618" s="9" t="s">
        <v>536</v>
      </c>
      <c r="E618" s="13" t="s">
        <v>3323</v>
      </c>
    </row>
    <row r="619" spans="1:5" ht="43.2" x14ac:dyDescent="0.3">
      <c r="A619" s="13" t="s">
        <v>2649</v>
      </c>
      <c r="B619" t="s">
        <v>2649</v>
      </c>
      <c r="C619" s="13" t="s">
        <v>2649</v>
      </c>
      <c r="D619" s="9" t="s">
        <v>536</v>
      </c>
      <c r="E619" s="13" t="s">
        <v>3323</v>
      </c>
    </row>
    <row r="620" spans="1:5" ht="43.2" x14ac:dyDescent="0.3">
      <c r="A620" s="13" t="s">
        <v>2001</v>
      </c>
      <c r="B620" t="s">
        <v>2001</v>
      </c>
      <c r="C620" s="13" t="s">
        <v>2001</v>
      </c>
      <c r="D620" s="9" t="s">
        <v>536</v>
      </c>
      <c r="E620" s="13" t="s">
        <v>3323</v>
      </c>
    </row>
    <row r="621" spans="1:5" ht="43.2" x14ac:dyDescent="0.3">
      <c r="A621" s="13" t="s">
        <v>2650</v>
      </c>
      <c r="B621" t="s">
        <v>2650</v>
      </c>
      <c r="C621" s="13" t="s">
        <v>2650</v>
      </c>
      <c r="D621" s="9" t="s">
        <v>536</v>
      </c>
      <c r="E621" s="13" t="s">
        <v>3323</v>
      </c>
    </row>
    <row r="622" spans="1:5" ht="43.2" x14ac:dyDescent="0.3">
      <c r="A622" s="13" t="s">
        <v>2105</v>
      </c>
      <c r="B622" t="s">
        <v>2105</v>
      </c>
      <c r="C622" s="13" t="s">
        <v>2105</v>
      </c>
      <c r="D622" s="9" t="s">
        <v>536</v>
      </c>
      <c r="E622" s="13" t="s">
        <v>3323</v>
      </c>
    </row>
    <row r="623" spans="1:5" ht="43.2" x14ac:dyDescent="0.3">
      <c r="A623" s="13" t="s">
        <v>2651</v>
      </c>
      <c r="B623" t="s">
        <v>2651</v>
      </c>
      <c r="C623" s="13" t="s">
        <v>2651</v>
      </c>
      <c r="D623" s="9" t="s">
        <v>536</v>
      </c>
      <c r="E623" s="13" t="s">
        <v>3323</v>
      </c>
    </row>
    <row r="624" spans="1:5" ht="43.2" x14ac:dyDescent="0.3">
      <c r="A624" s="13" t="s">
        <v>2652</v>
      </c>
      <c r="B624" t="s">
        <v>2652</v>
      </c>
      <c r="C624" s="13" t="s">
        <v>2652</v>
      </c>
      <c r="D624" s="9" t="s">
        <v>536</v>
      </c>
      <c r="E624" s="13" t="s">
        <v>3323</v>
      </c>
    </row>
    <row r="625" spans="1:5" ht="43.2" x14ac:dyDescent="0.3">
      <c r="A625" s="13" t="s">
        <v>2653</v>
      </c>
      <c r="B625" t="s">
        <v>2653</v>
      </c>
      <c r="C625" s="13" t="s">
        <v>2653</v>
      </c>
      <c r="D625" s="9" t="s">
        <v>536</v>
      </c>
      <c r="E625" s="13" t="s">
        <v>3323</v>
      </c>
    </row>
    <row r="626" spans="1:5" ht="43.2" x14ac:dyDescent="0.3">
      <c r="A626" s="13" t="s">
        <v>2000</v>
      </c>
      <c r="B626" t="s">
        <v>2000</v>
      </c>
      <c r="C626" s="13" t="s">
        <v>2000</v>
      </c>
      <c r="D626" s="9" t="s">
        <v>536</v>
      </c>
      <c r="E626" s="13" t="s">
        <v>3323</v>
      </c>
    </row>
    <row r="627" spans="1:5" ht="43.2" x14ac:dyDescent="0.3">
      <c r="A627" s="13" t="s">
        <v>1999</v>
      </c>
      <c r="B627" t="s">
        <v>1999</v>
      </c>
      <c r="C627" s="13" t="s">
        <v>1999</v>
      </c>
      <c r="D627" s="9" t="s">
        <v>536</v>
      </c>
      <c r="E627" s="13" t="s">
        <v>3323</v>
      </c>
    </row>
    <row r="628" spans="1:5" ht="43.2" x14ac:dyDescent="0.3">
      <c r="A628" s="13" t="s">
        <v>1998</v>
      </c>
      <c r="B628" t="s">
        <v>1998</v>
      </c>
      <c r="C628" s="13" t="s">
        <v>1998</v>
      </c>
      <c r="D628" s="9" t="s">
        <v>536</v>
      </c>
      <c r="E628" s="13" t="s">
        <v>3323</v>
      </c>
    </row>
    <row r="629" spans="1:5" ht="43.2" x14ac:dyDescent="0.3">
      <c r="A629" s="13" t="s">
        <v>1997</v>
      </c>
      <c r="B629" t="s">
        <v>1997</v>
      </c>
      <c r="C629" s="13" t="s">
        <v>1997</v>
      </c>
      <c r="D629" s="9" t="s">
        <v>536</v>
      </c>
      <c r="E629" s="13" t="s">
        <v>3323</v>
      </c>
    </row>
    <row r="630" spans="1:5" ht="43.2" x14ac:dyDescent="0.3">
      <c r="A630" s="13" t="s">
        <v>1996</v>
      </c>
      <c r="B630" t="s">
        <v>1996</v>
      </c>
      <c r="C630" s="13" t="s">
        <v>1996</v>
      </c>
      <c r="D630" s="9" t="s">
        <v>536</v>
      </c>
      <c r="E630" s="13" t="s">
        <v>3323</v>
      </c>
    </row>
    <row r="631" spans="1:5" ht="43.2" x14ac:dyDescent="0.3">
      <c r="A631" s="13" t="s">
        <v>2654</v>
      </c>
      <c r="B631" t="s">
        <v>2654</v>
      </c>
      <c r="C631" s="13" t="s">
        <v>2654</v>
      </c>
      <c r="D631" s="9" t="s">
        <v>536</v>
      </c>
      <c r="E631" s="13" t="s">
        <v>3323</v>
      </c>
    </row>
    <row r="632" spans="1:5" ht="43.2" x14ac:dyDescent="0.3">
      <c r="A632" s="13" t="s">
        <v>2655</v>
      </c>
      <c r="B632" t="s">
        <v>2655</v>
      </c>
      <c r="C632" s="13" t="s">
        <v>2655</v>
      </c>
      <c r="D632" s="9" t="s">
        <v>536</v>
      </c>
      <c r="E632" s="13" t="s">
        <v>3323</v>
      </c>
    </row>
    <row r="633" spans="1:5" ht="43.2" x14ac:dyDescent="0.3">
      <c r="A633" s="13" t="s">
        <v>1995</v>
      </c>
      <c r="B633" t="s">
        <v>1995</v>
      </c>
      <c r="C633" s="13" t="s">
        <v>1995</v>
      </c>
      <c r="D633" s="9" t="s">
        <v>536</v>
      </c>
      <c r="E633" s="13" t="s">
        <v>3323</v>
      </c>
    </row>
    <row r="634" spans="1:5" ht="43.2" x14ac:dyDescent="0.3">
      <c r="A634" s="13" t="s">
        <v>2656</v>
      </c>
      <c r="B634" t="s">
        <v>2656</v>
      </c>
      <c r="C634" s="13" t="s">
        <v>2656</v>
      </c>
      <c r="D634" s="9" t="s">
        <v>536</v>
      </c>
      <c r="E634" s="13" t="s">
        <v>3323</v>
      </c>
    </row>
    <row r="635" spans="1:5" ht="43.2" x14ac:dyDescent="0.3">
      <c r="A635" s="13" t="s">
        <v>1994</v>
      </c>
      <c r="B635" t="s">
        <v>1994</v>
      </c>
      <c r="C635" s="13" t="s">
        <v>1994</v>
      </c>
      <c r="D635" s="9" t="s">
        <v>536</v>
      </c>
      <c r="E635" s="13" t="s">
        <v>3323</v>
      </c>
    </row>
    <row r="636" spans="1:5" ht="43.2" x14ac:dyDescent="0.3">
      <c r="A636" s="13" t="s">
        <v>2657</v>
      </c>
      <c r="B636" t="s">
        <v>2657</v>
      </c>
      <c r="C636" s="13" t="s">
        <v>2657</v>
      </c>
      <c r="D636" s="9" t="s">
        <v>536</v>
      </c>
      <c r="E636" s="13" t="s">
        <v>3323</v>
      </c>
    </row>
    <row r="637" spans="1:5" ht="43.2" x14ac:dyDescent="0.3">
      <c r="A637" s="13" t="s">
        <v>2658</v>
      </c>
      <c r="B637" t="s">
        <v>2658</v>
      </c>
      <c r="C637" s="13" t="s">
        <v>2658</v>
      </c>
      <c r="D637" s="9" t="s">
        <v>536</v>
      </c>
      <c r="E637" s="13" t="s">
        <v>3323</v>
      </c>
    </row>
    <row r="638" spans="1:5" ht="43.2" x14ac:dyDescent="0.3">
      <c r="A638" s="13" t="s">
        <v>2659</v>
      </c>
      <c r="B638" t="s">
        <v>2659</v>
      </c>
      <c r="C638" s="13" t="s">
        <v>2659</v>
      </c>
      <c r="D638" s="9" t="s">
        <v>536</v>
      </c>
      <c r="E638" s="13" t="s">
        <v>3323</v>
      </c>
    </row>
    <row r="639" spans="1:5" ht="43.2" x14ac:dyDescent="0.3">
      <c r="A639" s="13" t="s">
        <v>2660</v>
      </c>
      <c r="B639" t="s">
        <v>2660</v>
      </c>
      <c r="C639" s="13" t="s">
        <v>2660</v>
      </c>
      <c r="D639" s="9" t="s">
        <v>536</v>
      </c>
      <c r="E639" s="13" t="s">
        <v>3323</v>
      </c>
    </row>
    <row r="640" spans="1:5" ht="43.2" x14ac:dyDescent="0.3">
      <c r="A640" s="13" t="s">
        <v>2661</v>
      </c>
      <c r="B640" t="s">
        <v>2661</v>
      </c>
      <c r="C640" s="13" t="s">
        <v>2661</v>
      </c>
      <c r="D640" s="9" t="s">
        <v>536</v>
      </c>
      <c r="E640" s="13" t="s">
        <v>3323</v>
      </c>
    </row>
    <row r="641" spans="1:5" ht="43.2" x14ac:dyDescent="0.3">
      <c r="A641" s="13" t="s">
        <v>2662</v>
      </c>
      <c r="B641" t="s">
        <v>2662</v>
      </c>
      <c r="C641" s="13" t="s">
        <v>2662</v>
      </c>
      <c r="D641" s="9" t="s">
        <v>536</v>
      </c>
      <c r="E641" s="13" t="s">
        <v>3323</v>
      </c>
    </row>
    <row r="642" spans="1:5" ht="43.2" x14ac:dyDescent="0.3">
      <c r="A642" s="13" t="s">
        <v>2663</v>
      </c>
      <c r="B642" t="s">
        <v>2663</v>
      </c>
      <c r="C642" s="13" t="s">
        <v>2663</v>
      </c>
      <c r="D642" s="9" t="s">
        <v>536</v>
      </c>
      <c r="E642" s="13" t="s">
        <v>3323</v>
      </c>
    </row>
    <row r="643" spans="1:5" ht="43.2" x14ac:dyDescent="0.3">
      <c r="A643" s="13" t="s">
        <v>1993</v>
      </c>
      <c r="B643" t="s">
        <v>1993</v>
      </c>
      <c r="C643" s="13" t="s">
        <v>1993</v>
      </c>
      <c r="D643" s="9" t="s">
        <v>536</v>
      </c>
      <c r="E643" s="13" t="s">
        <v>3323</v>
      </c>
    </row>
    <row r="644" spans="1:5" ht="43.2" x14ac:dyDescent="0.3">
      <c r="A644" s="13" t="s">
        <v>1992</v>
      </c>
      <c r="B644" t="s">
        <v>1992</v>
      </c>
      <c r="C644" s="13" t="s">
        <v>1992</v>
      </c>
      <c r="D644" s="9" t="s">
        <v>536</v>
      </c>
      <c r="E644" s="13" t="s">
        <v>3323</v>
      </c>
    </row>
    <row r="645" spans="1:5" ht="43.2" x14ac:dyDescent="0.3">
      <c r="A645" s="13" t="s">
        <v>2664</v>
      </c>
      <c r="B645" t="s">
        <v>2664</v>
      </c>
      <c r="C645" s="13" t="s">
        <v>2664</v>
      </c>
      <c r="D645" s="9" t="s">
        <v>536</v>
      </c>
      <c r="E645" s="13" t="s">
        <v>3323</v>
      </c>
    </row>
    <row r="646" spans="1:5" ht="43.2" x14ac:dyDescent="0.3">
      <c r="A646" s="13" t="s">
        <v>2665</v>
      </c>
      <c r="B646" t="s">
        <v>2665</v>
      </c>
      <c r="C646" s="13" t="s">
        <v>2665</v>
      </c>
      <c r="D646" s="9" t="s">
        <v>536</v>
      </c>
      <c r="E646" s="13" t="s">
        <v>3323</v>
      </c>
    </row>
    <row r="647" spans="1:5" ht="43.2" x14ac:dyDescent="0.3">
      <c r="A647" s="13" t="s">
        <v>1991</v>
      </c>
      <c r="B647" t="s">
        <v>1991</v>
      </c>
      <c r="C647" s="13" t="s">
        <v>1991</v>
      </c>
      <c r="D647" s="9" t="s">
        <v>536</v>
      </c>
      <c r="E647" s="13" t="s">
        <v>3323</v>
      </c>
    </row>
    <row r="648" spans="1:5" ht="43.2" x14ac:dyDescent="0.3">
      <c r="A648" s="13" t="s">
        <v>2666</v>
      </c>
      <c r="B648" t="s">
        <v>2666</v>
      </c>
      <c r="C648" s="13" t="s">
        <v>2666</v>
      </c>
      <c r="D648" s="9" t="s">
        <v>536</v>
      </c>
      <c r="E648" s="13" t="s">
        <v>3323</v>
      </c>
    </row>
    <row r="649" spans="1:5" ht="43.2" x14ac:dyDescent="0.3">
      <c r="A649" s="13" t="s">
        <v>2667</v>
      </c>
      <c r="B649" t="s">
        <v>2667</v>
      </c>
      <c r="C649" s="13" t="s">
        <v>2667</v>
      </c>
      <c r="D649" s="9" t="s">
        <v>536</v>
      </c>
      <c r="E649" s="13" t="s">
        <v>3323</v>
      </c>
    </row>
    <row r="650" spans="1:5" ht="43.2" x14ac:dyDescent="0.3">
      <c r="A650" s="13" t="s">
        <v>2668</v>
      </c>
      <c r="B650" t="s">
        <v>2668</v>
      </c>
      <c r="C650" s="13" t="s">
        <v>2668</v>
      </c>
      <c r="D650" s="9" t="s">
        <v>536</v>
      </c>
      <c r="E650" s="13" t="s">
        <v>3323</v>
      </c>
    </row>
    <row r="651" spans="1:5" ht="43.2" x14ac:dyDescent="0.3">
      <c r="A651" s="13" t="s">
        <v>1990</v>
      </c>
      <c r="B651" t="s">
        <v>1990</v>
      </c>
      <c r="C651" s="13" t="s">
        <v>1990</v>
      </c>
      <c r="D651" s="9" t="s">
        <v>536</v>
      </c>
      <c r="E651" s="13" t="s">
        <v>3323</v>
      </c>
    </row>
    <row r="652" spans="1:5" ht="43.2" x14ac:dyDescent="0.3">
      <c r="A652" s="13" t="s">
        <v>2669</v>
      </c>
      <c r="B652" t="s">
        <v>2669</v>
      </c>
      <c r="C652" s="13" t="s">
        <v>2669</v>
      </c>
      <c r="D652" s="9" t="s">
        <v>536</v>
      </c>
      <c r="E652" s="13" t="s">
        <v>3323</v>
      </c>
    </row>
    <row r="653" spans="1:5" ht="43.2" x14ac:dyDescent="0.3">
      <c r="A653" s="13" t="s">
        <v>2670</v>
      </c>
      <c r="B653" t="s">
        <v>2670</v>
      </c>
      <c r="C653" s="13" t="s">
        <v>2670</v>
      </c>
      <c r="D653" s="9" t="s">
        <v>536</v>
      </c>
      <c r="E653" s="13" t="s">
        <v>3323</v>
      </c>
    </row>
    <row r="654" spans="1:5" ht="43.2" x14ac:dyDescent="0.3">
      <c r="A654" s="13" t="s">
        <v>2671</v>
      </c>
      <c r="B654" t="s">
        <v>2671</v>
      </c>
      <c r="C654" s="13" t="s">
        <v>2671</v>
      </c>
      <c r="D654" s="9" t="s">
        <v>536</v>
      </c>
      <c r="E654" s="13" t="s">
        <v>3323</v>
      </c>
    </row>
    <row r="655" spans="1:5" ht="43.2" x14ac:dyDescent="0.3">
      <c r="A655" s="13" t="s">
        <v>2672</v>
      </c>
      <c r="B655" t="s">
        <v>2672</v>
      </c>
      <c r="C655" s="13" t="s">
        <v>2672</v>
      </c>
      <c r="D655" s="9" t="s">
        <v>536</v>
      </c>
      <c r="E655" s="13" t="s">
        <v>3323</v>
      </c>
    </row>
    <row r="656" spans="1:5" ht="43.2" x14ac:dyDescent="0.3">
      <c r="A656" s="13" t="s">
        <v>2673</v>
      </c>
      <c r="B656" t="s">
        <v>2673</v>
      </c>
      <c r="C656" s="13" t="s">
        <v>2673</v>
      </c>
      <c r="D656" s="9" t="s">
        <v>536</v>
      </c>
      <c r="E656" s="13" t="s">
        <v>3323</v>
      </c>
    </row>
    <row r="657" spans="1:5" ht="43.2" x14ac:dyDescent="0.3">
      <c r="A657" s="13" t="s">
        <v>2674</v>
      </c>
      <c r="B657" t="s">
        <v>2674</v>
      </c>
      <c r="C657" s="13" t="s">
        <v>2674</v>
      </c>
      <c r="D657" s="9" t="s">
        <v>536</v>
      </c>
      <c r="E657" s="13" t="s">
        <v>3323</v>
      </c>
    </row>
    <row r="658" spans="1:5" ht="43.2" x14ac:dyDescent="0.3">
      <c r="A658" s="13" t="s">
        <v>2675</v>
      </c>
      <c r="B658" t="s">
        <v>2675</v>
      </c>
      <c r="C658" s="13" t="s">
        <v>2675</v>
      </c>
      <c r="D658" s="9" t="s">
        <v>536</v>
      </c>
      <c r="E658" s="13" t="s">
        <v>3323</v>
      </c>
    </row>
    <row r="659" spans="1:5" ht="43.2" x14ac:dyDescent="0.3">
      <c r="A659" s="13" t="s">
        <v>2676</v>
      </c>
      <c r="B659" t="s">
        <v>2676</v>
      </c>
      <c r="C659" s="13" t="s">
        <v>2676</v>
      </c>
      <c r="D659" s="9" t="s">
        <v>536</v>
      </c>
      <c r="E659" s="13" t="s">
        <v>3323</v>
      </c>
    </row>
    <row r="660" spans="1:5" ht="43.2" x14ac:dyDescent="0.3">
      <c r="A660" s="13" t="s">
        <v>2677</v>
      </c>
      <c r="B660" t="s">
        <v>2677</v>
      </c>
      <c r="C660" s="13" t="s">
        <v>2677</v>
      </c>
      <c r="D660" s="9" t="s">
        <v>536</v>
      </c>
      <c r="E660" s="13" t="s">
        <v>3323</v>
      </c>
    </row>
    <row r="661" spans="1:5" ht="43.2" x14ac:dyDescent="0.3">
      <c r="A661" s="13" t="s">
        <v>2678</v>
      </c>
      <c r="B661" t="s">
        <v>2678</v>
      </c>
      <c r="C661" s="13" t="s">
        <v>2678</v>
      </c>
      <c r="D661" s="9" t="s">
        <v>536</v>
      </c>
      <c r="E661" s="13" t="s">
        <v>3323</v>
      </c>
    </row>
    <row r="662" spans="1:5" ht="43.2" x14ac:dyDescent="0.3">
      <c r="A662" s="13" t="s">
        <v>2679</v>
      </c>
      <c r="B662" t="s">
        <v>2679</v>
      </c>
      <c r="C662" s="13" t="s">
        <v>2679</v>
      </c>
      <c r="D662" s="9" t="s">
        <v>536</v>
      </c>
      <c r="E662" s="13" t="s">
        <v>3323</v>
      </c>
    </row>
    <row r="663" spans="1:5" ht="43.2" x14ac:dyDescent="0.3">
      <c r="A663" s="13" t="s">
        <v>2680</v>
      </c>
      <c r="B663" t="s">
        <v>2680</v>
      </c>
      <c r="C663" s="13" t="s">
        <v>2680</v>
      </c>
      <c r="D663" s="9" t="s">
        <v>536</v>
      </c>
      <c r="E663" s="13" t="s">
        <v>3323</v>
      </c>
    </row>
    <row r="664" spans="1:5" ht="43.2" x14ac:dyDescent="0.3">
      <c r="A664" s="13" t="s">
        <v>2681</v>
      </c>
      <c r="B664" t="s">
        <v>2681</v>
      </c>
      <c r="C664" s="13" t="s">
        <v>2681</v>
      </c>
      <c r="D664" s="9" t="s">
        <v>536</v>
      </c>
      <c r="E664" s="13" t="s">
        <v>3323</v>
      </c>
    </row>
    <row r="665" spans="1:5" ht="43.2" x14ac:dyDescent="0.3">
      <c r="A665" s="13" t="s">
        <v>2682</v>
      </c>
      <c r="B665" t="s">
        <v>2682</v>
      </c>
      <c r="C665" s="13" t="s">
        <v>2682</v>
      </c>
      <c r="D665" s="9" t="s">
        <v>536</v>
      </c>
      <c r="E665" s="13" t="s">
        <v>3323</v>
      </c>
    </row>
    <row r="666" spans="1:5" ht="43.2" x14ac:dyDescent="0.3">
      <c r="A666" s="13" t="s">
        <v>2683</v>
      </c>
      <c r="B666" t="s">
        <v>2683</v>
      </c>
      <c r="C666" s="13" t="s">
        <v>2683</v>
      </c>
      <c r="D666" s="9" t="s">
        <v>536</v>
      </c>
      <c r="E666" s="13" t="s">
        <v>3323</v>
      </c>
    </row>
    <row r="667" spans="1:5" ht="43.2" x14ac:dyDescent="0.3">
      <c r="A667" s="13" t="s">
        <v>2684</v>
      </c>
      <c r="B667" t="s">
        <v>2684</v>
      </c>
      <c r="C667" s="13" t="s">
        <v>2684</v>
      </c>
      <c r="D667" s="9" t="s">
        <v>536</v>
      </c>
      <c r="E667" s="13" t="s">
        <v>3323</v>
      </c>
    </row>
    <row r="668" spans="1:5" ht="43.2" x14ac:dyDescent="0.3">
      <c r="A668" s="13" t="s">
        <v>1989</v>
      </c>
      <c r="B668" t="s">
        <v>1989</v>
      </c>
      <c r="C668" s="13" t="s">
        <v>1989</v>
      </c>
      <c r="D668" s="9" t="s">
        <v>536</v>
      </c>
      <c r="E668" s="13" t="s">
        <v>3323</v>
      </c>
    </row>
    <row r="669" spans="1:5" ht="43.2" x14ac:dyDescent="0.3">
      <c r="A669" s="13" t="s">
        <v>2685</v>
      </c>
      <c r="B669" t="s">
        <v>2685</v>
      </c>
      <c r="C669" s="13" t="s">
        <v>2685</v>
      </c>
      <c r="D669" s="9" t="s">
        <v>536</v>
      </c>
      <c r="E669" s="13" t="s">
        <v>3323</v>
      </c>
    </row>
    <row r="670" spans="1:5" ht="43.2" x14ac:dyDescent="0.3">
      <c r="A670" s="13" t="s">
        <v>2686</v>
      </c>
      <c r="B670" t="s">
        <v>2686</v>
      </c>
      <c r="C670" s="13" t="s">
        <v>2686</v>
      </c>
      <c r="D670" s="9" t="s">
        <v>536</v>
      </c>
      <c r="E670" s="13" t="s">
        <v>3323</v>
      </c>
    </row>
    <row r="671" spans="1:5" ht="43.2" x14ac:dyDescent="0.3">
      <c r="A671" s="13" t="s">
        <v>2687</v>
      </c>
      <c r="B671" t="s">
        <v>2687</v>
      </c>
      <c r="C671" s="13" t="s">
        <v>2687</v>
      </c>
      <c r="D671" s="9" t="s">
        <v>536</v>
      </c>
      <c r="E671" s="13" t="s">
        <v>3323</v>
      </c>
    </row>
    <row r="672" spans="1:5" ht="43.2" x14ac:dyDescent="0.3">
      <c r="A672" s="13" t="s">
        <v>2688</v>
      </c>
      <c r="B672" t="s">
        <v>2688</v>
      </c>
      <c r="C672" s="13" t="s">
        <v>2688</v>
      </c>
      <c r="D672" s="9" t="s">
        <v>536</v>
      </c>
      <c r="E672" s="13" t="s">
        <v>3323</v>
      </c>
    </row>
    <row r="673" spans="1:5" ht="43.2" x14ac:dyDescent="0.3">
      <c r="A673" s="13" t="s">
        <v>2689</v>
      </c>
      <c r="B673" t="s">
        <v>2689</v>
      </c>
      <c r="C673" s="13" t="s">
        <v>2689</v>
      </c>
      <c r="D673" s="9" t="s">
        <v>536</v>
      </c>
      <c r="E673" s="13" t="s">
        <v>3323</v>
      </c>
    </row>
    <row r="674" spans="1:5" ht="43.2" x14ac:dyDescent="0.3">
      <c r="A674" s="13" t="s">
        <v>2690</v>
      </c>
      <c r="B674" t="s">
        <v>2690</v>
      </c>
      <c r="C674" s="13" t="s">
        <v>2690</v>
      </c>
      <c r="D674" s="9" t="s">
        <v>536</v>
      </c>
      <c r="E674" s="13" t="s">
        <v>3323</v>
      </c>
    </row>
    <row r="675" spans="1:5" ht="43.2" x14ac:dyDescent="0.3">
      <c r="A675" s="13" t="s">
        <v>2691</v>
      </c>
      <c r="B675" t="s">
        <v>2691</v>
      </c>
      <c r="C675" s="13" t="s">
        <v>2691</v>
      </c>
      <c r="D675" s="9" t="s">
        <v>536</v>
      </c>
      <c r="E675" s="13" t="s">
        <v>3323</v>
      </c>
    </row>
    <row r="676" spans="1:5" ht="43.2" x14ac:dyDescent="0.3">
      <c r="A676" s="13" t="s">
        <v>2144</v>
      </c>
      <c r="B676" t="s">
        <v>2144</v>
      </c>
      <c r="C676" s="13" t="s">
        <v>2144</v>
      </c>
      <c r="D676" s="9" t="s">
        <v>536</v>
      </c>
      <c r="E676" s="13" t="s">
        <v>3323</v>
      </c>
    </row>
    <row r="677" spans="1:5" ht="43.2" x14ac:dyDescent="0.3">
      <c r="A677" s="13" t="s">
        <v>2141</v>
      </c>
      <c r="B677" t="s">
        <v>2141</v>
      </c>
      <c r="C677" s="13" t="s">
        <v>2141</v>
      </c>
      <c r="D677" s="9" t="s">
        <v>536</v>
      </c>
      <c r="E677" s="13" t="s">
        <v>3323</v>
      </c>
    </row>
    <row r="678" spans="1:5" ht="43.2" x14ac:dyDescent="0.3">
      <c r="A678" s="13" t="s">
        <v>2692</v>
      </c>
      <c r="B678" t="s">
        <v>2692</v>
      </c>
      <c r="C678" s="13" t="s">
        <v>2692</v>
      </c>
      <c r="D678" s="9" t="s">
        <v>536</v>
      </c>
      <c r="E678" s="13" t="s">
        <v>3323</v>
      </c>
    </row>
    <row r="679" spans="1:5" ht="43.2" x14ac:dyDescent="0.3">
      <c r="A679" s="13" t="s">
        <v>2693</v>
      </c>
      <c r="B679" t="s">
        <v>2693</v>
      </c>
      <c r="C679" s="13" t="s">
        <v>2693</v>
      </c>
      <c r="D679" s="9" t="s">
        <v>536</v>
      </c>
      <c r="E679" s="13" t="s">
        <v>3323</v>
      </c>
    </row>
    <row r="680" spans="1:5" ht="43.2" x14ac:dyDescent="0.3">
      <c r="A680" s="13" t="s">
        <v>2694</v>
      </c>
      <c r="B680" t="s">
        <v>2694</v>
      </c>
      <c r="C680" s="13" t="s">
        <v>2694</v>
      </c>
      <c r="D680" s="9" t="s">
        <v>536</v>
      </c>
      <c r="E680" s="13" t="s">
        <v>3323</v>
      </c>
    </row>
    <row r="681" spans="1:5" ht="43.2" x14ac:dyDescent="0.3">
      <c r="A681" s="13" t="s">
        <v>2695</v>
      </c>
      <c r="B681" t="s">
        <v>2695</v>
      </c>
      <c r="C681" s="13" t="s">
        <v>2695</v>
      </c>
      <c r="D681" s="9" t="s">
        <v>536</v>
      </c>
      <c r="E681" s="13" t="s">
        <v>3323</v>
      </c>
    </row>
    <row r="682" spans="1:5" ht="43.2" x14ac:dyDescent="0.3">
      <c r="A682" s="13" t="s">
        <v>1988</v>
      </c>
      <c r="B682" t="s">
        <v>1988</v>
      </c>
      <c r="C682" s="13" t="s">
        <v>1988</v>
      </c>
      <c r="D682" s="9" t="s">
        <v>536</v>
      </c>
      <c r="E682" s="13" t="s">
        <v>3323</v>
      </c>
    </row>
    <row r="683" spans="1:5" ht="43.2" x14ac:dyDescent="0.3">
      <c r="A683" s="13" t="s">
        <v>1987</v>
      </c>
      <c r="B683" t="s">
        <v>1987</v>
      </c>
      <c r="C683" s="13" t="s">
        <v>1987</v>
      </c>
      <c r="D683" s="9" t="s">
        <v>536</v>
      </c>
      <c r="E683" s="13" t="s">
        <v>3323</v>
      </c>
    </row>
    <row r="684" spans="1:5" ht="43.2" x14ac:dyDescent="0.3">
      <c r="A684" s="13" t="s">
        <v>2696</v>
      </c>
      <c r="B684" t="s">
        <v>2696</v>
      </c>
      <c r="C684" s="13" t="s">
        <v>2696</v>
      </c>
      <c r="D684" s="9" t="s">
        <v>536</v>
      </c>
      <c r="E684" s="13" t="s">
        <v>3323</v>
      </c>
    </row>
    <row r="685" spans="1:5" ht="43.2" x14ac:dyDescent="0.3">
      <c r="A685" s="13" t="s">
        <v>2697</v>
      </c>
      <c r="B685" t="s">
        <v>2697</v>
      </c>
      <c r="C685" s="13" t="s">
        <v>2697</v>
      </c>
      <c r="D685" s="9" t="s">
        <v>536</v>
      </c>
      <c r="E685" s="13" t="s">
        <v>3323</v>
      </c>
    </row>
    <row r="686" spans="1:5" ht="43.2" x14ac:dyDescent="0.3">
      <c r="A686" s="13" t="s">
        <v>2698</v>
      </c>
      <c r="B686" t="s">
        <v>2698</v>
      </c>
      <c r="C686" s="13" t="s">
        <v>2698</v>
      </c>
      <c r="D686" s="9" t="s">
        <v>536</v>
      </c>
      <c r="E686" s="13" t="s">
        <v>3323</v>
      </c>
    </row>
    <row r="687" spans="1:5" ht="43.2" x14ac:dyDescent="0.3">
      <c r="A687" s="13" t="s">
        <v>2699</v>
      </c>
      <c r="B687" t="s">
        <v>2699</v>
      </c>
      <c r="C687" s="13" t="s">
        <v>2699</v>
      </c>
      <c r="D687" s="9" t="s">
        <v>536</v>
      </c>
      <c r="E687" s="13" t="s">
        <v>3323</v>
      </c>
    </row>
    <row r="688" spans="1:5" ht="43.2" x14ac:dyDescent="0.3">
      <c r="A688" s="13" t="s">
        <v>2700</v>
      </c>
      <c r="B688" t="s">
        <v>2700</v>
      </c>
      <c r="C688" s="13" t="s">
        <v>2700</v>
      </c>
      <c r="D688" s="9" t="s">
        <v>536</v>
      </c>
      <c r="E688" s="13" t="s">
        <v>3323</v>
      </c>
    </row>
    <row r="689" spans="1:5" ht="43.2" x14ac:dyDescent="0.3">
      <c r="A689" s="13" t="s">
        <v>1986</v>
      </c>
      <c r="B689" t="s">
        <v>1986</v>
      </c>
      <c r="C689" s="13" t="s">
        <v>1986</v>
      </c>
      <c r="D689" s="9" t="s">
        <v>536</v>
      </c>
      <c r="E689" s="13" t="s">
        <v>3323</v>
      </c>
    </row>
    <row r="690" spans="1:5" ht="43.2" x14ac:dyDescent="0.3">
      <c r="A690" s="13" t="s">
        <v>2701</v>
      </c>
      <c r="B690" t="s">
        <v>2701</v>
      </c>
      <c r="C690" s="13" t="s">
        <v>2701</v>
      </c>
      <c r="D690" s="9" t="s">
        <v>536</v>
      </c>
      <c r="E690" s="13" t="s">
        <v>3323</v>
      </c>
    </row>
    <row r="691" spans="1:5" ht="43.2" x14ac:dyDescent="0.3">
      <c r="A691" s="13" t="s">
        <v>2702</v>
      </c>
      <c r="B691" t="s">
        <v>2702</v>
      </c>
      <c r="C691" s="13" t="s">
        <v>2702</v>
      </c>
      <c r="D691" s="9" t="s">
        <v>536</v>
      </c>
      <c r="E691" s="13" t="s">
        <v>3323</v>
      </c>
    </row>
    <row r="692" spans="1:5" ht="43.2" x14ac:dyDescent="0.3">
      <c r="A692" s="13" t="s">
        <v>1985</v>
      </c>
      <c r="B692" t="s">
        <v>1985</v>
      </c>
      <c r="C692" s="13" t="s">
        <v>1985</v>
      </c>
      <c r="D692" s="9" t="s">
        <v>536</v>
      </c>
      <c r="E692" s="13" t="s">
        <v>3323</v>
      </c>
    </row>
    <row r="693" spans="1:5" ht="43.2" x14ac:dyDescent="0.3">
      <c r="A693" s="13" t="s">
        <v>2703</v>
      </c>
      <c r="B693" t="s">
        <v>2703</v>
      </c>
      <c r="C693" s="13" t="s">
        <v>2703</v>
      </c>
      <c r="D693" s="9" t="s">
        <v>536</v>
      </c>
      <c r="E693" s="13" t="s">
        <v>3323</v>
      </c>
    </row>
    <row r="694" spans="1:5" ht="43.2" x14ac:dyDescent="0.3">
      <c r="A694" s="13" t="s">
        <v>2704</v>
      </c>
      <c r="B694" t="s">
        <v>2704</v>
      </c>
      <c r="C694" s="13" t="s">
        <v>2704</v>
      </c>
      <c r="D694" s="9" t="s">
        <v>536</v>
      </c>
      <c r="E694" s="13" t="s">
        <v>3323</v>
      </c>
    </row>
    <row r="695" spans="1:5" ht="43.2" x14ac:dyDescent="0.3">
      <c r="A695" s="13" t="s">
        <v>2705</v>
      </c>
      <c r="B695" t="s">
        <v>2705</v>
      </c>
      <c r="C695" s="13" t="s">
        <v>2705</v>
      </c>
      <c r="D695" s="9" t="s">
        <v>536</v>
      </c>
      <c r="E695" s="13" t="s">
        <v>3323</v>
      </c>
    </row>
    <row r="696" spans="1:5" ht="43.2" x14ac:dyDescent="0.3">
      <c r="A696" s="13" t="s">
        <v>1984</v>
      </c>
      <c r="B696" t="s">
        <v>1984</v>
      </c>
      <c r="C696" s="13" t="s">
        <v>1984</v>
      </c>
      <c r="D696" s="9" t="s">
        <v>536</v>
      </c>
      <c r="E696" s="13" t="s">
        <v>3323</v>
      </c>
    </row>
    <row r="697" spans="1:5" ht="43.2" x14ac:dyDescent="0.3">
      <c r="A697" s="13" t="s">
        <v>1983</v>
      </c>
      <c r="B697" t="s">
        <v>1983</v>
      </c>
      <c r="C697" s="13" t="s">
        <v>1983</v>
      </c>
      <c r="D697" s="9" t="s">
        <v>536</v>
      </c>
      <c r="E697" s="13" t="s">
        <v>3323</v>
      </c>
    </row>
    <row r="698" spans="1:5" ht="43.2" x14ac:dyDescent="0.3">
      <c r="A698" s="13" t="s">
        <v>2706</v>
      </c>
      <c r="B698" t="s">
        <v>2706</v>
      </c>
      <c r="C698" s="13" t="s">
        <v>2706</v>
      </c>
      <c r="D698" s="9" t="s">
        <v>536</v>
      </c>
      <c r="E698" s="13" t="s">
        <v>3323</v>
      </c>
    </row>
    <row r="699" spans="1:5" ht="43.2" x14ac:dyDescent="0.3">
      <c r="A699" s="13" t="s">
        <v>1982</v>
      </c>
      <c r="B699" t="s">
        <v>1982</v>
      </c>
      <c r="C699" s="13" t="s">
        <v>1982</v>
      </c>
      <c r="D699" s="9" t="s">
        <v>536</v>
      </c>
      <c r="E699" s="13" t="s">
        <v>3323</v>
      </c>
    </row>
    <row r="700" spans="1:5" ht="43.2" x14ac:dyDescent="0.3">
      <c r="A700" s="13" t="s">
        <v>2707</v>
      </c>
      <c r="B700" t="s">
        <v>2707</v>
      </c>
      <c r="C700" s="13" t="s">
        <v>2707</v>
      </c>
      <c r="D700" s="9" t="s">
        <v>536</v>
      </c>
      <c r="E700" s="13" t="s">
        <v>3323</v>
      </c>
    </row>
    <row r="701" spans="1:5" ht="43.2" x14ac:dyDescent="0.3">
      <c r="A701" s="13" t="s">
        <v>2708</v>
      </c>
      <c r="B701" t="s">
        <v>2708</v>
      </c>
      <c r="C701" s="13" t="s">
        <v>2708</v>
      </c>
      <c r="D701" s="9" t="s">
        <v>536</v>
      </c>
      <c r="E701" s="13" t="s">
        <v>3323</v>
      </c>
    </row>
    <row r="702" spans="1:5" ht="43.2" x14ac:dyDescent="0.3">
      <c r="A702" s="13" t="s">
        <v>2709</v>
      </c>
      <c r="B702" t="s">
        <v>2709</v>
      </c>
      <c r="C702" s="13" t="s">
        <v>2709</v>
      </c>
      <c r="D702" s="9" t="s">
        <v>536</v>
      </c>
      <c r="E702" s="13" t="s">
        <v>3323</v>
      </c>
    </row>
    <row r="703" spans="1:5" ht="43.2" x14ac:dyDescent="0.3">
      <c r="A703" s="13" t="s">
        <v>2710</v>
      </c>
      <c r="B703" t="s">
        <v>2710</v>
      </c>
      <c r="C703" s="13" t="s">
        <v>2710</v>
      </c>
      <c r="D703" s="9" t="s">
        <v>536</v>
      </c>
      <c r="E703" s="13" t="s">
        <v>3323</v>
      </c>
    </row>
    <row r="704" spans="1:5" ht="43.2" x14ac:dyDescent="0.3">
      <c r="A704" s="13" t="s">
        <v>2711</v>
      </c>
      <c r="B704" t="s">
        <v>2711</v>
      </c>
      <c r="C704" s="13" t="s">
        <v>2711</v>
      </c>
      <c r="D704" s="9" t="s">
        <v>536</v>
      </c>
      <c r="E704" s="13" t="s">
        <v>3323</v>
      </c>
    </row>
    <row r="705" spans="1:5" ht="43.2" x14ac:dyDescent="0.3">
      <c r="A705" s="13" t="s">
        <v>1981</v>
      </c>
      <c r="B705" t="s">
        <v>1981</v>
      </c>
      <c r="C705" s="13" t="s">
        <v>1981</v>
      </c>
      <c r="D705" s="9" t="s">
        <v>536</v>
      </c>
      <c r="E705" s="13" t="s">
        <v>3323</v>
      </c>
    </row>
    <row r="706" spans="1:5" ht="43.2" x14ac:dyDescent="0.3">
      <c r="A706" s="13" t="s">
        <v>2712</v>
      </c>
      <c r="B706" t="s">
        <v>2712</v>
      </c>
      <c r="C706" s="13" t="s">
        <v>2712</v>
      </c>
      <c r="D706" s="9" t="s">
        <v>536</v>
      </c>
      <c r="E706" s="13" t="s">
        <v>3323</v>
      </c>
    </row>
    <row r="707" spans="1:5" ht="43.2" x14ac:dyDescent="0.3">
      <c r="A707" s="13" t="s">
        <v>2713</v>
      </c>
      <c r="B707" t="s">
        <v>2713</v>
      </c>
      <c r="C707" s="13" t="s">
        <v>2713</v>
      </c>
      <c r="D707" s="9" t="s">
        <v>536</v>
      </c>
      <c r="E707" s="13" t="s">
        <v>3323</v>
      </c>
    </row>
    <row r="708" spans="1:5" ht="43.2" x14ac:dyDescent="0.3">
      <c r="A708" s="13" t="s">
        <v>2714</v>
      </c>
      <c r="B708" t="s">
        <v>2714</v>
      </c>
      <c r="C708" s="13" t="s">
        <v>2714</v>
      </c>
      <c r="D708" s="9" t="s">
        <v>536</v>
      </c>
      <c r="E708" s="13" t="s">
        <v>3323</v>
      </c>
    </row>
    <row r="709" spans="1:5" ht="43.2" x14ac:dyDescent="0.3">
      <c r="A709" s="13" t="s">
        <v>2715</v>
      </c>
      <c r="B709" t="s">
        <v>2715</v>
      </c>
      <c r="C709" s="13" t="s">
        <v>2715</v>
      </c>
      <c r="D709" s="9" t="s">
        <v>536</v>
      </c>
      <c r="E709" s="13" t="s">
        <v>3323</v>
      </c>
    </row>
    <row r="710" spans="1:5" ht="43.2" x14ac:dyDescent="0.3">
      <c r="A710" s="13" t="s">
        <v>2716</v>
      </c>
      <c r="B710" t="s">
        <v>2716</v>
      </c>
      <c r="C710" s="13" t="s">
        <v>2716</v>
      </c>
      <c r="D710" s="9" t="s">
        <v>536</v>
      </c>
      <c r="E710" s="13" t="s">
        <v>3323</v>
      </c>
    </row>
    <row r="711" spans="1:5" ht="43.2" x14ac:dyDescent="0.3">
      <c r="A711" s="13" t="s">
        <v>2717</v>
      </c>
      <c r="B711" t="s">
        <v>2717</v>
      </c>
      <c r="C711" s="13" t="s">
        <v>2717</v>
      </c>
      <c r="D711" s="9" t="s">
        <v>536</v>
      </c>
      <c r="E711" s="13" t="s">
        <v>3323</v>
      </c>
    </row>
    <row r="712" spans="1:5" ht="43.2" x14ac:dyDescent="0.3">
      <c r="A712" s="13" t="s">
        <v>2718</v>
      </c>
      <c r="B712" t="s">
        <v>2718</v>
      </c>
      <c r="C712" s="13" t="s">
        <v>2718</v>
      </c>
      <c r="D712" s="9" t="s">
        <v>536</v>
      </c>
      <c r="E712" s="13" t="s">
        <v>3323</v>
      </c>
    </row>
    <row r="713" spans="1:5" ht="43.2" x14ac:dyDescent="0.3">
      <c r="A713" s="13" t="s">
        <v>2142</v>
      </c>
      <c r="B713" t="s">
        <v>2142</v>
      </c>
      <c r="C713" s="13" t="s">
        <v>2142</v>
      </c>
      <c r="D713" s="9" t="s">
        <v>536</v>
      </c>
      <c r="E713" s="13" t="s">
        <v>3323</v>
      </c>
    </row>
    <row r="714" spans="1:5" ht="43.2" x14ac:dyDescent="0.3">
      <c r="A714" s="13" t="s">
        <v>2719</v>
      </c>
      <c r="B714" t="s">
        <v>2719</v>
      </c>
      <c r="C714" s="13" t="s">
        <v>2719</v>
      </c>
      <c r="D714" s="9" t="s">
        <v>536</v>
      </c>
      <c r="E714" s="13" t="s">
        <v>3323</v>
      </c>
    </row>
    <row r="715" spans="1:5" ht="43.2" x14ac:dyDescent="0.3">
      <c r="A715" s="13" t="s">
        <v>2720</v>
      </c>
      <c r="B715" t="s">
        <v>2720</v>
      </c>
      <c r="C715" s="13" t="s">
        <v>2720</v>
      </c>
      <c r="D715" s="9" t="s">
        <v>536</v>
      </c>
      <c r="E715" s="13" t="s">
        <v>3323</v>
      </c>
    </row>
    <row r="716" spans="1:5" ht="43.2" x14ac:dyDescent="0.3">
      <c r="A716" s="13" t="s">
        <v>2721</v>
      </c>
      <c r="B716" t="s">
        <v>2721</v>
      </c>
      <c r="C716" s="13" t="s">
        <v>2721</v>
      </c>
      <c r="D716" s="9" t="s">
        <v>536</v>
      </c>
      <c r="E716" s="13" t="s">
        <v>3323</v>
      </c>
    </row>
    <row r="717" spans="1:5" ht="43.2" x14ac:dyDescent="0.3">
      <c r="A717" s="13" t="s">
        <v>2722</v>
      </c>
      <c r="B717" t="s">
        <v>2722</v>
      </c>
      <c r="C717" s="13" t="s">
        <v>2722</v>
      </c>
      <c r="D717" s="9" t="s">
        <v>536</v>
      </c>
      <c r="E717" s="13" t="s">
        <v>3323</v>
      </c>
    </row>
    <row r="718" spans="1:5" ht="43.2" x14ac:dyDescent="0.3">
      <c r="A718" s="13" t="s">
        <v>1980</v>
      </c>
      <c r="B718" t="s">
        <v>1980</v>
      </c>
      <c r="C718" s="13" t="s">
        <v>1980</v>
      </c>
      <c r="D718" s="9" t="s">
        <v>536</v>
      </c>
      <c r="E718" s="13" t="s">
        <v>3323</v>
      </c>
    </row>
    <row r="719" spans="1:5" ht="43.2" x14ac:dyDescent="0.3">
      <c r="A719" s="13" t="s">
        <v>2723</v>
      </c>
      <c r="B719" t="s">
        <v>2723</v>
      </c>
      <c r="C719" s="13" t="s">
        <v>2723</v>
      </c>
      <c r="D719" s="9" t="s">
        <v>536</v>
      </c>
      <c r="E719" s="13" t="s">
        <v>3323</v>
      </c>
    </row>
    <row r="720" spans="1:5" ht="43.2" x14ac:dyDescent="0.3">
      <c r="A720" s="13" t="s">
        <v>2724</v>
      </c>
      <c r="B720" t="s">
        <v>2724</v>
      </c>
      <c r="C720" s="13" t="s">
        <v>2724</v>
      </c>
      <c r="D720" s="9" t="s">
        <v>536</v>
      </c>
      <c r="E720" s="13" t="s">
        <v>3323</v>
      </c>
    </row>
    <row r="721" spans="1:5" ht="43.2" x14ac:dyDescent="0.3">
      <c r="A721" s="13" t="s">
        <v>2725</v>
      </c>
      <c r="B721" t="s">
        <v>2725</v>
      </c>
      <c r="C721" s="13" t="s">
        <v>2725</v>
      </c>
      <c r="D721" s="9" t="s">
        <v>536</v>
      </c>
      <c r="E721" s="13" t="s">
        <v>3323</v>
      </c>
    </row>
    <row r="722" spans="1:5" ht="43.2" x14ac:dyDescent="0.3">
      <c r="A722" s="13" t="s">
        <v>2726</v>
      </c>
      <c r="B722" t="s">
        <v>2726</v>
      </c>
      <c r="C722" s="13" t="s">
        <v>2726</v>
      </c>
      <c r="D722" s="9" t="s">
        <v>536</v>
      </c>
      <c r="E722" s="13" t="s">
        <v>3323</v>
      </c>
    </row>
    <row r="723" spans="1:5" ht="43.2" x14ac:dyDescent="0.3">
      <c r="A723" s="13" t="s">
        <v>2727</v>
      </c>
      <c r="B723" t="s">
        <v>2727</v>
      </c>
      <c r="C723" s="13" t="s">
        <v>2727</v>
      </c>
      <c r="D723" s="9" t="s">
        <v>536</v>
      </c>
      <c r="E723" s="13" t="s">
        <v>3323</v>
      </c>
    </row>
    <row r="724" spans="1:5" ht="43.2" x14ac:dyDescent="0.3">
      <c r="A724" s="13" t="s">
        <v>2143</v>
      </c>
      <c r="B724" t="s">
        <v>2143</v>
      </c>
      <c r="C724" s="13" t="s">
        <v>2143</v>
      </c>
      <c r="D724" s="9" t="s">
        <v>536</v>
      </c>
      <c r="E724" s="13" t="s">
        <v>3323</v>
      </c>
    </row>
    <row r="725" spans="1:5" ht="43.2" x14ac:dyDescent="0.3">
      <c r="A725" s="13" t="s">
        <v>1979</v>
      </c>
      <c r="B725" t="s">
        <v>1979</v>
      </c>
      <c r="C725" s="13" t="s">
        <v>1979</v>
      </c>
      <c r="D725" s="9" t="s">
        <v>536</v>
      </c>
      <c r="E725" s="13" t="s">
        <v>3323</v>
      </c>
    </row>
    <row r="726" spans="1:5" ht="43.2" x14ac:dyDescent="0.3">
      <c r="A726" s="13" t="s">
        <v>1978</v>
      </c>
      <c r="B726" t="s">
        <v>1978</v>
      </c>
      <c r="C726" s="13" t="s">
        <v>1978</v>
      </c>
      <c r="D726" s="9" t="s">
        <v>536</v>
      </c>
      <c r="E726" s="13" t="s">
        <v>3323</v>
      </c>
    </row>
    <row r="727" spans="1:5" ht="43.2" x14ac:dyDescent="0.3">
      <c r="A727" s="13" t="s">
        <v>2728</v>
      </c>
      <c r="B727" t="s">
        <v>2728</v>
      </c>
      <c r="C727" s="13" t="s">
        <v>2728</v>
      </c>
      <c r="D727" s="9" t="s">
        <v>536</v>
      </c>
      <c r="E727" s="13" t="s">
        <v>3323</v>
      </c>
    </row>
    <row r="728" spans="1:5" ht="43.2" x14ac:dyDescent="0.3">
      <c r="A728" s="13" t="s">
        <v>1977</v>
      </c>
      <c r="B728" t="s">
        <v>1977</v>
      </c>
      <c r="C728" s="13" t="s">
        <v>1977</v>
      </c>
      <c r="D728" s="9" t="s">
        <v>536</v>
      </c>
      <c r="E728" s="13" t="s">
        <v>3323</v>
      </c>
    </row>
    <row r="729" spans="1:5" ht="43.2" x14ac:dyDescent="0.3">
      <c r="A729" s="13" t="s">
        <v>2729</v>
      </c>
      <c r="B729" t="s">
        <v>2729</v>
      </c>
      <c r="C729" s="13" t="s">
        <v>2729</v>
      </c>
      <c r="D729" s="9" t="s">
        <v>536</v>
      </c>
      <c r="E729" s="13" t="s">
        <v>3323</v>
      </c>
    </row>
    <row r="730" spans="1:5" ht="43.2" x14ac:dyDescent="0.3">
      <c r="A730" s="13" t="s">
        <v>2730</v>
      </c>
      <c r="B730" t="s">
        <v>2730</v>
      </c>
      <c r="C730" s="13" t="s">
        <v>2730</v>
      </c>
      <c r="D730" s="9" t="s">
        <v>536</v>
      </c>
      <c r="E730" s="13" t="s">
        <v>3323</v>
      </c>
    </row>
    <row r="731" spans="1:5" ht="43.2" x14ac:dyDescent="0.3">
      <c r="A731" s="13" t="s">
        <v>1976</v>
      </c>
      <c r="B731" t="s">
        <v>1976</v>
      </c>
      <c r="C731" s="13" t="s">
        <v>1976</v>
      </c>
      <c r="D731" s="9" t="s">
        <v>536</v>
      </c>
      <c r="E731" s="13" t="s">
        <v>3323</v>
      </c>
    </row>
    <row r="732" spans="1:5" ht="43.2" x14ac:dyDescent="0.3">
      <c r="A732" s="13" t="s">
        <v>1975</v>
      </c>
      <c r="B732" t="s">
        <v>1975</v>
      </c>
      <c r="C732" s="13" t="s">
        <v>1975</v>
      </c>
      <c r="D732" s="9" t="s">
        <v>536</v>
      </c>
      <c r="E732" s="13" t="s">
        <v>3323</v>
      </c>
    </row>
    <row r="733" spans="1:5" ht="43.2" x14ac:dyDescent="0.3">
      <c r="A733" s="13" t="s">
        <v>1974</v>
      </c>
      <c r="B733" t="s">
        <v>1974</v>
      </c>
      <c r="C733" s="13" t="s">
        <v>1974</v>
      </c>
      <c r="D733" s="9" t="s">
        <v>536</v>
      </c>
      <c r="E733" s="13" t="s">
        <v>3323</v>
      </c>
    </row>
    <row r="734" spans="1:5" ht="43.2" x14ac:dyDescent="0.3">
      <c r="A734" s="13" t="s">
        <v>1973</v>
      </c>
      <c r="B734" t="s">
        <v>1973</v>
      </c>
      <c r="C734" s="13" t="s">
        <v>1973</v>
      </c>
      <c r="D734" s="9" t="s">
        <v>536</v>
      </c>
      <c r="E734" s="13" t="s">
        <v>3323</v>
      </c>
    </row>
    <row r="735" spans="1:5" ht="43.2" x14ac:dyDescent="0.3">
      <c r="A735" s="13" t="s">
        <v>1972</v>
      </c>
      <c r="B735" t="s">
        <v>1972</v>
      </c>
      <c r="C735" s="13" t="s">
        <v>1972</v>
      </c>
      <c r="D735" s="9" t="s">
        <v>536</v>
      </c>
      <c r="E735" s="13" t="s">
        <v>3323</v>
      </c>
    </row>
    <row r="736" spans="1:5" ht="43.2" x14ac:dyDescent="0.3">
      <c r="A736" s="13" t="s">
        <v>2731</v>
      </c>
      <c r="B736" t="s">
        <v>2731</v>
      </c>
      <c r="C736" s="13" t="s">
        <v>2731</v>
      </c>
      <c r="D736" s="9" t="s">
        <v>536</v>
      </c>
      <c r="E736" s="13" t="s">
        <v>3323</v>
      </c>
    </row>
    <row r="737" spans="1:5" ht="43.2" x14ac:dyDescent="0.3">
      <c r="A737" s="13" t="s">
        <v>2732</v>
      </c>
      <c r="B737" t="s">
        <v>2732</v>
      </c>
      <c r="C737" s="13" t="s">
        <v>2732</v>
      </c>
      <c r="D737" s="9" t="s">
        <v>536</v>
      </c>
      <c r="E737" s="13" t="s">
        <v>3323</v>
      </c>
    </row>
    <row r="738" spans="1:5" ht="43.2" x14ac:dyDescent="0.3">
      <c r="A738" s="13" t="s">
        <v>1971</v>
      </c>
      <c r="B738" t="s">
        <v>1971</v>
      </c>
      <c r="C738" s="13" t="s">
        <v>1971</v>
      </c>
      <c r="D738" s="9" t="s">
        <v>536</v>
      </c>
      <c r="E738" s="13" t="s">
        <v>3323</v>
      </c>
    </row>
    <row r="739" spans="1:5" ht="43.2" x14ac:dyDescent="0.3">
      <c r="A739" s="13" t="s">
        <v>1970</v>
      </c>
      <c r="B739" t="s">
        <v>1970</v>
      </c>
      <c r="C739" s="13" t="s">
        <v>1970</v>
      </c>
      <c r="D739" s="9" t="s">
        <v>536</v>
      </c>
      <c r="E739" s="13" t="s">
        <v>3323</v>
      </c>
    </row>
    <row r="740" spans="1:5" ht="43.2" x14ac:dyDescent="0.3">
      <c r="A740" s="13" t="s">
        <v>2733</v>
      </c>
      <c r="B740" t="s">
        <v>2733</v>
      </c>
      <c r="C740" s="13" t="s">
        <v>2733</v>
      </c>
      <c r="D740" s="9" t="s">
        <v>536</v>
      </c>
      <c r="E740" s="13" t="s">
        <v>3323</v>
      </c>
    </row>
    <row r="741" spans="1:5" ht="43.2" x14ac:dyDescent="0.3">
      <c r="A741" s="13" t="s">
        <v>2734</v>
      </c>
      <c r="B741" t="s">
        <v>2734</v>
      </c>
      <c r="C741" s="13" t="s">
        <v>2734</v>
      </c>
      <c r="D741" s="9" t="s">
        <v>536</v>
      </c>
      <c r="E741" s="13" t="s">
        <v>3323</v>
      </c>
    </row>
    <row r="742" spans="1:5" ht="43.2" x14ac:dyDescent="0.3">
      <c r="A742" s="13" t="s">
        <v>2735</v>
      </c>
      <c r="B742" t="s">
        <v>2735</v>
      </c>
      <c r="C742" s="13" t="s">
        <v>2735</v>
      </c>
      <c r="D742" s="9" t="s">
        <v>536</v>
      </c>
      <c r="E742" s="13" t="s">
        <v>3323</v>
      </c>
    </row>
    <row r="743" spans="1:5" ht="43.2" x14ac:dyDescent="0.3">
      <c r="A743" s="13" t="s">
        <v>2736</v>
      </c>
      <c r="B743" t="s">
        <v>2736</v>
      </c>
      <c r="C743" s="13" t="s">
        <v>2736</v>
      </c>
      <c r="D743" s="9" t="s">
        <v>536</v>
      </c>
      <c r="E743" s="13" t="s">
        <v>3323</v>
      </c>
    </row>
    <row r="744" spans="1:5" ht="43.2" x14ac:dyDescent="0.3">
      <c r="A744" s="13" t="s">
        <v>2737</v>
      </c>
      <c r="B744" t="s">
        <v>2737</v>
      </c>
      <c r="C744" s="13" t="s">
        <v>2737</v>
      </c>
      <c r="D744" s="9" t="s">
        <v>536</v>
      </c>
      <c r="E744" s="13" t="s">
        <v>3323</v>
      </c>
    </row>
    <row r="745" spans="1:5" ht="43.2" x14ac:dyDescent="0.3">
      <c r="A745" s="13" t="s">
        <v>1969</v>
      </c>
      <c r="B745" t="s">
        <v>1969</v>
      </c>
      <c r="C745" s="13" t="s">
        <v>1969</v>
      </c>
      <c r="D745" s="9" t="s">
        <v>536</v>
      </c>
      <c r="E745" s="13" t="s">
        <v>3323</v>
      </c>
    </row>
    <row r="746" spans="1:5" ht="43.2" x14ac:dyDescent="0.3">
      <c r="A746" s="13" t="s">
        <v>1968</v>
      </c>
      <c r="B746" t="s">
        <v>1968</v>
      </c>
      <c r="C746" s="13" t="s">
        <v>1968</v>
      </c>
      <c r="D746" s="9" t="s">
        <v>536</v>
      </c>
      <c r="E746" s="13" t="s">
        <v>3323</v>
      </c>
    </row>
    <row r="747" spans="1:5" ht="43.2" x14ac:dyDescent="0.3">
      <c r="A747" s="13" t="s">
        <v>2738</v>
      </c>
      <c r="B747" t="s">
        <v>2738</v>
      </c>
      <c r="C747" s="13" t="s">
        <v>2738</v>
      </c>
      <c r="D747" s="9" t="s">
        <v>536</v>
      </c>
      <c r="E747" s="13" t="s">
        <v>3323</v>
      </c>
    </row>
    <row r="748" spans="1:5" ht="43.2" x14ac:dyDescent="0.3">
      <c r="A748" s="13" t="s">
        <v>2739</v>
      </c>
      <c r="B748" t="s">
        <v>2739</v>
      </c>
      <c r="C748" s="13" t="s">
        <v>2739</v>
      </c>
      <c r="D748" s="9" t="s">
        <v>536</v>
      </c>
      <c r="E748" s="13" t="s">
        <v>3323</v>
      </c>
    </row>
    <row r="749" spans="1:5" ht="43.2" x14ac:dyDescent="0.3">
      <c r="A749" s="13" t="s">
        <v>1967</v>
      </c>
      <c r="B749" t="s">
        <v>1967</v>
      </c>
      <c r="C749" s="13" t="s">
        <v>1967</v>
      </c>
      <c r="D749" s="9" t="s">
        <v>536</v>
      </c>
      <c r="E749" s="13" t="s">
        <v>3323</v>
      </c>
    </row>
    <row r="750" spans="1:5" ht="43.2" x14ac:dyDescent="0.3">
      <c r="A750" s="13" t="s">
        <v>2740</v>
      </c>
      <c r="B750" t="s">
        <v>2740</v>
      </c>
      <c r="C750" s="13" t="s">
        <v>2740</v>
      </c>
      <c r="D750" s="9" t="s">
        <v>536</v>
      </c>
      <c r="E750" s="13" t="s">
        <v>3323</v>
      </c>
    </row>
    <row r="751" spans="1:5" ht="43.2" x14ac:dyDescent="0.3">
      <c r="A751" s="13" t="s">
        <v>2741</v>
      </c>
      <c r="B751" t="s">
        <v>2741</v>
      </c>
      <c r="C751" s="13" t="s">
        <v>2741</v>
      </c>
      <c r="D751" s="9" t="s">
        <v>536</v>
      </c>
      <c r="E751" s="13" t="s">
        <v>3323</v>
      </c>
    </row>
    <row r="752" spans="1:5" ht="43.2" x14ac:dyDescent="0.3">
      <c r="A752" s="13" t="s">
        <v>2742</v>
      </c>
      <c r="B752" t="s">
        <v>2742</v>
      </c>
      <c r="C752" s="13" t="s">
        <v>2742</v>
      </c>
      <c r="D752" s="9" t="s">
        <v>536</v>
      </c>
      <c r="E752" s="13" t="s">
        <v>3323</v>
      </c>
    </row>
    <row r="753" spans="1:5" ht="43.2" x14ac:dyDescent="0.3">
      <c r="A753" s="13" t="s">
        <v>2743</v>
      </c>
      <c r="B753" t="s">
        <v>2743</v>
      </c>
      <c r="C753" s="13" t="s">
        <v>2743</v>
      </c>
      <c r="D753" s="9" t="s">
        <v>536</v>
      </c>
      <c r="E753" s="13" t="s">
        <v>3323</v>
      </c>
    </row>
    <row r="754" spans="1:5" ht="43.2" x14ac:dyDescent="0.3">
      <c r="A754" s="13" t="s">
        <v>2744</v>
      </c>
      <c r="B754" t="s">
        <v>2744</v>
      </c>
      <c r="C754" s="13" t="s">
        <v>2744</v>
      </c>
      <c r="D754" s="9" t="s">
        <v>536</v>
      </c>
      <c r="E754" s="13" t="s">
        <v>3323</v>
      </c>
    </row>
    <row r="755" spans="1:5" ht="43.2" x14ac:dyDescent="0.3">
      <c r="A755" s="13" t="s">
        <v>2745</v>
      </c>
      <c r="B755" t="s">
        <v>2745</v>
      </c>
      <c r="C755" s="13" t="s">
        <v>2745</v>
      </c>
      <c r="D755" s="9" t="s">
        <v>536</v>
      </c>
      <c r="E755" s="13" t="s">
        <v>3323</v>
      </c>
    </row>
    <row r="756" spans="1:5" ht="43.2" x14ac:dyDescent="0.3">
      <c r="A756" s="13" t="s">
        <v>2746</v>
      </c>
      <c r="B756" t="s">
        <v>2746</v>
      </c>
      <c r="C756" s="13" t="s">
        <v>2746</v>
      </c>
      <c r="D756" s="9" t="s">
        <v>536</v>
      </c>
      <c r="E756" s="13" t="s">
        <v>3323</v>
      </c>
    </row>
    <row r="757" spans="1:5" ht="28.8" x14ac:dyDescent="0.3">
      <c r="A757" s="13" t="s">
        <v>2747</v>
      </c>
      <c r="B757" t="s">
        <v>2747</v>
      </c>
      <c r="C757" s="13" t="s">
        <v>2747</v>
      </c>
      <c r="D757" s="9" t="s">
        <v>536</v>
      </c>
      <c r="E757" s="13" t="s">
        <v>3323</v>
      </c>
    </row>
    <row r="758" spans="1:5" ht="43.2" x14ac:dyDescent="0.3">
      <c r="A758" s="13" t="s">
        <v>2748</v>
      </c>
      <c r="B758" t="s">
        <v>2748</v>
      </c>
      <c r="C758" s="13" t="s">
        <v>2748</v>
      </c>
      <c r="D758" s="9" t="s">
        <v>536</v>
      </c>
      <c r="E758" s="13" t="s">
        <v>3323</v>
      </c>
    </row>
    <row r="759" spans="1:5" ht="43.2" x14ac:dyDescent="0.3">
      <c r="A759" s="13" t="s">
        <v>2749</v>
      </c>
      <c r="B759" t="s">
        <v>2749</v>
      </c>
      <c r="C759" s="13" t="s">
        <v>2749</v>
      </c>
      <c r="D759" s="9" t="s">
        <v>536</v>
      </c>
      <c r="E759" s="13" t="s">
        <v>3323</v>
      </c>
    </row>
    <row r="760" spans="1:5" ht="43.2" x14ac:dyDescent="0.3">
      <c r="A760" s="13" t="s">
        <v>2750</v>
      </c>
      <c r="B760" t="s">
        <v>2750</v>
      </c>
      <c r="C760" s="13" t="s">
        <v>2750</v>
      </c>
      <c r="D760" s="9" t="s">
        <v>536</v>
      </c>
      <c r="E760" s="13" t="s">
        <v>3323</v>
      </c>
    </row>
    <row r="761" spans="1:5" ht="43.2" x14ac:dyDescent="0.3">
      <c r="A761" s="13" t="s">
        <v>2751</v>
      </c>
      <c r="B761" t="s">
        <v>2751</v>
      </c>
      <c r="C761" s="13" t="s">
        <v>2751</v>
      </c>
      <c r="D761" s="9" t="s">
        <v>536</v>
      </c>
      <c r="E761" s="13" t="s">
        <v>3323</v>
      </c>
    </row>
    <row r="762" spans="1:5" ht="43.2" x14ac:dyDescent="0.3">
      <c r="A762" s="13" t="s">
        <v>2752</v>
      </c>
      <c r="B762" t="s">
        <v>2752</v>
      </c>
      <c r="C762" s="13" t="s">
        <v>2752</v>
      </c>
      <c r="D762" s="9" t="s">
        <v>536</v>
      </c>
      <c r="E762" s="13" t="s">
        <v>3323</v>
      </c>
    </row>
    <row r="763" spans="1:5" ht="43.2" x14ac:dyDescent="0.3">
      <c r="A763" s="13" t="s">
        <v>2753</v>
      </c>
      <c r="B763" t="s">
        <v>2753</v>
      </c>
      <c r="C763" s="13" t="s">
        <v>2753</v>
      </c>
      <c r="D763" s="9" t="s">
        <v>536</v>
      </c>
      <c r="E763" s="13" t="s">
        <v>3323</v>
      </c>
    </row>
    <row r="764" spans="1:5" ht="43.2" x14ac:dyDescent="0.3">
      <c r="A764" s="13" t="s">
        <v>1966</v>
      </c>
      <c r="B764" t="s">
        <v>1966</v>
      </c>
      <c r="C764" s="13" t="s">
        <v>1966</v>
      </c>
      <c r="D764" s="9" t="s">
        <v>536</v>
      </c>
      <c r="E764" s="13" t="s">
        <v>3323</v>
      </c>
    </row>
    <row r="765" spans="1:5" ht="43.2" x14ac:dyDescent="0.3">
      <c r="A765" s="13" t="s">
        <v>2754</v>
      </c>
      <c r="B765" t="s">
        <v>2754</v>
      </c>
      <c r="C765" s="13" t="s">
        <v>2754</v>
      </c>
      <c r="D765" s="9" t="s">
        <v>536</v>
      </c>
      <c r="E765" s="13" t="s">
        <v>3323</v>
      </c>
    </row>
    <row r="766" spans="1:5" ht="43.2" x14ac:dyDescent="0.3">
      <c r="A766" s="13" t="s">
        <v>2755</v>
      </c>
      <c r="B766" t="s">
        <v>2755</v>
      </c>
      <c r="C766" s="13" t="s">
        <v>2755</v>
      </c>
      <c r="D766" s="9" t="s">
        <v>536</v>
      </c>
      <c r="E766" s="13" t="s">
        <v>3323</v>
      </c>
    </row>
    <row r="767" spans="1:5" ht="43.2" x14ac:dyDescent="0.3">
      <c r="A767" s="13" t="s">
        <v>2756</v>
      </c>
      <c r="B767" t="s">
        <v>2756</v>
      </c>
      <c r="C767" s="13" t="s">
        <v>2756</v>
      </c>
      <c r="D767" s="9" t="s">
        <v>536</v>
      </c>
      <c r="E767" s="13" t="s">
        <v>3323</v>
      </c>
    </row>
    <row r="768" spans="1:5" ht="43.2" x14ac:dyDescent="0.3">
      <c r="A768" s="13" t="s">
        <v>2757</v>
      </c>
      <c r="B768" t="s">
        <v>2757</v>
      </c>
      <c r="C768" s="13" t="s">
        <v>2757</v>
      </c>
      <c r="D768" s="9" t="s">
        <v>536</v>
      </c>
      <c r="E768" s="13" t="s">
        <v>3323</v>
      </c>
    </row>
    <row r="769" spans="1:5" ht="43.2" x14ac:dyDescent="0.3">
      <c r="A769" s="13" t="s">
        <v>1965</v>
      </c>
      <c r="B769" t="s">
        <v>1965</v>
      </c>
      <c r="C769" s="13" t="s">
        <v>1965</v>
      </c>
      <c r="D769" s="9" t="s">
        <v>536</v>
      </c>
      <c r="E769" s="13" t="s">
        <v>3323</v>
      </c>
    </row>
    <row r="770" spans="1:5" ht="43.2" x14ac:dyDescent="0.3">
      <c r="A770" s="13" t="s">
        <v>2758</v>
      </c>
      <c r="B770" t="s">
        <v>2758</v>
      </c>
      <c r="C770" s="13" t="s">
        <v>2758</v>
      </c>
      <c r="D770" s="9" t="s">
        <v>536</v>
      </c>
      <c r="E770" s="13" t="s">
        <v>3323</v>
      </c>
    </row>
    <row r="771" spans="1:5" ht="43.2" x14ac:dyDescent="0.3">
      <c r="A771" s="13" t="s">
        <v>1964</v>
      </c>
      <c r="B771" t="s">
        <v>1964</v>
      </c>
      <c r="C771" s="13" t="s">
        <v>1964</v>
      </c>
      <c r="D771" s="9" t="s">
        <v>536</v>
      </c>
      <c r="E771" s="13" t="s">
        <v>3323</v>
      </c>
    </row>
    <row r="772" spans="1:5" ht="43.2" x14ac:dyDescent="0.3">
      <c r="A772" s="13" t="s">
        <v>2759</v>
      </c>
      <c r="B772" t="s">
        <v>2759</v>
      </c>
      <c r="C772" s="13" t="s">
        <v>2759</v>
      </c>
      <c r="D772" s="9" t="s">
        <v>536</v>
      </c>
      <c r="E772" s="13" t="s">
        <v>3323</v>
      </c>
    </row>
    <row r="773" spans="1:5" ht="43.2" x14ac:dyDescent="0.3">
      <c r="A773" s="13" t="s">
        <v>2760</v>
      </c>
      <c r="B773" t="s">
        <v>2760</v>
      </c>
      <c r="C773" s="13" t="s">
        <v>2760</v>
      </c>
      <c r="D773" s="9" t="s">
        <v>536</v>
      </c>
      <c r="E773" s="13" t="s">
        <v>3323</v>
      </c>
    </row>
    <row r="774" spans="1:5" ht="43.2" x14ac:dyDescent="0.3">
      <c r="A774" s="13" t="s">
        <v>1963</v>
      </c>
      <c r="B774" t="s">
        <v>1963</v>
      </c>
      <c r="C774" s="13" t="s">
        <v>1963</v>
      </c>
      <c r="D774" s="9" t="s">
        <v>536</v>
      </c>
      <c r="E774" s="13" t="s">
        <v>3323</v>
      </c>
    </row>
    <row r="775" spans="1:5" ht="43.2" x14ac:dyDescent="0.3">
      <c r="A775" s="13" t="s">
        <v>2761</v>
      </c>
      <c r="B775" t="s">
        <v>2761</v>
      </c>
      <c r="C775" s="13" t="s">
        <v>2761</v>
      </c>
      <c r="D775" s="9" t="s">
        <v>536</v>
      </c>
      <c r="E775" s="13" t="s">
        <v>3323</v>
      </c>
    </row>
    <row r="776" spans="1:5" ht="43.2" x14ac:dyDescent="0.3">
      <c r="A776" s="13" t="s">
        <v>2762</v>
      </c>
      <c r="B776" t="s">
        <v>2762</v>
      </c>
      <c r="C776" s="13" t="s">
        <v>2762</v>
      </c>
      <c r="D776" s="9" t="s">
        <v>536</v>
      </c>
      <c r="E776" s="13" t="s">
        <v>3323</v>
      </c>
    </row>
    <row r="777" spans="1:5" ht="43.2" x14ac:dyDescent="0.3">
      <c r="A777" s="13" t="s">
        <v>2763</v>
      </c>
      <c r="B777" t="s">
        <v>2763</v>
      </c>
      <c r="C777" s="13" t="s">
        <v>2763</v>
      </c>
      <c r="D777" s="9" t="s">
        <v>536</v>
      </c>
      <c r="E777" s="13" t="s">
        <v>3323</v>
      </c>
    </row>
    <row r="778" spans="1:5" ht="43.2" x14ac:dyDescent="0.3">
      <c r="A778" s="13" t="s">
        <v>1962</v>
      </c>
      <c r="B778" t="s">
        <v>1962</v>
      </c>
      <c r="C778" s="13" t="s">
        <v>1962</v>
      </c>
      <c r="D778" s="9" t="s">
        <v>536</v>
      </c>
      <c r="E778" s="13" t="s">
        <v>3323</v>
      </c>
    </row>
    <row r="779" spans="1:5" ht="43.2" x14ac:dyDescent="0.3">
      <c r="A779" s="13" t="s">
        <v>2764</v>
      </c>
      <c r="B779" t="s">
        <v>2764</v>
      </c>
      <c r="C779" s="13" t="s">
        <v>2764</v>
      </c>
      <c r="D779" s="9" t="s">
        <v>536</v>
      </c>
      <c r="E779" s="13" t="s">
        <v>3323</v>
      </c>
    </row>
    <row r="780" spans="1:5" ht="43.2" x14ac:dyDescent="0.3">
      <c r="A780" s="13" t="s">
        <v>2765</v>
      </c>
      <c r="B780" t="s">
        <v>2765</v>
      </c>
      <c r="C780" s="13" t="s">
        <v>2765</v>
      </c>
      <c r="D780" s="9" t="s">
        <v>536</v>
      </c>
      <c r="E780" s="13" t="s">
        <v>3323</v>
      </c>
    </row>
    <row r="781" spans="1:5" ht="43.2" x14ac:dyDescent="0.3">
      <c r="A781" s="13" t="s">
        <v>1961</v>
      </c>
      <c r="B781" t="s">
        <v>1961</v>
      </c>
      <c r="C781" s="13" t="s">
        <v>1961</v>
      </c>
      <c r="D781" s="9" t="s">
        <v>536</v>
      </c>
      <c r="E781" s="13" t="s">
        <v>3323</v>
      </c>
    </row>
    <row r="782" spans="1:5" ht="43.2" x14ac:dyDescent="0.3">
      <c r="A782" s="13" t="s">
        <v>2766</v>
      </c>
      <c r="B782" t="s">
        <v>2766</v>
      </c>
      <c r="C782" s="13" t="s">
        <v>2766</v>
      </c>
      <c r="D782" s="9" t="s">
        <v>536</v>
      </c>
      <c r="E782" s="13" t="s">
        <v>3323</v>
      </c>
    </row>
    <row r="783" spans="1:5" ht="43.2" x14ac:dyDescent="0.3">
      <c r="A783" s="13" t="s">
        <v>2767</v>
      </c>
      <c r="B783" t="s">
        <v>2767</v>
      </c>
      <c r="C783" s="13" t="s">
        <v>2767</v>
      </c>
      <c r="D783" s="9" t="s">
        <v>536</v>
      </c>
      <c r="E783" s="13" t="s">
        <v>3323</v>
      </c>
    </row>
    <row r="784" spans="1:5" ht="43.2" x14ac:dyDescent="0.3">
      <c r="A784" s="13" t="s">
        <v>2768</v>
      </c>
      <c r="B784" t="s">
        <v>2768</v>
      </c>
      <c r="C784" s="13" t="s">
        <v>2768</v>
      </c>
      <c r="D784" s="9" t="s">
        <v>536</v>
      </c>
      <c r="E784" s="13" t="s">
        <v>3323</v>
      </c>
    </row>
    <row r="785" spans="1:5" ht="43.2" x14ac:dyDescent="0.3">
      <c r="A785" s="13" t="s">
        <v>2769</v>
      </c>
      <c r="B785" t="s">
        <v>2769</v>
      </c>
      <c r="C785" s="13" t="s">
        <v>2769</v>
      </c>
      <c r="D785" s="9" t="s">
        <v>536</v>
      </c>
      <c r="E785" s="13" t="s">
        <v>3323</v>
      </c>
    </row>
    <row r="786" spans="1:5" ht="43.2" x14ac:dyDescent="0.3">
      <c r="A786" s="13" t="s">
        <v>2770</v>
      </c>
      <c r="B786" t="s">
        <v>2770</v>
      </c>
      <c r="C786" s="13" t="s">
        <v>2770</v>
      </c>
      <c r="D786" s="9" t="s">
        <v>536</v>
      </c>
      <c r="E786" s="13" t="s">
        <v>3323</v>
      </c>
    </row>
    <row r="787" spans="1:5" ht="43.2" x14ac:dyDescent="0.3">
      <c r="A787" s="13" t="s">
        <v>2771</v>
      </c>
      <c r="B787" t="s">
        <v>2771</v>
      </c>
      <c r="C787" s="13" t="s">
        <v>2771</v>
      </c>
      <c r="D787" s="9" t="s">
        <v>536</v>
      </c>
      <c r="E787" s="13" t="s">
        <v>3323</v>
      </c>
    </row>
    <row r="788" spans="1:5" ht="43.2" x14ac:dyDescent="0.3">
      <c r="A788" s="13" t="s">
        <v>1960</v>
      </c>
      <c r="B788" t="s">
        <v>1960</v>
      </c>
      <c r="C788" s="13" t="s">
        <v>1960</v>
      </c>
      <c r="D788" s="9" t="s">
        <v>536</v>
      </c>
      <c r="E788" s="13" t="s">
        <v>3323</v>
      </c>
    </row>
    <row r="789" spans="1:5" ht="43.2" x14ac:dyDescent="0.3">
      <c r="A789" s="13" t="s">
        <v>2772</v>
      </c>
      <c r="B789" t="s">
        <v>2772</v>
      </c>
      <c r="C789" s="13" t="s">
        <v>2772</v>
      </c>
      <c r="D789" s="9" t="s">
        <v>536</v>
      </c>
      <c r="E789" s="13" t="s">
        <v>3323</v>
      </c>
    </row>
    <row r="790" spans="1:5" ht="43.2" x14ac:dyDescent="0.3">
      <c r="A790" s="13" t="s">
        <v>2773</v>
      </c>
      <c r="B790" t="s">
        <v>2773</v>
      </c>
      <c r="C790" s="13" t="s">
        <v>2773</v>
      </c>
      <c r="D790" s="9" t="s">
        <v>536</v>
      </c>
      <c r="E790" s="13" t="s">
        <v>3323</v>
      </c>
    </row>
    <row r="791" spans="1:5" ht="43.2" x14ac:dyDescent="0.3">
      <c r="A791" s="13" t="s">
        <v>1959</v>
      </c>
      <c r="B791" t="s">
        <v>1959</v>
      </c>
      <c r="C791" s="13" t="s">
        <v>1959</v>
      </c>
      <c r="D791" s="9" t="s">
        <v>536</v>
      </c>
      <c r="E791" s="13" t="s">
        <v>3323</v>
      </c>
    </row>
    <row r="792" spans="1:5" ht="43.2" x14ac:dyDescent="0.3">
      <c r="A792" s="13" t="s">
        <v>1958</v>
      </c>
      <c r="B792" t="s">
        <v>1958</v>
      </c>
      <c r="C792" s="13" t="s">
        <v>1958</v>
      </c>
      <c r="D792" s="9" t="s">
        <v>536</v>
      </c>
      <c r="E792" s="13" t="s">
        <v>3323</v>
      </c>
    </row>
    <row r="793" spans="1:5" ht="43.2" x14ac:dyDescent="0.3">
      <c r="A793" s="13" t="s">
        <v>2774</v>
      </c>
      <c r="B793" t="s">
        <v>2774</v>
      </c>
      <c r="C793" s="13" t="s">
        <v>2774</v>
      </c>
      <c r="D793" s="9" t="s">
        <v>536</v>
      </c>
      <c r="E793" s="13" t="s">
        <v>3323</v>
      </c>
    </row>
    <row r="794" spans="1:5" ht="43.2" x14ac:dyDescent="0.3">
      <c r="A794" s="13" t="s">
        <v>2775</v>
      </c>
      <c r="B794" t="s">
        <v>2775</v>
      </c>
      <c r="C794" s="13" t="s">
        <v>2775</v>
      </c>
      <c r="D794" s="9" t="s">
        <v>536</v>
      </c>
      <c r="E794" s="13" t="s">
        <v>3323</v>
      </c>
    </row>
    <row r="795" spans="1:5" ht="43.2" x14ac:dyDescent="0.3">
      <c r="A795" s="13" t="s">
        <v>2776</v>
      </c>
      <c r="B795" t="s">
        <v>2776</v>
      </c>
      <c r="C795" s="13" t="s">
        <v>2776</v>
      </c>
      <c r="D795" s="9" t="s">
        <v>536</v>
      </c>
      <c r="E795" s="13" t="s">
        <v>3323</v>
      </c>
    </row>
    <row r="796" spans="1:5" ht="43.2" x14ac:dyDescent="0.3">
      <c r="A796" s="13" t="s">
        <v>2777</v>
      </c>
      <c r="B796" t="s">
        <v>2777</v>
      </c>
      <c r="C796" s="13" t="s">
        <v>2777</v>
      </c>
      <c r="D796" s="9" t="s">
        <v>536</v>
      </c>
      <c r="E796" s="13" t="s">
        <v>3323</v>
      </c>
    </row>
    <row r="797" spans="1:5" ht="43.2" x14ac:dyDescent="0.3">
      <c r="A797" s="13" t="s">
        <v>2106</v>
      </c>
      <c r="B797" t="s">
        <v>2106</v>
      </c>
      <c r="C797" s="13" t="s">
        <v>2106</v>
      </c>
      <c r="D797" s="9" t="s">
        <v>536</v>
      </c>
      <c r="E797" s="13" t="s">
        <v>3323</v>
      </c>
    </row>
    <row r="798" spans="1:5" ht="43.2" x14ac:dyDescent="0.3">
      <c r="A798" s="13" t="s">
        <v>2778</v>
      </c>
      <c r="B798" t="s">
        <v>2778</v>
      </c>
      <c r="C798" s="13" t="s">
        <v>2778</v>
      </c>
      <c r="D798" s="9" t="s">
        <v>536</v>
      </c>
      <c r="E798" s="13" t="s">
        <v>3323</v>
      </c>
    </row>
    <row r="799" spans="1:5" ht="43.2" x14ac:dyDescent="0.3">
      <c r="A799" s="13" t="s">
        <v>2779</v>
      </c>
      <c r="B799" t="s">
        <v>2779</v>
      </c>
      <c r="C799" s="13" t="s">
        <v>2779</v>
      </c>
      <c r="D799" s="9" t="s">
        <v>536</v>
      </c>
      <c r="E799" s="13" t="s">
        <v>3323</v>
      </c>
    </row>
    <row r="800" spans="1:5" ht="43.2" x14ac:dyDescent="0.3">
      <c r="A800" s="13" t="s">
        <v>2780</v>
      </c>
      <c r="B800" t="s">
        <v>2780</v>
      </c>
      <c r="C800" s="13" t="s">
        <v>2780</v>
      </c>
      <c r="D800" s="9" t="s">
        <v>536</v>
      </c>
      <c r="E800" s="13" t="s">
        <v>3323</v>
      </c>
    </row>
    <row r="801" spans="1:5" ht="43.2" x14ac:dyDescent="0.3">
      <c r="A801" s="13" t="s">
        <v>2781</v>
      </c>
      <c r="B801" t="s">
        <v>2781</v>
      </c>
      <c r="C801" s="13" t="s">
        <v>2781</v>
      </c>
      <c r="D801" s="9" t="s">
        <v>536</v>
      </c>
      <c r="E801" s="13" t="s">
        <v>3323</v>
      </c>
    </row>
    <row r="802" spans="1:5" ht="43.2" x14ac:dyDescent="0.3">
      <c r="A802" s="13" t="s">
        <v>2782</v>
      </c>
      <c r="B802" t="s">
        <v>2782</v>
      </c>
      <c r="C802" s="13" t="s">
        <v>2782</v>
      </c>
      <c r="D802" s="9" t="s">
        <v>536</v>
      </c>
      <c r="E802" s="13" t="s">
        <v>3323</v>
      </c>
    </row>
    <row r="803" spans="1:5" ht="43.2" x14ac:dyDescent="0.3">
      <c r="A803" s="13" t="s">
        <v>2783</v>
      </c>
      <c r="B803" t="s">
        <v>2783</v>
      </c>
      <c r="C803" s="13" t="s">
        <v>2783</v>
      </c>
      <c r="D803" s="9" t="s">
        <v>536</v>
      </c>
      <c r="E803" s="13" t="s">
        <v>3323</v>
      </c>
    </row>
    <row r="804" spans="1:5" ht="43.2" x14ac:dyDescent="0.3">
      <c r="A804" s="13" t="s">
        <v>2784</v>
      </c>
      <c r="B804" t="s">
        <v>2784</v>
      </c>
      <c r="C804" s="13" t="s">
        <v>2784</v>
      </c>
      <c r="D804" s="9" t="s">
        <v>536</v>
      </c>
      <c r="E804" s="13" t="s">
        <v>3323</v>
      </c>
    </row>
    <row r="805" spans="1:5" ht="43.2" x14ac:dyDescent="0.3">
      <c r="A805" s="13" t="s">
        <v>1957</v>
      </c>
      <c r="B805" t="s">
        <v>1957</v>
      </c>
      <c r="C805" s="13" t="s">
        <v>1957</v>
      </c>
      <c r="D805" s="9" t="s">
        <v>536</v>
      </c>
      <c r="E805" s="13" t="s">
        <v>3323</v>
      </c>
    </row>
    <row r="806" spans="1:5" ht="43.2" x14ac:dyDescent="0.3">
      <c r="A806" s="13" t="s">
        <v>1956</v>
      </c>
      <c r="B806" t="s">
        <v>1956</v>
      </c>
      <c r="C806" s="13" t="s">
        <v>1956</v>
      </c>
      <c r="D806" s="9" t="s">
        <v>536</v>
      </c>
      <c r="E806" s="13" t="s">
        <v>3323</v>
      </c>
    </row>
    <row r="807" spans="1:5" ht="43.2" x14ac:dyDescent="0.3">
      <c r="A807" s="13" t="s">
        <v>2785</v>
      </c>
      <c r="B807" t="s">
        <v>2785</v>
      </c>
      <c r="C807" s="13" t="s">
        <v>2785</v>
      </c>
      <c r="D807" s="9" t="s">
        <v>536</v>
      </c>
      <c r="E807" s="13" t="s">
        <v>3323</v>
      </c>
    </row>
    <row r="808" spans="1:5" ht="43.2" x14ac:dyDescent="0.3">
      <c r="A808" s="13" t="s">
        <v>2786</v>
      </c>
      <c r="B808" t="s">
        <v>2786</v>
      </c>
      <c r="C808" s="13" t="s">
        <v>2786</v>
      </c>
      <c r="D808" s="9" t="s">
        <v>536</v>
      </c>
      <c r="E808" s="13" t="s">
        <v>3323</v>
      </c>
    </row>
    <row r="809" spans="1:5" ht="43.2" x14ac:dyDescent="0.3">
      <c r="A809" s="13" t="s">
        <v>2787</v>
      </c>
      <c r="B809" t="s">
        <v>2787</v>
      </c>
      <c r="C809" s="13" t="s">
        <v>2787</v>
      </c>
      <c r="D809" s="9" t="s">
        <v>536</v>
      </c>
      <c r="E809" s="13" t="s">
        <v>3323</v>
      </c>
    </row>
    <row r="810" spans="1:5" ht="43.2" x14ac:dyDescent="0.3">
      <c r="A810" s="13" t="s">
        <v>2788</v>
      </c>
      <c r="B810" t="s">
        <v>2788</v>
      </c>
      <c r="C810" s="13" t="s">
        <v>2788</v>
      </c>
      <c r="D810" s="9" t="s">
        <v>536</v>
      </c>
      <c r="E810" s="13" t="s">
        <v>3323</v>
      </c>
    </row>
    <row r="811" spans="1:5" ht="43.2" x14ac:dyDescent="0.3">
      <c r="A811" s="13" t="s">
        <v>1955</v>
      </c>
      <c r="B811" t="s">
        <v>1955</v>
      </c>
      <c r="C811" s="13" t="s">
        <v>1955</v>
      </c>
      <c r="D811" s="9" t="s">
        <v>536</v>
      </c>
      <c r="E811" s="13" t="s">
        <v>3323</v>
      </c>
    </row>
    <row r="812" spans="1:5" ht="43.2" x14ac:dyDescent="0.3">
      <c r="A812" s="13" t="s">
        <v>2789</v>
      </c>
      <c r="B812" t="s">
        <v>2789</v>
      </c>
      <c r="C812" s="13" t="s">
        <v>2789</v>
      </c>
      <c r="D812" s="9" t="s">
        <v>536</v>
      </c>
      <c r="E812" s="13" t="s">
        <v>3323</v>
      </c>
    </row>
    <row r="813" spans="1:5" ht="43.2" x14ac:dyDescent="0.3">
      <c r="A813" s="13" t="s">
        <v>1954</v>
      </c>
      <c r="B813" t="s">
        <v>1954</v>
      </c>
      <c r="C813" s="13" t="s">
        <v>1954</v>
      </c>
      <c r="D813" s="9" t="s">
        <v>536</v>
      </c>
      <c r="E813" s="13" t="s">
        <v>3323</v>
      </c>
    </row>
    <row r="814" spans="1:5" ht="43.2" x14ac:dyDescent="0.3">
      <c r="A814" s="13" t="s">
        <v>2790</v>
      </c>
      <c r="B814" t="s">
        <v>2790</v>
      </c>
      <c r="C814" s="13" t="s">
        <v>2790</v>
      </c>
      <c r="D814" s="9" t="s">
        <v>536</v>
      </c>
      <c r="E814" s="13" t="s">
        <v>3323</v>
      </c>
    </row>
    <row r="815" spans="1:5" ht="43.2" x14ac:dyDescent="0.3">
      <c r="A815" s="13" t="s">
        <v>2791</v>
      </c>
      <c r="B815" t="s">
        <v>2791</v>
      </c>
      <c r="C815" s="13" t="s">
        <v>2791</v>
      </c>
      <c r="D815" s="9" t="s">
        <v>536</v>
      </c>
      <c r="E815" s="13" t="s">
        <v>3323</v>
      </c>
    </row>
    <row r="816" spans="1:5" ht="43.2" x14ac:dyDescent="0.3">
      <c r="A816" s="13" t="s">
        <v>2792</v>
      </c>
      <c r="B816" t="s">
        <v>2792</v>
      </c>
      <c r="C816" s="13" t="s">
        <v>2792</v>
      </c>
      <c r="D816" s="9" t="s">
        <v>536</v>
      </c>
      <c r="E816" s="13" t="s">
        <v>3323</v>
      </c>
    </row>
    <row r="817" spans="1:5" ht="43.2" x14ac:dyDescent="0.3">
      <c r="A817" s="13" t="s">
        <v>2793</v>
      </c>
      <c r="B817" t="s">
        <v>2793</v>
      </c>
      <c r="C817" s="13" t="s">
        <v>2793</v>
      </c>
      <c r="D817" s="9" t="s">
        <v>536</v>
      </c>
      <c r="E817" s="13" t="s">
        <v>3323</v>
      </c>
    </row>
    <row r="818" spans="1:5" ht="43.2" x14ac:dyDescent="0.3">
      <c r="A818" s="13" t="s">
        <v>1953</v>
      </c>
      <c r="B818" t="s">
        <v>1953</v>
      </c>
      <c r="C818" s="13" t="s">
        <v>1953</v>
      </c>
      <c r="D818" s="9" t="s">
        <v>536</v>
      </c>
      <c r="E818" s="13" t="s">
        <v>3323</v>
      </c>
    </row>
    <row r="819" spans="1:5" ht="43.2" x14ac:dyDescent="0.3">
      <c r="A819" s="13" t="s">
        <v>1952</v>
      </c>
      <c r="B819" t="s">
        <v>1952</v>
      </c>
      <c r="C819" s="13" t="s">
        <v>1952</v>
      </c>
      <c r="D819" s="9" t="s">
        <v>536</v>
      </c>
      <c r="E819" s="13" t="s">
        <v>3323</v>
      </c>
    </row>
    <row r="820" spans="1:5" ht="43.2" x14ac:dyDescent="0.3">
      <c r="A820" s="13" t="s">
        <v>1951</v>
      </c>
      <c r="B820" t="s">
        <v>1951</v>
      </c>
      <c r="C820" s="13" t="s">
        <v>1951</v>
      </c>
      <c r="D820" s="9" t="s">
        <v>536</v>
      </c>
      <c r="E820" s="13" t="s">
        <v>3323</v>
      </c>
    </row>
    <row r="821" spans="1:5" ht="43.2" x14ac:dyDescent="0.3">
      <c r="A821" s="13" t="s">
        <v>2794</v>
      </c>
      <c r="B821" t="s">
        <v>2794</v>
      </c>
      <c r="C821" s="13" t="s">
        <v>2794</v>
      </c>
      <c r="D821" s="9" t="s">
        <v>536</v>
      </c>
      <c r="E821" s="13" t="s">
        <v>3323</v>
      </c>
    </row>
    <row r="822" spans="1:5" ht="43.2" x14ac:dyDescent="0.3">
      <c r="A822" s="13" t="s">
        <v>2795</v>
      </c>
      <c r="B822" t="s">
        <v>2795</v>
      </c>
      <c r="C822" s="13" t="s">
        <v>2795</v>
      </c>
      <c r="D822" s="9" t="s">
        <v>536</v>
      </c>
      <c r="E822" s="13" t="s">
        <v>3323</v>
      </c>
    </row>
    <row r="823" spans="1:5" ht="43.2" x14ac:dyDescent="0.3">
      <c r="A823" s="13" t="s">
        <v>2796</v>
      </c>
      <c r="B823" t="s">
        <v>2796</v>
      </c>
      <c r="C823" s="13" t="s">
        <v>2796</v>
      </c>
      <c r="D823" s="9" t="s">
        <v>536</v>
      </c>
      <c r="E823" s="13" t="s">
        <v>3323</v>
      </c>
    </row>
    <row r="824" spans="1:5" ht="43.2" x14ac:dyDescent="0.3">
      <c r="A824" s="13" t="s">
        <v>2797</v>
      </c>
      <c r="B824" t="s">
        <v>2797</v>
      </c>
      <c r="C824" s="13" t="s">
        <v>2797</v>
      </c>
      <c r="D824" s="9" t="s">
        <v>536</v>
      </c>
      <c r="E824" s="13" t="s">
        <v>3323</v>
      </c>
    </row>
    <row r="825" spans="1:5" ht="43.2" x14ac:dyDescent="0.3">
      <c r="A825" s="13" t="s">
        <v>1950</v>
      </c>
      <c r="B825" t="s">
        <v>1950</v>
      </c>
      <c r="C825" s="13" t="s">
        <v>1950</v>
      </c>
      <c r="D825" s="9" t="s">
        <v>536</v>
      </c>
      <c r="E825" s="13" t="s">
        <v>3323</v>
      </c>
    </row>
    <row r="826" spans="1:5" ht="43.2" x14ac:dyDescent="0.3">
      <c r="A826" s="13" t="s">
        <v>2798</v>
      </c>
      <c r="B826" t="s">
        <v>2798</v>
      </c>
      <c r="C826" s="13" t="s">
        <v>2798</v>
      </c>
      <c r="D826" s="9" t="s">
        <v>536</v>
      </c>
      <c r="E826" s="13" t="s">
        <v>3323</v>
      </c>
    </row>
    <row r="827" spans="1:5" ht="43.2" x14ac:dyDescent="0.3">
      <c r="A827" s="13" t="s">
        <v>1949</v>
      </c>
      <c r="B827" t="s">
        <v>1949</v>
      </c>
      <c r="C827" s="13" t="s">
        <v>1949</v>
      </c>
      <c r="D827" s="9" t="s">
        <v>536</v>
      </c>
      <c r="E827" s="13" t="s">
        <v>3323</v>
      </c>
    </row>
    <row r="828" spans="1:5" ht="43.2" x14ac:dyDescent="0.3">
      <c r="A828" s="13" t="s">
        <v>2799</v>
      </c>
      <c r="B828" t="s">
        <v>2799</v>
      </c>
      <c r="C828" s="13" t="s">
        <v>2799</v>
      </c>
      <c r="D828" s="9" t="s">
        <v>536</v>
      </c>
      <c r="E828" s="13" t="s">
        <v>3323</v>
      </c>
    </row>
    <row r="829" spans="1:5" ht="43.2" x14ac:dyDescent="0.3">
      <c r="A829" s="13" t="s">
        <v>2800</v>
      </c>
      <c r="B829" t="s">
        <v>2800</v>
      </c>
      <c r="C829" s="13" t="s">
        <v>2800</v>
      </c>
      <c r="D829" s="9" t="s">
        <v>536</v>
      </c>
      <c r="E829" s="13" t="s">
        <v>3323</v>
      </c>
    </row>
    <row r="830" spans="1:5" ht="43.2" x14ac:dyDescent="0.3">
      <c r="A830" s="13" t="s">
        <v>1948</v>
      </c>
      <c r="B830" t="s">
        <v>1948</v>
      </c>
      <c r="C830" s="13" t="s">
        <v>1948</v>
      </c>
      <c r="D830" s="9" t="s">
        <v>536</v>
      </c>
      <c r="E830" s="13" t="s">
        <v>3323</v>
      </c>
    </row>
    <row r="831" spans="1:5" ht="43.2" x14ac:dyDescent="0.3">
      <c r="A831" s="13" t="s">
        <v>2801</v>
      </c>
      <c r="B831" t="s">
        <v>2801</v>
      </c>
      <c r="C831" s="13" t="s">
        <v>2801</v>
      </c>
      <c r="D831" s="9" t="s">
        <v>536</v>
      </c>
      <c r="E831" s="13" t="s">
        <v>3323</v>
      </c>
    </row>
    <row r="832" spans="1:5" ht="43.2" x14ac:dyDescent="0.3">
      <c r="A832" s="13" t="s">
        <v>1947</v>
      </c>
      <c r="B832" t="s">
        <v>1947</v>
      </c>
      <c r="C832" s="13" t="s">
        <v>1947</v>
      </c>
      <c r="D832" s="9" t="s">
        <v>536</v>
      </c>
      <c r="E832" s="13" t="s">
        <v>3323</v>
      </c>
    </row>
    <row r="833" spans="1:5" ht="43.2" x14ac:dyDescent="0.3">
      <c r="A833" s="13" t="s">
        <v>2802</v>
      </c>
      <c r="B833" t="s">
        <v>2802</v>
      </c>
      <c r="C833" s="13" t="s">
        <v>2802</v>
      </c>
      <c r="D833" s="9" t="s">
        <v>536</v>
      </c>
      <c r="E833" s="13" t="s">
        <v>3323</v>
      </c>
    </row>
    <row r="834" spans="1:5" ht="43.2" x14ac:dyDescent="0.3">
      <c r="A834" s="13" t="s">
        <v>2803</v>
      </c>
      <c r="B834" t="s">
        <v>2803</v>
      </c>
      <c r="C834" s="13" t="s">
        <v>2803</v>
      </c>
      <c r="D834" s="9" t="s">
        <v>536</v>
      </c>
      <c r="E834" s="13" t="s">
        <v>3323</v>
      </c>
    </row>
    <row r="835" spans="1:5" ht="43.2" x14ac:dyDescent="0.3">
      <c r="A835" s="13" t="s">
        <v>2804</v>
      </c>
      <c r="B835" t="s">
        <v>2804</v>
      </c>
      <c r="C835" s="13" t="s">
        <v>2804</v>
      </c>
      <c r="D835" s="9" t="s">
        <v>536</v>
      </c>
      <c r="E835" s="13" t="s">
        <v>3323</v>
      </c>
    </row>
    <row r="836" spans="1:5" ht="43.2" x14ac:dyDescent="0.3">
      <c r="A836" s="13" t="s">
        <v>2805</v>
      </c>
      <c r="B836" t="s">
        <v>2805</v>
      </c>
      <c r="C836" s="13" t="s">
        <v>2805</v>
      </c>
      <c r="D836" s="9" t="s">
        <v>536</v>
      </c>
      <c r="E836" s="13" t="s">
        <v>3323</v>
      </c>
    </row>
    <row r="837" spans="1:5" ht="43.2" x14ac:dyDescent="0.3">
      <c r="A837" s="13" t="s">
        <v>1946</v>
      </c>
      <c r="B837" t="s">
        <v>1946</v>
      </c>
      <c r="C837" s="13" t="s">
        <v>1946</v>
      </c>
      <c r="D837" s="9" t="s">
        <v>536</v>
      </c>
      <c r="E837" s="13" t="s">
        <v>3323</v>
      </c>
    </row>
    <row r="838" spans="1:5" ht="43.2" x14ac:dyDescent="0.3">
      <c r="A838" s="13" t="s">
        <v>2806</v>
      </c>
      <c r="B838" t="s">
        <v>2806</v>
      </c>
      <c r="C838" s="13" t="s">
        <v>2806</v>
      </c>
      <c r="D838" s="9" t="s">
        <v>536</v>
      </c>
      <c r="E838" s="13" t="s">
        <v>3323</v>
      </c>
    </row>
    <row r="839" spans="1:5" ht="43.2" x14ac:dyDescent="0.3">
      <c r="A839" s="13" t="s">
        <v>2807</v>
      </c>
      <c r="B839" t="s">
        <v>2807</v>
      </c>
      <c r="C839" s="13" t="s">
        <v>2807</v>
      </c>
      <c r="D839" s="9" t="s">
        <v>536</v>
      </c>
      <c r="E839" s="13" t="s">
        <v>3323</v>
      </c>
    </row>
    <row r="840" spans="1:5" ht="43.2" x14ac:dyDescent="0.3">
      <c r="A840" s="13" t="s">
        <v>1945</v>
      </c>
      <c r="B840" t="s">
        <v>1945</v>
      </c>
      <c r="C840" s="13" t="s">
        <v>1945</v>
      </c>
      <c r="D840" s="9" t="s">
        <v>536</v>
      </c>
      <c r="E840" s="13" t="s">
        <v>3323</v>
      </c>
    </row>
    <row r="841" spans="1:5" ht="43.2" x14ac:dyDescent="0.3">
      <c r="A841" s="13" t="s">
        <v>2808</v>
      </c>
      <c r="B841" t="s">
        <v>2808</v>
      </c>
      <c r="C841" s="13" t="s">
        <v>2808</v>
      </c>
      <c r="D841" s="9" t="s">
        <v>536</v>
      </c>
      <c r="E841" s="13" t="s">
        <v>3323</v>
      </c>
    </row>
    <row r="842" spans="1:5" ht="43.2" x14ac:dyDescent="0.3">
      <c r="A842" s="13" t="s">
        <v>2809</v>
      </c>
      <c r="B842" t="s">
        <v>2809</v>
      </c>
      <c r="C842" s="13" t="s">
        <v>2809</v>
      </c>
      <c r="D842" s="9" t="s">
        <v>536</v>
      </c>
      <c r="E842" s="13" t="s">
        <v>3323</v>
      </c>
    </row>
    <row r="843" spans="1:5" ht="43.2" x14ac:dyDescent="0.3">
      <c r="A843" s="13" t="s">
        <v>2810</v>
      </c>
      <c r="B843" t="s">
        <v>2810</v>
      </c>
      <c r="C843" s="13" t="s">
        <v>2810</v>
      </c>
      <c r="D843" s="9" t="s">
        <v>536</v>
      </c>
      <c r="E843" s="13" t="s">
        <v>3323</v>
      </c>
    </row>
    <row r="844" spans="1:5" ht="43.2" x14ac:dyDescent="0.3">
      <c r="A844" s="13" t="s">
        <v>1944</v>
      </c>
      <c r="B844" t="s">
        <v>1944</v>
      </c>
      <c r="C844" s="13" t="s">
        <v>1944</v>
      </c>
      <c r="D844" s="9" t="s">
        <v>536</v>
      </c>
      <c r="E844" s="13" t="s">
        <v>3323</v>
      </c>
    </row>
    <row r="845" spans="1:5" ht="43.2" x14ac:dyDescent="0.3">
      <c r="A845" s="13" t="s">
        <v>2811</v>
      </c>
      <c r="B845" t="s">
        <v>2811</v>
      </c>
      <c r="C845" s="13" t="s">
        <v>2811</v>
      </c>
      <c r="D845" s="9" t="s">
        <v>536</v>
      </c>
      <c r="E845" s="13" t="s">
        <v>3323</v>
      </c>
    </row>
    <row r="846" spans="1:5" ht="43.2" x14ac:dyDescent="0.3">
      <c r="A846" s="13" t="s">
        <v>2812</v>
      </c>
      <c r="B846" t="s">
        <v>2812</v>
      </c>
      <c r="C846" s="13" t="s">
        <v>2812</v>
      </c>
      <c r="D846" s="9" t="s">
        <v>536</v>
      </c>
      <c r="E846" s="13" t="s">
        <v>3323</v>
      </c>
    </row>
    <row r="847" spans="1:5" ht="43.2" x14ac:dyDescent="0.3">
      <c r="A847" s="13" t="s">
        <v>2813</v>
      </c>
      <c r="B847" t="s">
        <v>2813</v>
      </c>
      <c r="C847" s="13" t="s">
        <v>2813</v>
      </c>
      <c r="D847" s="9" t="s">
        <v>536</v>
      </c>
      <c r="E847" s="13" t="s">
        <v>3323</v>
      </c>
    </row>
    <row r="848" spans="1:5" ht="43.2" x14ac:dyDescent="0.3">
      <c r="A848" s="13" t="s">
        <v>2814</v>
      </c>
      <c r="B848" t="s">
        <v>2814</v>
      </c>
      <c r="C848" s="13" t="s">
        <v>2814</v>
      </c>
      <c r="D848" s="9" t="s">
        <v>536</v>
      </c>
      <c r="E848" s="13" t="s">
        <v>3323</v>
      </c>
    </row>
    <row r="849" spans="1:5" ht="43.2" x14ac:dyDescent="0.3">
      <c r="A849" s="13" t="s">
        <v>2815</v>
      </c>
      <c r="B849" t="s">
        <v>2815</v>
      </c>
      <c r="C849" s="13" t="s">
        <v>2815</v>
      </c>
      <c r="D849" s="9" t="s">
        <v>536</v>
      </c>
      <c r="E849" s="13" t="s">
        <v>3323</v>
      </c>
    </row>
    <row r="850" spans="1:5" ht="43.2" x14ac:dyDescent="0.3">
      <c r="A850" s="13" t="s">
        <v>2816</v>
      </c>
      <c r="B850" t="s">
        <v>2816</v>
      </c>
      <c r="C850" s="13" t="s">
        <v>2816</v>
      </c>
      <c r="D850" s="9" t="s">
        <v>536</v>
      </c>
      <c r="E850" s="13" t="s">
        <v>3323</v>
      </c>
    </row>
    <row r="851" spans="1:5" ht="43.2" x14ac:dyDescent="0.3">
      <c r="A851" s="13" t="s">
        <v>2817</v>
      </c>
      <c r="B851" t="s">
        <v>2817</v>
      </c>
      <c r="C851" s="13" t="s">
        <v>2817</v>
      </c>
      <c r="D851" s="9" t="s">
        <v>536</v>
      </c>
      <c r="E851" s="13" t="s">
        <v>3323</v>
      </c>
    </row>
    <row r="852" spans="1:5" ht="43.2" x14ac:dyDescent="0.3">
      <c r="A852" s="13" t="s">
        <v>2818</v>
      </c>
      <c r="B852" t="s">
        <v>2818</v>
      </c>
      <c r="C852" s="13" t="s">
        <v>2818</v>
      </c>
      <c r="D852" s="9" t="s">
        <v>536</v>
      </c>
      <c r="E852" s="13" t="s">
        <v>3323</v>
      </c>
    </row>
    <row r="853" spans="1:5" ht="43.2" x14ac:dyDescent="0.3">
      <c r="A853" s="13" t="s">
        <v>1943</v>
      </c>
      <c r="B853" t="s">
        <v>1943</v>
      </c>
      <c r="C853" s="13" t="s">
        <v>1943</v>
      </c>
      <c r="D853" s="9" t="s">
        <v>536</v>
      </c>
      <c r="E853" s="13" t="s">
        <v>3323</v>
      </c>
    </row>
    <row r="854" spans="1:5" ht="43.2" x14ac:dyDescent="0.3">
      <c r="A854" s="13" t="s">
        <v>1942</v>
      </c>
      <c r="B854" t="s">
        <v>1942</v>
      </c>
      <c r="C854" s="13" t="s">
        <v>1942</v>
      </c>
      <c r="D854" s="9" t="s">
        <v>536</v>
      </c>
      <c r="E854" s="13" t="s">
        <v>3323</v>
      </c>
    </row>
    <row r="855" spans="1:5" ht="43.2" x14ac:dyDescent="0.3">
      <c r="A855" s="13" t="s">
        <v>1941</v>
      </c>
      <c r="B855" t="s">
        <v>1941</v>
      </c>
      <c r="C855" s="13" t="s">
        <v>1941</v>
      </c>
      <c r="D855" s="9" t="s">
        <v>536</v>
      </c>
      <c r="E855" s="13" t="s">
        <v>3323</v>
      </c>
    </row>
    <row r="856" spans="1:5" ht="43.2" x14ac:dyDescent="0.3">
      <c r="A856" s="13" t="s">
        <v>2819</v>
      </c>
      <c r="B856" t="s">
        <v>2819</v>
      </c>
      <c r="C856" s="13" t="s">
        <v>2819</v>
      </c>
      <c r="D856" s="9" t="s">
        <v>536</v>
      </c>
      <c r="E856" s="13" t="s">
        <v>3323</v>
      </c>
    </row>
    <row r="857" spans="1:5" ht="43.2" x14ac:dyDescent="0.3">
      <c r="A857" s="13" t="s">
        <v>2820</v>
      </c>
      <c r="B857" t="s">
        <v>2820</v>
      </c>
      <c r="C857" s="13" t="s">
        <v>2820</v>
      </c>
      <c r="D857" s="9" t="s">
        <v>536</v>
      </c>
      <c r="E857" s="13" t="s">
        <v>3323</v>
      </c>
    </row>
    <row r="858" spans="1:5" ht="43.2" x14ac:dyDescent="0.3">
      <c r="A858" s="13" t="s">
        <v>1940</v>
      </c>
      <c r="B858" t="s">
        <v>1940</v>
      </c>
      <c r="C858" s="13" t="s">
        <v>1940</v>
      </c>
      <c r="D858" s="9" t="s">
        <v>536</v>
      </c>
      <c r="E858" s="13" t="s">
        <v>3323</v>
      </c>
    </row>
    <row r="859" spans="1:5" ht="43.2" x14ac:dyDescent="0.3">
      <c r="A859" s="13" t="s">
        <v>2821</v>
      </c>
      <c r="B859" t="s">
        <v>2821</v>
      </c>
      <c r="C859" s="13" t="s">
        <v>2821</v>
      </c>
      <c r="D859" s="9" t="s">
        <v>536</v>
      </c>
      <c r="E859" s="13" t="s">
        <v>3323</v>
      </c>
    </row>
    <row r="860" spans="1:5" ht="43.2" x14ac:dyDescent="0.3">
      <c r="A860" s="13" t="s">
        <v>1939</v>
      </c>
      <c r="B860" t="s">
        <v>1939</v>
      </c>
      <c r="C860" s="13" t="s">
        <v>1939</v>
      </c>
      <c r="D860" s="9" t="s">
        <v>536</v>
      </c>
      <c r="E860" s="13" t="s">
        <v>3323</v>
      </c>
    </row>
    <row r="861" spans="1:5" ht="43.2" x14ac:dyDescent="0.3">
      <c r="A861" s="13" t="s">
        <v>2107</v>
      </c>
      <c r="B861" t="s">
        <v>2107</v>
      </c>
      <c r="C861" s="13" t="s">
        <v>2107</v>
      </c>
      <c r="D861" s="9" t="s">
        <v>536</v>
      </c>
      <c r="E861" s="13" t="s">
        <v>3323</v>
      </c>
    </row>
    <row r="862" spans="1:5" ht="43.2" x14ac:dyDescent="0.3">
      <c r="A862" s="13" t="s">
        <v>1938</v>
      </c>
      <c r="B862" t="s">
        <v>1938</v>
      </c>
      <c r="C862" s="13" t="s">
        <v>1938</v>
      </c>
      <c r="D862" s="9" t="s">
        <v>536</v>
      </c>
      <c r="E862" s="13" t="s">
        <v>3323</v>
      </c>
    </row>
    <row r="863" spans="1:5" ht="43.2" x14ac:dyDescent="0.3">
      <c r="A863" s="13" t="s">
        <v>2822</v>
      </c>
      <c r="B863" t="s">
        <v>2822</v>
      </c>
      <c r="C863" s="13" t="s">
        <v>2822</v>
      </c>
      <c r="D863" s="9" t="s">
        <v>536</v>
      </c>
      <c r="E863" s="13" t="s">
        <v>3323</v>
      </c>
    </row>
    <row r="864" spans="1:5" ht="43.2" x14ac:dyDescent="0.3">
      <c r="A864" s="13" t="s">
        <v>2823</v>
      </c>
      <c r="B864" t="s">
        <v>2823</v>
      </c>
      <c r="C864" s="13" t="s">
        <v>2823</v>
      </c>
      <c r="D864" s="9" t="s">
        <v>536</v>
      </c>
      <c r="E864" s="13" t="s">
        <v>3323</v>
      </c>
    </row>
    <row r="865" spans="1:5" ht="43.2" x14ac:dyDescent="0.3">
      <c r="A865" s="13" t="s">
        <v>1937</v>
      </c>
      <c r="B865" t="s">
        <v>1937</v>
      </c>
      <c r="C865" s="13" t="s">
        <v>1937</v>
      </c>
      <c r="D865" s="9" t="s">
        <v>536</v>
      </c>
      <c r="E865" s="13" t="s">
        <v>3323</v>
      </c>
    </row>
    <row r="866" spans="1:5" ht="43.2" x14ac:dyDescent="0.3">
      <c r="A866" s="13" t="s">
        <v>2824</v>
      </c>
      <c r="B866" t="s">
        <v>2824</v>
      </c>
      <c r="C866" s="13" t="s">
        <v>2824</v>
      </c>
      <c r="D866" s="9" t="s">
        <v>536</v>
      </c>
      <c r="E866" s="13" t="s">
        <v>3323</v>
      </c>
    </row>
    <row r="867" spans="1:5" ht="43.2" x14ac:dyDescent="0.3">
      <c r="A867" s="13" t="s">
        <v>2825</v>
      </c>
      <c r="B867" t="s">
        <v>2825</v>
      </c>
      <c r="C867" s="13" t="s">
        <v>2825</v>
      </c>
      <c r="D867" s="9" t="s">
        <v>536</v>
      </c>
      <c r="E867" s="13" t="s">
        <v>3323</v>
      </c>
    </row>
    <row r="868" spans="1:5" ht="43.2" x14ac:dyDescent="0.3">
      <c r="A868" s="13" t="s">
        <v>1936</v>
      </c>
      <c r="B868" t="s">
        <v>1936</v>
      </c>
      <c r="C868" s="13" t="s">
        <v>1936</v>
      </c>
      <c r="D868" s="9" t="s">
        <v>536</v>
      </c>
      <c r="E868" s="13" t="s">
        <v>3323</v>
      </c>
    </row>
    <row r="869" spans="1:5" ht="43.2" x14ac:dyDescent="0.3">
      <c r="A869" s="13" t="s">
        <v>2826</v>
      </c>
      <c r="B869" t="s">
        <v>2826</v>
      </c>
      <c r="C869" s="13" t="s">
        <v>2826</v>
      </c>
      <c r="D869" s="9" t="s">
        <v>536</v>
      </c>
      <c r="E869" s="13" t="s">
        <v>3323</v>
      </c>
    </row>
    <row r="870" spans="1:5" ht="43.2" x14ac:dyDescent="0.3">
      <c r="A870" s="13" t="s">
        <v>2827</v>
      </c>
      <c r="B870" t="s">
        <v>2827</v>
      </c>
      <c r="C870" s="13" t="s">
        <v>2827</v>
      </c>
      <c r="D870" s="9" t="s">
        <v>536</v>
      </c>
      <c r="E870" s="13" t="s">
        <v>3323</v>
      </c>
    </row>
    <row r="871" spans="1:5" ht="43.2" x14ac:dyDescent="0.3">
      <c r="A871" s="13" t="s">
        <v>2828</v>
      </c>
      <c r="B871" t="s">
        <v>2828</v>
      </c>
      <c r="C871" s="13" t="s">
        <v>2828</v>
      </c>
      <c r="D871" s="9" t="s">
        <v>536</v>
      </c>
      <c r="E871" s="13" t="s">
        <v>3323</v>
      </c>
    </row>
    <row r="872" spans="1:5" ht="43.2" x14ac:dyDescent="0.3">
      <c r="A872" s="13" t="s">
        <v>2829</v>
      </c>
      <c r="B872" t="s">
        <v>2829</v>
      </c>
      <c r="C872" s="13" t="s">
        <v>2829</v>
      </c>
      <c r="D872" s="9" t="s">
        <v>536</v>
      </c>
      <c r="E872" s="13" t="s">
        <v>3323</v>
      </c>
    </row>
    <row r="873" spans="1:5" ht="43.2" x14ac:dyDescent="0.3">
      <c r="A873" s="13" t="s">
        <v>2830</v>
      </c>
      <c r="B873" t="s">
        <v>2830</v>
      </c>
      <c r="C873" s="13" t="s">
        <v>2830</v>
      </c>
      <c r="D873" s="9" t="s">
        <v>536</v>
      </c>
      <c r="E873" s="13" t="s">
        <v>3323</v>
      </c>
    </row>
    <row r="874" spans="1:5" ht="43.2" x14ac:dyDescent="0.3">
      <c r="A874" s="13" t="s">
        <v>1935</v>
      </c>
      <c r="B874" t="s">
        <v>1935</v>
      </c>
      <c r="C874" s="13" t="s">
        <v>1935</v>
      </c>
      <c r="D874" s="9" t="s">
        <v>536</v>
      </c>
      <c r="E874" s="13" t="s">
        <v>3323</v>
      </c>
    </row>
    <row r="875" spans="1:5" ht="43.2" x14ac:dyDescent="0.3">
      <c r="A875" s="13" t="s">
        <v>1934</v>
      </c>
      <c r="B875" t="s">
        <v>1934</v>
      </c>
      <c r="C875" s="13" t="s">
        <v>1934</v>
      </c>
      <c r="D875" s="9" t="s">
        <v>536</v>
      </c>
      <c r="E875" s="13" t="s">
        <v>3323</v>
      </c>
    </row>
    <row r="876" spans="1:5" ht="43.2" x14ac:dyDescent="0.3">
      <c r="A876" s="13" t="s">
        <v>1933</v>
      </c>
      <c r="B876" t="s">
        <v>1933</v>
      </c>
      <c r="C876" s="13" t="s">
        <v>1933</v>
      </c>
      <c r="D876" s="9" t="s">
        <v>536</v>
      </c>
      <c r="E876" s="13" t="s">
        <v>3323</v>
      </c>
    </row>
    <row r="877" spans="1:5" ht="43.2" x14ac:dyDescent="0.3">
      <c r="A877" s="13" t="s">
        <v>2831</v>
      </c>
      <c r="B877" t="s">
        <v>2831</v>
      </c>
      <c r="C877" s="13" t="s">
        <v>2831</v>
      </c>
      <c r="D877" s="9" t="s">
        <v>536</v>
      </c>
      <c r="E877" s="13" t="s">
        <v>3323</v>
      </c>
    </row>
    <row r="878" spans="1:5" ht="43.2" x14ac:dyDescent="0.3">
      <c r="A878" s="13" t="s">
        <v>2832</v>
      </c>
      <c r="B878" t="s">
        <v>2832</v>
      </c>
      <c r="C878" s="13" t="s">
        <v>2832</v>
      </c>
      <c r="D878" s="9" t="s">
        <v>536</v>
      </c>
      <c r="E878" s="13" t="s">
        <v>3323</v>
      </c>
    </row>
    <row r="879" spans="1:5" ht="43.2" x14ac:dyDescent="0.3">
      <c r="A879" s="13" t="s">
        <v>1932</v>
      </c>
      <c r="B879" t="s">
        <v>1932</v>
      </c>
      <c r="C879" s="13" t="s">
        <v>1932</v>
      </c>
      <c r="D879" s="9" t="s">
        <v>536</v>
      </c>
      <c r="E879" s="13" t="s">
        <v>3323</v>
      </c>
    </row>
    <row r="880" spans="1:5" ht="43.2" x14ac:dyDescent="0.3">
      <c r="A880" s="13" t="s">
        <v>2833</v>
      </c>
      <c r="B880" t="s">
        <v>2833</v>
      </c>
      <c r="C880" s="13" t="s">
        <v>2833</v>
      </c>
      <c r="D880" s="9" t="s">
        <v>536</v>
      </c>
      <c r="E880" s="13" t="s">
        <v>3323</v>
      </c>
    </row>
    <row r="881" spans="1:5" ht="43.2" x14ac:dyDescent="0.3">
      <c r="A881" s="13" t="s">
        <v>2834</v>
      </c>
      <c r="B881" t="s">
        <v>2834</v>
      </c>
      <c r="C881" s="13" t="s">
        <v>2834</v>
      </c>
      <c r="D881" s="9" t="s">
        <v>536</v>
      </c>
      <c r="E881" s="13" t="s">
        <v>3323</v>
      </c>
    </row>
    <row r="882" spans="1:5" ht="43.2" x14ac:dyDescent="0.3">
      <c r="A882" s="13" t="s">
        <v>1931</v>
      </c>
      <c r="B882" t="s">
        <v>1931</v>
      </c>
      <c r="C882" s="13" t="s">
        <v>1931</v>
      </c>
      <c r="D882" s="9" t="s">
        <v>536</v>
      </c>
      <c r="E882" s="13" t="s">
        <v>3323</v>
      </c>
    </row>
    <row r="883" spans="1:5" ht="43.2" x14ac:dyDescent="0.3">
      <c r="A883" s="13" t="s">
        <v>2835</v>
      </c>
      <c r="B883" t="s">
        <v>2835</v>
      </c>
      <c r="C883" s="13" t="s">
        <v>2835</v>
      </c>
      <c r="D883" s="9" t="s">
        <v>536</v>
      </c>
      <c r="E883" s="13" t="s">
        <v>3323</v>
      </c>
    </row>
    <row r="884" spans="1:5" ht="43.2" x14ac:dyDescent="0.3">
      <c r="A884" s="13" t="s">
        <v>2836</v>
      </c>
      <c r="B884" t="s">
        <v>2836</v>
      </c>
      <c r="C884" s="13" t="s">
        <v>2836</v>
      </c>
      <c r="D884" s="9" t="s">
        <v>536</v>
      </c>
      <c r="E884" s="13" t="s">
        <v>3323</v>
      </c>
    </row>
    <row r="885" spans="1:5" ht="43.2" x14ac:dyDescent="0.3">
      <c r="A885" s="13" t="s">
        <v>2837</v>
      </c>
      <c r="B885" t="s">
        <v>2837</v>
      </c>
      <c r="C885" s="13" t="s">
        <v>2837</v>
      </c>
      <c r="D885" s="9" t="s">
        <v>536</v>
      </c>
      <c r="E885" s="13" t="s">
        <v>3323</v>
      </c>
    </row>
    <row r="886" spans="1:5" ht="43.2" x14ac:dyDescent="0.3">
      <c r="A886" s="13" t="s">
        <v>2838</v>
      </c>
      <c r="B886" t="s">
        <v>2838</v>
      </c>
      <c r="C886" s="13" t="s">
        <v>2838</v>
      </c>
      <c r="D886" s="9" t="s">
        <v>536</v>
      </c>
      <c r="E886" s="13" t="s">
        <v>3323</v>
      </c>
    </row>
    <row r="887" spans="1:5" ht="43.2" x14ac:dyDescent="0.3">
      <c r="A887" s="13" t="s">
        <v>1930</v>
      </c>
      <c r="B887" t="s">
        <v>1930</v>
      </c>
      <c r="C887" s="13" t="s">
        <v>1930</v>
      </c>
      <c r="D887" s="9" t="s">
        <v>536</v>
      </c>
      <c r="E887" s="13" t="s">
        <v>3323</v>
      </c>
    </row>
    <row r="888" spans="1:5" ht="43.2" x14ac:dyDescent="0.3">
      <c r="A888" s="13" t="s">
        <v>2839</v>
      </c>
      <c r="B888" t="s">
        <v>2839</v>
      </c>
      <c r="C888" s="13" t="s">
        <v>2839</v>
      </c>
      <c r="D888" s="9" t="s">
        <v>536</v>
      </c>
      <c r="E888" s="13" t="s">
        <v>3323</v>
      </c>
    </row>
    <row r="889" spans="1:5" ht="43.2" x14ac:dyDescent="0.3">
      <c r="A889" s="13" t="s">
        <v>1929</v>
      </c>
      <c r="B889" t="s">
        <v>1929</v>
      </c>
      <c r="C889" s="13" t="s">
        <v>1929</v>
      </c>
      <c r="D889" s="9" t="s">
        <v>536</v>
      </c>
      <c r="E889" s="13" t="s">
        <v>3323</v>
      </c>
    </row>
    <row r="890" spans="1:5" ht="43.2" x14ac:dyDescent="0.3">
      <c r="A890" s="13" t="s">
        <v>1928</v>
      </c>
      <c r="B890" t="s">
        <v>1928</v>
      </c>
      <c r="C890" s="13" t="s">
        <v>1928</v>
      </c>
      <c r="D890" s="9" t="s">
        <v>536</v>
      </c>
      <c r="E890" s="13" t="s">
        <v>3323</v>
      </c>
    </row>
    <row r="891" spans="1:5" ht="43.2" x14ac:dyDescent="0.3">
      <c r="A891" s="13" t="s">
        <v>2840</v>
      </c>
      <c r="B891" t="s">
        <v>2840</v>
      </c>
      <c r="C891" s="13" t="s">
        <v>2840</v>
      </c>
      <c r="D891" s="9" t="s">
        <v>536</v>
      </c>
      <c r="E891" s="13" t="s">
        <v>3323</v>
      </c>
    </row>
    <row r="892" spans="1:5" ht="43.2" x14ac:dyDescent="0.3">
      <c r="A892" s="13" t="s">
        <v>2841</v>
      </c>
      <c r="B892" t="s">
        <v>2841</v>
      </c>
      <c r="C892" s="13" t="s">
        <v>2841</v>
      </c>
      <c r="D892" s="9" t="s">
        <v>536</v>
      </c>
      <c r="E892" s="13" t="s">
        <v>3323</v>
      </c>
    </row>
    <row r="893" spans="1:5" ht="43.2" x14ac:dyDescent="0.3">
      <c r="A893" s="13" t="s">
        <v>1927</v>
      </c>
      <c r="B893" t="s">
        <v>1927</v>
      </c>
      <c r="C893" s="13" t="s">
        <v>1927</v>
      </c>
      <c r="D893" s="9" t="s">
        <v>536</v>
      </c>
      <c r="E893" s="13" t="s">
        <v>3323</v>
      </c>
    </row>
    <row r="894" spans="1:5" ht="43.2" x14ac:dyDescent="0.3">
      <c r="A894" s="13" t="s">
        <v>2842</v>
      </c>
      <c r="B894" t="s">
        <v>2842</v>
      </c>
      <c r="C894" s="13" t="s">
        <v>2842</v>
      </c>
      <c r="D894" s="9" t="s">
        <v>536</v>
      </c>
      <c r="E894" s="13" t="s">
        <v>3323</v>
      </c>
    </row>
    <row r="895" spans="1:5" ht="43.2" x14ac:dyDescent="0.3">
      <c r="A895" s="13" t="s">
        <v>2843</v>
      </c>
      <c r="B895" t="s">
        <v>2843</v>
      </c>
      <c r="C895" s="13" t="s">
        <v>2843</v>
      </c>
      <c r="D895" s="9" t="s">
        <v>536</v>
      </c>
      <c r="E895" s="13" t="s">
        <v>3323</v>
      </c>
    </row>
    <row r="896" spans="1:5" ht="43.2" x14ac:dyDescent="0.3">
      <c r="A896" s="13" t="s">
        <v>2844</v>
      </c>
      <c r="B896" t="s">
        <v>2844</v>
      </c>
      <c r="C896" s="13" t="s">
        <v>2844</v>
      </c>
      <c r="D896" s="9" t="s">
        <v>536</v>
      </c>
      <c r="E896" s="13" t="s">
        <v>3323</v>
      </c>
    </row>
    <row r="897" spans="1:5" ht="43.2" x14ac:dyDescent="0.3">
      <c r="A897" s="13" t="s">
        <v>2845</v>
      </c>
      <c r="B897" t="s">
        <v>2845</v>
      </c>
      <c r="C897" s="13" t="s">
        <v>2845</v>
      </c>
      <c r="D897" s="9" t="s">
        <v>536</v>
      </c>
      <c r="E897" s="13" t="s">
        <v>3323</v>
      </c>
    </row>
    <row r="898" spans="1:5" ht="43.2" x14ac:dyDescent="0.3">
      <c r="A898" s="13" t="s">
        <v>2846</v>
      </c>
      <c r="B898" t="s">
        <v>2846</v>
      </c>
      <c r="C898" s="13" t="s">
        <v>2846</v>
      </c>
      <c r="D898" s="9" t="s">
        <v>536</v>
      </c>
      <c r="E898" s="13" t="s">
        <v>3323</v>
      </c>
    </row>
    <row r="899" spans="1:5" ht="43.2" x14ac:dyDescent="0.3">
      <c r="A899" s="13" t="s">
        <v>2847</v>
      </c>
      <c r="B899" t="s">
        <v>2847</v>
      </c>
      <c r="C899" s="13" t="s">
        <v>2847</v>
      </c>
      <c r="D899" s="9" t="s">
        <v>536</v>
      </c>
      <c r="E899" s="13" t="s">
        <v>3323</v>
      </c>
    </row>
    <row r="900" spans="1:5" ht="43.2" x14ac:dyDescent="0.3">
      <c r="A900" s="13" t="s">
        <v>2848</v>
      </c>
      <c r="B900" t="s">
        <v>2848</v>
      </c>
      <c r="C900" s="13" t="s">
        <v>2848</v>
      </c>
      <c r="D900" s="9" t="s">
        <v>536</v>
      </c>
      <c r="E900" s="13" t="s">
        <v>3323</v>
      </c>
    </row>
    <row r="901" spans="1:5" ht="43.2" x14ac:dyDescent="0.3">
      <c r="A901" s="13" t="s">
        <v>2849</v>
      </c>
      <c r="B901" t="s">
        <v>2849</v>
      </c>
      <c r="C901" s="13" t="s">
        <v>2849</v>
      </c>
      <c r="D901" s="9" t="s">
        <v>536</v>
      </c>
      <c r="E901" s="13" t="s">
        <v>3323</v>
      </c>
    </row>
    <row r="902" spans="1:5" ht="43.2" x14ac:dyDescent="0.3">
      <c r="A902" s="13" t="s">
        <v>2850</v>
      </c>
      <c r="B902" t="s">
        <v>2850</v>
      </c>
      <c r="C902" s="13" t="s">
        <v>2850</v>
      </c>
      <c r="D902" s="9" t="s">
        <v>536</v>
      </c>
      <c r="E902" s="13" t="s">
        <v>3323</v>
      </c>
    </row>
    <row r="903" spans="1:5" ht="43.2" x14ac:dyDescent="0.3">
      <c r="A903" s="13" t="s">
        <v>2851</v>
      </c>
      <c r="B903" t="s">
        <v>2851</v>
      </c>
      <c r="C903" s="13" t="s">
        <v>2851</v>
      </c>
      <c r="D903" s="9" t="s">
        <v>536</v>
      </c>
      <c r="E903" s="13" t="s">
        <v>3323</v>
      </c>
    </row>
    <row r="904" spans="1:5" ht="43.2" x14ac:dyDescent="0.3">
      <c r="A904" s="13" t="s">
        <v>2852</v>
      </c>
      <c r="B904" t="s">
        <v>2852</v>
      </c>
      <c r="C904" s="13" t="s">
        <v>2852</v>
      </c>
      <c r="D904" s="9" t="s">
        <v>536</v>
      </c>
      <c r="E904" s="13" t="s">
        <v>3323</v>
      </c>
    </row>
    <row r="905" spans="1:5" ht="28.8" x14ac:dyDescent="0.3">
      <c r="A905" s="13" t="s">
        <v>2853</v>
      </c>
      <c r="B905" t="s">
        <v>2853</v>
      </c>
      <c r="C905" s="13" t="s">
        <v>2853</v>
      </c>
      <c r="D905" s="9" t="s">
        <v>536</v>
      </c>
      <c r="E905" s="13" t="s">
        <v>3323</v>
      </c>
    </row>
    <row r="906" spans="1:5" ht="43.2" x14ac:dyDescent="0.3">
      <c r="A906" s="13" t="s">
        <v>2854</v>
      </c>
      <c r="B906" t="s">
        <v>2854</v>
      </c>
      <c r="C906" s="13" t="s">
        <v>2854</v>
      </c>
      <c r="D906" s="9" t="s">
        <v>536</v>
      </c>
      <c r="E906" s="13" t="s">
        <v>3323</v>
      </c>
    </row>
    <row r="907" spans="1:5" ht="43.2" x14ac:dyDescent="0.3">
      <c r="A907" s="13" t="s">
        <v>2855</v>
      </c>
      <c r="B907" t="s">
        <v>2855</v>
      </c>
      <c r="C907" s="13" t="s">
        <v>2855</v>
      </c>
      <c r="D907" s="9" t="s">
        <v>536</v>
      </c>
      <c r="E907" s="13" t="s">
        <v>3323</v>
      </c>
    </row>
    <row r="908" spans="1:5" ht="43.2" x14ac:dyDescent="0.3">
      <c r="A908" s="13" t="s">
        <v>1926</v>
      </c>
      <c r="B908" t="s">
        <v>1926</v>
      </c>
      <c r="C908" s="13" t="s">
        <v>1926</v>
      </c>
      <c r="D908" s="9" t="s">
        <v>536</v>
      </c>
      <c r="E908" s="13" t="s">
        <v>3323</v>
      </c>
    </row>
    <row r="909" spans="1:5" ht="43.2" x14ac:dyDescent="0.3">
      <c r="A909" s="13" t="s">
        <v>2856</v>
      </c>
      <c r="B909" t="s">
        <v>2856</v>
      </c>
      <c r="C909" s="13" t="s">
        <v>2856</v>
      </c>
      <c r="D909" s="9" t="s">
        <v>536</v>
      </c>
      <c r="E909" s="13" t="s">
        <v>3323</v>
      </c>
    </row>
    <row r="910" spans="1:5" ht="43.2" x14ac:dyDescent="0.3">
      <c r="A910" s="13" t="s">
        <v>2857</v>
      </c>
      <c r="B910" t="s">
        <v>2857</v>
      </c>
      <c r="C910" s="13" t="s">
        <v>2857</v>
      </c>
      <c r="D910" s="9" t="s">
        <v>536</v>
      </c>
      <c r="E910" s="13" t="s">
        <v>3323</v>
      </c>
    </row>
    <row r="911" spans="1:5" ht="43.2" x14ac:dyDescent="0.3">
      <c r="A911" s="13" t="s">
        <v>1925</v>
      </c>
      <c r="B911" t="s">
        <v>1925</v>
      </c>
      <c r="C911" s="13" t="s">
        <v>1925</v>
      </c>
      <c r="D911" s="9" t="s">
        <v>536</v>
      </c>
      <c r="E911" s="13" t="s">
        <v>3323</v>
      </c>
    </row>
    <row r="912" spans="1:5" ht="43.2" x14ac:dyDescent="0.3">
      <c r="A912" s="13" t="s">
        <v>1924</v>
      </c>
      <c r="B912" t="s">
        <v>1924</v>
      </c>
      <c r="C912" s="13" t="s">
        <v>1924</v>
      </c>
      <c r="D912" s="9" t="s">
        <v>536</v>
      </c>
      <c r="E912" s="13" t="s">
        <v>3323</v>
      </c>
    </row>
    <row r="913" spans="1:5" ht="43.2" x14ac:dyDescent="0.3">
      <c r="A913" s="13" t="s">
        <v>2858</v>
      </c>
      <c r="B913" t="s">
        <v>2858</v>
      </c>
      <c r="C913" s="13" t="s">
        <v>2858</v>
      </c>
      <c r="D913" s="9" t="s">
        <v>536</v>
      </c>
      <c r="E913" s="13" t="s">
        <v>3323</v>
      </c>
    </row>
    <row r="914" spans="1:5" ht="43.2" x14ac:dyDescent="0.3">
      <c r="A914" s="13" t="s">
        <v>2859</v>
      </c>
      <c r="B914" t="s">
        <v>2859</v>
      </c>
      <c r="C914" s="13" t="s">
        <v>2859</v>
      </c>
      <c r="D914" s="9" t="s">
        <v>536</v>
      </c>
      <c r="E914" s="13" t="s">
        <v>3323</v>
      </c>
    </row>
    <row r="915" spans="1:5" ht="43.2" x14ac:dyDescent="0.3">
      <c r="A915" s="13" t="s">
        <v>2860</v>
      </c>
      <c r="B915" t="s">
        <v>2860</v>
      </c>
      <c r="C915" s="13" t="s">
        <v>2860</v>
      </c>
      <c r="D915" s="9" t="s">
        <v>536</v>
      </c>
      <c r="E915" s="13" t="s">
        <v>3323</v>
      </c>
    </row>
    <row r="916" spans="1:5" ht="43.2" x14ac:dyDescent="0.3">
      <c r="A916" s="13" t="s">
        <v>2861</v>
      </c>
      <c r="B916" t="s">
        <v>2861</v>
      </c>
      <c r="C916" s="13" t="s">
        <v>2861</v>
      </c>
      <c r="D916" s="9" t="s">
        <v>536</v>
      </c>
      <c r="E916" s="13" t="s">
        <v>3323</v>
      </c>
    </row>
    <row r="917" spans="1:5" ht="43.2" x14ac:dyDescent="0.3">
      <c r="A917" s="13" t="s">
        <v>2862</v>
      </c>
      <c r="B917" t="s">
        <v>2862</v>
      </c>
      <c r="C917" s="13" t="s">
        <v>2862</v>
      </c>
      <c r="D917" s="9" t="s">
        <v>536</v>
      </c>
      <c r="E917" s="13" t="s">
        <v>3323</v>
      </c>
    </row>
    <row r="918" spans="1:5" ht="43.2" x14ac:dyDescent="0.3">
      <c r="A918" s="13" t="s">
        <v>1923</v>
      </c>
      <c r="B918" t="s">
        <v>1923</v>
      </c>
      <c r="C918" s="13" t="s">
        <v>1923</v>
      </c>
      <c r="D918" s="9" t="s">
        <v>536</v>
      </c>
      <c r="E918" s="13" t="s">
        <v>3323</v>
      </c>
    </row>
    <row r="919" spans="1:5" ht="43.2" x14ac:dyDescent="0.3">
      <c r="A919" s="13" t="s">
        <v>1922</v>
      </c>
      <c r="B919" t="s">
        <v>1922</v>
      </c>
      <c r="C919" s="13" t="s">
        <v>1922</v>
      </c>
      <c r="D919" s="9" t="s">
        <v>536</v>
      </c>
      <c r="E919" s="13" t="s">
        <v>3323</v>
      </c>
    </row>
    <row r="920" spans="1:5" ht="43.2" x14ac:dyDescent="0.3">
      <c r="A920" s="13" t="s">
        <v>2863</v>
      </c>
      <c r="B920" t="s">
        <v>2863</v>
      </c>
      <c r="C920" s="13" t="s">
        <v>2863</v>
      </c>
      <c r="D920" s="9" t="s">
        <v>536</v>
      </c>
      <c r="E920" s="13" t="s">
        <v>3323</v>
      </c>
    </row>
    <row r="921" spans="1:5" ht="43.2" x14ac:dyDescent="0.3">
      <c r="A921" s="13" t="s">
        <v>2864</v>
      </c>
      <c r="B921" t="s">
        <v>2864</v>
      </c>
      <c r="C921" s="13" t="s">
        <v>2864</v>
      </c>
      <c r="D921" s="9" t="s">
        <v>536</v>
      </c>
      <c r="E921" s="13" t="s">
        <v>3323</v>
      </c>
    </row>
    <row r="922" spans="1:5" ht="43.2" x14ac:dyDescent="0.3">
      <c r="A922" s="13" t="s">
        <v>1921</v>
      </c>
      <c r="B922" t="s">
        <v>1921</v>
      </c>
      <c r="C922" s="13" t="s">
        <v>1921</v>
      </c>
      <c r="D922" s="9" t="s">
        <v>536</v>
      </c>
      <c r="E922" s="13" t="s">
        <v>3323</v>
      </c>
    </row>
    <row r="923" spans="1:5" ht="43.2" x14ac:dyDescent="0.3">
      <c r="A923" s="13" t="s">
        <v>1920</v>
      </c>
      <c r="B923" t="s">
        <v>1920</v>
      </c>
      <c r="C923" s="13" t="s">
        <v>1920</v>
      </c>
      <c r="D923" s="9" t="s">
        <v>536</v>
      </c>
      <c r="E923" s="13" t="s">
        <v>3323</v>
      </c>
    </row>
    <row r="924" spans="1:5" ht="43.2" x14ac:dyDescent="0.3">
      <c r="A924" s="13" t="s">
        <v>1919</v>
      </c>
      <c r="B924" t="s">
        <v>1919</v>
      </c>
      <c r="C924" s="13" t="s">
        <v>1919</v>
      </c>
      <c r="D924" s="9" t="s">
        <v>536</v>
      </c>
      <c r="E924" s="13" t="s">
        <v>3323</v>
      </c>
    </row>
    <row r="925" spans="1:5" ht="43.2" x14ac:dyDescent="0.3">
      <c r="A925" s="13" t="s">
        <v>1918</v>
      </c>
      <c r="B925" t="s">
        <v>1918</v>
      </c>
      <c r="C925" s="13" t="s">
        <v>1918</v>
      </c>
      <c r="D925" s="9" t="s">
        <v>536</v>
      </c>
      <c r="E925" s="13" t="s">
        <v>3323</v>
      </c>
    </row>
    <row r="926" spans="1:5" ht="43.2" x14ac:dyDescent="0.3">
      <c r="A926" s="13" t="s">
        <v>2865</v>
      </c>
      <c r="B926" t="s">
        <v>2865</v>
      </c>
      <c r="C926" s="13" t="s">
        <v>2865</v>
      </c>
      <c r="D926" s="9" t="s">
        <v>536</v>
      </c>
      <c r="E926" s="13" t="s">
        <v>3323</v>
      </c>
    </row>
    <row r="927" spans="1:5" ht="43.2" x14ac:dyDescent="0.3">
      <c r="A927" s="13" t="s">
        <v>2866</v>
      </c>
      <c r="B927" t="s">
        <v>2866</v>
      </c>
      <c r="C927" s="13" t="s">
        <v>2866</v>
      </c>
      <c r="D927" s="9" t="s">
        <v>536</v>
      </c>
      <c r="E927" s="13" t="s">
        <v>3323</v>
      </c>
    </row>
    <row r="928" spans="1:5" ht="43.2" x14ac:dyDescent="0.3">
      <c r="A928" s="13" t="s">
        <v>2867</v>
      </c>
      <c r="B928" t="s">
        <v>2867</v>
      </c>
      <c r="C928" s="13" t="s">
        <v>2867</v>
      </c>
      <c r="D928" s="9" t="s">
        <v>536</v>
      </c>
      <c r="E928" s="13" t="s">
        <v>3323</v>
      </c>
    </row>
    <row r="929" spans="1:5" ht="43.2" x14ac:dyDescent="0.3">
      <c r="A929" s="13" t="s">
        <v>2868</v>
      </c>
      <c r="B929" t="s">
        <v>2868</v>
      </c>
      <c r="C929" s="13" t="s">
        <v>2868</v>
      </c>
      <c r="D929" s="9" t="s">
        <v>536</v>
      </c>
      <c r="E929" s="13" t="s">
        <v>3323</v>
      </c>
    </row>
    <row r="930" spans="1:5" ht="43.2" x14ac:dyDescent="0.3">
      <c r="A930" s="13" t="s">
        <v>2869</v>
      </c>
      <c r="B930" t="s">
        <v>2869</v>
      </c>
      <c r="C930" s="13" t="s">
        <v>2869</v>
      </c>
      <c r="D930" s="9" t="s">
        <v>536</v>
      </c>
      <c r="E930" s="13" t="s">
        <v>3323</v>
      </c>
    </row>
    <row r="931" spans="1:5" ht="43.2" x14ac:dyDescent="0.3">
      <c r="A931" s="13" t="s">
        <v>2870</v>
      </c>
      <c r="B931" t="s">
        <v>2870</v>
      </c>
      <c r="C931" s="13" t="s">
        <v>2870</v>
      </c>
      <c r="D931" s="9" t="s">
        <v>536</v>
      </c>
      <c r="E931" s="13" t="s">
        <v>3323</v>
      </c>
    </row>
    <row r="932" spans="1:5" ht="43.2" x14ac:dyDescent="0.3">
      <c r="A932" s="13" t="s">
        <v>2100</v>
      </c>
      <c r="B932" t="s">
        <v>2100</v>
      </c>
      <c r="C932" s="13" t="s">
        <v>2100</v>
      </c>
      <c r="D932" s="9" t="s">
        <v>536</v>
      </c>
      <c r="E932" s="13" t="s">
        <v>3323</v>
      </c>
    </row>
    <row r="933" spans="1:5" ht="43.2" x14ac:dyDescent="0.3">
      <c r="A933" s="13" t="s">
        <v>1917</v>
      </c>
      <c r="B933" t="s">
        <v>1917</v>
      </c>
      <c r="C933" s="13" t="s">
        <v>1917</v>
      </c>
      <c r="D933" s="9" t="s">
        <v>536</v>
      </c>
      <c r="E933" s="13" t="s">
        <v>3323</v>
      </c>
    </row>
    <row r="934" spans="1:5" ht="43.2" x14ac:dyDescent="0.3">
      <c r="A934" s="13" t="s">
        <v>2871</v>
      </c>
      <c r="B934" t="s">
        <v>2871</v>
      </c>
      <c r="C934" s="13" t="s">
        <v>2871</v>
      </c>
      <c r="D934" s="9" t="s">
        <v>536</v>
      </c>
      <c r="E934" s="13" t="s">
        <v>3323</v>
      </c>
    </row>
    <row r="935" spans="1:5" ht="43.2" x14ac:dyDescent="0.3">
      <c r="A935" s="13" t="s">
        <v>2872</v>
      </c>
      <c r="B935" t="s">
        <v>2872</v>
      </c>
      <c r="C935" s="13" t="s">
        <v>2872</v>
      </c>
      <c r="D935" s="9" t="s">
        <v>536</v>
      </c>
      <c r="E935" s="13" t="s">
        <v>3323</v>
      </c>
    </row>
    <row r="936" spans="1:5" ht="43.2" x14ac:dyDescent="0.3">
      <c r="A936" s="13" t="s">
        <v>1916</v>
      </c>
      <c r="B936" t="s">
        <v>1916</v>
      </c>
      <c r="C936" s="13" t="s">
        <v>1916</v>
      </c>
      <c r="D936" s="9" t="s">
        <v>536</v>
      </c>
      <c r="E936" s="13" t="s">
        <v>3323</v>
      </c>
    </row>
    <row r="937" spans="1:5" ht="43.2" x14ac:dyDescent="0.3">
      <c r="A937" s="13" t="s">
        <v>2873</v>
      </c>
      <c r="B937" t="s">
        <v>2873</v>
      </c>
      <c r="C937" s="13" t="s">
        <v>2873</v>
      </c>
      <c r="D937" s="9" t="s">
        <v>536</v>
      </c>
      <c r="E937" s="13" t="s">
        <v>3323</v>
      </c>
    </row>
    <row r="938" spans="1:5" ht="43.2" x14ac:dyDescent="0.3">
      <c r="A938" s="13" t="s">
        <v>2874</v>
      </c>
      <c r="B938" t="s">
        <v>2874</v>
      </c>
      <c r="C938" s="13" t="s">
        <v>2874</v>
      </c>
      <c r="D938" s="9" t="s">
        <v>536</v>
      </c>
      <c r="E938" s="13" t="s">
        <v>3323</v>
      </c>
    </row>
    <row r="939" spans="1:5" ht="43.2" x14ac:dyDescent="0.3">
      <c r="A939" s="13" t="s">
        <v>2102</v>
      </c>
      <c r="B939" t="s">
        <v>2102</v>
      </c>
      <c r="C939" s="13" t="s">
        <v>2102</v>
      </c>
      <c r="D939" s="9" t="s">
        <v>536</v>
      </c>
      <c r="E939" s="13" t="s">
        <v>3323</v>
      </c>
    </row>
    <row r="940" spans="1:5" ht="43.2" x14ac:dyDescent="0.3">
      <c r="A940" s="13" t="s">
        <v>1915</v>
      </c>
      <c r="B940" t="s">
        <v>1915</v>
      </c>
      <c r="C940" s="13" t="s">
        <v>1915</v>
      </c>
      <c r="D940" s="9" t="s">
        <v>536</v>
      </c>
      <c r="E940" s="13" t="s">
        <v>3323</v>
      </c>
    </row>
    <row r="941" spans="1:5" ht="43.2" x14ac:dyDescent="0.3">
      <c r="A941" s="13" t="s">
        <v>2875</v>
      </c>
      <c r="B941" t="s">
        <v>2875</v>
      </c>
      <c r="C941" s="13" t="s">
        <v>2875</v>
      </c>
      <c r="D941" s="9" t="s">
        <v>536</v>
      </c>
      <c r="E941" s="13" t="s">
        <v>3323</v>
      </c>
    </row>
    <row r="942" spans="1:5" ht="43.2" x14ac:dyDescent="0.3">
      <c r="A942" s="13" t="s">
        <v>2876</v>
      </c>
      <c r="B942" t="s">
        <v>2876</v>
      </c>
      <c r="C942" s="13" t="s">
        <v>2876</v>
      </c>
      <c r="D942" s="9" t="s">
        <v>536</v>
      </c>
      <c r="E942" s="13" t="s">
        <v>3323</v>
      </c>
    </row>
    <row r="943" spans="1:5" ht="43.2" x14ac:dyDescent="0.3">
      <c r="A943" s="13" t="s">
        <v>2877</v>
      </c>
      <c r="B943" t="s">
        <v>2877</v>
      </c>
      <c r="C943" s="13" t="s">
        <v>2877</v>
      </c>
      <c r="D943" s="9" t="s">
        <v>536</v>
      </c>
      <c r="E943" s="13" t="s">
        <v>3323</v>
      </c>
    </row>
    <row r="944" spans="1:5" ht="43.2" x14ac:dyDescent="0.3">
      <c r="A944" s="13" t="s">
        <v>2878</v>
      </c>
      <c r="B944" t="s">
        <v>2878</v>
      </c>
      <c r="C944" s="13" t="s">
        <v>2878</v>
      </c>
      <c r="D944" s="9" t="s">
        <v>536</v>
      </c>
      <c r="E944" s="13" t="s">
        <v>3323</v>
      </c>
    </row>
    <row r="945" spans="1:5" ht="43.2" x14ac:dyDescent="0.3">
      <c r="A945" s="13" t="s">
        <v>2879</v>
      </c>
      <c r="B945" t="s">
        <v>2879</v>
      </c>
      <c r="C945" s="13" t="s">
        <v>2879</v>
      </c>
      <c r="D945" s="9" t="s">
        <v>536</v>
      </c>
      <c r="E945" s="13" t="s">
        <v>3323</v>
      </c>
    </row>
    <row r="946" spans="1:5" ht="43.2" x14ac:dyDescent="0.3">
      <c r="A946" s="13" t="s">
        <v>2880</v>
      </c>
      <c r="B946" t="s">
        <v>2880</v>
      </c>
      <c r="C946" s="13" t="s">
        <v>2880</v>
      </c>
      <c r="D946" s="9" t="s">
        <v>536</v>
      </c>
      <c r="E946" s="13" t="s">
        <v>3323</v>
      </c>
    </row>
    <row r="947" spans="1:5" ht="43.2" x14ac:dyDescent="0.3">
      <c r="A947" s="13" t="s">
        <v>2881</v>
      </c>
      <c r="B947" t="s">
        <v>2881</v>
      </c>
      <c r="C947" s="13" t="s">
        <v>2881</v>
      </c>
      <c r="D947" s="9" t="s">
        <v>536</v>
      </c>
      <c r="E947" s="13" t="s">
        <v>3323</v>
      </c>
    </row>
    <row r="948" spans="1:5" ht="43.2" x14ac:dyDescent="0.3">
      <c r="A948" s="13" t="s">
        <v>2882</v>
      </c>
      <c r="B948" t="s">
        <v>2882</v>
      </c>
      <c r="C948" s="13" t="s">
        <v>2882</v>
      </c>
      <c r="D948" s="9" t="s">
        <v>536</v>
      </c>
      <c r="E948" s="13" t="s">
        <v>3323</v>
      </c>
    </row>
    <row r="949" spans="1:5" ht="43.2" x14ac:dyDescent="0.3">
      <c r="A949" s="13" t="s">
        <v>2883</v>
      </c>
      <c r="B949" t="s">
        <v>2883</v>
      </c>
      <c r="C949" s="13" t="s">
        <v>2883</v>
      </c>
      <c r="D949" s="9" t="s">
        <v>536</v>
      </c>
      <c r="E949" s="13" t="s">
        <v>3323</v>
      </c>
    </row>
    <row r="950" spans="1:5" ht="43.2" x14ac:dyDescent="0.3">
      <c r="A950" s="13" t="s">
        <v>1914</v>
      </c>
      <c r="B950" t="s">
        <v>1914</v>
      </c>
      <c r="C950" s="13" t="s">
        <v>1914</v>
      </c>
      <c r="D950" s="9" t="s">
        <v>536</v>
      </c>
      <c r="E950" s="13" t="s">
        <v>3323</v>
      </c>
    </row>
    <row r="951" spans="1:5" ht="43.2" x14ac:dyDescent="0.3">
      <c r="A951" s="13" t="s">
        <v>1913</v>
      </c>
      <c r="B951" t="s">
        <v>1913</v>
      </c>
      <c r="C951" s="13" t="s">
        <v>1913</v>
      </c>
      <c r="D951" s="9" t="s">
        <v>536</v>
      </c>
      <c r="E951" s="13" t="s">
        <v>3323</v>
      </c>
    </row>
    <row r="952" spans="1:5" ht="43.2" x14ac:dyDescent="0.3">
      <c r="A952" s="13" t="s">
        <v>2884</v>
      </c>
      <c r="B952" t="s">
        <v>2884</v>
      </c>
      <c r="C952" s="13" t="s">
        <v>2884</v>
      </c>
      <c r="D952" s="9" t="s">
        <v>536</v>
      </c>
      <c r="E952" s="13" t="s">
        <v>3323</v>
      </c>
    </row>
    <row r="953" spans="1:5" ht="43.2" x14ac:dyDescent="0.3">
      <c r="A953" s="13" t="s">
        <v>1912</v>
      </c>
      <c r="B953" t="s">
        <v>1912</v>
      </c>
      <c r="C953" s="13" t="s">
        <v>1912</v>
      </c>
      <c r="D953" s="9" t="s">
        <v>536</v>
      </c>
      <c r="E953" s="13" t="s">
        <v>3323</v>
      </c>
    </row>
    <row r="954" spans="1:5" ht="43.2" x14ac:dyDescent="0.3">
      <c r="A954" s="13" t="s">
        <v>1911</v>
      </c>
      <c r="B954" t="s">
        <v>1911</v>
      </c>
      <c r="C954" s="13" t="s">
        <v>1911</v>
      </c>
      <c r="D954" s="9" t="s">
        <v>536</v>
      </c>
      <c r="E954" s="13" t="s">
        <v>3323</v>
      </c>
    </row>
    <row r="955" spans="1:5" ht="43.2" x14ac:dyDescent="0.3">
      <c r="A955" s="13" t="s">
        <v>2885</v>
      </c>
      <c r="B955" t="s">
        <v>2885</v>
      </c>
      <c r="C955" s="13" t="s">
        <v>2885</v>
      </c>
      <c r="D955" s="9" t="s">
        <v>536</v>
      </c>
      <c r="E955" s="13" t="s">
        <v>3323</v>
      </c>
    </row>
    <row r="956" spans="1:5" ht="43.2" x14ac:dyDescent="0.3">
      <c r="A956" s="13" t="s">
        <v>2886</v>
      </c>
      <c r="B956" t="s">
        <v>2886</v>
      </c>
      <c r="C956" s="13" t="s">
        <v>2886</v>
      </c>
      <c r="D956" s="9" t="s">
        <v>536</v>
      </c>
      <c r="E956" s="13" t="s">
        <v>3323</v>
      </c>
    </row>
    <row r="957" spans="1:5" ht="43.2" x14ac:dyDescent="0.3">
      <c r="A957" s="13" t="s">
        <v>2887</v>
      </c>
      <c r="B957" t="s">
        <v>2887</v>
      </c>
      <c r="C957" s="13" t="s">
        <v>2887</v>
      </c>
      <c r="D957" s="9" t="s">
        <v>536</v>
      </c>
      <c r="E957" s="13" t="s">
        <v>3323</v>
      </c>
    </row>
    <row r="958" spans="1:5" ht="43.2" x14ac:dyDescent="0.3">
      <c r="A958" s="13" t="s">
        <v>1910</v>
      </c>
      <c r="B958" t="s">
        <v>1910</v>
      </c>
      <c r="C958" s="13" t="s">
        <v>1910</v>
      </c>
      <c r="D958" s="9" t="s">
        <v>536</v>
      </c>
      <c r="E958" s="13" t="s">
        <v>3323</v>
      </c>
    </row>
    <row r="959" spans="1:5" ht="43.2" x14ac:dyDescent="0.3">
      <c r="A959" s="13" t="s">
        <v>2888</v>
      </c>
      <c r="B959" t="s">
        <v>2888</v>
      </c>
      <c r="C959" s="13" t="s">
        <v>2888</v>
      </c>
      <c r="D959" s="9" t="s">
        <v>536</v>
      </c>
      <c r="E959" s="13" t="s">
        <v>3323</v>
      </c>
    </row>
    <row r="960" spans="1:5" ht="43.2" x14ac:dyDescent="0.3">
      <c r="A960" s="13" t="s">
        <v>1909</v>
      </c>
      <c r="B960" t="s">
        <v>1909</v>
      </c>
      <c r="C960" s="13" t="s">
        <v>1909</v>
      </c>
      <c r="D960" s="9" t="s">
        <v>536</v>
      </c>
      <c r="E960" s="13" t="s">
        <v>3323</v>
      </c>
    </row>
    <row r="961" spans="1:5" ht="43.2" x14ac:dyDescent="0.3">
      <c r="A961" s="13" t="s">
        <v>1908</v>
      </c>
      <c r="B961" t="s">
        <v>1908</v>
      </c>
      <c r="C961" s="13" t="s">
        <v>1908</v>
      </c>
      <c r="D961" s="9" t="s">
        <v>536</v>
      </c>
      <c r="E961" s="13" t="s">
        <v>3323</v>
      </c>
    </row>
    <row r="962" spans="1:5" ht="43.2" x14ac:dyDescent="0.3">
      <c r="A962" s="13" t="s">
        <v>2889</v>
      </c>
      <c r="B962" t="s">
        <v>2889</v>
      </c>
      <c r="C962" s="13" t="s">
        <v>2889</v>
      </c>
      <c r="D962" s="9" t="s">
        <v>536</v>
      </c>
      <c r="E962" s="13" t="s">
        <v>3323</v>
      </c>
    </row>
    <row r="963" spans="1:5" ht="43.2" x14ac:dyDescent="0.3">
      <c r="A963" s="13" t="s">
        <v>2890</v>
      </c>
      <c r="B963" t="s">
        <v>2890</v>
      </c>
      <c r="C963" s="13" t="s">
        <v>2890</v>
      </c>
      <c r="D963" s="9" t="s">
        <v>536</v>
      </c>
      <c r="E963" s="13" t="s">
        <v>3323</v>
      </c>
    </row>
    <row r="964" spans="1:5" ht="43.2" x14ac:dyDescent="0.3">
      <c r="A964" s="13" t="s">
        <v>2891</v>
      </c>
      <c r="B964" t="s">
        <v>2891</v>
      </c>
      <c r="C964" s="13" t="s">
        <v>2891</v>
      </c>
      <c r="D964" s="9" t="s">
        <v>536</v>
      </c>
      <c r="E964" s="13" t="s">
        <v>3323</v>
      </c>
    </row>
    <row r="965" spans="1:5" ht="43.2" x14ac:dyDescent="0.3">
      <c r="A965" s="13" t="s">
        <v>2892</v>
      </c>
      <c r="B965" t="s">
        <v>2892</v>
      </c>
      <c r="C965" s="13" t="s">
        <v>2892</v>
      </c>
      <c r="D965" s="9" t="s">
        <v>536</v>
      </c>
      <c r="E965" s="13" t="s">
        <v>3323</v>
      </c>
    </row>
    <row r="966" spans="1:5" ht="43.2" x14ac:dyDescent="0.3">
      <c r="A966" s="13" t="s">
        <v>1907</v>
      </c>
      <c r="B966" t="s">
        <v>1907</v>
      </c>
      <c r="C966" s="13" t="s">
        <v>1907</v>
      </c>
      <c r="D966" s="9" t="s">
        <v>536</v>
      </c>
      <c r="E966" s="13" t="s">
        <v>3323</v>
      </c>
    </row>
    <row r="967" spans="1:5" ht="43.2" x14ac:dyDescent="0.3">
      <c r="A967" s="13" t="s">
        <v>1906</v>
      </c>
      <c r="B967" t="s">
        <v>1906</v>
      </c>
      <c r="C967" s="13" t="s">
        <v>1906</v>
      </c>
      <c r="D967" s="9" t="s">
        <v>536</v>
      </c>
      <c r="E967" s="13" t="s">
        <v>3323</v>
      </c>
    </row>
    <row r="968" spans="1:5" ht="43.2" x14ac:dyDescent="0.3">
      <c r="A968" s="13" t="s">
        <v>1905</v>
      </c>
      <c r="B968" t="s">
        <v>1905</v>
      </c>
      <c r="C968" s="13" t="s">
        <v>1905</v>
      </c>
      <c r="D968" s="9" t="s">
        <v>536</v>
      </c>
      <c r="E968" s="13" t="s">
        <v>3323</v>
      </c>
    </row>
    <row r="969" spans="1:5" ht="43.2" x14ac:dyDescent="0.3">
      <c r="A969" s="13" t="s">
        <v>2893</v>
      </c>
      <c r="B969" t="s">
        <v>2893</v>
      </c>
      <c r="C969" s="13" t="s">
        <v>2893</v>
      </c>
      <c r="D969" s="9" t="s">
        <v>536</v>
      </c>
      <c r="E969" s="13" t="s">
        <v>3323</v>
      </c>
    </row>
    <row r="970" spans="1:5" ht="43.2" x14ac:dyDescent="0.3">
      <c r="A970" s="13" t="s">
        <v>2894</v>
      </c>
      <c r="B970" t="s">
        <v>2894</v>
      </c>
      <c r="C970" s="13" t="s">
        <v>2894</v>
      </c>
      <c r="D970" s="9" t="s">
        <v>536</v>
      </c>
      <c r="E970" s="13" t="s">
        <v>3323</v>
      </c>
    </row>
    <row r="971" spans="1:5" ht="43.2" x14ac:dyDescent="0.3">
      <c r="A971" s="13" t="s">
        <v>1904</v>
      </c>
      <c r="B971" t="s">
        <v>1904</v>
      </c>
      <c r="C971" s="13" t="s">
        <v>1904</v>
      </c>
      <c r="D971" s="9" t="s">
        <v>536</v>
      </c>
      <c r="E971" s="13" t="s">
        <v>3323</v>
      </c>
    </row>
    <row r="972" spans="1:5" ht="43.2" x14ac:dyDescent="0.3">
      <c r="A972" s="13" t="s">
        <v>2895</v>
      </c>
      <c r="B972" t="s">
        <v>2895</v>
      </c>
      <c r="C972" s="13" t="s">
        <v>2895</v>
      </c>
      <c r="D972" s="9" t="s">
        <v>536</v>
      </c>
      <c r="E972" s="13" t="s">
        <v>3323</v>
      </c>
    </row>
    <row r="973" spans="1:5" ht="43.2" x14ac:dyDescent="0.3">
      <c r="A973" s="13" t="s">
        <v>2896</v>
      </c>
      <c r="B973" t="s">
        <v>2896</v>
      </c>
      <c r="C973" s="13" t="s">
        <v>2896</v>
      </c>
      <c r="D973" s="9" t="s">
        <v>536</v>
      </c>
      <c r="E973" s="13" t="s">
        <v>3323</v>
      </c>
    </row>
    <row r="974" spans="1:5" ht="43.2" x14ac:dyDescent="0.3">
      <c r="A974" s="13" t="s">
        <v>2897</v>
      </c>
      <c r="B974" t="s">
        <v>2897</v>
      </c>
      <c r="C974" s="13" t="s">
        <v>2897</v>
      </c>
      <c r="D974" s="9" t="s">
        <v>536</v>
      </c>
      <c r="E974" s="13" t="s">
        <v>3323</v>
      </c>
    </row>
    <row r="975" spans="1:5" ht="43.2" x14ac:dyDescent="0.3">
      <c r="A975" s="13" t="s">
        <v>2898</v>
      </c>
      <c r="B975" t="s">
        <v>2898</v>
      </c>
      <c r="C975" s="13" t="s">
        <v>2898</v>
      </c>
      <c r="D975" s="9" t="s">
        <v>536</v>
      </c>
      <c r="E975" s="13" t="s">
        <v>3323</v>
      </c>
    </row>
    <row r="976" spans="1:5" ht="43.2" x14ac:dyDescent="0.3">
      <c r="A976" s="13" t="s">
        <v>2899</v>
      </c>
      <c r="B976" t="s">
        <v>2899</v>
      </c>
      <c r="C976" s="13" t="s">
        <v>2899</v>
      </c>
      <c r="D976" s="9" t="s">
        <v>536</v>
      </c>
      <c r="E976" s="13" t="s">
        <v>3323</v>
      </c>
    </row>
    <row r="977" spans="1:5" ht="43.2" x14ac:dyDescent="0.3">
      <c r="A977" s="13" t="s">
        <v>2900</v>
      </c>
      <c r="B977" t="s">
        <v>2900</v>
      </c>
      <c r="C977" s="13" t="s">
        <v>2900</v>
      </c>
      <c r="D977" s="9" t="s">
        <v>536</v>
      </c>
      <c r="E977" s="13" t="s">
        <v>3323</v>
      </c>
    </row>
    <row r="978" spans="1:5" ht="43.2" x14ac:dyDescent="0.3">
      <c r="A978" s="13" t="s">
        <v>2901</v>
      </c>
      <c r="B978" t="s">
        <v>2901</v>
      </c>
      <c r="C978" s="13" t="s">
        <v>2901</v>
      </c>
      <c r="D978" s="9" t="s">
        <v>536</v>
      </c>
      <c r="E978" s="13" t="s">
        <v>3323</v>
      </c>
    </row>
    <row r="979" spans="1:5" ht="43.2" x14ac:dyDescent="0.3">
      <c r="A979" s="13" t="s">
        <v>1903</v>
      </c>
      <c r="B979" t="s">
        <v>1903</v>
      </c>
      <c r="C979" s="13" t="s">
        <v>1903</v>
      </c>
      <c r="D979" s="9" t="s">
        <v>536</v>
      </c>
      <c r="E979" s="13" t="s">
        <v>3323</v>
      </c>
    </row>
    <row r="980" spans="1:5" ht="43.2" x14ac:dyDescent="0.3">
      <c r="A980" s="13" t="s">
        <v>2902</v>
      </c>
      <c r="B980" t="s">
        <v>2902</v>
      </c>
      <c r="C980" s="13" t="s">
        <v>2902</v>
      </c>
      <c r="D980" s="9" t="s">
        <v>536</v>
      </c>
      <c r="E980" s="13" t="s">
        <v>3323</v>
      </c>
    </row>
    <row r="981" spans="1:5" ht="43.2" x14ac:dyDescent="0.3">
      <c r="A981" s="13" t="s">
        <v>2903</v>
      </c>
      <c r="B981" t="s">
        <v>2903</v>
      </c>
      <c r="C981" s="13" t="s">
        <v>2903</v>
      </c>
      <c r="D981" s="9" t="s">
        <v>536</v>
      </c>
      <c r="E981" s="13" t="s">
        <v>3323</v>
      </c>
    </row>
    <row r="982" spans="1:5" ht="43.2" x14ac:dyDescent="0.3">
      <c r="A982" s="13" t="s">
        <v>2904</v>
      </c>
      <c r="B982" t="s">
        <v>2904</v>
      </c>
      <c r="C982" s="13" t="s">
        <v>2904</v>
      </c>
      <c r="D982" s="9" t="s">
        <v>536</v>
      </c>
      <c r="E982" s="13" t="s">
        <v>3323</v>
      </c>
    </row>
    <row r="983" spans="1:5" ht="43.2" x14ac:dyDescent="0.3">
      <c r="A983" s="13" t="s">
        <v>2905</v>
      </c>
      <c r="B983" t="s">
        <v>2905</v>
      </c>
      <c r="C983" s="13" t="s">
        <v>2905</v>
      </c>
      <c r="D983" s="9" t="s">
        <v>536</v>
      </c>
      <c r="E983" s="13" t="s">
        <v>3323</v>
      </c>
    </row>
    <row r="984" spans="1:5" ht="43.2" x14ac:dyDescent="0.3">
      <c r="A984" s="13" t="s">
        <v>2906</v>
      </c>
      <c r="B984" t="s">
        <v>2906</v>
      </c>
      <c r="C984" s="13" t="s">
        <v>2906</v>
      </c>
      <c r="D984" s="9" t="s">
        <v>536</v>
      </c>
      <c r="E984" s="13" t="s">
        <v>3323</v>
      </c>
    </row>
    <row r="985" spans="1:5" ht="43.2" x14ac:dyDescent="0.3">
      <c r="A985" s="13" t="s">
        <v>2907</v>
      </c>
      <c r="B985" t="s">
        <v>2907</v>
      </c>
      <c r="C985" s="13" t="s">
        <v>2907</v>
      </c>
      <c r="D985" s="9" t="s">
        <v>536</v>
      </c>
      <c r="E985" s="13" t="s">
        <v>3323</v>
      </c>
    </row>
    <row r="986" spans="1:5" ht="43.2" x14ac:dyDescent="0.3">
      <c r="A986" s="13" t="s">
        <v>1902</v>
      </c>
      <c r="B986" t="s">
        <v>1902</v>
      </c>
      <c r="C986" s="13" t="s">
        <v>1902</v>
      </c>
      <c r="D986" s="9" t="s">
        <v>536</v>
      </c>
      <c r="E986" s="13" t="s">
        <v>3323</v>
      </c>
    </row>
    <row r="987" spans="1:5" ht="43.2" x14ac:dyDescent="0.3">
      <c r="A987" s="13" t="s">
        <v>1901</v>
      </c>
      <c r="B987" t="s">
        <v>1901</v>
      </c>
      <c r="C987" s="13" t="s">
        <v>1901</v>
      </c>
      <c r="D987" s="9" t="s">
        <v>536</v>
      </c>
      <c r="E987" s="13" t="s">
        <v>3323</v>
      </c>
    </row>
    <row r="988" spans="1:5" ht="43.2" x14ac:dyDescent="0.3">
      <c r="A988" s="13" t="s">
        <v>2908</v>
      </c>
      <c r="B988" t="s">
        <v>2908</v>
      </c>
      <c r="C988" s="13" t="s">
        <v>2908</v>
      </c>
      <c r="D988" s="9" t="s">
        <v>536</v>
      </c>
      <c r="E988" s="13" t="s">
        <v>3323</v>
      </c>
    </row>
    <row r="989" spans="1:5" ht="43.2" x14ac:dyDescent="0.3">
      <c r="A989" s="13" t="s">
        <v>2909</v>
      </c>
      <c r="B989" t="s">
        <v>2909</v>
      </c>
      <c r="C989" s="13" t="s">
        <v>2909</v>
      </c>
      <c r="D989" s="9" t="s">
        <v>536</v>
      </c>
      <c r="E989" s="13" t="s">
        <v>3323</v>
      </c>
    </row>
    <row r="990" spans="1:5" ht="43.2" x14ac:dyDescent="0.3">
      <c r="A990" s="13" t="s">
        <v>2910</v>
      </c>
      <c r="B990" t="s">
        <v>2910</v>
      </c>
      <c r="C990" s="13" t="s">
        <v>2910</v>
      </c>
      <c r="D990" s="9" t="s">
        <v>536</v>
      </c>
      <c r="E990" s="13" t="s">
        <v>3323</v>
      </c>
    </row>
    <row r="991" spans="1:5" ht="43.2" x14ac:dyDescent="0.3">
      <c r="A991" s="13" t="s">
        <v>2911</v>
      </c>
      <c r="B991" t="s">
        <v>2911</v>
      </c>
      <c r="C991" s="13" t="s">
        <v>2911</v>
      </c>
      <c r="D991" s="9" t="s">
        <v>536</v>
      </c>
      <c r="E991" s="13" t="s">
        <v>3323</v>
      </c>
    </row>
    <row r="992" spans="1:5" ht="43.2" x14ac:dyDescent="0.3">
      <c r="A992" s="13" t="s">
        <v>1900</v>
      </c>
      <c r="B992" t="s">
        <v>1900</v>
      </c>
      <c r="C992" s="13" t="s">
        <v>1900</v>
      </c>
      <c r="D992" s="9" t="s">
        <v>536</v>
      </c>
      <c r="E992" s="13" t="s">
        <v>3323</v>
      </c>
    </row>
    <row r="993" spans="1:5" ht="43.2" x14ac:dyDescent="0.3">
      <c r="A993" s="13" t="s">
        <v>2912</v>
      </c>
      <c r="B993" t="s">
        <v>2912</v>
      </c>
      <c r="C993" s="13" t="s">
        <v>2912</v>
      </c>
      <c r="D993" s="9" t="s">
        <v>536</v>
      </c>
      <c r="E993" s="13" t="s">
        <v>3323</v>
      </c>
    </row>
    <row r="994" spans="1:5" ht="43.2" x14ac:dyDescent="0.3">
      <c r="A994" s="13" t="s">
        <v>2913</v>
      </c>
      <c r="B994" t="s">
        <v>2913</v>
      </c>
      <c r="C994" s="13" t="s">
        <v>2913</v>
      </c>
      <c r="D994" s="9" t="s">
        <v>536</v>
      </c>
      <c r="E994" s="13" t="s">
        <v>3323</v>
      </c>
    </row>
    <row r="995" spans="1:5" ht="43.2" x14ac:dyDescent="0.3">
      <c r="A995" s="13" t="s">
        <v>2914</v>
      </c>
      <c r="B995" t="s">
        <v>2914</v>
      </c>
      <c r="C995" s="13" t="s">
        <v>2914</v>
      </c>
      <c r="D995" s="9" t="s">
        <v>536</v>
      </c>
      <c r="E995" s="13" t="s">
        <v>3323</v>
      </c>
    </row>
    <row r="996" spans="1:5" ht="43.2" x14ac:dyDescent="0.3">
      <c r="A996" s="13" t="s">
        <v>1899</v>
      </c>
      <c r="B996" t="s">
        <v>1899</v>
      </c>
      <c r="C996" s="13" t="s">
        <v>1899</v>
      </c>
      <c r="D996" s="9" t="s">
        <v>536</v>
      </c>
      <c r="E996" s="13" t="s">
        <v>3323</v>
      </c>
    </row>
    <row r="997" spans="1:5" ht="43.2" x14ac:dyDescent="0.3">
      <c r="A997" s="13" t="s">
        <v>2915</v>
      </c>
      <c r="B997" t="s">
        <v>2915</v>
      </c>
      <c r="C997" s="13" t="s">
        <v>2915</v>
      </c>
      <c r="D997" s="9" t="s">
        <v>536</v>
      </c>
      <c r="E997" s="13" t="s">
        <v>3323</v>
      </c>
    </row>
    <row r="998" spans="1:5" ht="43.2" x14ac:dyDescent="0.3">
      <c r="A998" s="13" t="s">
        <v>2916</v>
      </c>
      <c r="B998" t="s">
        <v>2916</v>
      </c>
      <c r="C998" s="13" t="s">
        <v>2916</v>
      </c>
      <c r="D998" s="9" t="s">
        <v>536</v>
      </c>
      <c r="E998" s="13" t="s">
        <v>3323</v>
      </c>
    </row>
    <row r="999" spans="1:5" ht="43.2" x14ac:dyDescent="0.3">
      <c r="A999" s="13" t="s">
        <v>2917</v>
      </c>
      <c r="B999" t="s">
        <v>2917</v>
      </c>
      <c r="C999" s="13" t="s">
        <v>2917</v>
      </c>
      <c r="D999" s="9" t="s">
        <v>536</v>
      </c>
      <c r="E999" s="13" t="s">
        <v>3323</v>
      </c>
    </row>
    <row r="1000" spans="1:5" ht="43.2" x14ac:dyDescent="0.3">
      <c r="A1000" s="13" t="s">
        <v>1898</v>
      </c>
      <c r="B1000" t="s">
        <v>1898</v>
      </c>
      <c r="C1000" s="13" t="s">
        <v>1898</v>
      </c>
      <c r="D1000" s="9" t="s">
        <v>536</v>
      </c>
      <c r="E1000" s="13" t="s">
        <v>3323</v>
      </c>
    </row>
    <row r="1001" spans="1:5" ht="43.2" x14ac:dyDescent="0.3">
      <c r="A1001" s="13" t="s">
        <v>2149</v>
      </c>
      <c r="B1001" t="s">
        <v>2149</v>
      </c>
      <c r="C1001" s="13" t="s">
        <v>2149</v>
      </c>
      <c r="D1001" s="9" t="s">
        <v>536</v>
      </c>
      <c r="E1001" s="13" t="s">
        <v>3323</v>
      </c>
    </row>
    <row r="1002" spans="1:5" ht="43.2" x14ac:dyDescent="0.3">
      <c r="A1002" s="13" t="s">
        <v>2918</v>
      </c>
      <c r="B1002" t="s">
        <v>2918</v>
      </c>
      <c r="C1002" s="13" t="s">
        <v>2918</v>
      </c>
      <c r="D1002" s="9" t="s">
        <v>536</v>
      </c>
      <c r="E1002" s="13" t="s">
        <v>3323</v>
      </c>
    </row>
    <row r="1003" spans="1:5" ht="43.2" x14ac:dyDescent="0.3">
      <c r="A1003" s="13" t="s">
        <v>1897</v>
      </c>
      <c r="B1003" t="s">
        <v>1897</v>
      </c>
      <c r="C1003" s="13" t="s">
        <v>1897</v>
      </c>
      <c r="D1003" s="9" t="s">
        <v>536</v>
      </c>
      <c r="E1003" s="13" t="s">
        <v>3323</v>
      </c>
    </row>
    <row r="1004" spans="1:5" ht="43.2" x14ac:dyDescent="0.3">
      <c r="A1004" s="13" t="s">
        <v>2919</v>
      </c>
      <c r="B1004" t="s">
        <v>2919</v>
      </c>
      <c r="C1004" s="13" t="s">
        <v>2919</v>
      </c>
      <c r="D1004" s="9" t="s">
        <v>536</v>
      </c>
      <c r="E1004" s="13" t="s">
        <v>3323</v>
      </c>
    </row>
    <row r="1005" spans="1:5" ht="43.2" x14ac:dyDescent="0.3">
      <c r="A1005" s="13" t="s">
        <v>2920</v>
      </c>
      <c r="B1005" t="s">
        <v>2920</v>
      </c>
      <c r="C1005" s="13" t="s">
        <v>2920</v>
      </c>
      <c r="D1005" s="9" t="s">
        <v>536</v>
      </c>
      <c r="E1005" s="13" t="s">
        <v>3323</v>
      </c>
    </row>
    <row r="1006" spans="1:5" ht="43.2" x14ac:dyDescent="0.3">
      <c r="A1006" s="13" t="s">
        <v>2921</v>
      </c>
      <c r="B1006" t="s">
        <v>2921</v>
      </c>
      <c r="C1006" s="13" t="s">
        <v>2921</v>
      </c>
      <c r="D1006" s="9" t="s">
        <v>536</v>
      </c>
      <c r="E1006" s="13" t="s">
        <v>3323</v>
      </c>
    </row>
    <row r="1007" spans="1:5" ht="43.2" x14ac:dyDescent="0.3">
      <c r="A1007" s="13" t="s">
        <v>1896</v>
      </c>
      <c r="B1007" t="s">
        <v>1896</v>
      </c>
      <c r="C1007" s="13" t="s">
        <v>1896</v>
      </c>
      <c r="D1007" s="9" t="s">
        <v>536</v>
      </c>
      <c r="E1007" s="13" t="s">
        <v>3323</v>
      </c>
    </row>
    <row r="1008" spans="1:5" ht="43.2" x14ac:dyDescent="0.3">
      <c r="A1008" s="13" t="s">
        <v>2922</v>
      </c>
      <c r="B1008" t="s">
        <v>2922</v>
      </c>
      <c r="C1008" s="13" t="s">
        <v>2922</v>
      </c>
      <c r="D1008" s="9" t="s">
        <v>536</v>
      </c>
      <c r="E1008" s="13" t="s">
        <v>3323</v>
      </c>
    </row>
    <row r="1009" spans="1:5" ht="43.2" x14ac:dyDescent="0.3">
      <c r="A1009" s="13" t="s">
        <v>1895</v>
      </c>
      <c r="B1009" t="s">
        <v>1895</v>
      </c>
      <c r="C1009" s="13" t="s">
        <v>1895</v>
      </c>
      <c r="D1009" s="9" t="s">
        <v>536</v>
      </c>
      <c r="E1009" s="13" t="s">
        <v>3323</v>
      </c>
    </row>
    <row r="1010" spans="1:5" ht="43.2" x14ac:dyDescent="0.3">
      <c r="A1010" s="13" t="s">
        <v>2923</v>
      </c>
      <c r="B1010" t="s">
        <v>2923</v>
      </c>
      <c r="C1010" s="13" t="s">
        <v>2923</v>
      </c>
      <c r="D1010" s="9" t="s">
        <v>536</v>
      </c>
      <c r="E1010" s="13" t="s">
        <v>3323</v>
      </c>
    </row>
    <row r="1011" spans="1:5" ht="43.2" x14ac:dyDescent="0.3">
      <c r="A1011" s="13" t="s">
        <v>2924</v>
      </c>
      <c r="B1011" t="s">
        <v>2924</v>
      </c>
      <c r="C1011" s="13" t="s">
        <v>2924</v>
      </c>
      <c r="D1011" s="9" t="s">
        <v>536</v>
      </c>
      <c r="E1011" s="13" t="s">
        <v>3323</v>
      </c>
    </row>
    <row r="1012" spans="1:5" ht="43.2" x14ac:dyDescent="0.3">
      <c r="A1012" s="13" t="s">
        <v>2925</v>
      </c>
      <c r="B1012" t="s">
        <v>2925</v>
      </c>
      <c r="C1012" s="13" t="s">
        <v>2925</v>
      </c>
      <c r="D1012" s="9" t="s">
        <v>536</v>
      </c>
      <c r="E1012" s="13" t="s">
        <v>3323</v>
      </c>
    </row>
    <row r="1013" spans="1:5" ht="43.2" x14ac:dyDescent="0.3">
      <c r="A1013" s="13" t="s">
        <v>1893</v>
      </c>
      <c r="B1013" t="s">
        <v>1893</v>
      </c>
      <c r="C1013" s="13" t="s">
        <v>1893</v>
      </c>
      <c r="D1013" s="9" t="s">
        <v>536</v>
      </c>
      <c r="E1013" s="13" t="s">
        <v>3323</v>
      </c>
    </row>
    <row r="1014" spans="1:5" ht="43.2" x14ac:dyDescent="0.3">
      <c r="A1014" s="13" t="s">
        <v>2926</v>
      </c>
      <c r="B1014" t="s">
        <v>2926</v>
      </c>
      <c r="C1014" s="13" t="s">
        <v>2926</v>
      </c>
      <c r="D1014" s="9" t="s">
        <v>536</v>
      </c>
      <c r="E1014" s="13" t="s">
        <v>3323</v>
      </c>
    </row>
    <row r="1015" spans="1:5" ht="43.2" x14ac:dyDescent="0.3">
      <c r="A1015" s="13" t="s">
        <v>1894</v>
      </c>
      <c r="B1015" t="s">
        <v>1894</v>
      </c>
      <c r="C1015" s="13" t="s">
        <v>1894</v>
      </c>
      <c r="D1015" s="9" t="s">
        <v>536</v>
      </c>
      <c r="E1015" s="13" t="s">
        <v>3323</v>
      </c>
    </row>
    <row r="1016" spans="1:5" ht="43.2" x14ac:dyDescent="0.3">
      <c r="A1016" s="13" t="s">
        <v>2118</v>
      </c>
      <c r="B1016" t="s">
        <v>2118</v>
      </c>
      <c r="C1016" s="13" t="s">
        <v>2118</v>
      </c>
      <c r="D1016" s="9" t="s">
        <v>536</v>
      </c>
      <c r="E1016" s="13" t="s">
        <v>3323</v>
      </c>
    </row>
    <row r="1017" spans="1:5" ht="43.2" x14ac:dyDescent="0.3">
      <c r="A1017" s="13" t="s">
        <v>1892</v>
      </c>
      <c r="B1017" t="s">
        <v>1892</v>
      </c>
      <c r="C1017" s="13" t="s">
        <v>1892</v>
      </c>
      <c r="D1017" s="9" t="s">
        <v>536</v>
      </c>
      <c r="E1017" s="13" t="s">
        <v>3323</v>
      </c>
    </row>
    <row r="1018" spans="1:5" ht="43.2" x14ac:dyDescent="0.3">
      <c r="A1018" s="13" t="s">
        <v>2927</v>
      </c>
      <c r="B1018" t="s">
        <v>2927</v>
      </c>
      <c r="C1018" s="13" t="s">
        <v>2927</v>
      </c>
      <c r="D1018" s="9" t="s">
        <v>536</v>
      </c>
      <c r="E1018" s="13" t="s">
        <v>3323</v>
      </c>
    </row>
    <row r="1019" spans="1:5" ht="43.2" x14ac:dyDescent="0.3">
      <c r="A1019" s="13" t="s">
        <v>2928</v>
      </c>
      <c r="B1019" t="s">
        <v>2928</v>
      </c>
      <c r="C1019" s="13" t="s">
        <v>2928</v>
      </c>
      <c r="D1019" s="9" t="s">
        <v>536</v>
      </c>
      <c r="E1019" s="13" t="s">
        <v>3323</v>
      </c>
    </row>
    <row r="1020" spans="1:5" ht="43.2" x14ac:dyDescent="0.3">
      <c r="A1020" s="13" t="s">
        <v>1891</v>
      </c>
      <c r="B1020" t="s">
        <v>1891</v>
      </c>
      <c r="C1020" s="13" t="s">
        <v>1891</v>
      </c>
      <c r="D1020" s="9" t="s">
        <v>536</v>
      </c>
      <c r="E1020" s="13" t="s">
        <v>3323</v>
      </c>
    </row>
    <row r="1021" spans="1:5" ht="43.2" x14ac:dyDescent="0.3">
      <c r="A1021" s="13" t="s">
        <v>2929</v>
      </c>
      <c r="B1021" t="s">
        <v>2929</v>
      </c>
      <c r="C1021" s="13" t="s">
        <v>2929</v>
      </c>
      <c r="D1021" s="9" t="s">
        <v>536</v>
      </c>
      <c r="E1021" s="13" t="s">
        <v>3323</v>
      </c>
    </row>
    <row r="1022" spans="1:5" ht="43.2" x14ac:dyDescent="0.3">
      <c r="A1022" s="13" t="s">
        <v>2125</v>
      </c>
      <c r="B1022" t="s">
        <v>2125</v>
      </c>
      <c r="C1022" s="13" t="s">
        <v>2125</v>
      </c>
      <c r="D1022" s="9" t="s">
        <v>536</v>
      </c>
      <c r="E1022" s="13" t="s">
        <v>3323</v>
      </c>
    </row>
    <row r="1023" spans="1:5" ht="43.2" x14ac:dyDescent="0.3">
      <c r="A1023" s="13" t="s">
        <v>2124</v>
      </c>
      <c r="B1023" t="s">
        <v>2124</v>
      </c>
      <c r="C1023" s="13" t="s">
        <v>2124</v>
      </c>
      <c r="D1023" s="9" t="s">
        <v>536</v>
      </c>
      <c r="E1023" s="13" t="s">
        <v>3323</v>
      </c>
    </row>
    <row r="1024" spans="1:5" ht="43.2" x14ac:dyDescent="0.3">
      <c r="A1024" s="13" t="s">
        <v>2122</v>
      </c>
      <c r="B1024" t="s">
        <v>2122</v>
      </c>
      <c r="C1024" s="13" t="s">
        <v>2122</v>
      </c>
      <c r="D1024" s="9" t="s">
        <v>536</v>
      </c>
      <c r="E1024" s="13" t="s">
        <v>3323</v>
      </c>
    </row>
    <row r="1025" spans="1:5" ht="43.2" x14ac:dyDescent="0.3">
      <c r="A1025" s="13" t="s">
        <v>2930</v>
      </c>
      <c r="B1025" t="s">
        <v>2930</v>
      </c>
      <c r="C1025" s="13" t="s">
        <v>2930</v>
      </c>
      <c r="D1025" s="9" t="s">
        <v>536</v>
      </c>
      <c r="E1025" s="13" t="s">
        <v>3323</v>
      </c>
    </row>
    <row r="1026" spans="1:5" ht="43.2" x14ac:dyDescent="0.3">
      <c r="A1026" s="13" t="s">
        <v>2931</v>
      </c>
      <c r="B1026" t="s">
        <v>2931</v>
      </c>
      <c r="C1026" s="13" t="s">
        <v>2931</v>
      </c>
      <c r="D1026" s="9" t="s">
        <v>536</v>
      </c>
      <c r="E1026" s="13" t="s">
        <v>3323</v>
      </c>
    </row>
    <row r="1027" spans="1:5" ht="43.2" x14ac:dyDescent="0.3">
      <c r="A1027" s="13" t="s">
        <v>2932</v>
      </c>
      <c r="B1027" t="s">
        <v>2932</v>
      </c>
      <c r="C1027" s="13" t="s">
        <v>2932</v>
      </c>
      <c r="D1027" s="9" t="s">
        <v>536</v>
      </c>
      <c r="E1027" s="13" t="s">
        <v>3323</v>
      </c>
    </row>
    <row r="1028" spans="1:5" ht="43.2" x14ac:dyDescent="0.3">
      <c r="A1028" s="13" t="s">
        <v>2933</v>
      </c>
      <c r="B1028" t="s">
        <v>2933</v>
      </c>
      <c r="C1028" s="13" t="s">
        <v>2933</v>
      </c>
      <c r="D1028" s="9" t="s">
        <v>536</v>
      </c>
      <c r="E1028" s="13" t="s">
        <v>3323</v>
      </c>
    </row>
    <row r="1029" spans="1:5" ht="43.2" x14ac:dyDescent="0.3">
      <c r="A1029" s="13" t="s">
        <v>2934</v>
      </c>
      <c r="B1029" t="s">
        <v>2934</v>
      </c>
      <c r="C1029" s="13" t="s">
        <v>2934</v>
      </c>
      <c r="D1029" s="9" t="s">
        <v>536</v>
      </c>
      <c r="E1029" s="13" t="s">
        <v>3323</v>
      </c>
    </row>
    <row r="1030" spans="1:5" ht="43.2" x14ac:dyDescent="0.3">
      <c r="A1030" s="13" t="s">
        <v>1890</v>
      </c>
      <c r="B1030" t="s">
        <v>1890</v>
      </c>
      <c r="C1030" s="13" t="s">
        <v>1890</v>
      </c>
      <c r="D1030" s="9" t="s">
        <v>536</v>
      </c>
      <c r="E1030" s="13" t="s">
        <v>3323</v>
      </c>
    </row>
    <row r="1031" spans="1:5" ht="43.2" x14ac:dyDescent="0.3">
      <c r="A1031" s="13" t="s">
        <v>2123</v>
      </c>
      <c r="B1031" t="s">
        <v>2123</v>
      </c>
      <c r="C1031" s="13" t="s">
        <v>2123</v>
      </c>
      <c r="D1031" s="9" t="s">
        <v>536</v>
      </c>
      <c r="E1031" s="13" t="s">
        <v>3323</v>
      </c>
    </row>
    <row r="1032" spans="1:5" ht="43.2" x14ac:dyDescent="0.3">
      <c r="A1032" s="13" t="s">
        <v>2935</v>
      </c>
      <c r="B1032" t="s">
        <v>2935</v>
      </c>
      <c r="C1032" s="13" t="s">
        <v>2935</v>
      </c>
      <c r="D1032" s="9" t="s">
        <v>536</v>
      </c>
      <c r="E1032" s="13" t="s">
        <v>3323</v>
      </c>
    </row>
    <row r="1033" spans="1:5" ht="43.2" x14ac:dyDescent="0.3">
      <c r="A1033" s="13" t="s">
        <v>2936</v>
      </c>
      <c r="B1033" t="s">
        <v>2936</v>
      </c>
      <c r="C1033" s="13" t="s">
        <v>2936</v>
      </c>
      <c r="D1033" s="9" t="s">
        <v>536</v>
      </c>
      <c r="E1033" s="13" t="s">
        <v>3323</v>
      </c>
    </row>
    <row r="1034" spans="1:5" ht="43.2" x14ac:dyDescent="0.3">
      <c r="A1034" s="13" t="s">
        <v>1889</v>
      </c>
      <c r="B1034" t="s">
        <v>1889</v>
      </c>
      <c r="C1034" s="13" t="s">
        <v>1889</v>
      </c>
      <c r="D1034" s="9" t="s">
        <v>536</v>
      </c>
      <c r="E1034" s="13" t="s">
        <v>3323</v>
      </c>
    </row>
    <row r="1035" spans="1:5" ht="43.2" x14ac:dyDescent="0.3">
      <c r="A1035" s="13" t="s">
        <v>1888</v>
      </c>
      <c r="B1035" t="s">
        <v>1888</v>
      </c>
      <c r="C1035" s="13" t="s">
        <v>1888</v>
      </c>
      <c r="D1035" s="9" t="s">
        <v>536</v>
      </c>
      <c r="E1035" s="13" t="s">
        <v>3323</v>
      </c>
    </row>
    <row r="1036" spans="1:5" ht="43.2" x14ac:dyDescent="0.3">
      <c r="A1036" s="13" t="s">
        <v>2937</v>
      </c>
      <c r="B1036" t="s">
        <v>2937</v>
      </c>
      <c r="C1036" s="13" t="s">
        <v>2937</v>
      </c>
      <c r="D1036" s="9" t="s">
        <v>536</v>
      </c>
      <c r="E1036" s="13" t="s">
        <v>3323</v>
      </c>
    </row>
    <row r="1037" spans="1:5" ht="43.2" x14ac:dyDescent="0.3">
      <c r="A1037" s="13" t="s">
        <v>2126</v>
      </c>
      <c r="B1037" t="s">
        <v>2126</v>
      </c>
      <c r="C1037" s="13" t="s">
        <v>2126</v>
      </c>
      <c r="D1037" s="9" t="s">
        <v>536</v>
      </c>
      <c r="E1037" s="13" t="s">
        <v>3323</v>
      </c>
    </row>
    <row r="1038" spans="1:5" ht="43.2" x14ac:dyDescent="0.3">
      <c r="A1038" s="13" t="s">
        <v>2938</v>
      </c>
      <c r="B1038" t="s">
        <v>2938</v>
      </c>
      <c r="C1038" s="13" t="s">
        <v>2938</v>
      </c>
      <c r="D1038" s="9" t="s">
        <v>536</v>
      </c>
      <c r="E1038" s="13" t="s">
        <v>3323</v>
      </c>
    </row>
    <row r="1039" spans="1:5" ht="43.2" x14ac:dyDescent="0.3">
      <c r="A1039" s="13" t="s">
        <v>2939</v>
      </c>
      <c r="B1039" t="s">
        <v>2939</v>
      </c>
      <c r="C1039" s="13" t="s">
        <v>2939</v>
      </c>
      <c r="D1039" s="9" t="s">
        <v>536</v>
      </c>
      <c r="E1039" s="13" t="s">
        <v>3323</v>
      </c>
    </row>
    <row r="1040" spans="1:5" ht="43.2" x14ac:dyDescent="0.3">
      <c r="A1040" s="13" t="s">
        <v>2940</v>
      </c>
      <c r="B1040" t="s">
        <v>2940</v>
      </c>
      <c r="C1040" s="13" t="s">
        <v>2940</v>
      </c>
      <c r="D1040" s="9" t="s">
        <v>536</v>
      </c>
      <c r="E1040" s="13" t="s">
        <v>3323</v>
      </c>
    </row>
    <row r="1041" spans="1:5" ht="43.2" x14ac:dyDescent="0.3">
      <c r="A1041" s="13" t="s">
        <v>2941</v>
      </c>
      <c r="B1041" t="s">
        <v>2941</v>
      </c>
      <c r="C1041" s="13" t="s">
        <v>2941</v>
      </c>
      <c r="D1041" s="9" t="s">
        <v>536</v>
      </c>
      <c r="E1041" s="13" t="s">
        <v>3323</v>
      </c>
    </row>
    <row r="1042" spans="1:5" ht="43.2" x14ac:dyDescent="0.3">
      <c r="A1042" s="13" t="s">
        <v>2942</v>
      </c>
      <c r="B1042" t="s">
        <v>2942</v>
      </c>
      <c r="C1042" s="13" t="s">
        <v>2942</v>
      </c>
      <c r="D1042" s="9" t="s">
        <v>536</v>
      </c>
      <c r="E1042" s="13" t="s">
        <v>3323</v>
      </c>
    </row>
    <row r="1043" spans="1:5" ht="43.2" x14ac:dyDescent="0.3">
      <c r="A1043" s="13" t="s">
        <v>2148</v>
      </c>
      <c r="B1043" t="s">
        <v>2148</v>
      </c>
      <c r="C1043" s="13" t="s">
        <v>2148</v>
      </c>
      <c r="D1043" s="9" t="s">
        <v>536</v>
      </c>
      <c r="E1043" s="13" t="s">
        <v>3323</v>
      </c>
    </row>
    <row r="1044" spans="1:5" ht="43.2" x14ac:dyDescent="0.3">
      <c r="A1044" s="13" t="s">
        <v>2943</v>
      </c>
      <c r="B1044" t="s">
        <v>2943</v>
      </c>
      <c r="C1044" s="13" t="s">
        <v>2943</v>
      </c>
      <c r="D1044" s="9" t="s">
        <v>536</v>
      </c>
      <c r="E1044" s="13" t="s">
        <v>3323</v>
      </c>
    </row>
    <row r="1045" spans="1:5" ht="43.2" x14ac:dyDescent="0.3">
      <c r="A1045" s="13" t="s">
        <v>2944</v>
      </c>
      <c r="B1045" t="s">
        <v>2944</v>
      </c>
      <c r="C1045" s="13" t="s">
        <v>2944</v>
      </c>
      <c r="D1045" s="9" t="s">
        <v>536</v>
      </c>
      <c r="E1045" s="13" t="s">
        <v>3323</v>
      </c>
    </row>
    <row r="1046" spans="1:5" ht="43.2" x14ac:dyDescent="0.3">
      <c r="A1046" s="13" t="s">
        <v>2945</v>
      </c>
      <c r="B1046" t="s">
        <v>2945</v>
      </c>
      <c r="C1046" s="13" t="s">
        <v>2945</v>
      </c>
      <c r="D1046" s="9" t="s">
        <v>536</v>
      </c>
      <c r="E1046" s="13" t="s">
        <v>3323</v>
      </c>
    </row>
    <row r="1047" spans="1:5" ht="43.2" x14ac:dyDescent="0.3">
      <c r="A1047" s="13" t="s">
        <v>2946</v>
      </c>
      <c r="B1047" t="s">
        <v>2946</v>
      </c>
      <c r="C1047" s="13" t="s">
        <v>2946</v>
      </c>
      <c r="D1047" s="9" t="s">
        <v>536</v>
      </c>
      <c r="E1047" s="13" t="s">
        <v>3323</v>
      </c>
    </row>
    <row r="1048" spans="1:5" ht="43.2" x14ac:dyDescent="0.3">
      <c r="A1048" s="13" t="s">
        <v>2947</v>
      </c>
      <c r="B1048" t="s">
        <v>2947</v>
      </c>
      <c r="C1048" s="13" t="s">
        <v>2947</v>
      </c>
      <c r="D1048" s="9" t="s">
        <v>536</v>
      </c>
      <c r="E1048" s="13" t="s">
        <v>3323</v>
      </c>
    </row>
    <row r="1049" spans="1:5" ht="43.2" x14ac:dyDescent="0.3">
      <c r="A1049" s="13" t="s">
        <v>2948</v>
      </c>
      <c r="B1049" t="s">
        <v>2948</v>
      </c>
      <c r="C1049" s="13" t="s">
        <v>2948</v>
      </c>
      <c r="D1049" s="9" t="s">
        <v>536</v>
      </c>
      <c r="E1049" s="13" t="s">
        <v>3323</v>
      </c>
    </row>
    <row r="1050" spans="1:5" ht="43.2" x14ac:dyDescent="0.3">
      <c r="A1050" s="13" t="s">
        <v>2949</v>
      </c>
      <c r="B1050" t="s">
        <v>2949</v>
      </c>
      <c r="C1050" s="13" t="s">
        <v>2949</v>
      </c>
      <c r="D1050" s="9" t="s">
        <v>536</v>
      </c>
      <c r="E1050" s="13" t="s">
        <v>3323</v>
      </c>
    </row>
    <row r="1051" spans="1:5" ht="43.2" x14ac:dyDescent="0.3">
      <c r="A1051" s="13" t="s">
        <v>2950</v>
      </c>
      <c r="B1051" t="s">
        <v>2950</v>
      </c>
      <c r="C1051" s="13" t="s">
        <v>2950</v>
      </c>
      <c r="D1051" s="9" t="s">
        <v>536</v>
      </c>
      <c r="E1051" s="13" t="s">
        <v>3323</v>
      </c>
    </row>
    <row r="1052" spans="1:5" ht="43.2" x14ac:dyDescent="0.3">
      <c r="A1052" s="13" t="s">
        <v>2951</v>
      </c>
      <c r="B1052" t="s">
        <v>2951</v>
      </c>
      <c r="C1052" s="13" t="s">
        <v>2951</v>
      </c>
      <c r="D1052" s="9" t="s">
        <v>536</v>
      </c>
      <c r="E1052" s="13" t="s">
        <v>3323</v>
      </c>
    </row>
    <row r="1053" spans="1:5" ht="28.8" x14ac:dyDescent="0.3">
      <c r="A1053" s="13" t="s">
        <v>2952</v>
      </c>
      <c r="B1053" t="s">
        <v>2952</v>
      </c>
      <c r="C1053" s="13" t="s">
        <v>2952</v>
      </c>
      <c r="D1053" s="9" t="s">
        <v>536</v>
      </c>
      <c r="E1053" s="13" t="s">
        <v>3323</v>
      </c>
    </row>
    <row r="1054" spans="1:5" ht="43.2" x14ac:dyDescent="0.3">
      <c r="A1054" s="13" t="s">
        <v>2953</v>
      </c>
      <c r="B1054" t="s">
        <v>2953</v>
      </c>
      <c r="C1054" s="13" t="s">
        <v>2953</v>
      </c>
      <c r="D1054" s="9" t="s">
        <v>536</v>
      </c>
      <c r="E1054" s="13" t="s">
        <v>3323</v>
      </c>
    </row>
    <row r="1055" spans="1:5" ht="43.2" x14ac:dyDescent="0.3">
      <c r="A1055" s="13" t="s">
        <v>2954</v>
      </c>
      <c r="B1055" t="s">
        <v>2954</v>
      </c>
      <c r="C1055" s="13" t="s">
        <v>2954</v>
      </c>
      <c r="D1055" s="9" t="s">
        <v>536</v>
      </c>
      <c r="E1055" s="13" t="s">
        <v>3323</v>
      </c>
    </row>
    <row r="1056" spans="1:5" ht="43.2" x14ac:dyDescent="0.3">
      <c r="A1056" s="13" t="s">
        <v>2955</v>
      </c>
      <c r="B1056" t="s">
        <v>2955</v>
      </c>
      <c r="C1056" s="13" t="s">
        <v>2955</v>
      </c>
      <c r="D1056" s="9" t="s">
        <v>536</v>
      </c>
      <c r="E1056" s="13" t="s">
        <v>3323</v>
      </c>
    </row>
    <row r="1057" spans="1:5" ht="43.2" x14ac:dyDescent="0.3">
      <c r="A1057" s="13" t="s">
        <v>1887</v>
      </c>
      <c r="B1057" t="s">
        <v>1887</v>
      </c>
      <c r="C1057" s="13" t="s">
        <v>1887</v>
      </c>
      <c r="D1057" s="9" t="s">
        <v>536</v>
      </c>
      <c r="E1057" s="13" t="s">
        <v>3323</v>
      </c>
    </row>
    <row r="1058" spans="1:5" ht="43.2" x14ac:dyDescent="0.3">
      <c r="A1058" s="13" t="s">
        <v>2956</v>
      </c>
      <c r="B1058" t="s">
        <v>2956</v>
      </c>
      <c r="C1058" s="13" t="s">
        <v>2956</v>
      </c>
      <c r="D1058" s="9" t="s">
        <v>536</v>
      </c>
      <c r="E1058" s="13" t="s">
        <v>3323</v>
      </c>
    </row>
    <row r="1059" spans="1:5" ht="43.2" x14ac:dyDescent="0.3">
      <c r="A1059" s="13" t="s">
        <v>2957</v>
      </c>
      <c r="B1059" t="s">
        <v>2957</v>
      </c>
      <c r="C1059" s="13" t="s">
        <v>2957</v>
      </c>
      <c r="D1059" s="9" t="s">
        <v>536</v>
      </c>
      <c r="E1059" s="13" t="s">
        <v>3323</v>
      </c>
    </row>
    <row r="1060" spans="1:5" ht="43.2" x14ac:dyDescent="0.3">
      <c r="A1060" s="13" t="s">
        <v>2958</v>
      </c>
      <c r="B1060" t="s">
        <v>2958</v>
      </c>
      <c r="C1060" s="13" t="s">
        <v>2958</v>
      </c>
      <c r="D1060" s="9" t="s">
        <v>536</v>
      </c>
      <c r="E1060" s="13" t="s">
        <v>3323</v>
      </c>
    </row>
    <row r="1061" spans="1:5" ht="43.2" x14ac:dyDescent="0.3">
      <c r="A1061" s="13" t="s">
        <v>2959</v>
      </c>
      <c r="B1061" t="s">
        <v>2959</v>
      </c>
      <c r="C1061" s="13" t="s">
        <v>2959</v>
      </c>
      <c r="D1061" s="9" t="s">
        <v>536</v>
      </c>
      <c r="E1061" s="13" t="s">
        <v>3323</v>
      </c>
    </row>
    <row r="1062" spans="1:5" ht="43.2" x14ac:dyDescent="0.3">
      <c r="A1062" s="13" t="s">
        <v>2960</v>
      </c>
      <c r="B1062" t="s">
        <v>2960</v>
      </c>
      <c r="C1062" s="13" t="s">
        <v>2960</v>
      </c>
      <c r="D1062" s="9" t="s">
        <v>536</v>
      </c>
      <c r="E1062" s="13" t="s">
        <v>3323</v>
      </c>
    </row>
    <row r="1063" spans="1:5" ht="43.2" x14ac:dyDescent="0.3">
      <c r="A1063" s="13" t="s">
        <v>1886</v>
      </c>
      <c r="B1063" t="s">
        <v>1886</v>
      </c>
      <c r="C1063" s="13" t="s">
        <v>1886</v>
      </c>
      <c r="D1063" s="9" t="s">
        <v>536</v>
      </c>
      <c r="E1063" s="13" t="s">
        <v>3323</v>
      </c>
    </row>
    <row r="1064" spans="1:5" ht="43.2" x14ac:dyDescent="0.3">
      <c r="A1064" s="13" t="s">
        <v>2961</v>
      </c>
      <c r="B1064" t="s">
        <v>2961</v>
      </c>
      <c r="C1064" s="13" t="s">
        <v>2961</v>
      </c>
      <c r="D1064" s="9" t="s">
        <v>536</v>
      </c>
      <c r="E1064" s="13" t="s">
        <v>3323</v>
      </c>
    </row>
    <row r="1065" spans="1:5" ht="43.2" x14ac:dyDescent="0.3">
      <c r="A1065" s="13" t="s">
        <v>2150</v>
      </c>
      <c r="B1065" t="s">
        <v>2150</v>
      </c>
      <c r="C1065" s="13" t="s">
        <v>2150</v>
      </c>
      <c r="D1065" s="9" t="s">
        <v>536</v>
      </c>
      <c r="E1065" s="13" t="s">
        <v>3323</v>
      </c>
    </row>
    <row r="1066" spans="1:5" ht="43.2" x14ac:dyDescent="0.3">
      <c r="A1066" s="13" t="s">
        <v>1885</v>
      </c>
      <c r="B1066" t="s">
        <v>1885</v>
      </c>
      <c r="C1066" s="13" t="s">
        <v>1885</v>
      </c>
      <c r="D1066" s="9" t="s">
        <v>536</v>
      </c>
      <c r="E1066" s="13" t="s">
        <v>3323</v>
      </c>
    </row>
    <row r="1067" spans="1:5" ht="43.2" x14ac:dyDescent="0.3">
      <c r="A1067" s="13" t="s">
        <v>2962</v>
      </c>
      <c r="B1067" t="s">
        <v>2962</v>
      </c>
      <c r="C1067" s="13" t="s">
        <v>2962</v>
      </c>
      <c r="D1067" s="9" t="s">
        <v>536</v>
      </c>
      <c r="E1067" s="13" t="s">
        <v>3323</v>
      </c>
    </row>
    <row r="1068" spans="1:5" ht="43.2" x14ac:dyDescent="0.3">
      <c r="A1068" s="13" t="s">
        <v>2963</v>
      </c>
      <c r="B1068" t="s">
        <v>2963</v>
      </c>
      <c r="C1068" s="13" t="s">
        <v>2963</v>
      </c>
      <c r="D1068" s="9" t="s">
        <v>536</v>
      </c>
      <c r="E1068" s="13" t="s">
        <v>3323</v>
      </c>
    </row>
    <row r="1069" spans="1:5" ht="43.2" x14ac:dyDescent="0.3">
      <c r="A1069" s="13" t="s">
        <v>2964</v>
      </c>
      <c r="B1069" t="s">
        <v>2964</v>
      </c>
      <c r="C1069" s="13" t="s">
        <v>2964</v>
      </c>
      <c r="D1069" s="9" t="s">
        <v>536</v>
      </c>
      <c r="E1069" s="13" t="s">
        <v>3323</v>
      </c>
    </row>
    <row r="1070" spans="1:5" ht="43.2" x14ac:dyDescent="0.3">
      <c r="A1070" s="13" t="s">
        <v>2965</v>
      </c>
      <c r="B1070" t="s">
        <v>2965</v>
      </c>
      <c r="C1070" s="13" t="s">
        <v>2965</v>
      </c>
      <c r="D1070" s="9" t="s">
        <v>536</v>
      </c>
      <c r="E1070" s="13" t="s">
        <v>3323</v>
      </c>
    </row>
    <row r="1071" spans="1:5" ht="43.2" x14ac:dyDescent="0.3">
      <c r="A1071" s="13" t="s">
        <v>2966</v>
      </c>
      <c r="B1071" t="s">
        <v>2966</v>
      </c>
      <c r="C1071" s="13" t="s">
        <v>2966</v>
      </c>
      <c r="D1071" s="9" t="s">
        <v>536</v>
      </c>
      <c r="E1071" s="13" t="s">
        <v>3323</v>
      </c>
    </row>
    <row r="1072" spans="1:5" ht="43.2" x14ac:dyDescent="0.3">
      <c r="A1072" s="13" t="s">
        <v>1884</v>
      </c>
      <c r="B1072" t="s">
        <v>1884</v>
      </c>
      <c r="C1072" s="13" t="s">
        <v>1884</v>
      </c>
      <c r="D1072" s="9" t="s">
        <v>536</v>
      </c>
      <c r="E1072" s="13" t="s">
        <v>3323</v>
      </c>
    </row>
    <row r="1073" spans="1:5" ht="43.2" x14ac:dyDescent="0.3">
      <c r="A1073" s="13" t="s">
        <v>1883</v>
      </c>
      <c r="B1073" t="s">
        <v>1883</v>
      </c>
      <c r="C1073" s="13" t="s">
        <v>1883</v>
      </c>
      <c r="D1073" s="9" t="s">
        <v>536</v>
      </c>
      <c r="E1073" s="13" t="s">
        <v>3323</v>
      </c>
    </row>
    <row r="1074" spans="1:5" ht="43.2" x14ac:dyDescent="0.3">
      <c r="A1074" s="13" t="s">
        <v>2967</v>
      </c>
      <c r="B1074" t="s">
        <v>2967</v>
      </c>
      <c r="C1074" s="13" t="s">
        <v>2967</v>
      </c>
      <c r="D1074" s="9" t="s">
        <v>536</v>
      </c>
      <c r="E1074" s="13" t="s">
        <v>3323</v>
      </c>
    </row>
    <row r="1075" spans="1:5" ht="43.2" x14ac:dyDescent="0.3">
      <c r="A1075" s="13" t="s">
        <v>2968</v>
      </c>
      <c r="B1075" t="s">
        <v>2968</v>
      </c>
      <c r="C1075" s="13" t="s">
        <v>2968</v>
      </c>
      <c r="D1075" s="9" t="s">
        <v>536</v>
      </c>
      <c r="E1075" s="13" t="s">
        <v>3323</v>
      </c>
    </row>
    <row r="1076" spans="1:5" ht="43.2" x14ac:dyDescent="0.3">
      <c r="A1076" s="13" t="s">
        <v>2969</v>
      </c>
      <c r="B1076" t="s">
        <v>2969</v>
      </c>
      <c r="C1076" s="13" t="s">
        <v>2969</v>
      </c>
      <c r="D1076" s="9" t="s">
        <v>536</v>
      </c>
      <c r="E1076" s="13" t="s">
        <v>3323</v>
      </c>
    </row>
    <row r="1077" spans="1:5" ht="43.2" x14ac:dyDescent="0.3">
      <c r="A1077" s="13" t="s">
        <v>1882</v>
      </c>
      <c r="B1077" t="s">
        <v>1882</v>
      </c>
      <c r="C1077" s="13" t="s">
        <v>1882</v>
      </c>
      <c r="D1077" s="9" t="s">
        <v>536</v>
      </c>
      <c r="E1077" s="13" t="s">
        <v>3323</v>
      </c>
    </row>
    <row r="1078" spans="1:5" ht="43.2" x14ac:dyDescent="0.3">
      <c r="A1078" s="13" t="s">
        <v>2970</v>
      </c>
      <c r="B1078" t="s">
        <v>2970</v>
      </c>
      <c r="C1078" s="13" t="s">
        <v>2970</v>
      </c>
      <c r="D1078" s="9" t="s">
        <v>536</v>
      </c>
      <c r="E1078" s="13" t="s">
        <v>3323</v>
      </c>
    </row>
    <row r="1079" spans="1:5" ht="43.2" x14ac:dyDescent="0.3">
      <c r="A1079" s="13" t="s">
        <v>1881</v>
      </c>
      <c r="B1079" t="s">
        <v>1881</v>
      </c>
      <c r="C1079" s="13" t="s">
        <v>1881</v>
      </c>
      <c r="D1079" s="9" t="s">
        <v>536</v>
      </c>
      <c r="E1079" s="13" t="s">
        <v>3323</v>
      </c>
    </row>
    <row r="1080" spans="1:5" ht="43.2" x14ac:dyDescent="0.3">
      <c r="A1080" s="13" t="s">
        <v>1880</v>
      </c>
      <c r="B1080" t="s">
        <v>1880</v>
      </c>
      <c r="C1080" s="13" t="s">
        <v>1880</v>
      </c>
      <c r="D1080" s="9" t="s">
        <v>536</v>
      </c>
      <c r="E1080" s="13" t="s">
        <v>3323</v>
      </c>
    </row>
    <row r="1081" spans="1:5" ht="43.2" x14ac:dyDescent="0.3">
      <c r="A1081" s="13" t="s">
        <v>1879</v>
      </c>
      <c r="B1081" t="s">
        <v>1879</v>
      </c>
      <c r="C1081" s="13" t="s">
        <v>1879</v>
      </c>
      <c r="D1081" s="9" t="s">
        <v>536</v>
      </c>
      <c r="E1081" s="13" t="s">
        <v>3323</v>
      </c>
    </row>
    <row r="1082" spans="1:5" ht="43.2" x14ac:dyDescent="0.3">
      <c r="A1082" s="13" t="s">
        <v>2971</v>
      </c>
      <c r="B1082" t="s">
        <v>2971</v>
      </c>
      <c r="C1082" s="13" t="s">
        <v>2971</v>
      </c>
      <c r="D1082" s="9" t="s">
        <v>536</v>
      </c>
      <c r="E1082" s="13" t="s">
        <v>3323</v>
      </c>
    </row>
    <row r="1083" spans="1:5" ht="43.2" x14ac:dyDescent="0.3">
      <c r="A1083" s="13" t="s">
        <v>2972</v>
      </c>
      <c r="B1083" t="s">
        <v>2972</v>
      </c>
      <c r="C1083" s="13" t="s">
        <v>2972</v>
      </c>
      <c r="D1083" s="9" t="s">
        <v>536</v>
      </c>
      <c r="E1083" s="13" t="s">
        <v>3323</v>
      </c>
    </row>
    <row r="1084" spans="1:5" ht="43.2" x14ac:dyDescent="0.3">
      <c r="A1084" s="13" t="s">
        <v>2973</v>
      </c>
      <c r="B1084" t="s">
        <v>2973</v>
      </c>
      <c r="C1084" s="13" t="s">
        <v>2973</v>
      </c>
      <c r="D1084" s="9" t="s">
        <v>536</v>
      </c>
      <c r="E1084" s="13" t="s">
        <v>3323</v>
      </c>
    </row>
    <row r="1085" spans="1:5" ht="43.2" x14ac:dyDescent="0.3">
      <c r="A1085" s="13" t="s">
        <v>1878</v>
      </c>
      <c r="B1085" t="s">
        <v>1878</v>
      </c>
      <c r="C1085" s="13" t="s">
        <v>1878</v>
      </c>
      <c r="D1085" s="9" t="s">
        <v>536</v>
      </c>
      <c r="E1085" s="13" t="s">
        <v>3323</v>
      </c>
    </row>
    <row r="1086" spans="1:5" ht="43.2" x14ac:dyDescent="0.3">
      <c r="A1086" s="13" t="s">
        <v>1877</v>
      </c>
      <c r="B1086" t="s">
        <v>1877</v>
      </c>
      <c r="C1086" s="13" t="s">
        <v>1877</v>
      </c>
      <c r="D1086" s="9" t="s">
        <v>536</v>
      </c>
      <c r="E1086" s="13" t="s">
        <v>3323</v>
      </c>
    </row>
    <row r="1087" spans="1:5" ht="43.2" x14ac:dyDescent="0.3">
      <c r="A1087" s="13" t="s">
        <v>1876</v>
      </c>
      <c r="B1087" t="s">
        <v>1876</v>
      </c>
      <c r="C1087" s="13" t="s">
        <v>1876</v>
      </c>
      <c r="D1087" s="9" t="s">
        <v>536</v>
      </c>
      <c r="E1087" s="13" t="s">
        <v>3323</v>
      </c>
    </row>
    <row r="1088" spans="1:5" ht="43.2" x14ac:dyDescent="0.3">
      <c r="A1088" s="13" t="s">
        <v>1875</v>
      </c>
      <c r="B1088" t="s">
        <v>1875</v>
      </c>
      <c r="C1088" s="13" t="s">
        <v>1875</v>
      </c>
      <c r="D1088" s="9" t="s">
        <v>536</v>
      </c>
      <c r="E1088" s="13" t="s">
        <v>3323</v>
      </c>
    </row>
    <row r="1089" spans="1:5" ht="43.2" x14ac:dyDescent="0.3">
      <c r="A1089" s="13" t="s">
        <v>2974</v>
      </c>
      <c r="B1089" t="s">
        <v>2974</v>
      </c>
      <c r="C1089" s="13" t="s">
        <v>2974</v>
      </c>
      <c r="D1089" s="9" t="s">
        <v>536</v>
      </c>
      <c r="E1089" s="13" t="s">
        <v>3323</v>
      </c>
    </row>
    <row r="1090" spans="1:5" ht="43.2" x14ac:dyDescent="0.3">
      <c r="A1090" s="13" t="s">
        <v>2975</v>
      </c>
      <c r="B1090" t="s">
        <v>2975</v>
      </c>
      <c r="C1090" s="13" t="s">
        <v>2975</v>
      </c>
      <c r="D1090" s="9" t="s">
        <v>536</v>
      </c>
      <c r="E1090" s="13" t="s">
        <v>3323</v>
      </c>
    </row>
    <row r="1091" spans="1:5" ht="43.2" x14ac:dyDescent="0.3">
      <c r="A1091" s="13" t="s">
        <v>1874</v>
      </c>
      <c r="B1091" t="s">
        <v>1874</v>
      </c>
      <c r="C1091" s="13" t="s">
        <v>1874</v>
      </c>
      <c r="D1091" s="9" t="s">
        <v>536</v>
      </c>
      <c r="E1091" s="13" t="s">
        <v>3323</v>
      </c>
    </row>
    <row r="1092" spans="1:5" ht="43.2" x14ac:dyDescent="0.3">
      <c r="A1092" s="13" t="s">
        <v>1873</v>
      </c>
      <c r="B1092" t="s">
        <v>1873</v>
      </c>
      <c r="C1092" s="13" t="s">
        <v>1873</v>
      </c>
      <c r="D1092" s="9" t="s">
        <v>536</v>
      </c>
      <c r="E1092" s="13" t="s">
        <v>3323</v>
      </c>
    </row>
    <row r="1093" spans="1:5" ht="43.2" x14ac:dyDescent="0.3">
      <c r="A1093" s="13" t="s">
        <v>1872</v>
      </c>
      <c r="B1093" t="s">
        <v>1872</v>
      </c>
      <c r="C1093" s="13" t="s">
        <v>1872</v>
      </c>
      <c r="D1093" s="9" t="s">
        <v>536</v>
      </c>
      <c r="E1093" s="13" t="s">
        <v>3323</v>
      </c>
    </row>
    <row r="1094" spans="1:5" ht="43.2" x14ac:dyDescent="0.3">
      <c r="A1094" s="13" t="s">
        <v>2117</v>
      </c>
      <c r="B1094" t="s">
        <v>2117</v>
      </c>
      <c r="C1094" s="13" t="s">
        <v>2117</v>
      </c>
      <c r="D1094" s="9" t="s">
        <v>536</v>
      </c>
      <c r="E1094" s="13" t="s">
        <v>3323</v>
      </c>
    </row>
    <row r="1095" spans="1:5" ht="43.2" x14ac:dyDescent="0.3">
      <c r="A1095" s="13" t="s">
        <v>2116</v>
      </c>
      <c r="B1095" t="s">
        <v>2116</v>
      </c>
      <c r="C1095" s="13" t="s">
        <v>2116</v>
      </c>
      <c r="D1095" s="9" t="s">
        <v>536</v>
      </c>
      <c r="E1095" s="13" t="s">
        <v>3323</v>
      </c>
    </row>
    <row r="1096" spans="1:5" ht="43.2" x14ac:dyDescent="0.3">
      <c r="A1096" s="13" t="s">
        <v>2976</v>
      </c>
      <c r="B1096" t="s">
        <v>2976</v>
      </c>
      <c r="C1096" s="13" t="s">
        <v>2976</v>
      </c>
      <c r="D1096" s="9" t="s">
        <v>536</v>
      </c>
      <c r="E1096" s="13" t="s">
        <v>3323</v>
      </c>
    </row>
    <row r="1097" spans="1:5" ht="43.2" x14ac:dyDescent="0.3">
      <c r="A1097" s="13" t="s">
        <v>2977</v>
      </c>
      <c r="B1097" t="s">
        <v>2977</v>
      </c>
      <c r="C1097" s="13" t="s">
        <v>2977</v>
      </c>
      <c r="D1097" s="9" t="s">
        <v>536</v>
      </c>
      <c r="E1097" s="13" t="s">
        <v>3323</v>
      </c>
    </row>
    <row r="1098" spans="1:5" ht="43.2" x14ac:dyDescent="0.3">
      <c r="A1098" s="13" t="s">
        <v>2978</v>
      </c>
      <c r="B1098" t="s">
        <v>2978</v>
      </c>
      <c r="C1098" s="13" t="s">
        <v>2978</v>
      </c>
      <c r="D1098" s="9" t="s">
        <v>536</v>
      </c>
      <c r="E1098" s="13" t="s">
        <v>3323</v>
      </c>
    </row>
    <row r="1099" spans="1:5" ht="43.2" x14ac:dyDescent="0.3">
      <c r="A1099" s="13" t="s">
        <v>1871</v>
      </c>
      <c r="B1099" t="s">
        <v>1871</v>
      </c>
      <c r="C1099" s="13" t="s">
        <v>1871</v>
      </c>
      <c r="D1099" s="9" t="s">
        <v>536</v>
      </c>
      <c r="E1099" s="13" t="s">
        <v>3323</v>
      </c>
    </row>
    <row r="1100" spans="1:5" ht="43.2" x14ac:dyDescent="0.3">
      <c r="A1100" s="13" t="s">
        <v>1870</v>
      </c>
      <c r="B1100" t="s">
        <v>1870</v>
      </c>
      <c r="C1100" s="13" t="s">
        <v>1870</v>
      </c>
      <c r="D1100" s="9" t="s">
        <v>536</v>
      </c>
      <c r="E1100" s="13" t="s">
        <v>3323</v>
      </c>
    </row>
    <row r="1101" spans="1:5" ht="43.2" x14ac:dyDescent="0.3">
      <c r="A1101" s="13" t="s">
        <v>2979</v>
      </c>
      <c r="B1101" t="s">
        <v>2979</v>
      </c>
      <c r="C1101" s="13" t="s">
        <v>2979</v>
      </c>
      <c r="D1101" s="9" t="s">
        <v>536</v>
      </c>
      <c r="E1101" s="13" t="s">
        <v>3323</v>
      </c>
    </row>
    <row r="1102" spans="1:5" ht="43.2" x14ac:dyDescent="0.3">
      <c r="A1102" s="13" t="s">
        <v>2111</v>
      </c>
      <c r="B1102" t="s">
        <v>2111</v>
      </c>
      <c r="C1102" s="13" t="s">
        <v>2111</v>
      </c>
      <c r="D1102" s="9" t="s">
        <v>536</v>
      </c>
      <c r="E1102" s="13" t="s">
        <v>3323</v>
      </c>
    </row>
    <row r="1103" spans="1:5" ht="43.2" x14ac:dyDescent="0.3">
      <c r="A1103" s="13" t="s">
        <v>2980</v>
      </c>
      <c r="B1103" t="s">
        <v>2980</v>
      </c>
      <c r="C1103" s="13" t="s">
        <v>2980</v>
      </c>
      <c r="D1103" s="9" t="s">
        <v>536</v>
      </c>
      <c r="E1103" s="13" t="s">
        <v>3323</v>
      </c>
    </row>
    <row r="1104" spans="1:5" ht="43.2" x14ac:dyDescent="0.3">
      <c r="A1104" s="13" t="s">
        <v>2981</v>
      </c>
      <c r="B1104" t="s">
        <v>2981</v>
      </c>
      <c r="C1104" s="13" t="s">
        <v>2981</v>
      </c>
      <c r="D1104" s="9" t="s">
        <v>536</v>
      </c>
      <c r="E1104" s="13" t="s">
        <v>3323</v>
      </c>
    </row>
    <row r="1105" spans="1:5" ht="43.2" x14ac:dyDescent="0.3">
      <c r="A1105" s="13" t="s">
        <v>2982</v>
      </c>
      <c r="B1105" t="s">
        <v>2982</v>
      </c>
      <c r="C1105" s="13" t="s">
        <v>2982</v>
      </c>
      <c r="D1105" s="9" t="s">
        <v>536</v>
      </c>
      <c r="E1105" s="13" t="s">
        <v>3323</v>
      </c>
    </row>
    <row r="1106" spans="1:5" ht="43.2" x14ac:dyDescent="0.3">
      <c r="A1106" s="13" t="s">
        <v>2983</v>
      </c>
      <c r="B1106" t="s">
        <v>2983</v>
      </c>
      <c r="C1106" s="13" t="s">
        <v>2983</v>
      </c>
      <c r="D1106" s="9" t="s">
        <v>536</v>
      </c>
      <c r="E1106" s="13" t="s">
        <v>3323</v>
      </c>
    </row>
    <row r="1107" spans="1:5" ht="43.2" x14ac:dyDescent="0.3">
      <c r="A1107" s="13" t="s">
        <v>2984</v>
      </c>
      <c r="B1107" t="s">
        <v>2984</v>
      </c>
      <c r="C1107" s="13" t="s">
        <v>2984</v>
      </c>
      <c r="D1107" s="9" t="s">
        <v>536</v>
      </c>
      <c r="E1107" s="13" t="s">
        <v>3323</v>
      </c>
    </row>
    <row r="1108" spans="1:5" ht="43.2" x14ac:dyDescent="0.3">
      <c r="A1108" s="13" t="s">
        <v>2108</v>
      </c>
      <c r="B1108" t="s">
        <v>2108</v>
      </c>
      <c r="C1108" s="13" t="s">
        <v>2108</v>
      </c>
      <c r="D1108" s="9" t="s">
        <v>536</v>
      </c>
      <c r="E1108" s="13" t="s">
        <v>3323</v>
      </c>
    </row>
    <row r="1109" spans="1:5" ht="43.2" x14ac:dyDescent="0.3">
      <c r="A1109" s="13" t="s">
        <v>2103</v>
      </c>
      <c r="B1109" t="s">
        <v>2103</v>
      </c>
      <c r="C1109" s="13" t="s">
        <v>2103</v>
      </c>
      <c r="D1109" s="9" t="s">
        <v>536</v>
      </c>
      <c r="E1109" s="13" t="s">
        <v>3323</v>
      </c>
    </row>
    <row r="1110" spans="1:5" ht="43.2" x14ac:dyDescent="0.3">
      <c r="A1110" s="13" t="s">
        <v>2985</v>
      </c>
      <c r="B1110" t="s">
        <v>2985</v>
      </c>
      <c r="C1110" s="13" t="s">
        <v>2985</v>
      </c>
      <c r="D1110" s="9" t="s">
        <v>536</v>
      </c>
      <c r="E1110" s="13" t="s">
        <v>3323</v>
      </c>
    </row>
    <row r="1111" spans="1:5" ht="43.2" x14ac:dyDescent="0.3">
      <c r="A1111" s="13" t="s">
        <v>2986</v>
      </c>
      <c r="B1111" t="s">
        <v>2986</v>
      </c>
      <c r="C1111" s="13" t="s">
        <v>2986</v>
      </c>
      <c r="D1111" s="9" t="s">
        <v>536</v>
      </c>
      <c r="E1111" s="13" t="s">
        <v>3323</v>
      </c>
    </row>
    <row r="1112" spans="1:5" ht="43.2" x14ac:dyDescent="0.3">
      <c r="A1112" s="13" t="s">
        <v>2987</v>
      </c>
      <c r="B1112" t="s">
        <v>2987</v>
      </c>
      <c r="C1112" s="13" t="s">
        <v>2987</v>
      </c>
      <c r="D1112" s="9" t="s">
        <v>536</v>
      </c>
      <c r="E1112" s="13" t="s">
        <v>3323</v>
      </c>
    </row>
    <row r="1113" spans="1:5" ht="43.2" x14ac:dyDescent="0.3">
      <c r="A1113" s="13" t="s">
        <v>2988</v>
      </c>
      <c r="B1113" t="s">
        <v>2988</v>
      </c>
      <c r="C1113" s="13" t="s">
        <v>2988</v>
      </c>
      <c r="D1113" s="9" t="s">
        <v>536</v>
      </c>
      <c r="E1113" s="13" t="s">
        <v>3323</v>
      </c>
    </row>
    <row r="1114" spans="1:5" ht="43.2" x14ac:dyDescent="0.3">
      <c r="A1114" s="13" t="s">
        <v>1869</v>
      </c>
      <c r="B1114" t="s">
        <v>1869</v>
      </c>
      <c r="C1114" s="13" t="s">
        <v>1869</v>
      </c>
      <c r="D1114" s="9" t="s">
        <v>536</v>
      </c>
      <c r="E1114" s="13" t="s">
        <v>3323</v>
      </c>
    </row>
    <row r="1115" spans="1:5" ht="43.2" x14ac:dyDescent="0.3">
      <c r="A1115" s="13" t="s">
        <v>1868</v>
      </c>
      <c r="B1115" t="s">
        <v>1868</v>
      </c>
      <c r="C1115" s="13" t="s">
        <v>1868</v>
      </c>
      <c r="D1115" s="9" t="s">
        <v>536</v>
      </c>
      <c r="E1115" s="13" t="s">
        <v>3323</v>
      </c>
    </row>
    <row r="1116" spans="1:5" ht="43.2" x14ac:dyDescent="0.3">
      <c r="A1116" s="13" t="s">
        <v>2104</v>
      </c>
      <c r="B1116" t="s">
        <v>2104</v>
      </c>
      <c r="C1116" s="13" t="s">
        <v>2104</v>
      </c>
      <c r="D1116" s="9" t="s">
        <v>536</v>
      </c>
      <c r="E1116" s="13" t="s">
        <v>3323</v>
      </c>
    </row>
    <row r="1117" spans="1:5" ht="43.2" x14ac:dyDescent="0.3">
      <c r="A1117" s="13" t="s">
        <v>2989</v>
      </c>
      <c r="B1117" t="s">
        <v>2989</v>
      </c>
      <c r="C1117" s="13" t="s">
        <v>2989</v>
      </c>
      <c r="D1117" s="9" t="s">
        <v>536</v>
      </c>
      <c r="E1117" s="13" t="s">
        <v>3323</v>
      </c>
    </row>
    <row r="1118" spans="1:5" ht="43.2" x14ac:dyDescent="0.3">
      <c r="A1118" s="13" t="s">
        <v>2990</v>
      </c>
      <c r="B1118" t="s">
        <v>2990</v>
      </c>
      <c r="C1118" s="13" t="s">
        <v>2990</v>
      </c>
      <c r="D1118" s="9" t="s">
        <v>536</v>
      </c>
      <c r="E1118" s="13" t="s">
        <v>3323</v>
      </c>
    </row>
    <row r="1119" spans="1:5" ht="43.2" x14ac:dyDescent="0.3">
      <c r="A1119" s="13" t="s">
        <v>1867</v>
      </c>
      <c r="B1119" t="s">
        <v>1867</v>
      </c>
      <c r="C1119" s="13" t="s">
        <v>1867</v>
      </c>
      <c r="D1119" s="9" t="s">
        <v>536</v>
      </c>
      <c r="E1119" s="13" t="s">
        <v>3323</v>
      </c>
    </row>
    <row r="1120" spans="1:5" ht="43.2" x14ac:dyDescent="0.3">
      <c r="A1120" s="13" t="s">
        <v>2991</v>
      </c>
      <c r="B1120" t="s">
        <v>2991</v>
      </c>
      <c r="C1120" s="13" t="s">
        <v>2991</v>
      </c>
      <c r="D1120" s="9" t="s">
        <v>536</v>
      </c>
      <c r="E1120" s="13" t="s">
        <v>3323</v>
      </c>
    </row>
    <row r="1121" spans="1:5" ht="43.2" x14ac:dyDescent="0.3">
      <c r="A1121" s="13" t="s">
        <v>1866</v>
      </c>
      <c r="B1121" t="s">
        <v>1866</v>
      </c>
      <c r="C1121" s="13" t="s">
        <v>1866</v>
      </c>
      <c r="D1121" s="9" t="s">
        <v>536</v>
      </c>
      <c r="E1121" s="13" t="s">
        <v>3323</v>
      </c>
    </row>
    <row r="1122" spans="1:5" ht="43.2" x14ac:dyDescent="0.3">
      <c r="A1122" s="13" t="s">
        <v>2992</v>
      </c>
      <c r="B1122" t="s">
        <v>2992</v>
      </c>
      <c r="C1122" s="13" t="s">
        <v>2992</v>
      </c>
      <c r="D1122" s="9" t="s">
        <v>536</v>
      </c>
      <c r="E1122" s="13" t="s">
        <v>3323</v>
      </c>
    </row>
    <row r="1123" spans="1:5" ht="43.2" x14ac:dyDescent="0.3">
      <c r="A1123" s="13" t="s">
        <v>2993</v>
      </c>
      <c r="B1123" t="s">
        <v>2993</v>
      </c>
      <c r="C1123" s="13" t="s">
        <v>2993</v>
      </c>
      <c r="D1123" s="9" t="s">
        <v>536</v>
      </c>
      <c r="E1123" s="13" t="s">
        <v>3323</v>
      </c>
    </row>
    <row r="1124" spans="1:5" ht="43.2" x14ac:dyDescent="0.3">
      <c r="A1124" s="13" t="s">
        <v>2994</v>
      </c>
      <c r="B1124" t="s">
        <v>2994</v>
      </c>
      <c r="C1124" s="13" t="s">
        <v>2994</v>
      </c>
      <c r="D1124" s="9" t="s">
        <v>536</v>
      </c>
      <c r="E1124" s="13" t="s">
        <v>3323</v>
      </c>
    </row>
    <row r="1125" spans="1:5" ht="43.2" x14ac:dyDescent="0.3">
      <c r="A1125" s="13" t="s">
        <v>2995</v>
      </c>
      <c r="B1125" t="s">
        <v>2995</v>
      </c>
      <c r="C1125" s="13" t="s">
        <v>2995</v>
      </c>
      <c r="D1125" s="9" t="s">
        <v>536</v>
      </c>
      <c r="E1125" s="13" t="s">
        <v>3323</v>
      </c>
    </row>
    <row r="1126" spans="1:5" ht="43.2" x14ac:dyDescent="0.3">
      <c r="A1126" s="13" t="s">
        <v>2996</v>
      </c>
      <c r="B1126" t="s">
        <v>2996</v>
      </c>
      <c r="C1126" s="13" t="s">
        <v>2996</v>
      </c>
      <c r="D1126" s="9" t="s">
        <v>536</v>
      </c>
      <c r="E1126" s="13" t="s">
        <v>3323</v>
      </c>
    </row>
    <row r="1127" spans="1:5" ht="43.2" x14ac:dyDescent="0.3">
      <c r="A1127" s="13" t="s">
        <v>2997</v>
      </c>
      <c r="B1127" t="s">
        <v>2997</v>
      </c>
      <c r="C1127" s="13" t="s">
        <v>2997</v>
      </c>
      <c r="D1127" s="9" t="s">
        <v>536</v>
      </c>
      <c r="E1127" s="13" t="s">
        <v>3323</v>
      </c>
    </row>
    <row r="1128" spans="1:5" ht="43.2" x14ac:dyDescent="0.3">
      <c r="A1128" s="13" t="s">
        <v>1865</v>
      </c>
      <c r="B1128" t="s">
        <v>1865</v>
      </c>
      <c r="C1128" s="13" t="s">
        <v>1865</v>
      </c>
      <c r="D1128" s="9" t="s">
        <v>536</v>
      </c>
      <c r="E1128" s="13" t="s">
        <v>3323</v>
      </c>
    </row>
    <row r="1129" spans="1:5" ht="43.2" x14ac:dyDescent="0.3">
      <c r="A1129" s="13" t="s">
        <v>1864</v>
      </c>
      <c r="B1129" t="s">
        <v>1864</v>
      </c>
      <c r="C1129" s="13" t="s">
        <v>1864</v>
      </c>
      <c r="D1129" s="9" t="s">
        <v>536</v>
      </c>
      <c r="E1129" s="13" t="s">
        <v>3323</v>
      </c>
    </row>
    <row r="1130" spans="1:5" ht="43.2" x14ac:dyDescent="0.3">
      <c r="A1130" s="13" t="s">
        <v>2998</v>
      </c>
      <c r="B1130" t="s">
        <v>2998</v>
      </c>
      <c r="C1130" s="13" t="s">
        <v>2998</v>
      </c>
      <c r="D1130" s="9" t="s">
        <v>536</v>
      </c>
      <c r="E1130" s="13" t="s">
        <v>3323</v>
      </c>
    </row>
    <row r="1131" spans="1:5" ht="43.2" x14ac:dyDescent="0.3">
      <c r="A1131" s="13" t="s">
        <v>2999</v>
      </c>
      <c r="B1131" t="s">
        <v>2999</v>
      </c>
      <c r="C1131" s="13" t="s">
        <v>2999</v>
      </c>
      <c r="D1131" s="9" t="s">
        <v>536</v>
      </c>
      <c r="E1131" s="13" t="s">
        <v>3323</v>
      </c>
    </row>
    <row r="1132" spans="1:5" ht="43.2" x14ac:dyDescent="0.3">
      <c r="A1132" s="13" t="s">
        <v>3000</v>
      </c>
      <c r="B1132" t="s">
        <v>3000</v>
      </c>
      <c r="C1132" s="13" t="s">
        <v>3000</v>
      </c>
      <c r="D1132" s="9" t="s">
        <v>536</v>
      </c>
      <c r="E1132" s="13" t="s">
        <v>3323</v>
      </c>
    </row>
    <row r="1133" spans="1:5" ht="43.2" x14ac:dyDescent="0.3">
      <c r="A1133" s="13" t="s">
        <v>1863</v>
      </c>
      <c r="B1133" t="s">
        <v>1863</v>
      </c>
      <c r="C1133" s="13" t="s">
        <v>1863</v>
      </c>
      <c r="D1133" s="9" t="s">
        <v>536</v>
      </c>
      <c r="E1133" s="13" t="s">
        <v>3323</v>
      </c>
    </row>
    <row r="1134" spans="1:5" ht="43.2" x14ac:dyDescent="0.3">
      <c r="A1134" s="13" t="s">
        <v>3001</v>
      </c>
      <c r="B1134" t="s">
        <v>3001</v>
      </c>
      <c r="C1134" s="13" t="s">
        <v>3001</v>
      </c>
      <c r="D1134" s="9" t="s">
        <v>536</v>
      </c>
      <c r="E1134" s="13" t="s">
        <v>3323</v>
      </c>
    </row>
    <row r="1135" spans="1:5" ht="43.2" x14ac:dyDescent="0.3">
      <c r="A1135" s="13" t="s">
        <v>3002</v>
      </c>
      <c r="B1135" t="s">
        <v>3002</v>
      </c>
      <c r="C1135" s="13" t="s">
        <v>3002</v>
      </c>
      <c r="D1135" s="9" t="s">
        <v>536</v>
      </c>
      <c r="E1135" s="13" t="s">
        <v>3323</v>
      </c>
    </row>
    <row r="1136" spans="1:5" ht="43.2" x14ac:dyDescent="0.3">
      <c r="A1136" s="13" t="s">
        <v>3003</v>
      </c>
      <c r="B1136" t="s">
        <v>3003</v>
      </c>
      <c r="C1136" s="13" t="s">
        <v>3003</v>
      </c>
      <c r="D1136" s="9" t="s">
        <v>536</v>
      </c>
      <c r="E1136" s="13" t="s">
        <v>3323</v>
      </c>
    </row>
    <row r="1137" spans="1:5" ht="43.2" x14ac:dyDescent="0.3">
      <c r="A1137" s="13" t="s">
        <v>2114</v>
      </c>
      <c r="B1137" t="s">
        <v>2114</v>
      </c>
      <c r="C1137" s="13" t="s">
        <v>2114</v>
      </c>
      <c r="D1137" s="9" t="s">
        <v>536</v>
      </c>
      <c r="E1137" s="13" t="s">
        <v>3323</v>
      </c>
    </row>
    <row r="1138" spans="1:5" ht="43.2" x14ac:dyDescent="0.3">
      <c r="A1138" s="13" t="s">
        <v>3004</v>
      </c>
      <c r="B1138" t="s">
        <v>3004</v>
      </c>
      <c r="C1138" s="13" t="s">
        <v>3004</v>
      </c>
      <c r="D1138" s="9" t="s">
        <v>536</v>
      </c>
      <c r="E1138" s="13" t="s">
        <v>3323</v>
      </c>
    </row>
    <row r="1139" spans="1:5" ht="43.2" x14ac:dyDescent="0.3">
      <c r="A1139" s="13" t="s">
        <v>3005</v>
      </c>
      <c r="B1139" t="s">
        <v>3005</v>
      </c>
      <c r="C1139" s="13" t="s">
        <v>3005</v>
      </c>
      <c r="D1139" s="9" t="s">
        <v>536</v>
      </c>
      <c r="E1139" s="13" t="s">
        <v>3323</v>
      </c>
    </row>
    <row r="1140" spans="1:5" ht="43.2" x14ac:dyDescent="0.3">
      <c r="A1140" s="13" t="s">
        <v>1862</v>
      </c>
      <c r="B1140" t="s">
        <v>1862</v>
      </c>
      <c r="C1140" s="13" t="s">
        <v>1862</v>
      </c>
      <c r="D1140" s="9" t="s">
        <v>536</v>
      </c>
      <c r="E1140" s="13" t="s">
        <v>3323</v>
      </c>
    </row>
    <row r="1141" spans="1:5" ht="43.2" x14ac:dyDescent="0.3">
      <c r="A1141" s="13" t="s">
        <v>1861</v>
      </c>
      <c r="B1141" t="s">
        <v>1861</v>
      </c>
      <c r="C1141" s="13" t="s">
        <v>1861</v>
      </c>
      <c r="D1141" s="9" t="s">
        <v>536</v>
      </c>
      <c r="E1141" s="13" t="s">
        <v>3323</v>
      </c>
    </row>
    <row r="1142" spans="1:5" ht="43.2" x14ac:dyDescent="0.3">
      <c r="A1142" s="13" t="s">
        <v>3006</v>
      </c>
      <c r="B1142" t="s">
        <v>3006</v>
      </c>
      <c r="C1142" s="13" t="s">
        <v>3006</v>
      </c>
      <c r="D1142" s="9" t="s">
        <v>536</v>
      </c>
      <c r="E1142" s="13" t="s">
        <v>3323</v>
      </c>
    </row>
    <row r="1143" spans="1:5" ht="43.2" x14ac:dyDescent="0.3">
      <c r="A1143" s="13" t="s">
        <v>1860</v>
      </c>
      <c r="B1143" t="s">
        <v>1860</v>
      </c>
      <c r="C1143" s="13" t="s">
        <v>1860</v>
      </c>
      <c r="D1143" s="9" t="s">
        <v>536</v>
      </c>
      <c r="E1143" s="13" t="s">
        <v>3323</v>
      </c>
    </row>
    <row r="1144" spans="1:5" ht="43.2" x14ac:dyDescent="0.3">
      <c r="A1144" s="13" t="s">
        <v>2115</v>
      </c>
      <c r="B1144" t="s">
        <v>2115</v>
      </c>
      <c r="C1144" s="13" t="s">
        <v>2115</v>
      </c>
      <c r="D1144" s="9" t="s">
        <v>536</v>
      </c>
      <c r="E1144" s="13" t="s">
        <v>3323</v>
      </c>
    </row>
    <row r="1145" spans="1:5" ht="43.2" x14ac:dyDescent="0.3">
      <c r="A1145" s="13" t="s">
        <v>3007</v>
      </c>
      <c r="B1145" t="s">
        <v>3007</v>
      </c>
      <c r="C1145" s="13" t="s">
        <v>3007</v>
      </c>
      <c r="D1145" s="9" t="s">
        <v>536</v>
      </c>
      <c r="E1145" s="13" t="s">
        <v>3323</v>
      </c>
    </row>
    <row r="1146" spans="1:5" ht="43.2" x14ac:dyDescent="0.3">
      <c r="A1146" s="13" t="s">
        <v>3008</v>
      </c>
      <c r="B1146" t="s">
        <v>3008</v>
      </c>
      <c r="C1146" s="13" t="s">
        <v>3008</v>
      </c>
      <c r="D1146" s="9" t="s">
        <v>536</v>
      </c>
      <c r="E1146" s="13" t="s">
        <v>3323</v>
      </c>
    </row>
    <row r="1147" spans="1:5" ht="43.2" x14ac:dyDescent="0.3">
      <c r="A1147" s="13" t="s">
        <v>3009</v>
      </c>
      <c r="B1147" t="s">
        <v>3009</v>
      </c>
      <c r="C1147" s="13" t="s">
        <v>3009</v>
      </c>
      <c r="D1147" s="9" t="s">
        <v>536</v>
      </c>
      <c r="E1147" s="13" t="s">
        <v>3323</v>
      </c>
    </row>
    <row r="1148" spans="1:5" ht="43.2" x14ac:dyDescent="0.3">
      <c r="A1148" s="13" t="s">
        <v>1859</v>
      </c>
      <c r="B1148" t="s">
        <v>1859</v>
      </c>
      <c r="C1148" s="13" t="s">
        <v>1859</v>
      </c>
      <c r="D1148" s="9" t="s">
        <v>536</v>
      </c>
      <c r="E1148" s="13" t="s">
        <v>3323</v>
      </c>
    </row>
    <row r="1149" spans="1:5" ht="43.2" x14ac:dyDescent="0.3">
      <c r="A1149" s="13" t="s">
        <v>1858</v>
      </c>
      <c r="B1149" t="s">
        <v>1858</v>
      </c>
      <c r="C1149" s="13" t="s">
        <v>1858</v>
      </c>
      <c r="D1149" s="9" t="s">
        <v>536</v>
      </c>
      <c r="E1149" s="13" t="s">
        <v>3323</v>
      </c>
    </row>
    <row r="1150" spans="1:5" ht="43.2" x14ac:dyDescent="0.3">
      <c r="A1150" s="13" t="s">
        <v>3010</v>
      </c>
      <c r="B1150" t="s">
        <v>3010</v>
      </c>
      <c r="C1150" s="13" t="s">
        <v>3010</v>
      </c>
      <c r="D1150" s="9" t="s">
        <v>536</v>
      </c>
      <c r="E1150" s="13" t="s">
        <v>3323</v>
      </c>
    </row>
    <row r="1151" spans="1:5" ht="43.2" x14ac:dyDescent="0.3">
      <c r="A1151" s="13" t="s">
        <v>1857</v>
      </c>
      <c r="B1151" t="s">
        <v>1857</v>
      </c>
      <c r="C1151" s="13" t="s">
        <v>1857</v>
      </c>
      <c r="D1151" s="9" t="s">
        <v>536</v>
      </c>
      <c r="E1151" s="13" t="s">
        <v>3323</v>
      </c>
    </row>
    <row r="1152" spans="1:5" ht="43.2" x14ac:dyDescent="0.3">
      <c r="A1152" s="13" t="s">
        <v>3011</v>
      </c>
      <c r="B1152" t="s">
        <v>3011</v>
      </c>
      <c r="C1152" s="13" t="s">
        <v>3011</v>
      </c>
      <c r="D1152" s="9" t="s">
        <v>536</v>
      </c>
      <c r="E1152" s="13" t="s">
        <v>3323</v>
      </c>
    </row>
    <row r="1153" spans="1:5" ht="43.2" x14ac:dyDescent="0.3">
      <c r="A1153" s="13" t="s">
        <v>3012</v>
      </c>
      <c r="B1153" t="s">
        <v>3012</v>
      </c>
      <c r="C1153" s="13" t="s">
        <v>3012</v>
      </c>
      <c r="D1153" s="9" t="s">
        <v>536</v>
      </c>
      <c r="E1153" s="13" t="s">
        <v>3323</v>
      </c>
    </row>
    <row r="1154" spans="1:5" ht="43.2" x14ac:dyDescent="0.3">
      <c r="A1154" s="13" t="s">
        <v>3013</v>
      </c>
      <c r="B1154" t="s">
        <v>3013</v>
      </c>
      <c r="C1154" s="13" t="s">
        <v>3013</v>
      </c>
      <c r="D1154" s="9" t="s">
        <v>536</v>
      </c>
      <c r="E1154" s="13" t="s">
        <v>3323</v>
      </c>
    </row>
    <row r="1155" spans="1:5" ht="43.2" x14ac:dyDescent="0.3">
      <c r="A1155" s="13" t="s">
        <v>3014</v>
      </c>
      <c r="B1155" t="s">
        <v>3014</v>
      </c>
      <c r="C1155" s="13" t="s">
        <v>3014</v>
      </c>
      <c r="D1155" s="9" t="s">
        <v>536</v>
      </c>
      <c r="E1155" s="13" t="s">
        <v>3323</v>
      </c>
    </row>
    <row r="1156" spans="1:5" ht="43.2" x14ac:dyDescent="0.3">
      <c r="A1156" s="13" t="s">
        <v>1856</v>
      </c>
      <c r="B1156" t="s">
        <v>1856</v>
      </c>
      <c r="C1156" s="13" t="s">
        <v>1856</v>
      </c>
      <c r="D1156" s="9" t="s">
        <v>536</v>
      </c>
      <c r="E1156" s="13" t="s">
        <v>3323</v>
      </c>
    </row>
    <row r="1157" spans="1:5" ht="43.2" x14ac:dyDescent="0.3">
      <c r="A1157" s="13" t="s">
        <v>1855</v>
      </c>
      <c r="B1157" t="s">
        <v>1855</v>
      </c>
      <c r="C1157" s="13" t="s">
        <v>1855</v>
      </c>
      <c r="D1157" s="9" t="s">
        <v>536</v>
      </c>
      <c r="E1157" s="13" t="s">
        <v>3323</v>
      </c>
    </row>
    <row r="1158" spans="1:5" ht="43.2" x14ac:dyDescent="0.3">
      <c r="A1158" s="13" t="s">
        <v>1854</v>
      </c>
      <c r="B1158" t="s">
        <v>1854</v>
      </c>
      <c r="C1158" s="13" t="s">
        <v>1854</v>
      </c>
      <c r="D1158" s="9" t="s">
        <v>536</v>
      </c>
      <c r="E1158" s="13" t="s">
        <v>3323</v>
      </c>
    </row>
    <row r="1159" spans="1:5" ht="43.2" x14ac:dyDescent="0.3">
      <c r="A1159" s="13" t="s">
        <v>3015</v>
      </c>
      <c r="B1159" t="s">
        <v>3015</v>
      </c>
      <c r="C1159" s="13" t="s">
        <v>3015</v>
      </c>
      <c r="D1159" s="9" t="s">
        <v>536</v>
      </c>
      <c r="E1159" s="13" t="s">
        <v>3323</v>
      </c>
    </row>
    <row r="1160" spans="1:5" ht="43.2" x14ac:dyDescent="0.3">
      <c r="A1160" s="13" t="s">
        <v>3016</v>
      </c>
      <c r="B1160" t="s">
        <v>3016</v>
      </c>
      <c r="C1160" s="13" t="s">
        <v>3016</v>
      </c>
      <c r="D1160" s="9" t="s">
        <v>536</v>
      </c>
      <c r="E1160" s="13" t="s">
        <v>3323</v>
      </c>
    </row>
    <row r="1161" spans="1:5" ht="43.2" x14ac:dyDescent="0.3">
      <c r="A1161" s="13" t="s">
        <v>1853</v>
      </c>
      <c r="B1161" t="s">
        <v>1853</v>
      </c>
      <c r="C1161" s="13" t="s">
        <v>1853</v>
      </c>
      <c r="D1161" s="9" t="s">
        <v>536</v>
      </c>
      <c r="E1161" s="13" t="s">
        <v>3323</v>
      </c>
    </row>
    <row r="1162" spans="1:5" ht="43.2" x14ac:dyDescent="0.3">
      <c r="A1162" s="13" t="s">
        <v>1852</v>
      </c>
      <c r="B1162" t="s">
        <v>1852</v>
      </c>
      <c r="C1162" s="13" t="s">
        <v>1852</v>
      </c>
      <c r="D1162" s="9" t="s">
        <v>536</v>
      </c>
      <c r="E1162" s="13" t="s">
        <v>3323</v>
      </c>
    </row>
    <row r="1163" spans="1:5" ht="43.2" x14ac:dyDescent="0.3">
      <c r="A1163" s="13" t="s">
        <v>1851</v>
      </c>
      <c r="B1163" t="s">
        <v>1851</v>
      </c>
      <c r="C1163" s="13" t="s">
        <v>1851</v>
      </c>
      <c r="D1163" s="9" t="s">
        <v>536</v>
      </c>
      <c r="E1163" s="13" t="s">
        <v>3323</v>
      </c>
    </row>
    <row r="1164" spans="1:5" ht="43.2" x14ac:dyDescent="0.3">
      <c r="A1164" s="13" t="s">
        <v>1850</v>
      </c>
      <c r="B1164" t="s">
        <v>1850</v>
      </c>
      <c r="C1164" s="13" t="s">
        <v>1850</v>
      </c>
      <c r="D1164" s="9" t="s">
        <v>536</v>
      </c>
      <c r="E1164" s="13" t="s">
        <v>3323</v>
      </c>
    </row>
    <row r="1165" spans="1:5" ht="43.2" x14ac:dyDescent="0.3">
      <c r="A1165" s="13" t="s">
        <v>1849</v>
      </c>
      <c r="B1165" t="s">
        <v>1849</v>
      </c>
      <c r="C1165" s="13" t="s">
        <v>1849</v>
      </c>
      <c r="D1165" s="9" t="s">
        <v>536</v>
      </c>
      <c r="E1165" s="13" t="s">
        <v>3323</v>
      </c>
    </row>
    <row r="1166" spans="1:5" ht="43.2" x14ac:dyDescent="0.3">
      <c r="A1166" s="13" t="s">
        <v>3017</v>
      </c>
      <c r="B1166" t="s">
        <v>3017</v>
      </c>
      <c r="C1166" s="13" t="s">
        <v>3017</v>
      </c>
      <c r="D1166" s="9" t="s">
        <v>536</v>
      </c>
      <c r="E1166" s="13" t="s">
        <v>3323</v>
      </c>
    </row>
    <row r="1167" spans="1:5" ht="43.2" x14ac:dyDescent="0.3">
      <c r="A1167" s="13" t="s">
        <v>3018</v>
      </c>
      <c r="B1167" t="s">
        <v>3018</v>
      </c>
      <c r="C1167" s="13" t="s">
        <v>3018</v>
      </c>
      <c r="D1167" s="9" t="s">
        <v>536</v>
      </c>
      <c r="E1167" s="13" t="s">
        <v>3323</v>
      </c>
    </row>
    <row r="1168" spans="1:5" ht="43.2" x14ac:dyDescent="0.3">
      <c r="A1168" s="13" t="s">
        <v>3019</v>
      </c>
      <c r="B1168" t="s">
        <v>3019</v>
      </c>
      <c r="C1168" s="13" t="s">
        <v>3019</v>
      </c>
      <c r="D1168" s="9" t="s">
        <v>536</v>
      </c>
      <c r="E1168" s="13" t="s">
        <v>3323</v>
      </c>
    </row>
    <row r="1169" spans="1:5" ht="43.2" x14ac:dyDescent="0.3">
      <c r="A1169" s="13" t="s">
        <v>1848</v>
      </c>
      <c r="B1169" t="s">
        <v>1848</v>
      </c>
      <c r="C1169" s="13" t="s">
        <v>1848</v>
      </c>
      <c r="D1169" s="9" t="s">
        <v>536</v>
      </c>
      <c r="E1169" s="13" t="s">
        <v>3323</v>
      </c>
    </row>
    <row r="1170" spans="1:5" ht="43.2" x14ac:dyDescent="0.3">
      <c r="A1170" s="13" t="s">
        <v>3020</v>
      </c>
      <c r="B1170" t="s">
        <v>3020</v>
      </c>
      <c r="C1170" s="13" t="s">
        <v>3020</v>
      </c>
      <c r="D1170" s="9" t="s">
        <v>536</v>
      </c>
      <c r="E1170" s="13" t="s">
        <v>3323</v>
      </c>
    </row>
    <row r="1171" spans="1:5" ht="43.2" x14ac:dyDescent="0.3">
      <c r="A1171" s="13" t="s">
        <v>3021</v>
      </c>
      <c r="B1171" t="s">
        <v>3021</v>
      </c>
      <c r="C1171" s="13" t="s">
        <v>3021</v>
      </c>
      <c r="D1171" s="9" t="s">
        <v>536</v>
      </c>
      <c r="E1171" s="13" t="s">
        <v>3323</v>
      </c>
    </row>
    <row r="1172" spans="1:5" ht="43.2" x14ac:dyDescent="0.3">
      <c r="A1172" s="13" t="s">
        <v>1847</v>
      </c>
      <c r="B1172" t="s">
        <v>1847</v>
      </c>
      <c r="C1172" s="13" t="s">
        <v>1847</v>
      </c>
      <c r="D1172" s="9" t="s">
        <v>536</v>
      </c>
      <c r="E1172" s="13" t="s">
        <v>3323</v>
      </c>
    </row>
    <row r="1173" spans="1:5" ht="43.2" x14ac:dyDescent="0.3">
      <c r="A1173" s="13" t="s">
        <v>3022</v>
      </c>
      <c r="B1173" t="s">
        <v>3022</v>
      </c>
      <c r="C1173" s="13" t="s">
        <v>3022</v>
      </c>
      <c r="D1173" s="9" t="s">
        <v>536</v>
      </c>
      <c r="E1173" s="13" t="s">
        <v>3323</v>
      </c>
    </row>
    <row r="1174" spans="1:5" ht="43.2" x14ac:dyDescent="0.3">
      <c r="A1174" s="13" t="s">
        <v>3023</v>
      </c>
      <c r="B1174" t="s">
        <v>3023</v>
      </c>
      <c r="C1174" s="13" t="s">
        <v>3023</v>
      </c>
      <c r="D1174" s="9" t="s">
        <v>536</v>
      </c>
      <c r="E1174" s="13" t="s">
        <v>3323</v>
      </c>
    </row>
    <row r="1175" spans="1:5" ht="43.2" x14ac:dyDescent="0.3">
      <c r="A1175" s="13" t="s">
        <v>3024</v>
      </c>
      <c r="B1175" t="s">
        <v>3024</v>
      </c>
      <c r="C1175" s="13" t="s">
        <v>3024</v>
      </c>
      <c r="D1175" s="9" t="s">
        <v>536</v>
      </c>
      <c r="E1175" s="13" t="s">
        <v>3323</v>
      </c>
    </row>
    <row r="1176" spans="1:5" ht="43.2" x14ac:dyDescent="0.3">
      <c r="A1176" s="13" t="s">
        <v>3025</v>
      </c>
      <c r="B1176" t="s">
        <v>3025</v>
      </c>
      <c r="C1176" s="13" t="s">
        <v>3025</v>
      </c>
      <c r="D1176" s="9" t="s">
        <v>536</v>
      </c>
      <c r="E1176" s="13" t="s">
        <v>3323</v>
      </c>
    </row>
    <row r="1177" spans="1:5" ht="43.2" x14ac:dyDescent="0.3">
      <c r="A1177" s="13" t="s">
        <v>3026</v>
      </c>
      <c r="B1177" t="s">
        <v>3026</v>
      </c>
      <c r="C1177" s="13" t="s">
        <v>3026</v>
      </c>
      <c r="D1177" s="9" t="s">
        <v>536</v>
      </c>
      <c r="E1177" s="13" t="s">
        <v>3323</v>
      </c>
    </row>
    <row r="1178" spans="1:5" ht="43.2" x14ac:dyDescent="0.3">
      <c r="A1178" s="13" t="s">
        <v>3027</v>
      </c>
      <c r="B1178" t="s">
        <v>3027</v>
      </c>
      <c r="C1178" s="13" t="s">
        <v>3027</v>
      </c>
      <c r="D1178" s="9" t="s">
        <v>536</v>
      </c>
      <c r="E1178" s="13" t="s">
        <v>3323</v>
      </c>
    </row>
    <row r="1179" spans="1:5" ht="43.2" x14ac:dyDescent="0.3">
      <c r="A1179" s="13" t="s">
        <v>3028</v>
      </c>
      <c r="B1179" t="s">
        <v>3028</v>
      </c>
      <c r="C1179" s="13" t="s">
        <v>3028</v>
      </c>
      <c r="D1179" s="9" t="s">
        <v>536</v>
      </c>
      <c r="E1179" s="13" t="s">
        <v>3323</v>
      </c>
    </row>
    <row r="1180" spans="1:5" ht="43.2" x14ac:dyDescent="0.3">
      <c r="A1180" s="13" t="s">
        <v>3029</v>
      </c>
      <c r="B1180" t="s">
        <v>3029</v>
      </c>
      <c r="C1180" s="13" t="s">
        <v>3029</v>
      </c>
      <c r="D1180" s="9" t="s">
        <v>536</v>
      </c>
      <c r="E1180" s="13" t="s">
        <v>3323</v>
      </c>
    </row>
    <row r="1181" spans="1:5" ht="43.2" x14ac:dyDescent="0.3">
      <c r="A1181" s="13" t="s">
        <v>3030</v>
      </c>
      <c r="B1181" t="s">
        <v>3030</v>
      </c>
      <c r="C1181" s="13" t="s">
        <v>3030</v>
      </c>
      <c r="D1181" s="9" t="s">
        <v>536</v>
      </c>
      <c r="E1181" s="13" t="s">
        <v>3323</v>
      </c>
    </row>
    <row r="1182" spans="1:5" ht="43.2" x14ac:dyDescent="0.3">
      <c r="A1182" s="13" t="s">
        <v>3031</v>
      </c>
      <c r="B1182" t="s">
        <v>3031</v>
      </c>
      <c r="C1182" s="13" t="s">
        <v>3031</v>
      </c>
      <c r="D1182" s="9" t="s">
        <v>536</v>
      </c>
      <c r="E1182" s="13" t="s">
        <v>3323</v>
      </c>
    </row>
    <row r="1183" spans="1:5" ht="43.2" x14ac:dyDescent="0.3">
      <c r="A1183" s="13" t="s">
        <v>3032</v>
      </c>
      <c r="B1183" t="s">
        <v>3032</v>
      </c>
      <c r="C1183" s="13" t="s">
        <v>3032</v>
      </c>
      <c r="D1183" s="9" t="s">
        <v>536</v>
      </c>
      <c r="E1183" s="13" t="s">
        <v>3323</v>
      </c>
    </row>
    <row r="1184" spans="1:5" ht="43.2" x14ac:dyDescent="0.3">
      <c r="A1184" s="13" t="s">
        <v>1846</v>
      </c>
      <c r="B1184" t="s">
        <v>1846</v>
      </c>
      <c r="C1184" s="13" t="s">
        <v>1846</v>
      </c>
      <c r="D1184" s="9" t="s">
        <v>536</v>
      </c>
      <c r="E1184" s="13" t="s">
        <v>3323</v>
      </c>
    </row>
    <row r="1185" spans="1:5" ht="43.2" x14ac:dyDescent="0.3">
      <c r="A1185" s="13" t="s">
        <v>3033</v>
      </c>
      <c r="B1185" t="s">
        <v>3033</v>
      </c>
      <c r="C1185" s="13" t="s">
        <v>3033</v>
      </c>
      <c r="D1185" s="9" t="s">
        <v>536</v>
      </c>
      <c r="E1185" s="13" t="s">
        <v>3323</v>
      </c>
    </row>
    <row r="1186" spans="1:5" ht="43.2" x14ac:dyDescent="0.3">
      <c r="A1186" s="13" t="s">
        <v>3034</v>
      </c>
      <c r="B1186" t="s">
        <v>3034</v>
      </c>
      <c r="C1186" s="13" t="s">
        <v>3034</v>
      </c>
      <c r="D1186" s="9" t="s">
        <v>536</v>
      </c>
      <c r="E1186" s="13" t="s">
        <v>3323</v>
      </c>
    </row>
    <row r="1187" spans="1:5" ht="43.2" x14ac:dyDescent="0.3">
      <c r="A1187" s="13" t="s">
        <v>3035</v>
      </c>
      <c r="B1187" t="s">
        <v>3035</v>
      </c>
      <c r="C1187" s="13" t="s">
        <v>3035</v>
      </c>
      <c r="D1187" s="9" t="s">
        <v>536</v>
      </c>
      <c r="E1187" s="13" t="s">
        <v>3323</v>
      </c>
    </row>
    <row r="1188" spans="1:5" ht="43.2" x14ac:dyDescent="0.3">
      <c r="A1188" s="13" t="s">
        <v>3036</v>
      </c>
      <c r="B1188" t="s">
        <v>3036</v>
      </c>
      <c r="C1188" s="13" t="s">
        <v>3036</v>
      </c>
      <c r="D1188" s="9" t="s">
        <v>536</v>
      </c>
      <c r="E1188" s="13" t="s">
        <v>3323</v>
      </c>
    </row>
    <row r="1189" spans="1:5" ht="43.2" x14ac:dyDescent="0.3">
      <c r="A1189" s="13" t="s">
        <v>3037</v>
      </c>
      <c r="B1189" t="s">
        <v>3037</v>
      </c>
      <c r="C1189" s="13" t="s">
        <v>3037</v>
      </c>
      <c r="D1189" s="9" t="s">
        <v>536</v>
      </c>
      <c r="E1189" s="13" t="s">
        <v>3323</v>
      </c>
    </row>
    <row r="1190" spans="1:5" ht="43.2" x14ac:dyDescent="0.3">
      <c r="A1190" s="13" t="s">
        <v>2132</v>
      </c>
      <c r="B1190" t="s">
        <v>2132</v>
      </c>
      <c r="C1190" s="13" t="s">
        <v>2132</v>
      </c>
      <c r="D1190" s="9" t="s">
        <v>536</v>
      </c>
      <c r="E1190" s="13" t="s">
        <v>3323</v>
      </c>
    </row>
    <row r="1191" spans="1:5" ht="43.2" x14ac:dyDescent="0.3">
      <c r="A1191" s="13" t="s">
        <v>3038</v>
      </c>
      <c r="B1191" t="s">
        <v>3038</v>
      </c>
      <c r="C1191" s="13" t="s">
        <v>3038</v>
      </c>
      <c r="D1191" s="9" t="s">
        <v>536</v>
      </c>
      <c r="E1191" s="13" t="s">
        <v>3323</v>
      </c>
    </row>
    <row r="1192" spans="1:5" ht="43.2" x14ac:dyDescent="0.3">
      <c r="A1192" s="13" t="s">
        <v>3039</v>
      </c>
      <c r="B1192" t="s">
        <v>3039</v>
      </c>
      <c r="C1192" s="13" t="s">
        <v>3039</v>
      </c>
      <c r="D1192" s="9" t="s">
        <v>536</v>
      </c>
      <c r="E1192" s="13" t="s">
        <v>3323</v>
      </c>
    </row>
    <row r="1193" spans="1:5" ht="43.2" x14ac:dyDescent="0.3">
      <c r="A1193" s="13" t="s">
        <v>3040</v>
      </c>
      <c r="B1193" t="s">
        <v>3040</v>
      </c>
      <c r="C1193" s="13" t="s">
        <v>3040</v>
      </c>
      <c r="D1193" s="9" t="s">
        <v>536</v>
      </c>
      <c r="E1193" s="13" t="s">
        <v>3323</v>
      </c>
    </row>
    <row r="1194" spans="1:5" ht="43.2" x14ac:dyDescent="0.3">
      <c r="A1194" s="13" t="s">
        <v>3041</v>
      </c>
      <c r="B1194" t="s">
        <v>3041</v>
      </c>
      <c r="C1194" s="13" t="s">
        <v>3041</v>
      </c>
      <c r="D1194" s="9" t="s">
        <v>536</v>
      </c>
      <c r="E1194" s="13" t="s">
        <v>3323</v>
      </c>
    </row>
    <row r="1195" spans="1:5" ht="43.2" x14ac:dyDescent="0.3">
      <c r="A1195" s="13" t="s">
        <v>3042</v>
      </c>
      <c r="B1195" t="s">
        <v>3042</v>
      </c>
      <c r="C1195" s="13" t="s">
        <v>3042</v>
      </c>
      <c r="D1195" s="9" t="s">
        <v>536</v>
      </c>
      <c r="E1195" s="13" t="s">
        <v>3323</v>
      </c>
    </row>
    <row r="1196" spans="1:5" ht="43.2" x14ac:dyDescent="0.3">
      <c r="A1196" s="13" t="s">
        <v>3043</v>
      </c>
      <c r="B1196" t="s">
        <v>3043</v>
      </c>
      <c r="C1196" s="13" t="s">
        <v>3043</v>
      </c>
      <c r="D1196" s="9" t="s">
        <v>536</v>
      </c>
      <c r="E1196" s="13" t="s">
        <v>3323</v>
      </c>
    </row>
    <row r="1197" spans="1:5" ht="43.2" x14ac:dyDescent="0.3">
      <c r="A1197" s="13" t="s">
        <v>3044</v>
      </c>
      <c r="B1197" t="s">
        <v>3044</v>
      </c>
      <c r="C1197" s="13" t="s">
        <v>3044</v>
      </c>
      <c r="D1197" s="9" t="s">
        <v>536</v>
      </c>
      <c r="E1197" s="13" t="s">
        <v>3323</v>
      </c>
    </row>
    <row r="1198" spans="1:5" ht="43.2" x14ac:dyDescent="0.3">
      <c r="A1198" s="13" t="s">
        <v>3045</v>
      </c>
      <c r="B1198" t="s">
        <v>3045</v>
      </c>
      <c r="C1198" s="13" t="s">
        <v>3045</v>
      </c>
      <c r="D1198" s="9" t="s">
        <v>536</v>
      </c>
      <c r="E1198" s="13" t="s">
        <v>3323</v>
      </c>
    </row>
    <row r="1199" spans="1:5" ht="43.2" x14ac:dyDescent="0.3">
      <c r="A1199" s="13" t="s">
        <v>3046</v>
      </c>
      <c r="B1199" t="s">
        <v>3046</v>
      </c>
      <c r="C1199" s="13" t="s">
        <v>3046</v>
      </c>
      <c r="D1199" s="9" t="s">
        <v>536</v>
      </c>
      <c r="E1199" s="13" t="s">
        <v>3323</v>
      </c>
    </row>
    <row r="1200" spans="1:5" ht="43.2" x14ac:dyDescent="0.3">
      <c r="A1200" s="13" t="s">
        <v>3047</v>
      </c>
      <c r="B1200" t="s">
        <v>3047</v>
      </c>
      <c r="C1200" s="13" t="s">
        <v>3047</v>
      </c>
      <c r="D1200" s="9" t="s">
        <v>536</v>
      </c>
      <c r="E1200" s="13" t="s">
        <v>3323</v>
      </c>
    </row>
    <row r="1201" spans="1:5" ht="28.8" x14ac:dyDescent="0.3">
      <c r="A1201" s="13" t="s">
        <v>3048</v>
      </c>
      <c r="B1201" t="s">
        <v>3048</v>
      </c>
      <c r="C1201" s="13" t="s">
        <v>3048</v>
      </c>
      <c r="D1201" s="9" t="s">
        <v>536</v>
      </c>
      <c r="E1201" s="13" t="s">
        <v>3323</v>
      </c>
    </row>
    <row r="1202" spans="1:5" ht="43.2" x14ac:dyDescent="0.3">
      <c r="A1202" s="13" t="s">
        <v>3049</v>
      </c>
      <c r="B1202" t="s">
        <v>3049</v>
      </c>
      <c r="C1202" s="13" t="s">
        <v>3049</v>
      </c>
      <c r="D1202" s="9" t="s">
        <v>536</v>
      </c>
      <c r="E1202" s="13" t="s">
        <v>3323</v>
      </c>
    </row>
    <row r="1203" spans="1:5" ht="43.2" x14ac:dyDescent="0.3">
      <c r="A1203" s="13" t="s">
        <v>3050</v>
      </c>
      <c r="B1203" t="s">
        <v>3050</v>
      </c>
      <c r="C1203" s="13" t="s">
        <v>3050</v>
      </c>
      <c r="D1203" s="9" t="s">
        <v>536</v>
      </c>
      <c r="E1203" s="13" t="s">
        <v>3323</v>
      </c>
    </row>
    <row r="1204" spans="1:5" ht="43.2" x14ac:dyDescent="0.3">
      <c r="A1204" s="13" t="s">
        <v>3051</v>
      </c>
      <c r="B1204" t="s">
        <v>3051</v>
      </c>
      <c r="C1204" s="13" t="s">
        <v>3051</v>
      </c>
      <c r="D1204" s="9" t="s">
        <v>536</v>
      </c>
      <c r="E1204" s="13" t="s">
        <v>3323</v>
      </c>
    </row>
    <row r="1205" spans="1:5" ht="43.2" x14ac:dyDescent="0.3">
      <c r="A1205" s="13" t="s">
        <v>3052</v>
      </c>
      <c r="B1205" t="s">
        <v>3052</v>
      </c>
      <c r="C1205" s="13" t="s">
        <v>3052</v>
      </c>
      <c r="D1205" s="9" t="s">
        <v>536</v>
      </c>
      <c r="E1205" s="13" t="s">
        <v>3323</v>
      </c>
    </row>
    <row r="1206" spans="1:5" ht="43.2" x14ac:dyDescent="0.3">
      <c r="A1206" s="13" t="s">
        <v>1845</v>
      </c>
      <c r="B1206" t="s">
        <v>1845</v>
      </c>
      <c r="C1206" s="13" t="s">
        <v>1845</v>
      </c>
      <c r="D1206" s="9" t="s">
        <v>536</v>
      </c>
      <c r="E1206" s="13" t="s">
        <v>3323</v>
      </c>
    </row>
    <row r="1207" spans="1:5" ht="43.2" x14ac:dyDescent="0.3">
      <c r="A1207" s="13" t="s">
        <v>1844</v>
      </c>
      <c r="B1207" t="s">
        <v>1844</v>
      </c>
      <c r="C1207" s="13" t="s">
        <v>1844</v>
      </c>
      <c r="D1207" s="9" t="s">
        <v>536</v>
      </c>
      <c r="E1207" s="13" t="s">
        <v>3323</v>
      </c>
    </row>
    <row r="1208" spans="1:5" ht="43.2" x14ac:dyDescent="0.3">
      <c r="A1208" s="13" t="s">
        <v>1843</v>
      </c>
      <c r="B1208" t="s">
        <v>1843</v>
      </c>
      <c r="C1208" s="13" t="s">
        <v>1843</v>
      </c>
      <c r="D1208" s="9" t="s">
        <v>536</v>
      </c>
      <c r="E1208" s="13" t="s">
        <v>3323</v>
      </c>
    </row>
    <row r="1209" spans="1:5" ht="43.2" x14ac:dyDescent="0.3">
      <c r="A1209" s="13" t="s">
        <v>3053</v>
      </c>
      <c r="B1209" t="s">
        <v>3053</v>
      </c>
      <c r="C1209" s="13" t="s">
        <v>3053</v>
      </c>
      <c r="D1209" s="9" t="s">
        <v>536</v>
      </c>
      <c r="E1209" s="13" t="s">
        <v>3323</v>
      </c>
    </row>
    <row r="1210" spans="1:5" ht="43.2" x14ac:dyDescent="0.3">
      <c r="A1210" s="13" t="s">
        <v>3054</v>
      </c>
      <c r="B1210" t="s">
        <v>3054</v>
      </c>
      <c r="C1210" s="13" t="s">
        <v>3054</v>
      </c>
      <c r="D1210" s="9" t="s">
        <v>536</v>
      </c>
      <c r="E1210" s="13" t="s">
        <v>3323</v>
      </c>
    </row>
    <row r="1211" spans="1:5" ht="43.2" x14ac:dyDescent="0.3">
      <c r="A1211" s="13" t="s">
        <v>3055</v>
      </c>
      <c r="B1211" t="s">
        <v>3055</v>
      </c>
      <c r="C1211" s="13" t="s">
        <v>3055</v>
      </c>
      <c r="D1211" s="9" t="s">
        <v>536</v>
      </c>
      <c r="E1211" s="13" t="s">
        <v>3323</v>
      </c>
    </row>
    <row r="1212" spans="1:5" ht="43.2" x14ac:dyDescent="0.3">
      <c r="A1212" s="13" t="s">
        <v>1842</v>
      </c>
      <c r="B1212" t="s">
        <v>1842</v>
      </c>
      <c r="C1212" s="13" t="s">
        <v>1842</v>
      </c>
      <c r="D1212" s="9" t="s">
        <v>536</v>
      </c>
      <c r="E1212" s="13" t="s">
        <v>3323</v>
      </c>
    </row>
    <row r="1213" spans="1:5" ht="43.2" x14ac:dyDescent="0.3">
      <c r="A1213" s="13" t="s">
        <v>3056</v>
      </c>
      <c r="B1213" t="s">
        <v>3056</v>
      </c>
      <c r="C1213" s="13" t="s">
        <v>3056</v>
      </c>
      <c r="D1213" s="9" t="s">
        <v>536</v>
      </c>
      <c r="E1213" s="13" t="s">
        <v>3323</v>
      </c>
    </row>
    <row r="1214" spans="1:5" ht="43.2" x14ac:dyDescent="0.3">
      <c r="A1214" s="13" t="s">
        <v>1841</v>
      </c>
      <c r="B1214" t="s">
        <v>1841</v>
      </c>
      <c r="C1214" s="13" t="s">
        <v>1841</v>
      </c>
      <c r="D1214" s="9" t="s">
        <v>536</v>
      </c>
      <c r="E1214" s="13" t="s">
        <v>3323</v>
      </c>
    </row>
    <row r="1215" spans="1:5" ht="43.2" x14ac:dyDescent="0.3">
      <c r="A1215" s="13" t="s">
        <v>1840</v>
      </c>
      <c r="B1215" t="s">
        <v>1840</v>
      </c>
      <c r="C1215" s="13" t="s">
        <v>1840</v>
      </c>
      <c r="D1215" s="9" t="s">
        <v>536</v>
      </c>
      <c r="E1215" s="13" t="s">
        <v>3323</v>
      </c>
    </row>
    <row r="1216" spans="1:5" ht="43.2" x14ac:dyDescent="0.3">
      <c r="A1216" s="13" t="s">
        <v>3057</v>
      </c>
      <c r="B1216" t="s">
        <v>3057</v>
      </c>
      <c r="C1216" s="13" t="s">
        <v>3057</v>
      </c>
      <c r="D1216" s="9" t="s">
        <v>536</v>
      </c>
      <c r="E1216" s="13" t="s">
        <v>3323</v>
      </c>
    </row>
    <row r="1217" spans="1:5" ht="43.2" x14ac:dyDescent="0.3">
      <c r="A1217" s="13" t="s">
        <v>3058</v>
      </c>
      <c r="B1217" t="s">
        <v>3058</v>
      </c>
      <c r="C1217" s="13" t="s">
        <v>3058</v>
      </c>
      <c r="D1217" s="9" t="s">
        <v>536</v>
      </c>
      <c r="E1217" s="13" t="s">
        <v>3323</v>
      </c>
    </row>
    <row r="1218" spans="1:5" ht="43.2" x14ac:dyDescent="0.3">
      <c r="A1218" s="13" t="s">
        <v>1839</v>
      </c>
      <c r="B1218" t="s">
        <v>1839</v>
      </c>
      <c r="C1218" s="13" t="s">
        <v>1839</v>
      </c>
      <c r="D1218" s="9" t="s">
        <v>536</v>
      </c>
      <c r="E1218" s="13" t="s">
        <v>3323</v>
      </c>
    </row>
    <row r="1219" spans="1:5" ht="43.2" x14ac:dyDescent="0.3">
      <c r="A1219" s="13" t="s">
        <v>1838</v>
      </c>
      <c r="B1219" t="s">
        <v>1838</v>
      </c>
      <c r="C1219" s="13" t="s">
        <v>1838</v>
      </c>
      <c r="D1219" s="9" t="s">
        <v>536</v>
      </c>
      <c r="E1219" s="13" t="s">
        <v>3323</v>
      </c>
    </row>
    <row r="1220" spans="1:5" ht="43.2" x14ac:dyDescent="0.3">
      <c r="A1220" s="13" t="s">
        <v>3059</v>
      </c>
      <c r="B1220" t="s">
        <v>3059</v>
      </c>
      <c r="C1220" s="13" t="s">
        <v>3059</v>
      </c>
      <c r="D1220" s="9" t="s">
        <v>536</v>
      </c>
      <c r="E1220" s="13" t="s">
        <v>3323</v>
      </c>
    </row>
    <row r="1221" spans="1:5" ht="43.2" x14ac:dyDescent="0.3">
      <c r="A1221" s="13" t="s">
        <v>2101</v>
      </c>
      <c r="B1221" t="s">
        <v>2101</v>
      </c>
      <c r="C1221" s="13" t="s">
        <v>2101</v>
      </c>
      <c r="D1221" s="9" t="s">
        <v>536</v>
      </c>
      <c r="E1221" s="13" t="s">
        <v>3323</v>
      </c>
    </row>
    <row r="1222" spans="1:5" ht="43.2" x14ac:dyDescent="0.3">
      <c r="A1222" s="13" t="s">
        <v>3060</v>
      </c>
      <c r="B1222" t="s">
        <v>3060</v>
      </c>
      <c r="C1222" s="13" t="s">
        <v>3060</v>
      </c>
      <c r="D1222" s="9" t="s">
        <v>536</v>
      </c>
      <c r="E1222" s="13" t="s">
        <v>3323</v>
      </c>
    </row>
    <row r="1223" spans="1:5" ht="43.2" x14ac:dyDescent="0.3">
      <c r="A1223" s="13" t="s">
        <v>3061</v>
      </c>
      <c r="B1223" t="s">
        <v>3061</v>
      </c>
      <c r="C1223" s="13" t="s">
        <v>3061</v>
      </c>
      <c r="D1223" s="9" t="s">
        <v>536</v>
      </c>
      <c r="E1223" s="13" t="s">
        <v>3323</v>
      </c>
    </row>
    <row r="1224" spans="1:5" ht="43.2" x14ac:dyDescent="0.3">
      <c r="A1224" s="13" t="s">
        <v>3062</v>
      </c>
      <c r="B1224" t="s">
        <v>3062</v>
      </c>
      <c r="C1224" s="13" t="s">
        <v>3062</v>
      </c>
      <c r="D1224" s="9" t="s">
        <v>536</v>
      </c>
      <c r="E1224" s="13" t="s">
        <v>3323</v>
      </c>
    </row>
    <row r="1225" spans="1:5" ht="43.2" x14ac:dyDescent="0.3">
      <c r="A1225" s="13" t="s">
        <v>3063</v>
      </c>
      <c r="B1225" t="s">
        <v>3063</v>
      </c>
      <c r="C1225" s="13" t="s">
        <v>3063</v>
      </c>
      <c r="D1225" s="9" t="s">
        <v>536</v>
      </c>
      <c r="E1225" s="13" t="s">
        <v>3323</v>
      </c>
    </row>
    <row r="1226" spans="1:5" ht="43.2" x14ac:dyDescent="0.3">
      <c r="A1226" s="13" t="s">
        <v>3064</v>
      </c>
      <c r="B1226" t="s">
        <v>3064</v>
      </c>
      <c r="C1226" s="13" t="s">
        <v>3064</v>
      </c>
      <c r="D1226" s="9" t="s">
        <v>536</v>
      </c>
      <c r="E1226" s="13" t="s">
        <v>3323</v>
      </c>
    </row>
    <row r="1227" spans="1:5" ht="43.2" x14ac:dyDescent="0.3">
      <c r="A1227" s="13" t="s">
        <v>3065</v>
      </c>
      <c r="B1227" t="s">
        <v>3065</v>
      </c>
      <c r="C1227" s="13" t="s">
        <v>3065</v>
      </c>
      <c r="D1227" s="9" t="s">
        <v>536</v>
      </c>
      <c r="E1227" s="13" t="s">
        <v>3323</v>
      </c>
    </row>
    <row r="1228" spans="1:5" ht="43.2" x14ac:dyDescent="0.3">
      <c r="A1228" s="13" t="s">
        <v>1837</v>
      </c>
      <c r="B1228" t="s">
        <v>1837</v>
      </c>
      <c r="C1228" s="13" t="s">
        <v>1837</v>
      </c>
      <c r="D1228" s="9" t="s">
        <v>536</v>
      </c>
      <c r="E1228" s="13" t="s">
        <v>3323</v>
      </c>
    </row>
    <row r="1229" spans="1:5" ht="43.2" x14ac:dyDescent="0.3">
      <c r="A1229" s="13" t="s">
        <v>3066</v>
      </c>
      <c r="B1229" t="s">
        <v>3066</v>
      </c>
      <c r="C1229" s="13" t="s">
        <v>3066</v>
      </c>
      <c r="D1229" s="9" t="s">
        <v>536</v>
      </c>
      <c r="E1229" s="13" t="s">
        <v>3323</v>
      </c>
    </row>
    <row r="1230" spans="1:5" ht="43.2" x14ac:dyDescent="0.3">
      <c r="A1230" s="13" t="s">
        <v>3067</v>
      </c>
      <c r="B1230" t="s">
        <v>3067</v>
      </c>
      <c r="C1230" s="13" t="s">
        <v>3067</v>
      </c>
      <c r="D1230" s="9" t="s">
        <v>536</v>
      </c>
      <c r="E1230" s="13" t="s">
        <v>3323</v>
      </c>
    </row>
    <row r="1231" spans="1:5" ht="43.2" x14ac:dyDescent="0.3">
      <c r="A1231" s="13" t="s">
        <v>3068</v>
      </c>
      <c r="B1231" t="s">
        <v>3068</v>
      </c>
      <c r="C1231" s="13" t="s">
        <v>3068</v>
      </c>
      <c r="D1231" s="9" t="s">
        <v>536</v>
      </c>
      <c r="E1231" s="13" t="s">
        <v>3323</v>
      </c>
    </row>
    <row r="1232" spans="1:5" ht="43.2" x14ac:dyDescent="0.3">
      <c r="A1232" s="13" t="s">
        <v>3069</v>
      </c>
      <c r="B1232" t="s">
        <v>3069</v>
      </c>
      <c r="C1232" s="13" t="s">
        <v>3069</v>
      </c>
      <c r="D1232" s="9" t="s">
        <v>536</v>
      </c>
      <c r="E1232" s="13" t="s">
        <v>3323</v>
      </c>
    </row>
    <row r="1233" spans="1:5" ht="43.2" x14ac:dyDescent="0.3">
      <c r="A1233" s="13" t="s">
        <v>3070</v>
      </c>
      <c r="B1233" t="s">
        <v>3070</v>
      </c>
      <c r="C1233" s="13" t="s">
        <v>3070</v>
      </c>
      <c r="D1233" s="9" t="s">
        <v>536</v>
      </c>
      <c r="E1233" s="13" t="s">
        <v>3323</v>
      </c>
    </row>
    <row r="1234" spans="1:5" ht="43.2" x14ac:dyDescent="0.3">
      <c r="A1234" s="13" t="s">
        <v>1836</v>
      </c>
      <c r="B1234" t="s">
        <v>1836</v>
      </c>
      <c r="C1234" s="13" t="s">
        <v>1836</v>
      </c>
      <c r="D1234" s="9" t="s">
        <v>536</v>
      </c>
      <c r="E1234" s="13" t="s">
        <v>3323</v>
      </c>
    </row>
    <row r="1235" spans="1:5" ht="43.2" x14ac:dyDescent="0.3">
      <c r="A1235" s="13" t="s">
        <v>1835</v>
      </c>
      <c r="B1235" t="s">
        <v>1835</v>
      </c>
      <c r="C1235" s="13" t="s">
        <v>1835</v>
      </c>
      <c r="D1235" s="9" t="s">
        <v>536</v>
      </c>
      <c r="E1235" s="13" t="s">
        <v>3323</v>
      </c>
    </row>
    <row r="1236" spans="1:5" ht="43.2" x14ac:dyDescent="0.3">
      <c r="A1236" s="13" t="s">
        <v>1834</v>
      </c>
      <c r="B1236" t="s">
        <v>1834</v>
      </c>
      <c r="C1236" s="13" t="s">
        <v>1834</v>
      </c>
      <c r="D1236" s="9" t="s">
        <v>536</v>
      </c>
      <c r="E1236" s="13" t="s">
        <v>3323</v>
      </c>
    </row>
    <row r="1237" spans="1:5" ht="43.2" x14ac:dyDescent="0.3">
      <c r="A1237" s="13" t="s">
        <v>3071</v>
      </c>
      <c r="B1237" t="s">
        <v>3071</v>
      </c>
      <c r="C1237" s="13" t="s">
        <v>3071</v>
      </c>
      <c r="D1237" s="9" t="s">
        <v>536</v>
      </c>
      <c r="E1237" s="13" t="s">
        <v>3323</v>
      </c>
    </row>
    <row r="1238" spans="1:5" ht="43.2" x14ac:dyDescent="0.3">
      <c r="A1238" s="13" t="s">
        <v>3072</v>
      </c>
      <c r="B1238" t="s">
        <v>3072</v>
      </c>
      <c r="C1238" s="13" t="s">
        <v>3072</v>
      </c>
      <c r="D1238" s="9" t="s">
        <v>536</v>
      </c>
      <c r="E1238" s="13" t="s">
        <v>3323</v>
      </c>
    </row>
    <row r="1239" spans="1:5" ht="43.2" x14ac:dyDescent="0.3">
      <c r="A1239" s="13" t="s">
        <v>3073</v>
      </c>
      <c r="B1239" t="s">
        <v>3073</v>
      </c>
      <c r="C1239" s="13" t="s">
        <v>3073</v>
      </c>
      <c r="D1239" s="9" t="s">
        <v>536</v>
      </c>
      <c r="E1239" s="13" t="s">
        <v>3323</v>
      </c>
    </row>
    <row r="1240" spans="1:5" ht="43.2" x14ac:dyDescent="0.3">
      <c r="A1240" s="13" t="s">
        <v>1833</v>
      </c>
      <c r="B1240" t="s">
        <v>1833</v>
      </c>
      <c r="C1240" s="13" t="s">
        <v>1833</v>
      </c>
      <c r="D1240" s="9" t="s">
        <v>536</v>
      </c>
      <c r="E1240" s="13" t="s">
        <v>3323</v>
      </c>
    </row>
    <row r="1241" spans="1:5" ht="43.2" x14ac:dyDescent="0.3">
      <c r="A1241" s="13" t="s">
        <v>1832</v>
      </c>
      <c r="B1241" t="s">
        <v>1832</v>
      </c>
      <c r="C1241" s="13" t="s">
        <v>1832</v>
      </c>
      <c r="D1241" s="9" t="s">
        <v>536</v>
      </c>
      <c r="E1241" s="13" t="s">
        <v>3323</v>
      </c>
    </row>
    <row r="1242" spans="1:5" ht="43.2" x14ac:dyDescent="0.3">
      <c r="A1242" s="13" t="s">
        <v>3074</v>
      </c>
      <c r="B1242" t="s">
        <v>3074</v>
      </c>
      <c r="C1242" s="13" t="s">
        <v>3074</v>
      </c>
      <c r="D1242" s="9" t="s">
        <v>536</v>
      </c>
      <c r="E1242" s="13" t="s">
        <v>3323</v>
      </c>
    </row>
    <row r="1243" spans="1:5" ht="43.2" x14ac:dyDescent="0.3">
      <c r="A1243" s="13" t="s">
        <v>1831</v>
      </c>
      <c r="B1243" t="s">
        <v>1831</v>
      </c>
      <c r="C1243" s="13" t="s">
        <v>1831</v>
      </c>
      <c r="D1243" s="9" t="s">
        <v>536</v>
      </c>
      <c r="E1243" s="13" t="s">
        <v>3323</v>
      </c>
    </row>
    <row r="1244" spans="1:5" ht="43.2" x14ac:dyDescent="0.3">
      <c r="A1244" s="13" t="s">
        <v>3075</v>
      </c>
      <c r="B1244" t="s">
        <v>3075</v>
      </c>
      <c r="C1244" s="13" t="s">
        <v>3075</v>
      </c>
      <c r="D1244" s="9" t="s">
        <v>536</v>
      </c>
      <c r="E1244" s="13" t="s">
        <v>3323</v>
      </c>
    </row>
    <row r="1245" spans="1:5" ht="43.2" x14ac:dyDescent="0.3">
      <c r="A1245" s="13" t="s">
        <v>3076</v>
      </c>
      <c r="B1245" t="s">
        <v>3076</v>
      </c>
      <c r="C1245" s="13" t="s">
        <v>3076</v>
      </c>
      <c r="D1245" s="9" t="s">
        <v>536</v>
      </c>
      <c r="E1245" s="13" t="s">
        <v>3323</v>
      </c>
    </row>
    <row r="1246" spans="1:5" ht="43.2" x14ac:dyDescent="0.3">
      <c r="A1246" s="13" t="s">
        <v>2099</v>
      </c>
      <c r="B1246" t="s">
        <v>2099</v>
      </c>
      <c r="C1246" s="13" t="s">
        <v>2099</v>
      </c>
      <c r="D1246" s="9" t="s">
        <v>536</v>
      </c>
      <c r="E1246" s="13" t="s">
        <v>3323</v>
      </c>
    </row>
    <row r="1247" spans="1:5" ht="43.2" x14ac:dyDescent="0.3">
      <c r="A1247" s="13" t="s">
        <v>1830</v>
      </c>
      <c r="B1247" t="s">
        <v>1830</v>
      </c>
      <c r="C1247" s="13" t="s">
        <v>1830</v>
      </c>
      <c r="D1247" s="9" t="s">
        <v>536</v>
      </c>
      <c r="E1247" s="13" t="s">
        <v>3323</v>
      </c>
    </row>
    <row r="1248" spans="1:5" ht="43.2" x14ac:dyDescent="0.3">
      <c r="A1248" s="13" t="s">
        <v>3077</v>
      </c>
      <c r="B1248" t="s">
        <v>3077</v>
      </c>
      <c r="C1248" s="13" t="s">
        <v>3077</v>
      </c>
      <c r="D1248" s="9" t="s">
        <v>536</v>
      </c>
      <c r="E1248" s="13" t="s">
        <v>3323</v>
      </c>
    </row>
    <row r="1249" spans="1:5" ht="43.2" x14ac:dyDescent="0.3">
      <c r="A1249" s="13" t="s">
        <v>1829</v>
      </c>
      <c r="B1249" t="s">
        <v>1829</v>
      </c>
      <c r="C1249" s="13" t="s">
        <v>1829</v>
      </c>
      <c r="D1249" s="9" t="s">
        <v>536</v>
      </c>
      <c r="E1249" s="13" t="s">
        <v>3323</v>
      </c>
    </row>
    <row r="1250" spans="1:5" ht="43.2" x14ac:dyDescent="0.3">
      <c r="A1250" s="13" t="s">
        <v>3078</v>
      </c>
      <c r="B1250" t="s">
        <v>3078</v>
      </c>
      <c r="C1250" s="13" t="s">
        <v>3078</v>
      </c>
      <c r="D1250" s="9" t="s">
        <v>536</v>
      </c>
      <c r="E1250" s="13" t="s">
        <v>3323</v>
      </c>
    </row>
    <row r="1251" spans="1:5" ht="43.2" x14ac:dyDescent="0.3">
      <c r="A1251" s="13" t="s">
        <v>3079</v>
      </c>
      <c r="B1251" t="s">
        <v>3079</v>
      </c>
      <c r="C1251" s="13" t="s">
        <v>3079</v>
      </c>
      <c r="D1251" s="9" t="s">
        <v>536</v>
      </c>
      <c r="E1251" s="13" t="s">
        <v>3323</v>
      </c>
    </row>
    <row r="1252" spans="1:5" ht="43.2" x14ac:dyDescent="0.3">
      <c r="A1252" s="13" t="s">
        <v>3080</v>
      </c>
      <c r="B1252" t="s">
        <v>3080</v>
      </c>
      <c r="C1252" s="13" t="s">
        <v>3080</v>
      </c>
      <c r="D1252" s="9" t="s">
        <v>536</v>
      </c>
      <c r="E1252" s="13" t="s">
        <v>3323</v>
      </c>
    </row>
    <row r="1253" spans="1:5" ht="43.2" x14ac:dyDescent="0.3">
      <c r="A1253" s="13" t="s">
        <v>1828</v>
      </c>
      <c r="B1253" t="s">
        <v>1828</v>
      </c>
      <c r="C1253" s="13" t="s">
        <v>1828</v>
      </c>
      <c r="D1253" s="9" t="s">
        <v>536</v>
      </c>
      <c r="E1253" s="13" t="s">
        <v>3323</v>
      </c>
    </row>
    <row r="1254" spans="1:5" ht="43.2" x14ac:dyDescent="0.3">
      <c r="A1254" s="13" t="s">
        <v>1827</v>
      </c>
      <c r="B1254" t="s">
        <v>1827</v>
      </c>
      <c r="C1254" s="13" t="s">
        <v>1827</v>
      </c>
      <c r="D1254" s="9" t="s">
        <v>536</v>
      </c>
      <c r="E1254" s="13" t="s">
        <v>3323</v>
      </c>
    </row>
    <row r="1255" spans="1:5" ht="43.2" x14ac:dyDescent="0.3">
      <c r="A1255" s="13" t="s">
        <v>3081</v>
      </c>
      <c r="B1255" t="s">
        <v>3081</v>
      </c>
      <c r="C1255" s="13" t="s">
        <v>3081</v>
      </c>
      <c r="D1255" s="9" t="s">
        <v>536</v>
      </c>
      <c r="E1255" s="13" t="s">
        <v>3323</v>
      </c>
    </row>
    <row r="1256" spans="1:5" ht="43.2" x14ac:dyDescent="0.3">
      <c r="A1256" s="13" t="s">
        <v>1826</v>
      </c>
      <c r="B1256" t="s">
        <v>1826</v>
      </c>
      <c r="C1256" s="13" t="s">
        <v>1826</v>
      </c>
      <c r="D1256" s="9" t="s">
        <v>536</v>
      </c>
      <c r="E1256" s="13" t="s">
        <v>3323</v>
      </c>
    </row>
    <row r="1257" spans="1:5" ht="43.2" x14ac:dyDescent="0.3">
      <c r="A1257" s="13" t="s">
        <v>1825</v>
      </c>
      <c r="B1257" t="s">
        <v>1825</v>
      </c>
      <c r="C1257" s="13" t="s">
        <v>1825</v>
      </c>
      <c r="D1257" s="9" t="s">
        <v>536</v>
      </c>
      <c r="E1257" s="13" t="s">
        <v>3323</v>
      </c>
    </row>
    <row r="1258" spans="1:5" ht="43.2" x14ac:dyDescent="0.3">
      <c r="A1258" s="13" t="s">
        <v>3082</v>
      </c>
      <c r="B1258" t="s">
        <v>3082</v>
      </c>
      <c r="C1258" s="13" t="s">
        <v>3082</v>
      </c>
      <c r="D1258" s="9" t="s">
        <v>536</v>
      </c>
      <c r="E1258" s="13" t="s">
        <v>3323</v>
      </c>
    </row>
    <row r="1259" spans="1:5" ht="43.2" x14ac:dyDescent="0.3">
      <c r="A1259" s="13" t="s">
        <v>3083</v>
      </c>
      <c r="B1259" t="s">
        <v>3083</v>
      </c>
      <c r="C1259" s="13" t="s">
        <v>3083</v>
      </c>
      <c r="D1259" s="9" t="s">
        <v>536</v>
      </c>
      <c r="E1259" s="13" t="s">
        <v>3323</v>
      </c>
    </row>
    <row r="1260" spans="1:5" ht="43.2" x14ac:dyDescent="0.3">
      <c r="A1260" s="13" t="s">
        <v>1824</v>
      </c>
      <c r="B1260" t="s">
        <v>1824</v>
      </c>
      <c r="C1260" s="13" t="s">
        <v>1824</v>
      </c>
      <c r="D1260" s="9" t="s">
        <v>536</v>
      </c>
      <c r="E1260" s="13" t="s">
        <v>3323</v>
      </c>
    </row>
    <row r="1261" spans="1:5" ht="43.2" x14ac:dyDescent="0.3">
      <c r="A1261" s="13" t="s">
        <v>3084</v>
      </c>
      <c r="B1261" t="s">
        <v>3084</v>
      </c>
      <c r="C1261" s="13" t="s">
        <v>3084</v>
      </c>
      <c r="D1261" s="9" t="s">
        <v>536</v>
      </c>
      <c r="E1261" s="13" t="s">
        <v>3323</v>
      </c>
    </row>
    <row r="1262" spans="1:5" ht="43.2" x14ac:dyDescent="0.3">
      <c r="A1262" s="13" t="s">
        <v>1823</v>
      </c>
      <c r="B1262" t="s">
        <v>1823</v>
      </c>
      <c r="C1262" s="13" t="s">
        <v>1823</v>
      </c>
      <c r="D1262" s="9" t="s">
        <v>536</v>
      </c>
      <c r="E1262" s="13" t="s">
        <v>3323</v>
      </c>
    </row>
    <row r="1263" spans="1:5" ht="43.2" x14ac:dyDescent="0.3">
      <c r="A1263" s="13" t="s">
        <v>1822</v>
      </c>
      <c r="B1263" t="s">
        <v>1822</v>
      </c>
      <c r="C1263" s="13" t="s">
        <v>1822</v>
      </c>
      <c r="D1263" s="9" t="s">
        <v>536</v>
      </c>
      <c r="E1263" s="13" t="s">
        <v>3323</v>
      </c>
    </row>
    <row r="1264" spans="1:5" ht="43.2" x14ac:dyDescent="0.3">
      <c r="A1264" s="13" t="s">
        <v>1821</v>
      </c>
      <c r="B1264" t="s">
        <v>1821</v>
      </c>
      <c r="C1264" s="13" t="s">
        <v>1821</v>
      </c>
      <c r="D1264" s="9" t="s">
        <v>536</v>
      </c>
      <c r="E1264" s="13" t="s">
        <v>3323</v>
      </c>
    </row>
    <row r="1265" spans="1:5" ht="43.2" x14ac:dyDescent="0.3">
      <c r="A1265" s="13" t="s">
        <v>3085</v>
      </c>
      <c r="B1265" t="s">
        <v>3085</v>
      </c>
      <c r="C1265" s="13" t="s">
        <v>3085</v>
      </c>
      <c r="D1265" s="9" t="s">
        <v>536</v>
      </c>
      <c r="E1265" s="13" t="s">
        <v>3323</v>
      </c>
    </row>
    <row r="1266" spans="1:5" ht="43.2" x14ac:dyDescent="0.3">
      <c r="A1266" s="13" t="s">
        <v>3086</v>
      </c>
      <c r="B1266" t="s">
        <v>3086</v>
      </c>
      <c r="C1266" s="13" t="s">
        <v>3086</v>
      </c>
      <c r="D1266" s="9" t="s">
        <v>536</v>
      </c>
      <c r="E1266" s="13" t="s">
        <v>3323</v>
      </c>
    </row>
    <row r="1267" spans="1:5" ht="43.2" x14ac:dyDescent="0.3">
      <c r="A1267" s="13" t="s">
        <v>1820</v>
      </c>
      <c r="B1267" t="s">
        <v>1820</v>
      </c>
      <c r="C1267" s="13" t="s">
        <v>1820</v>
      </c>
      <c r="D1267" s="9" t="s">
        <v>536</v>
      </c>
      <c r="E1267" s="13" t="s">
        <v>3323</v>
      </c>
    </row>
    <row r="1268" spans="1:5" ht="43.2" x14ac:dyDescent="0.3">
      <c r="A1268" s="13" t="s">
        <v>3087</v>
      </c>
      <c r="B1268" t="s">
        <v>3087</v>
      </c>
      <c r="C1268" s="13" t="s">
        <v>3087</v>
      </c>
      <c r="D1268" s="9" t="s">
        <v>536</v>
      </c>
      <c r="E1268" s="13" t="s">
        <v>3323</v>
      </c>
    </row>
    <row r="1269" spans="1:5" ht="43.2" x14ac:dyDescent="0.3">
      <c r="A1269" s="13" t="s">
        <v>1819</v>
      </c>
      <c r="B1269" t="s">
        <v>1819</v>
      </c>
      <c r="C1269" s="13" t="s">
        <v>1819</v>
      </c>
      <c r="D1269" s="9" t="s">
        <v>536</v>
      </c>
      <c r="E1269" s="13" t="s">
        <v>3323</v>
      </c>
    </row>
    <row r="1270" spans="1:5" ht="43.2" x14ac:dyDescent="0.3">
      <c r="A1270" s="13" t="s">
        <v>3088</v>
      </c>
      <c r="B1270" t="s">
        <v>3088</v>
      </c>
      <c r="C1270" s="13" t="s">
        <v>3088</v>
      </c>
      <c r="D1270" s="9" t="s">
        <v>536</v>
      </c>
      <c r="E1270" s="13" t="s">
        <v>3323</v>
      </c>
    </row>
    <row r="1271" spans="1:5" ht="43.2" x14ac:dyDescent="0.3">
      <c r="A1271" s="13" t="s">
        <v>3089</v>
      </c>
      <c r="B1271" t="s">
        <v>3089</v>
      </c>
      <c r="C1271" s="13" t="s">
        <v>3089</v>
      </c>
      <c r="D1271" s="9" t="s">
        <v>536</v>
      </c>
      <c r="E1271" s="13" t="s">
        <v>3323</v>
      </c>
    </row>
    <row r="1272" spans="1:5" ht="43.2" x14ac:dyDescent="0.3">
      <c r="A1272" s="13" t="s">
        <v>3090</v>
      </c>
      <c r="B1272" t="s">
        <v>3090</v>
      </c>
      <c r="C1272" s="13" t="s">
        <v>3090</v>
      </c>
      <c r="D1272" s="9" t="s">
        <v>536</v>
      </c>
      <c r="E1272" s="13" t="s">
        <v>3323</v>
      </c>
    </row>
    <row r="1273" spans="1:5" ht="43.2" x14ac:dyDescent="0.3">
      <c r="A1273" s="13" t="s">
        <v>3091</v>
      </c>
      <c r="B1273" t="s">
        <v>3091</v>
      </c>
      <c r="C1273" s="13" t="s">
        <v>3091</v>
      </c>
      <c r="D1273" s="9" t="s">
        <v>536</v>
      </c>
      <c r="E1273" s="13" t="s">
        <v>3323</v>
      </c>
    </row>
    <row r="1274" spans="1:5" ht="43.2" x14ac:dyDescent="0.3">
      <c r="A1274" s="13" t="s">
        <v>1818</v>
      </c>
      <c r="B1274" t="s">
        <v>1818</v>
      </c>
      <c r="C1274" s="13" t="s">
        <v>1818</v>
      </c>
      <c r="D1274" s="9" t="s">
        <v>536</v>
      </c>
      <c r="E1274" s="13" t="s">
        <v>3323</v>
      </c>
    </row>
    <row r="1275" spans="1:5" ht="43.2" x14ac:dyDescent="0.3">
      <c r="A1275" s="13" t="s">
        <v>1817</v>
      </c>
      <c r="B1275" t="s">
        <v>1817</v>
      </c>
      <c r="C1275" s="13" t="s">
        <v>1817</v>
      </c>
      <c r="D1275" s="9" t="s">
        <v>536</v>
      </c>
      <c r="E1275" s="13" t="s">
        <v>3323</v>
      </c>
    </row>
    <row r="1276" spans="1:5" ht="43.2" x14ac:dyDescent="0.3">
      <c r="A1276" s="13" t="s">
        <v>1816</v>
      </c>
      <c r="B1276" t="s">
        <v>1816</v>
      </c>
      <c r="C1276" s="13" t="s">
        <v>1816</v>
      </c>
      <c r="D1276" s="9" t="s">
        <v>536</v>
      </c>
      <c r="E1276" s="13" t="s">
        <v>3323</v>
      </c>
    </row>
    <row r="1277" spans="1:5" ht="43.2" x14ac:dyDescent="0.3">
      <c r="A1277" s="13" t="s">
        <v>1815</v>
      </c>
      <c r="B1277" t="s">
        <v>1815</v>
      </c>
      <c r="C1277" s="13" t="s">
        <v>1815</v>
      </c>
      <c r="D1277" s="9" t="s">
        <v>536</v>
      </c>
      <c r="E1277" s="13" t="s">
        <v>3323</v>
      </c>
    </row>
    <row r="1278" spans="1:5" ht="43.2" x14ac:dyDescent="0.3">
      <c r="A1278" s="13" t="s">
        <v>1814</v>
      </c>
      <c r="B1278" t="s">
        <v>1814</v>
      </c>
      <c r="C1278" s="13" t="s">
        <v>1814</v>
      </c>
      <c r="D1278" s="9" t="s">
        <v>536</v>
      </c>
      <c r="E1278" s="13" t="s">
        <v>3323</v>
      </c>
    </row>
    <row r="1279" spans="1:5" ht="43.2" x14ac:dyDescent="0.3">
      <c r="A1279" s="13" t="s">
        <v>3092</v>
      </c>
      <c r="B1279" t="s">
        <v>3092</v>
      </c>
      <c r="C1279" s="13" t="s">
        <v>3092</v>
      </c>
      <c r="D1279" s="9" t="s">
        <v>536</v>
      </c>
      <c r="E1279" s="13" t="s">
        <v>3323</v>
      </c>
    </row>
    <row r="1280" spans="1:5" ht="43.2" x14ac:dyDescent="0.3">
      <c r="A1280" s="13" t="s">
        <v>3093</v>
      </c>
      <c r="B1280" t="s">
        <v>3093</v>
      </c>
      <c r="C1280" s="13" t="s">
        <v>3093</v>
      </c>
      <c r="D1280" s="9" t="s">
        <v>536</v>
      </c>
      <c r="E1280" s="13" t="s">
        <v>3323</v>
      </c>
    </row>
    <row r="1281" spans="1:5" ht="43.2" x14ac:dyDescent="0.3">
      <c r="A1281" s="13" t="s">
        <v>1813</v>
      </c>
      <c r="B1281" t="s">
        <v>1813</v>
      </c>
      <c r="C1281" s="13" t="s">
        <v>1813</v>
      </c>
      <c r="D1281" s="9" t="s">
        <v>536</v>
      </c>
      <c r="E1281" s="13" t="s">
        <v>3323</v>
      </c>
    </row>
    <row r="1282" spans="1:5" ht="43.2" x14ac:dyDescent="0.3">
      <c r="A1282" s="13" t="s">
        <v>1812</v>
      </c>
      <c r="B1282" t="s">
        <v>1812</v>
      </c>
      <c r="C1282" s="13" t="s">
        <v>1812</v>
      </c>
      <c r="D1282" s="9" t="s">
        <v>536</v>
      </c>
      <c r="E1282" s="13" t="s">
        <v>3323</v>
      </c>
    </row>
    <row r="1283" spans="1:5" ht="43.2" x14ac:dyDescent="0.3">
      <c r="A1283" s="13" t="s">
        <v>1811</v>
      </c>
      <c r="B1283" t="s">
        <v>1811</v>
      </c>
      <c r="C1283" s="13" t="s">
        <v>1811</v>
      </c>
      <c r="D1283" s="9" t="s">
        <v>536</v>
      </c>
      <c r="E1283" s="13" t="s">
        <v>3323</v>
      </c>
    </row>
    <row r="1284" spans="1:5" ht="43.2" x14ac:dyDescent="0.3">
      <c r="A1284" s="13" t="s">
        <v>1810</v>
      </c>
      <c r="B1284" t="s">
        <v>1810</v>
      </c>
      <c r="C1284" s="13" t="s">
        <v>1810</v>
      </c>
      <c r="D1284" s="9" t="s">
        <v>536</v>
      </c>
      <c r="E1284" s="13" t="s">
        <v>3323</v>
      </c>
    </row>
    <row r="1285" spans="1:5" ht="43.2" x14ac:dyDescent="0.3">
      <c r="A1285" s="13" t="s">
        <v>1809</v>
      </c>
      <c r="B1285" t="s">
        <v>1809</v>
      </c>
      <c r="C1285" s="13" t="s">
        <v>1809</v>
      </c>
      <c r="D1285" s="9" t="s">
        <v>536</v>
      </c>
      <c r="E1285" s="13" t="s">
        <v>3323</v>
      </c>
    </row>
    <row r="1286" spans="1:5" ht="43.2" x14ac:dyDescent="0.3">
      <c r="A1286" s="13" t="s">
        <v>3094</v>
      </c>
      <c r="B1286" t="s">
        <v>3094</v>
      </c>
      <c r="C1286" s="13" t="s">
        <v>3094</v>
      </c>
      <c r="D1286" s="9" t="s">
        <v>536</v>
      </c>
      <c r="E1286" s="13" t="s">
        <v>3323</v>
      </c>
    </row>
    <row r="1287" spans="1:5" ht="43.2" x14ac:dyDescent="0.3">
      <c r="A1287" s="13" t="s">
        <v>3095</v>
      </c>
      <c r="B1287" t="s">
        <v>3095</v>
      </c>
      <c r="C1287" s="13" t="s">
        <v>3095</v>
      </c>
      <c r="D1287" s="9" t="s">
        <v>536</v>
      </c>
      <c r="E1287" s="13" t="s">
        <v>3323</v>
      </c>
    </row>
    <row r="1288" spans="1:5" ht="43.2" x14ac:dyDescent="0.3">
      <c r="A1288" s="13" t="s">
        <v>1808</v>
      </c>
      <c r="B1288" t="s">
        <v>1808</v>
      </c>
      <c r="C1288" s="13" t="s">
        <v>1808</v>
      </c>
      <c r="D1288" s="9" t="s">
        <v>536</v>
      </c>
      <c r="E1288" s="13" t="s">
        <v>3323</v>
      </c>
    </row>
    <row r="1289" spans="1:5" ht="43.2" x14ac:dyDescent="0.3">
      <c r="A1289" s="13" t="s">
        <v>1807</v>
      </c>
      <c r="B1289" t="s">
        <v>1807</v>
      </c>
      <c r="C1289" s="13" t="s">
        <v>1807</v>
      </c>
      <c r="D1289" s="9" t="s">
        <v>536</v>
      </c>
      <c r="E1289" s="13" t="s">
        <v>3323</v>
      </c>
    </row>
    <row r="1290" spans="1:5" ht="43.2" x14ac:dyDescent="0.3">
      <c r="A1290" s="13" t="s">
        <v>1806</v>
      </c>
      <c r="B1290" t="s">
        <v>1806</v>
      </c>
      <c r="C1290" s="13" t="s">
        <v>1806</v>
      </c>
      <c r="D1290" s="9" t="s">
        <v>536</v>
      </c>
      <c r="E1290" s="13" t="s">
        <v>3323</v>
      </c>
    </row>
    <row r="1291" spans="1:5" ht="43.2" x14ac:dyDescent="0.3">
      <c r="A1291" s="13" t="s">
        <v>1805</v>
      </c>
      <c r="B1291" t="s">
        <v>1805</v>
      </c>
      <c r="C1291" s="13" t="s">
        <v>1805</v>
      </c>
      <c r="D1291" s="9" t="s">
        <v>536</v>
      </c>
      <c r="E1291" s="13" t="s">
        <v>3323</v>
      </c>
    </row>
    <row r="1292" spans="1:5" ht="43.2" x14ac:dyDescent="0.3">
      <c r="A1292" s="13" t="s">
        <v>1804</v>
      </c>
      <c r="B1292" t="s">
        <v>1804</v>
      </c>
      <c r="C1292" s="13" t="s">
        <v>1804</v>
      </c>
      <c r="D1292" s="9" t="s">
        <v>536</v>
      </c>
      <c r="E1292" s="13" t="s">
        <v>3323</v>
      </c>
    </row>
    <row r="1293" spans="1:5" ht="43.2" x14ac:dyDescent="0.3">
      <c r="A1293" s="13" t="s">
        <v>3096</v>
      </c>
      <c r="B1293" t="s">
        <v>3096</v>
      </c>
      <c r="C1293" s="13" t="s">
        <v>3096</v>
      </c>
      <c r="D1293" s="9" t="s">
        <v>536</v>
      </c>
      <c r="E1293" s="13" t="s">
        <v>3323</v>
      </c>
    </row>
    <row r="1294" spans="1:5" ht="43.2" x14ac:dyDescent="0.3">
      <c r="A1294" s="13" t="s">
        <v>3097</v>
      </c>
      <c r="B1294" t="s">
        <v>3097</v>
      </c>
      <c r="C1294" s="13" t="s">
        <v>3097</v>
      </c>
      <c r="D1294" s="9" t="s">
        <v>536</v>
      </c>
      <c r="E1294" s="13" t="s">
        <v>3323</v>
      </c>
    </row>
    <row r="1295" spans="1:5" ht="43.2" x14ac:dyDescent="0.3">
      <c r="A1295" s="13" t="s">
        <v>1803</v>
      </c>
      <c r="B1295" t="s">
        <v>1803</v>
      </c>
      <c r="C1295" s="13" t="s">
        <v>1803</v>
      </c>
      <c r="D1295" s="9" t="s">
        <v>536</v>
      </c>
      <c r="E1295" s="13" t="s">
        <v>3323</v>
      </c>
    </row>
    <row r="1296" spans="1:5" ht="43.2" x14ac:dyDescent="0.3">
      <c r="A1296" s="13" t="s">
        <v>3098</v>
      </c>
      <c r="B1296" t="s">
        <v>3098</v>
      </c>
      <c r="C1296" s="13" t="s">
        <v>3098</v>
      </c>
      <c r="D1296" s="9" t="s">
        <v>536</v>
      </c>
      <c r="E1296" s="13" t="s">
        <v>3323</v>
      </c>
    </row>
    <row r="1297" spans="1:5" ht="43.2" x14ac:dyDescent="0.3">
      <c r="A1297" s="13" t="s">
        <v>3099</v>
      </c>
      <c r="B1297" t="s">
        <v>3099</v>
      </c>
      <c r="C1297" s="13" t="s">
        <v>3099</v>
      </c>
      <c r="D1297" s="9" t="s">
        <v>536</v>
      </c>
      <c r="E1297" s="13" t="s">
        <v>3323</v>
      </c>
    </row>
    <row r="1298" spans="1:5" ht="43.2" x14ac:dyDescent="0.3">
      <c r="A1298" s="13" t="s">
        <v>1802</v>
      </c>
      <c r="B1298" t="s">
        <v>1802</v>
      </c>
      <c r="C1298" s="13" t="s">
        <v>1802</v>
      </c>
      <c r="D1298" s="9" t="s">
        <v>536</v>
      </c>
      <c r="E1298" s="13" t="s">
        <v>3323</v>
      </c>
    </row>
    <row r="1299" spans="1:5" ht="43.2" x14ac:dyDescent="0.3">
      <c r="A1299" s="13" t="s">
        <v>1801</v>
      </c>
      <c r="B1299" t="s">
        <v>1801</v>
      </c>
      <c r="C1299" s="13" t="s">
        <v>1801</v>
      </c>
      <c r="D1299" s="9" t="s">
        <v>536</v>
      </c>
      <c r="E1299" s="13" t="s">
        <v>3323</v>
      </c>
    </row>
    <row r="1300" spans="1:5" ht="43.2" x14ac:dyDescent="0.3">
      <c r="A1300" s="13" t="s">
        <v>3100</v>
      </c>
      <c r="B1300" t="s">
        <v>3100</v>
      </c>
      <c r="C1300" s="13" t="s">
        <v>3100</v>
      </c>
      <c r="D1300" s="9" t="s">
        <v>536</v>
      </c>
      <c r="E1300" s="13" t="s">
        <v>3323</v>
      </c>
    </row>
    <row r="1301" spans="1:5" ht="43.2" x14ac:dyDescent="0.3">
      <c r="A1301" s="13" t="s">
        <v>3101</v>
      </c>
      <c r="B1301" t="s">
        <v>3101</v>
      </c>
      <c r="C1301" s="13" t="s">
        <v>3101</v>
      </c>
      <c r="D1301" s="9" t="s">
        <v>536</v>
      </c>
      <c r="E1301" s="13" t="s">
        <v>3323</v>
      </c>
    </row>
    <row r="1302" spans="1:5" ht="43.2" x14ac:dyDescent="0.3">
      <c r="A1302" s="13" t="s">
        <v>1800</v>
      </c>
      <c r="B1302" t="s">
        <v>1800</v>
      </c>
      <c r="C1302" s="13" t="s">
        <v>1800</v>
      </c>
      <c r="D1302" s="9" t="s">
        <v>536</v>
      </c>
      <c r="E1302" s="13" t="s">
        <v>3323</v>
      </c>
    </row>
    <row r="1303" spans="1:5" ht="43.2" x14ac:dyDescent="0.3">
      <c r="A1303" s="13" t="s">
        <v>1799</v>
      </c>
      <c r="B1303" t="s">
        <v>1799</v>
      </c>
      <c r="C1303" s="13" t="s">
        <v>1799</v>
      </c>
      <c r="D1303" s="9" t="s">
        <v>536</v>
      </c>
      <c r="E1303" s="13" t="s">
        <v>3323</v>
      </c>
    </row>
    <row r="1304" spans="1:5" ht="43.2" x14ac:dyDescent="0.3">
      <c r="A1304" s="13" t="s">
        <v>3102</v>
      </c>
      <c r="B1304" t="s">
        <v>3102</v>
      </c>
      <c r="C1304" s="13" t="s">
        <v>3102</v>
      </c>
      <c r="D1304" s="9" t="s">
        <v>536</v>
      </c>
      <c r="E1304" s="13" t="s">
        <v>3323</v>
      </c>
    </row>
    <row r="1305" spans="1:5" ht="43.2" x14ac:dyDescent="0.3">
      <c r="A1305" s="13" t="s">
        <v>1798</v>
      </c>
      <c r="B1305" t="s">
        <v>1798</v>
      </c>
      <c r="C1305" s="13" t="s">
        <v>1798</v>
      </c>
      <c r="D1305" s="9" t="s">
        <v>536</v>
      </c>
      <c r="E1305" s="13" t="s">
        <v>3323</v>
      </c>
    </row>
    <row r="1306" spans="1:5" ht="43.2" x14ac:dyDescent="0.3">
      <c r="A1306" s="13" t="s">
        <v>1797</v>
      </c>
      <c r="B1306" t="s">
        <v>1797</v>
      </c>
      <c r="C1306" s="13" t="s">
        <v>1797</v>
      </c>
      <c r="D1306" s="9" t="s">
        <v>536</v>
      </c>
      <c r="E1306" s="13" t="s">
        <v>3323</v>
      </c>
    </row>
    <row r="1307" spans="1:5" ht="43.2" x14ac:dyDescent="0.3">
      <c r="A1307" s="13" t="s">
        <v>3103</v>
      </c>
      <c r="B1307" t="s">
        <v>3103</v>
      </c>
      <c r="C1307" s="13" t="s">
        <v>3103</v>
      </c>
      <c r="D1307" s="9" t="s">
        <v>536</v>
      </c>
      <c r="E1307" s="13" t="s">
        <v>3323</v>
      </c>
    </row>
    <row r="1308" spans="1:5" ht="43.2" x14ac:dyDescent="0.3">
      <c r="A1308" s="13" t="s">
        <v>3104</v>
      </c>
      <c r="B1308" t="s">
        <v>3104</v>
      </c>
      <c r="C1308" s="13" t="s">
        <v>3104</v>
      </c>
      <c r="D1308" s="9" t="s">
        <v>536</v>
      </c>
      <c r="E1308" s="13" t="s">
        <v>3323</v>
      </c>
    </row>
    <row r="1309" spans="1:5" ht="43.2" x14ac:dyDescent="0.3">
      <c r="A1309" s="13" t="s">
        <v>1796</v>
      </c>
      <c r="B1309" t="s">
        <v>1796</v>
      </c>
      <c r="C1309" s="13" t="s">
        <v>1796</v>
      </c>
      <c r="D1309" s="9" t="s">
        <v>536</v>
      </c>
      <c r="E1309" s="13" t="s">
        <v>3323</v>
      </c>
    </row>
    <row r="1310" spans="1:5" ht="43.2" x14ac:dyDescent="0.3">
      <c r="A1310" s="13" t="s">
        <v>1795</v>
      </c>
      <c r="B1310" t="s">
        <v>1795</v>
      </c>
      <c r="C1310" s="13" t="s">
        <v>1795</v>
      </c>
      <c r="D1310" s="9" t="s">
        <v>536</v>
      </c>
      <c r="E1310" s="13" t="s">
        <v>3323</v>
      </c>
    </row>
    <row r="1311" spans="1:5" ht="43.2" x14ac:dyDescent="0.3">
      <c r="A1311" s="13" t="s">
        <v>3105</v>
      </c>
      <c r="B1311" t="s">
        <v>3105</v>
      </c>
      <c r="C1311" s="13" t="s">
        <v>3105</v>
      </c>
      <c r="D1311" s="9" t="s">
        <v>536</v>
      </c>
      <c r="E1311" s="13" t="s">
        <v>3323</v>
      </c>
    </row>
    <row r="1312" spans="1:5" ht="43.2" x14ac:dyDescent="0.3">
      <c r="A1312" s="13" t="s">
        <v>3106</v>
      </c>
      <c r="B1312" t="s">
        <v>3106</v>
      </c>
      <c r="C1312" s="13" t="s">
        <v>3106</v>
      </c>
      <c r="D1312" s="9" t="s">
        <v>536</v>
      </c>
      <c r="E1312" s="13" t="s">
        <v>3323</v>
      </c>
    </row>
    <row r="1313" spans="1:5" ht="43.2" x14ac:dyDescent="0.3">
      <c r="A1313" s="13" t="s">
        <v>1794</v>
      </c>
      <c r="B1313" t="s">
        <v>1794</v>
      </c>
      <c r="C1313" s="13" t="s">
        <v>1794</v>
      </c>
      <c r="D1313" s="9" t="s">
        <v>536</v>
      </c>
      <c r="E1313" s="13" t="s">
        <v>3323</v>
      </c>
    </row>
    <row r="1314" spans="1:5" ht="43.2" x14ac:dyDescent="0.3">
      <c r="A1314" s="13" t="s">
        <v>3107</v>
      </c>
      <c r="B1314" t="s">
        <v>3107</v>
      </c>
      <c r="C1314" s="13" t="s">
        <v>3107</v>
      </c>
      <c r="D1314" s="9" t="s">
        <v>536</v>
      </c>
      <c r="E1314" s="13" t="s">
        <v>3323</v>
      </c>
    </row>
    <row r="1315" spans="1:5" ht="43.2" x14ac:dyDescent="0.3">
      <c r="A1315" s="13" t="s">
        <v>3108</v>
      </c>
      <c r="B1315" t="s">
        <v>3108</v>
      </c>
      <c r="C1315" s="13" t="s">
        <v>3108</v>
      </c>
      <c r="D1315" s="9" t="s">
        <v>536</v>
      </c>
      <c r="E1315" s="13" t="s">
        <v>3323</v>
      </c>
    </row>
    <row r="1316" spans="1:5" ht="43.2" x14ac:dyDescent="0.3">
      <c r="A1316" s="13" t="s">
        <v>1793</v>
      </c>
      <c r="B1316" t="s">
        <v>1793</v>
      </c>
      <c r="C1316" s="13" t="s">
        <v>1793</v>
      </c>
      <c r="D1316" s="9" t="s">
        <v>536</v>
      </c>
      <c r="E1316" s="13" t="s">
        <v>3323</v>
      </c>
    </row>
    <row r="1317" spans="1:5" ht="43.2" x14ac:dyDescent="0.3">
      <c r="A1317" s="13" t="s">
        <v>1792</v>
      </c>
      <c r="B1317" t="s">
        <v>1792</v>
      </c>
      <c r="C1317" s="13" t="s">
        <v>1792</v>
      </c>
      <c r="D1317" s="9" t="s">
        <v>536</v>
      </c>
      <c r="E1317" s="13" t="s">
        <v>3323</v>
      </c>
    </row>
    <row r="1318" spans="1:5" ht="43.2" x14ac:dyDescent="0.3">
      <c r="A1318" s="13" t="s">
        <v>1791</v>
      </c>
      <c r="B1318" t="s">
        <v>1791</v>
      </c>
      <c r="C1318" s="13" t="s">
        <v>1791</v>
      </c>
      <c r="D1318" s="9" t="s">
        <v>536</v>
      </c>
      <c r="E1318" s="13" t="s">
        <v>3323</v>
      </c>
    </row>
    <row r="1319" spans="1:5" ht="43.2" x14ac:dyDescent="0.3">
      <c r="A1319" s="13" t="s">
        <v>1790</v>
      </c>
      <c r="B1319" t="s">
        <v>1790</v>
      </c>
      <c r="C1319" s="13" t="s">
        <v>1790</v>
      </c>
      <c r="D1319" s="9" t="s">
        <v>536</v>
      </c>
      <c r="E1319" s="13" t="s">
        <v>3323</v>
      </c>
    </row>
    <row r="1320" spans="1:5" ht="43.2" x14ac:dyDescent="0.3">
      <c r="A1320" s="13" t="s">
        <v>3109</v>
      </c>
      <c r="B1320" t="s">
        <v>3109</v>
      </c>
      <c r="C1320" s="13" t="s">
        <v>3109</v>
      </c>
      <c r="D1320" s="9" t="s">
        <v>536</v>
      </c>
      <c r="E1320" s="13" t="s">
        <v>3323</v>
      </c>
    </row>
    <row r="1321" spans="1:5" ht="43.2" x14ac:dyDescent="0.3">
      <c r="A1321" s="13" t="s">
        <v>3110</v>
      </c>
      <c r="B1321" t="s">
        <v>3110</v>
      </c>
      <c r="C1321" s="13" t="s">
        <v>3110</v>
      </c>
      <c r="D1321" s="9" t="s">
        <v>536</v>
      </c>
      <c r="E1321" s="13" t="s">
        <v>3323</v>
      </c>
    </row>
    <row r="1322" spans="1:5" ht="43.2" x14ac:dyDescent="0.3">
      <c r="A1322" s="13" t="s">
        <v>3111</v>
      </c>
      <c r="B1322" t="s">
        <v>3111</v>
      </c>
      <c r="C1322" s="13" t="s">
        <v>3111</v>
      </c>
      <c r="D1322" s="9" t="s">
        <v>536</v>
      </c>
      <c r="E1322" s="13" t="s">
        <v>3323</v>
      </c>
    </row>
    <row r="1323" spans="1:5" ht="43.2" x14ac:dyDescent="0.3">
      <c r="A1323" s="13" t="s">
        <v>1789</v>
      </c>
      <c r="B1323" t="s">
        <v>1789</v>
      </c>
      <c r="C1323" s="13" t="s">
        <v>1789</v>
      </c>
      <c r="D1323" s="9" t="s">
        <v>536</v>
      </c>
      <c r="E1323" s="13" t="s">
        <v>3323</v>
      </c>
    </row>
    <row r="1324" spans="1:5" ht="43.2" x14ac:dyDescent="0.3">
      <c r="A1324" s="13" t="s">
        <v>3112</v>
      </c>
      <c r="B1324" t="s">
        <v>3112</v>
      </c>
      <c r="C1324" s="13" t="s">
        <v>3112</v>
      </c>
      <c r="D1324" s="9" t="s">
        <v>536</v>
      </c>
      <c r="E1324" s="13" t="s">
        <v>3323</v>
      </c>
    </row>
    <row r="1325" spans="1:5" ht="43.2" x14ac:dyDescent="0.3">
      <c r="A1325" s="13" t="s">
        <v>1788</v>
      </c>
      <c r="B1325" t="s">
        <v>1788</v>
      </c>
      <c r="C1325" s="13" t="s">
        <v>1788</v>
      </c>
      <c r="D1325" s="9" t="s">
        <v>536</v>
      </c>
      <c r="E1325" s="13" t="s">
        <v>3323</v>
      </c>
    </row>
    <row r="1326" spans="1:5" ht="43.2" x14ac:dyDescent="0.3">
      <c r="A1326" s="13" t="s">
        <v>1787</v>
      </c>
      <c r="B1326" t="s">
        <v>1787</v>
      </c>
      <c r="C1326" s="13" t="s">
        <v>1787</v>
      </c>
      <c r="D1326" s="9" t="s">
        <v>536</v>
      </c>
      <c r="E1326" s="13" t="s">
        <v>3323</v>
      </c>
    </row>
    <row r="1327" spans="1:5" ht="43.2" x14ac:dyDescent="0.3">
      <c r="A1327" s="13" t="s">
        <v>1786</v>
      </c>
      <c r="B1327" t="s">
        <v>1786</v>
      </c>
      <c r="C1327" s="13" t="s">
        <v>1786</v>
      </c>
      <c r="D1327" s="9" t="s">
        <v>536</v>
      </c>
      <c r="E1327" s="13" t="s">
        <v>3323</v>
      </c>
    </row>
    <row r="1328" spans="1:5" ht="43.2" x14ac:dyDescent="0.3">
      <c r="A1328" s="13" t="s">
        <v>3113</v>
      </c>
      <c r="B1328" t="s">
        <v>3113</v>
      </c>
      <c r="C1328" s="13" t="s">
        <v>3113</v>
      </c>
      <c r="D1328" s="9" t="s">
        <v>536</v>
      </c>
      <c r="E1328" s="13" t="s">
        <v>3323</v>
      </c>
    </row>
    <row r="1329" spans="1:5" ht="43.2" x14ac:dyDescent="0.3">
      <c r="A1329" s="13" t="s">
        <v>3114</v>
      </c>
      <c r="B1329" t="s">
        <v>3114</v>
      </c>
      <c r="C1329" s="13" t="s">
        <v>3114</v>
      </c>
      <c r="D1329" s="9" t="s">
        <v>536</v>
      </c>
      <c r="E1329" s="13" t="s">
        <v>3323</v>
      </c>
    </row>
    <row r="1330" spans="1:5" ht="43.2" x14ac:dyDescent="0.3">
      <c r="A1330" s="13" t="s">
        <v>1785</v>
      </c>
      <c r="B1330" t="s">
        <v>1785</v>
      </c>
      <c r="C1330" s="13" t="s">
        <v>1785</v>
      </c>
      <c r="D1330" s="9" t="s">
        <v>536</v>
      </c>
      <c r="E1330" s="13" t="s">
        <v>3323</v>
      </c>
    </row>
    <row r="1331" spans="1:5" ht="43.2" x14ac:dyDescent="0.3">
      <c r="A1331" s="13" t="s">
        <v>3115</v>
      </c>
      <c r="B1331" t="s">
        <v>3115</v>
      </c>
      <c r="C1331" s="13" t="s">
        <v>3115</v>
      </c>
      <c r="D1331" s="9" t="s">
        <v>536</v>
      </c>
      <c r="E1331" s="13" t="s">
        <v>3323</v>
      </c>
    </row>
    <row r="1332" spans="1:5" ht="43.2" x14ac:dyDescent="0.3">
      <c r="A1332" s="13" t="s">
        <v>1784</v>
      </c>
      <c r="B1332" t="s">
        <v>1784</v>
      </c>
      <c r="C1332" s="13" t="s">
        <v>1784</v>
      </c>
      <c r="D1332" s="9" t="s">
        <v>536</v>
      </c>
      <c r="E1332" s="13" t="s">
        <v>3323</v>
      </c>
    </row>
    <row r="1333" spans="1:5" ht="43.2" x14ac:dyDescent="0.3">
      <c r="A1333" s="13" t="s">
        <v>1783</v>
      </c>
      <c r="B1333" t="s">
        <v>1783</v>
      </c>
      <c r="C1333" s="13" t="s">
        <v>1783</v>
      </c>
      <c r="D1333" s="9" t="s">
        <v>536</v>
      </c>
      <c r="E1333" s="13" t="s">
        <v>3323</v>
      </c>
    </row>
    <row r="1334" spans="1:5" ht="43.2" x14ac:dyDescent="0.3">
      <c r="A1334" s="13" t="s">
        <v>1782</v>
      </c>
      <c r="B1334" t="s">
        <v>1782</v>
      </c>
      <c r="C1334" s="13" t="s">
        <v>1782</v>
      </c>
      <c r="D1334" s="9" t="s">
        <v>536</v>
      </c>
      <c r="E1334" s="13" t="s">
        <v>3323</v>
      </c>
    </row>
    <row r="1335" spans="1:5" ht="43.2" x14ac:dyDescent="0.3">
      <c r="A1335" s="13" t="s">
        <v>3116</v>
      </c>
      <c r="B1335" t="s">
        <v>3116</v>
      </c>
      <c r="C1335" s="13" t="s">
        <v>3116</v>
      </c>
      <c r="D1335" s="9" t="s">
        <v>536</v>
      </c>
      <c r="E1335" s="13" t="s">
        <v>3323</v>
      </c>
    </row>
    <row r="1336" spans="1:5" ht="43.2" x14ac:dyDescent="0.3">
      <c r="A1336" s="13" t="s">
        <v>3117</v>
      </c>
      <c r="B1336" t="s">
        <v>3117</v>
      </c>
      <c r="C1336" s="13" t="s">
        <v>3117</v>
      </c>
      <c r="D1336" s="9" t="s">
        <v>536</v>
      </c>
      <c r="E1336" s="13" t="s">
        <v>3323</v>
      </c>
    </row>
    <row r="1337" spans="1:5" ht="43.2" x14ac:dyDescent="0.3">
      <c r="A1337" s="13" t="s">
        <v>1781</v>
      </c>
      <c r="B1337" t="s">
        <v>1781</v>
      </c>
      <c r="C1337" s="13" t="s">
        <v>1781</v>
      </c>
      <c r="D1337" s="9" t="s">
        <v>536</v>
      </c>
      <c r="E1337" s="13" t="s">
        <v>3323</v>
      </c>
    </row>
    <row r="1338" spans="1:5" ht="43.2" x14ac:dyDescent="0.3">
      <c r="A1338" s="13" t="s">
        <v>3118</v>
      </c>
      <c r="B1338" t="s">
        <v>3118</v>
      </c>
      <c r="C1338" s="13" t="s">
        <v>3118</v>
      </c>
      <c r="D1338" s="9" t="s">
        <v>536</v>
      </c>
      <c r="E1338" s="13" t="s">
        <v>3323</v>
      </c>
    </row>
    <row r="1339" spans="1:5" ht="43.2" x14ac:dyDescent="0.3">
      <c r="A1339" s="13" t="s">
        <v>1780</v>
      </c>
      <c r="B1339" t="s">
        <v>1780</v>
      </c>
      <c r="C1339" s="13" t="s">
        <v>1780</v>
      </c>
      <c r="D1339" s="9" t="s">
        <v>536</v>
      </c>
      <c r="E1339" s="13" t="s">
        <v>3323</v>
      </c>
    </row>
    <row r="1340" spans="1:5" ht="43.2" x14ac:dyDescent="0.3">
      <c r="A1340" s="13" t="s">
        <v>1779</v>
      </c>
      <c r="B1340" t="s">
        <v>1779</v>
      </c>
      <c r="C1340" s="13" t="s">
        <v>1779</v>
      </c>
      <c r="D1340" s="9" t="s">
        <v>536</v>
      </c>
      <c r="E1340" s="13" t="s">
        <v>3323</v>
      </c>
    </row>
    <row r="1341" spans="1:5" ht="43.2" x14ac:dyDescent="0.3">
      <c r="A1341" s="13" t="s">
        <v>1778</v>
      </c>
      <c r="B1341" t="s">
        <v>1778</v>
      </c>
      <c r="C1341" s="13" t="s">
        <v>1778</v>
      </c>
      <c r="D1341" s="9" t="s">
        <v>536</v>
      </c>
      <c r="E1341" s="13" t="s">
        <v>3323</v>
      </c>
    </row>
    <row r="1342" spans="1:5" ht="43.2" x14ac:dyDescent="0.3">
      <c r="A1342" s="13" t="s">
        <v>3119</v>
      </c>
      <c r="B1342" t="s">
        <v>3119</v>
      </c>
      <c r="C1342" s="13" t="s">
        <v>3119</v>
      </c>
      <c r="D1342" s="9" t="s">
        <v>536</v>
      </c>
      <c r="E1342" s="13" t="s">
        <v>3323</v>
      </c>
    </row>
    <row r="1343" spans="1:5" ht="43.2" x14ac:dyDescent="0.3">
      <c r="A1343" s="13" t="s">
        <v>3120</v>
      </c>
      <c r="B1343" t="s">
        <v>3120</v>
      </c>
      <c r="C1343" s="13" t="s">
        <v>3120</v>
      </c>
      <c r="D1343" s="9" t="s">
        <v>536</v>
      </c>
      <c r="E1343" s="13" t="s">
        <v>3323</v>
      </c>
    </row>
    <row r="1344" spans="1:5" ht="43.2" x14ac:dyDescent="0.3">
      <c r="A1344" s="13" t="s">
        <v>3121</v>
      </c>
      <c r="B1344" t="s">
        <v>3121</v>
      </c>
      <c r="C1344" s="13" t="s">
        <v>3121</v>
      </c>
      <c r="D1344" s="9" t="s">
        <v>536</v>
      </c>
      <c r="E1344" s="13" t="s">
        <v>3323</v>
      </c>
    </row>
    <row r="1345" spans="1:5" ht="43.2" x14ac:dyDescent="0.3">
      <c r="A1345" s="13" t="s">
        <v>3122</v>
      </c>
      <c r="B1345" t="s">
        <v>3122</v>
      </c>
      <c r="C1345" s="13" t="s">
        <v>3122</v>
      </c>
      <c r="D1345" s="9" t="s">
        <v>536</v>
      </c>
      <c r="E1345" s="13" t="s">
        <v>3323</v>
      </c>
    </row>
    <row r="1346" spans="1:5" ht="43.2" x14ac:dyDescent="0.3">
      <c r="A1346" s="13" t="s">
        <v>3123</v>
      </c>
      <c r="B1346" t="s">
        <v>3123</v>
      </c>
      <c r="C1346" s="13" t="s">
        <v>3123</v>
      </c>
      <c r="D1346" s="9" t="s">
        <v>536</v>
      </c>
      <c r="E1346" s="13" t="s">
        <v>3323</v>
      </c>
    </row>
    <row r="1347" spans="1:5" ht="43.2" x14ac:dyDescent="0.3">
      <c r="A1347" s="13" t="s">
        <v>3124</v>
      </c>
      <c r="B1347" t="s">
        <v>3124</v>
      </c>
      <c r="C1347" s="13" t="s">
        <v>3124</v>
      </c>
      <c r="D1347" s="9" t="s">
        <v>536</v>
      </c>
      <c r="E1347" s="13" t="s">
        <v>3323</v>
      </c>
    </row>
    <row r="1348" spans="1:5" ht="43.2" x14ac:dyDescent="0.3">
      <c r="A1348" s="13" t="s">
        <v>3125</v>
      </c>
      <c r="B1348" t="s">
        <v>3125</v>
      </c>
      <c r="C1348" s="13" t="s">
        <v>3125</v>
      </c>
      <c r="D1348" s="9" t="s">
        <v>536</v>
      </c>
      <c r="E1348" s="13" t="s">
        <v>3323</v>
      </c>
    </row>
    <row r="1349" spans="1:5" ht="28.8" x14ac:dyDescent="0.3">
      <c r="A1349" s="13" t="s">
        <v>3126</v>
      </c>
      <c r="B1349" t="s">
        <v>3126</v>
      </c>
      <c r="C1349" s="13" t="s">
        <v>3126</v>
      </c>
      <c r="D1349" s="9" t="s">
        <v>536</v>
      </c>
      <c r="E1349" s="13" t="s">
        <v>3323</v>
      </c>
    </row>
    <row r="1350" spans="1:5" ht="43.2" x14ac:dyDescent="0.3">
      <c r="A1350" s="13" t="s">
        <v>3127</v>
      </c>
      <c r="B1350" t="s">
        <v>3127</v>
      </c>
      <c r="C1350" s="13" t="s">
        <v>3127</v>
      </c>
      <c r="D1350" s="9" t="s">
        <v>536</v>
      </c>
      <c r="E1350" s="13" t="s">
        <v>3323</v>
      </c>
    </row>
    <row r="1351" spans="1:5" ht="43.2" x14ac:dyDescent="0.3">
      <c r="A1351" s="13" t="s">
        <v>3128</v>
      </c>
      <c r="B1351" t="s">
        <v>3128</v>
      </c>
      <c r="C1351" s="13" t="s">
        <v>3128</v>
      </c>
      <c r="D1351" s="9" t="s">
        <v>536</v>
      </c>
      <c r="E1351" s="13" t="s">
        <v>3323</v>
      </c>
    </row>
    <row r="1352" spans="1:5" ht="43.2" x14ac:dyDescent="0.3">
      <c r="A1352" s="13" t="s">
        <v>3129</v>
      </c>
      <c r="B1352" t="s">
        <v>3129</v>
      </c>
      <c r="C1352" s="13" t="s">
        <v>3129</v>
      </c>
      <c r="D1352" s="9" t="s">
        <v>536</v>
      </c>
      <c r="E1352" s="13" t="s">
        <v>3323</v>
      </c>
    </row>
    <row r="1353" spans="1:5" ht="43.2" x14ac:dyDescent="0.3">
      <c r="A1353" s="13" t="s">
        <v>1777</v>
      </c>
      <c r="B1353" t="s">
        <v>1777</v>
      </c>
      <c r="C1353" s="13" t="s">
        <v>1777</v>
      </c>
      <c r="D1353" s="9" t="s">
        <v>536</v>
      </c>
      <c r="E1353" s="13" t="s">
        <v>3323</v>
      </c>
    </row>
    <row r="1354" spans="1:5" ht="43.2" x14ac:dyDescent="0.3">
      <c r="A1354" s="13" t="s">
        <v>1776</v>
      </c>
      <c r="B1354" t="s">
        <v>1776</v>
      </c>
      <c r="C1354" s="13" t="s">
        <v>1776</v>
      </c>
      <c r="D1354" s="9" t="s">
        <v>536</v>
      </c>
      <c r="E1354" s="13" t="s">
        <v>3323</v>
      </c>
    </row>
    <row r="1355" spans="1:5" ht="43.2" x14ac:dyDescent="0.3">
      <c r="A1355" s="13" t="s">
        <v>2098</v>
      </c>
      <c r="B1355" t="s">
        <v>2098</v>
      </c>
      <c r="C1355" s="13" t="s">
        <v>2098</v>
      </c>
      <c r="D1355" s="9" t="s">
        <v>536</v>
      </c>
      <c r="E1355" s="13" t="s">
        <v>3323</v>
      </c>
    </row>
    <row r="1356" spans="1:5" ht="43.2" x14ac:dyDescent="0.3">
      <c r="A1356" s="13" t="s">
        <v>1775</v>
      </c>
      <c r="B1356" t="s">
        <v>1775</v>
      </c>
      <c r="C1356" s="13" t="s">
        <v>1775</v>
      </c>
      <c r="D1356" s="9" t="s">
        <v>536</v>
      </c>
      <c r="E1356" s="13" t="s">
        <v>3323</v>
      </c>
    </row>
    <row r="1357" spans="1:5" ht="43.2" x14ac:dyDescent="0.3">
      <c r="A1357" s="13" t="s">
        <v>3130</v>
      </c>
      <c r="B1357" t="s">
        <v>3130</v>
      </c>
      <c r="C1357" s="13" t="s">
        <v>3130</v>
      </c>
      <c r="D1357" s="9" t="s">
        <v>536</v>
      </c>
      <c r="E1357" s="13" t="s">
        <v>3323</v>
      </c>
    </row>
    <row r="1358" spans="1:5" ht="43.2" x14ac:dyDescent="0.3">
      <c r="A1358" s="13" t="s">
        <v>3131</v>
      </c>
      <c r="B1358" t="s">
        <v>3131</v>
      </c>
      <c r="C1358" s="13" t="s">
        <v>3131</v>
      </c>
      <c r="D1358" s="9" t="s">
        <v>536</v>
      </c>
      <c r="E1358" s="13" t="s">
        <v>3323</v>
      </c>
    </row>
    <row r="1359" spans="1:5" ht="43.2" x14ac:dyDescent="0.3">
      <c r="A1359" s="13" t="s">
        <v>1774</v>
      </c>
      <c r="B1359" t="s">
        <v>1774</v>
      </c>
      <c r="C1359" s="13" t="s">
        <v>1774</v>
      </c>
      <c r="D1359" s="9" t="s">
        <v>536</v>
      </c>
      <c r="E1359" s="13" t="s">
        <v>3323</v>
      </c>
    </row>
    <row r="1360" spans="1:5" ht="43.2" x14ac:dyDescent="0.3">
      <c r="A1360" s="13" t="s">
        <v>1773</v>
      </c>
      <c r="B1360" t="s">
        <v>1773</v>
      </c>
      <c r="C1360" s="13" t="s">
        <v>1773</v>
      </c>
      <c r="D1360" s="9" t="s">
        <v>536</v>
      </c>
      <c r="E1360" s="13" t="s">
        <v>3323</v>
      </c>
    </row>
    <row r="1361" spans="1:5" ht="43.2" x14ac:dyDescent="0.3">
      <c r="A1361" s="13" t="s">
        <v>1772</v>
      </c>
      <c r="B1361" t="s">
        <v>1772</v>
      </c>
      <c r="C1361" s="13" t="s">
        <v>1772</v>
      </c>
      <c r="D1361" s="9" t="s">
        <v>536</v>
      </c>
      <c r="E1361" s="13" t="s">
        <v>3323</v>
      </c>
    </row>
    <row r="1362" spans="1:5" ht="43.2" x14ac:dyDescent="0.3">
      <c r="A1362" s="13" t="s">
        <v>3132</v>
      </c>
      <c r="B1362" t="s">
        <v>3132</v>
      </c>
      <c r="C1362" s="13" t="s">
        <v>3132</v>
      </c>
      <c r="D1362" s="9" t="s">
        <v>536</v>
      </c>
      <c r="E1362" s="13" t="s">
        <v>3323</v>
      </c>
    </row>
    <row r="1363" spans="1:5" ht="43.2" x14ac:dyDescent="0.3">
      <c r="A1363" s="13" t="s">
        <v>3133</v>
      </c>
      <c r="B1363" t="s">
        <v>3133</v>
      </c>
      <c r="C1363" s="13" t="s">
        <v>3133</v>
      </c>
      <c r="D1363" s="9" t="s">
        <v>536</v>
      </c>
      <c r="E1363" s="13" t="s">
        <v>3323</v>
      </c>
    </row>
    <row r="1364" spans="1:5" ht="43.2" x14ac:dyDescent="0.3">
      <c r="A1364" s="13" t="s">
        <v>3134</v>
      </c>
      <c r="B1364" t="s">
        <v>3134</v>
      </c>
      <c r="C1364" s="13" t="s">
        <v>3134</v>
      </c>
      <c r="D1364" s="9" t="s">
        <v>536</v>
      </c>
      <c r="E1364" s="13" t="s">
        <v>3323</v>
      </c>
    </row>
    <row r="1365" spans="1:5" ht="43.2" x14ac:dyDescent="0.3">
      <c r="A1365" s="13" t="s">
        <v>3135</v>
      </c>
      <c r="B1365" t="s">
        <v>3135</v>
      </c>
      <c r="C1365" s="13" t="s">
        <v>3135</v>
      </c>
      <c r="D1365" s="9" t="s">
        <v>536</v>
      </c>
      <c r="E1365" s="13" t="s">
        <v>3323</v>
      </c>
    </row>
    <row r="1366" spans="1:5" ht="43.2" x14ac:dyDescent="0.3">
      <c r="A1366" s="13" t="s">
        <v>3136</v>
      </c>
      <c r="B1366" t="s">
        <v>3136</v>
      </c>
      <c r="C1366" s="13" t="s">
        <v>3136</v>
      </c>
      <c r="D1366" s="9" t="s">
        <v>536</v>
      </c>
      <c r="E1366" s="13" t="s">
        <v>3323</v>
      </c>
    </row>
    <row r="1367" spans="1:5" ht="43.2" x14ac:dyDescent="0.3">
      <c r="A1367" s="13" t="s">
        <v>3137</v>
      </c>
      <c r="B1367" t="s">
        <v>3137</v>
      </c>
      <c r="C1367" s="13" t="s">
        <v>3137</v>
      </c>
      <c r="D1367" s="9" t="s">
        <v>536</v>
      </c>
      <c r="E1367" s="13" t="s">
        <v>3323</v>
      </c>
    </row>
    <row r="1368" spans="1:5" ht="43.2" x14ac:dyDescent="0.3">
      <c r="A1368" s="13" t="s">
        <v>1771</v>
      </c>
      <c r="B1368" t="s">
        <v>1771</v>
      </c>
      <c r="C1368" s="13" t="s">
        <v>1771</v>
      </c>
      <c r="D1368" s="9" t="s">
        <v>536</v>
      </c>
      <c r="E1368" s="13" t="s">
        <v>3323</v>
      </c>
    </row>
    <row r="1369" spans="1:5" ht="43.2" x14ac:dyDescent="0.3">
      <c r="A1369" s="13" t="s">
        <v>1770</v>
      </c>
      <c r="B1369" t="s">
        <v>1770</v>
      </c>
      <c r="C1369" s="13" t="s">
        <v>1770</v>
      </c>
      <c r="D1369" s="9" t="s">
        <v>536</v>
      </c>
      <c r="E1369" s="13" t="s">
        <v>3323</v>
      </c>
    </row>
    <row r="1370" spans="1:5" ht="43.2" x14ac:dyDescent="0.3">
      <c r="A1370" s="13" t="s">
        <v>3138</v>
      </c>
      <c r="B1370" t="s">
        <v>3138</v>
      </c>
      <c r="C1370" s="13" t="s">
        <v>3138</v>
      </c>
      <c r="D1370" s="9" t="s">
        <v>536</v>
      </c>
      <c r="E1370" s="13" t="s">
        <v>3323</v>
      </c>
    </row>
    <row r="1371" spans="1:5" ht="43.2" x14ac:dyDescent="0.3">
      <c r="A1371" s="13" t="s">
        <v>3139</v>
      </c>
      <c r="B1371" t="s">
        <v>3139</v>
      </c>
      <c r="C1371" s="13" t="s">
        <v>3139</v>
      </c>
      <c r="D1371" s="9" t="s">
        <v>536</v>
      </c>
      <c r="E1371" s="13" t="s">
        <v>3323</v>
      </c>
    </row>
    <row r="1372" spans="1:5" ht="43.2" x14ac:dyDescent="0.3">
      <c r="A1372" s="13" t="s">
        <v>3140</v>
      </c>
      <c r="B1372" t="s">
        <v>3140</v>
      </c>
      <c r="C1372" s="13" t="s">
        <v>3140</v>
      </c>
      <c r="D1372" s="9" t="s">
        <v>536</v>
      </c>
      <c r="E1372" s="13" t="s">
        <v>3323</v>
      </c>
    </row>
    <row r="1373" spans="1:5" ht="43.2" x14ac:dyDescent="0.3">
      <c r="A1373" s="13" t="s">
        <v>1769</v>
      </c>
      <c r="B1373" t="s">
        <v>1769</v>
      </c>
      <c r="C1373" s="13" t="s">
        <v>1769</v>
      </c>
      <c r="D1373" s="9" t="s">
        <v>536</v>
      </c>
      <c r="E1373" s="13" t="s">
        <v>3323</v>
      </c>
    </row>
    <row r="1374" spans="1:5" ht="43.2" x14ac:dyDescent="0.3">
      <c r="A1374" s="13" t="s">
        <v>3141</v>
      </c>
      <c r="B1374" t="s">
        <v>3141</v>
      </c>
      <c r="C1374" s="13" t="s">
        <v>3141</v>
      </c>
      <c r="D1374" s="9" t="s">
        <v>536</v>
      </c>
      <c r="E1374" s="13" t="s">
        <v>3323</v>
      </c>
    </row>
    <row r="1375" spans="1:5" ht="43.2" x14ac:dyDescent="0.3">
      <c r="A1375" s="13" t="s">
        <v>1768</v>
      </c>
      <c r="B1375" t="s">
        <v>1768</v>
      </c>
      <c r="C1375" s="13" t="s">
        <v>1768</v>
      </c>
      <c r="D1375" s="9" t="s">
        <v>536</v>
      </c>
      <c r="E1375" s="13" t="s">
        <v>3323</v>
      </c>
    </row>
    <row r="1376" spans="1:5" ht="43.2" x14ac:dyDescent="0.3">
      <c r="A1376" s="13" t="s">
        <v>1767</v>
      </c>
      <c r="B1376" t="s">
        <v>1767</v>
      </c>
      <c r="C1376" s="13" t="s">
        <v>1767</v>
      </c>
      <c r="D1376" s="9" t="s">
        <v>536</v>
      </c>
      <c r="E1376" s="13" t="s">
        <v>3323</v>
      </c>
    </row>
    <row r="1377" spans="1:5" ht="43.2" x14ac:dyDescent="0.3">
      <c r="A1377" s="13" t="s">
        <v>1766</v>
      </c>
      <c r="B1377" t="s">
        <v>1766</v>
      </c>
      <c r="C1377" s="13" t="s">
        <v>1766</v>
      </c>
      <c r="D1377" s="9" t="s">
        <v>536</v>
      </c>
      <c r="E1377" s="13" t="s">
        <v>3323</v>
      </c>
    </row>
    <row r="1378" spans="1:5" ht="43.2" x14ac:dyDescent="0.3">
      <c r="A1378" s="13" t="s">
        <v>3142</v>
      </c>
      <c r="B1378" t="s">
        <v>3142</v>
      </c>
      <c r="C1378" s="13" t="s">
        <v>3142</v>
      </c>
      <c r="D1378" s="9" t="s">
        <v>536</v>
      </c>
      <c r="E1378" s="13" t="s">
        <v>3323</v>
      </c>
    </row>
    <row r="1379" spans="1:5" ht="43.2" x14ac:dyDescent="0.3">
      <c r="A1379" s="13" t="s">
        <v>3143</v>
      </c>
      <c r="B1379" t="s">
        <v>3143</v>
      </c>
      <c r="C1379" s="13" t="s">
        <v>3143</v>
      </c>
      <c r="D1379" s="9" t="s">
        <v>536</v>
      </c>
      <c r="E1379" s="13" t="s">
        <v>3323</v>
      </c>
    </row>
    <row r="1380" spans="1:5" ht="43.2" x14ac:dyDescent="0.3">
      <c r="A1380" s="13" t="s">
        <v>3144</v>
      </c>
      <c r="B1380" t="s">
        <v>3144</v>
      </c>
      <c r="C1380" s="13" t="s">
        <v>3144</v>
      </c>
      <c r="D1380" s="9" t="s">
        <v>536</v>
      </c>
      <c r="E1380" s="13" t="s">
        <v>3323</v>
      </c>
    </row>
    <row r="1381" spans="1:5" ht="43.2" x14ac:dyDescent="0.3">
      <c r="A1381" s="13" t="s">
        <v>3145</v>
      </c>
      <c r="B1381" t="s">
        <v>3145</v>
      </c>
      <c r="C1381" s="13" t="s">
        <v>3145</v>
      </c>
      <c r="D1381" s="9" t="s">
        <v>536</v>
      </c>
      <c r="E1381" s="13" t="s">
        <v>3323</v>
      </c>
    </row>
    <row r="1382" spans="1:5" ht="43.2" x14ac:dyDescent="0.3">
      <c r="A1382" s="13" t="s">
        <v>1765</v>
      </c>
      <c r="B1382" t="s">
        <v>1765</v>
      </c>
      <c r="C1382" s="13" t="s">
        <v>1765</v>
      </c>
      <c r="D1382" s="9" t="s">
        <v>536</v>
      </c>
      <c r="E1382" s="13" t="s">
        <v>3323</v>
      </c>
    </row>
    <row r="1383" spans="1:5" ht="43.2" x14ac:dyDescent="0.3">
      <c r="A1383" s="13" t="s">
        <v>1764</v>
      </c>
      <c r="B1383" t="s">
        <v>1764</v>
      </c>
      <c r="C1383" s="13" t="s">
        <v>1764</v>
      </c>
      <c r="D1383" s="9" t="s">
        <v>536</v>
      </c>
      <c r="E1383" s="13" t="s">
        <v>3323</v>
      </c>
    </row>
    <row r="1384" spans="1:5" ht="43.2" x14ac:dyDescent="0.3">
      <c r="A1384" s="13" t="s">
        <v>1763</v>
      </c>
      <c r="B1384" t="s">
        <v>1763</v>
      </c>
      <c r="C1384" s="13" t="s">
        <v>1763</v>
      </c>
      <c r="D1384" s="9" t="s">
        <v>536</v>
      </c>
      <c r="E1384" s="13" t="s">
        <v>3323</v>
      </c>
    </row>
    <row r="1385" spans="1:5" ht="43.2" x14ac:dyDescent="0.3">
      <c r="A1385" s="13" t="s">
        <v>3146</v>
      </c>
      <c r="B1385" t="s">
        <v>3146</v>
      </c>
      <c r="C1385" s="13" t="s">
        <v>3146</v>
      </c>
      <c r="D1385" s="9" t="s">
        <v>536</v>
      </c>
      <c r="E1385" s="13" t="s">
        <v>3323</v>
      </c>
    </row>
    <row r="1386" spans="1:5" ht="43.2" x14ac:dyDescent="0.3">
      <c r="A1386" s="13" t="s">
        <v>3147</v>
      </c>
      <c r="B1386" t="s">
        <v>3147</v>
      </c>
      <c r="C1386" s="13" t="s">
        <v>3147</v>
      </c>
      <c r="D1386" s="9" t="s">
        <v>536</v>
      </c>
      <c r="E1386" s="13" t="s">
        <v>3323</v>
      </c>
    </row>
    <row r="1387" spans="1:5" ht="43.2" x14ac:dyDescent="0.3">
      <c r="A1387" s="13" t="s">
        <v>1762</v>
      </c>
      <c r="B1387" t="s">
        <v>1762</v>
      </c>
      <c r="C1387" s="13" t="s">
        <v>1762</v>
      </c>
      <c r="D1387" s="9" t="s">
        <v>536</v>
      </c>
      <c r="E1387" s="13" t="s">
        <v>3323</v>
      </c>
    </row>
    <row r="1388" spans="1:5" ht="43.2" x14ac:dyDescent="0.3">
      <c r="A1388" s="13" t="s">
        <v>1761</v>
      </c>
      <c r="B1388" t="s">
        <v>1761</v>
      </c>
      <c r="C1388" s="13" t="s">
        <v>1761</v>
      </c>
      <c r="D1388" s="9" t="s">
        <v>536</v>
      </c>
      <c r="E1388" s="13" t="s">
        <v>3323</v>
      </c>
    </row>
    <row r="1389" spans="1:5" ht="43.2" x14ac:dyDescent="0.3">
      <c r="A1389" s="13" t="s">
        <v>1760</v>
      </c>
      <c r="B1389" t="s">
        <v>1760</v>
      </c>
      <c r="C1389" s="13" t="s">
        <v>1760</v>
      </c>
      <c r="D1389" s="9" t="s">
        <v>536</v>
      </c>
      <c r="E1389" s="13" t="s">
        <v>3323</v>
      </c>
    </row>
    <row r="1390" spans="1:5" ht="43.2" x14ac:dyDescent="0.3">
      <c r="A1390" s="13" t="s">
        <v>1759</v>
      </c>
      <c r="B1390" t="s">
        <v>1759</v>
      </c>
      <c r="C1390" s="13" t="s">
        <v>1759</v>
      </c>
      <c r="D1390" s="9" t="s">
        <v>536</v>
      </c>
      <c r="E1390" s="13" t="s">
        <v>3323</v>
      </c>
    </row>
    <row r="1391" spans="1:5" ht="43.2" x14ac:dyDescent="0.3">
      <c r="A1391" s="13" t="s">
        <v>3148</v>
      </c>
      <c r="B1391" t="s">
        <v>3148</v>
      </c>
      <c r="C1391" s="13" t="s">
        <v>3148</v>
      </c>
      <c r="D1391" s="9" t="s">
        <v>536</v>
      </c>
      <c r="E1391" s="13" t="s">
        <v>3323</v>
      </c>
    </row>
    <row r="1392" spans="1:5" ht="43.2" x14ac:dyDescent="0.3">
      <c r="A1392" s="13" t="s">
        <v>3149</v>
      </c>
      <c r="B1392" t="s">
        <v>3149</v>
      </c>
      <c r="C1392" s="13" t="s">
        <v>3149</v>
      </c>
      <c r="D1392" s="9" t="s">
        <v>536</v>
      </c>
      <c r="E1392" s="13" t="s">
        <v>3323</v>
      </c>
    </row>
    <row r="1393" spans="1:5" ht="43.2" x14ac:dyDescent="0.3">
      <c r="A1393" s="13" t="s">
        <v>3150</v>
      </c>
      <c r="B1393" t="s">
        <v>3150</v>
      </c>
      <c r="C1393" s="13" t="s">
        <v>3150</v>
      </c>
      <c r="D1393" s="9" t="s">
        <v>536</v>
      </c>
      <c r="E1393" s="13" t="s">
        <v>3323</v>
      </c>
    </row>
    <row r="1394" spans="1:5" ht="43.2" x14ac:dyDescent="0.3">
      <c r="A1394" s="13" t="s">
        <v>3151</v>
      </c>
      <c r="B1394" t="s">
        <v>3151</v>
      </c>
      <c r="C1394" s="13" t="s">
        <v>3151</v>
      </c>
      <c r="D1394" s="9" t="s">
        <v>536</v>
      </c>
      <c r="E1394" s="13" t="s">
        <v>3323</v>
      </c>
    </row>
    <row r="1395" spans="1:5" ht="43.2" x14ac:dyDescent="0.3">
      <c r="A1395" s="13" t="s">
        <v>3152</v>
      </c>
      <c r="B1395" t="s">
        <v>3152</v>
      </c>
      <c r="C1395" s="13" t="s">
        <v>3152</v>
      </c>
      <c r="D1395" s="9" t="s">
        <v>536</v>
      </c>
      <c r="E1395" s="13" t="s">
        <v>3323</v>
      </c>
    </row>
    <row r="1396" spans="1:5" ht="43.2" x14ac:dyDescent="0.3">
      <c r="A1396" s="13" t="s">
        <v>1758</v>
      </c>
      <c r="B1396" t="s">
        <v>1758</v>
      </c>
      <c r="C1396" s="13" t="s">
        <v>1758</v>
      </c>
      <c r="D1396" s="9" t="s">
        <v>536</v>
      </c>
      <c r="E1396" s="13" t="s">
        <v>3323</v>
      </c>
    </row>
    <row r="1397" spans="1:5" ht="43.2" x14ac:dyDescent="0.3">
      <c r="A1397" s="13" t="s">
        <v>1757</v>
      </c>
      <c r="B1397" t="s">
        <v>1757</v>
      </c>
      <c r="C1397" s="13" t="s">
        <v>1757</v>
      </c>
      <c r="D1397" s="9" t="s">
        <v>536</v>
      </c>
      <c r="E1397" s="13" t="s">
        <v>3323</v>
      </c>
    </row>
    <row r="1398" spans="1:5" ht="43.2" x14ac:dyDescent="0.3">
      <c r="A1398" s="13" t="s">
        <v>1756</v>
      </c>
      <c r="B1398" t="s">
        <v>1756</v>
      </c>
      <c r="C1398" s="13" t="s">
        <v>1756</v>
      </c>
      <c r="D1398" s="9" t="s">
        <v>536</v>
      </c>
      <c r="E1398" s="13" t="s">
        <v>3323</v>
      </c>
    </row>
    <row r="1399" spans="1:5" ht="43.2" x14ac:dyDescent="0.3">
      <c r="A1399" s="13" t="s">
        <v>3153</v>
      </c>
      <c r="B1399" t="s">
        <v>3153</v>
      </c>
      <c r="C1399" s="13" t="s">
        <v>3153</v>
      </c>
      <c r="D1399" s="9" t="s">
        <v>536</v>
      </c>
      <c r="E1399" s="13" t="s">
        <v>3323</v>
      </c>
    </row>
    <row r="1400" spans="1:5" ht="43.2" x14ac:dyDescent="0.3">
      <c r="A1400" s="13" t="s">
        <v>3154</v>
      </c>
      <c r="B1400" t="s">
        <v>3154</v>
      </c>
      <c r="C1400" s="13" t="s">
        <v>3154</v>
      </c>
      <c r="D1400" s="9" t="s">
        <v>536</v>
      </c>
      <c r="E1400" s="13" t="s">
        <v>3323</v>
      </c>
    </row>
    <row r="1401" spans="1:5" ht="43.2" x14ac:dyDescent="0.3">
      <c r="A1401" s="13" t="s">
        <v>3155</v>
      </c>
      <c r="B1401" t="s">
        <v>3155</v>
      </c>
      <c r="C1401" s="13" t="s">
        <v>3155</v>
      </c>
      <c r="D1401" s="9" t="s">
        <v>536</v>
      </c>
      <c r="E1401" s="13" t="s">
        <v>3323</v>
      </c>
    </row>
    <row r="1402" spans="1:5" ht="43.2" x14ac:dyDescent="0.3">
      <c r="A1402" s="13" t="s">
        <v>3156</v>
      </c>
      <c r="B1402" t="s">
        <v>3156</v>
      </c>
      <c r="C1402" s="13" t="s">
        <v>3156</v>
      </c>
      <c r="D1402" s="9" t="s">
        <v>536</v>
      </c>
      <c r="E1402" s="13" t="s">
        <v>3323</v>
      </c>
    </row>
    <row r="1403" spans="1:5" ht="43.2" x14ac:dyDescent="0.3">
      <c r="A1403" s="13" t="s">
        <v>3157</v>
      </c>
      <c r="B1403" t="s">
        <v>3157</v>
      </c>
      <c r="C1403" s="13" t="s">
        <v>3157</v>
      </c>
      <c r="D1403" s="9" t="s">
        <v>536</v>
      </c>
      <c r="E1403" s="13" t="s">
        <v>3323</v>
      </c>
    </row>
    <row r="1404" spans="1:5" ht="43.2" x14ac:dyDescent="0.3">
      <c r="A1404" s="13" t="s">
        <v>1755</v>
      </c>
      <c r="B1404" t="s">
        <v>1755</v>
      </c>
      <c r="C1404" s="13" t="s">
        <v>1755</v>
      </c>
      <c r="D1404" s="9" t="s">
        <v>536</v>
      </c>
      <c r="E1404" s="13" t="s">
        <v>3323</v>
      </c>
    </row>
    <row r="1405" spans="1:5" ht="43.2" x14ac:dyDescent="0.3">
      <c r="A1405" s="13" t="s">
        <v>1754</v>
      </c>
      <c r="B1405" t="s">
        <v>1754</v>
      </c>
      <c r="C1405" s="13" t="s">
        <v>1754</v>
      </c>
      <c r="D1405" s="9" t="s">
        <v>536</v>
      </c>
      <c r="E1405" s="13" t="s">
        <v>3323</v>
      </c>
    </row>
    <row r="1406" spans="1:5" ht="43.2" x14ac:dyDescent="0.3">
      <c r="A1406" s="13" t="s">
        <v>3158</v>
      </c>
      <c r="B1406" t="s">
        <v>3158</v>
      </c>
      <c r="C1406" s="13" t="s">
        <v>3158</v>
      </c>
      <c r="D1406" s="9" t="s">
        <v>536</v>
      </c>
      <c r="E1406" s="13" t="s">
        <v>3323</v>
      </c>
    </row>
    <row r="1407" spans="1:5" ht="43.2" x14ac:dyDescent="0.3">
      <c r="A1407" s="13" t="s">
        <v>3159</v>
      </c>
      <c r="B1407" t="s">
        <v>3159</v>
      </c>
      <c r="C1407" s="13" t="s">
        <v>3159</v>
      </c>
      <c r="D1407" s="9" t="s">
        <v>536</v>
      </c>
      <c r="E1407" s="13" t="s">
        <v>3323</v>
      </c>
    </row>
    <row r="1408" spans="1:5" ht="43.2" x14ac:dyDescent="0.3">
      <c r="A1408" s="13" t="s">
        <v>1753</v>
      </c>
      <c r="B1408" t="s">
        <v>1753</v>
      </c>
      <c r="C1408" s="13" t="s">
        <v>1753</v>
      </c>
      <c r="D1408" s="9" t="s">
        <v>536</v>
      </c>
      <c r="E1408" s="13" t="s">
        <v>3323</v>
      </c>
    </row>
    <row r="1409" spans="1:5" ht="43.2" x14ac:dyDescent="0.3">
      <c r="A1409" s="13" t="s">
        <v>1752</v>
      </c>
      <c r="B1409" t="s">
        <v>1752</v>
      </c>
      <c r="C1409" s="13" t="s">
        <v>1752</v>
      </c>
      <c r="D1409" s="9" t="s">
        <v>536</v>
      </c>
      <c r="E1409" s="13" t="s">
        <v>3323</v>
      </c>
    </row>
    <row r="1410" spans="1:5" ht="43.2" x14ac:dyDescent="0.3">
      <c r="A1410" s="13" t="s">
        <v>1751</v>
      </c>
      <c r="B1410" t="s">
        <v>1751</v>
      </c>
      <c r="C1410" s="13" t="s">
        <v>1751</v>
      </c>
      <c r="D1410" s="9" t="s">
        <v>536</v>
      </c>
      <c r="E1410" s="13" t="s">
        <v>3323</v>
      </c>
    </row>
    <row r="1411" spans="1:5" ht="43.2" x14ac:dyDescent="0.3">
      <c r="A1411" s="13" t="s">
        <v>1750</v>
      </c>
      <c r="B1411" t="s">
        <v>1750</v>
      </c>
      <c r="C1411" s="13" t="s">
        <v>1750</v>
      </c>
      <c r="D1411" s="9" t="s">
        <v>536</v>
      </c>
      <c r="E1411" s="13" t="s">
        <v>3323</v>
      </c>
    </row>
    <row r="1412" spans="1:5" ht="43.2" x14ac:dyDescent="0.3">
      <c r="A1412" s="13" t="s">
        <v>1749</v>
      </c>
      <c r="B1412" t="s">
        <v>1749</v>
      </c>
      <c r="C1412" s="13" t="s">
        <v>1749</v>
      </c>
      <c r="D1412" s="9" t="s">
        <v>536</v>
      </c>
      <c r="E1412" s="13" t="s">
        <v>3323</v>
      </c>
    </row>
    <row r="1413" spans="1:5" ht="43.2" x14ac:dyDescent="0.3">
      <c r="A1413" s="13" t="s">
        <v>3160</v>
      </c>
      <c r="B1413" t="s">
        <v>3160</v>
      </c>
      <c r="C1413" s="13" t="s">
        <v>3160</v>
      </c>
      <c r="D1413" s="9" t="s">
        <v>536</v>
      </c>
      <c r="E1413" s="13" t="s">
        <v>3323</v>
      </c>
    </row>
    <row r="1414" spans="1:5" ht="43.2" x14ac:dyDescent="0.3">
      <c r="A1414" s="13" t="s">
        <v>3161</v>
      </c>
      <c r="B1414" t="s">
        <v>3161</v>
      </c>
      <c r="C1414" s="13" t="s">
        <v>3161</v>
      </c>
      <c r="D1414" s="9" t="s">
        <v>536</v>
      </c>
      <c r="E1414" s="13" t="s">
        <v>3323</v>
      </c>
    </row>
    <row r="1415" spans="1:5" ht="43.2" x14ac:dyDescent="0.3">
      <c r="A1415" s="13" t="s">
        <v>3162</v>
      </c>
      <c r="B1415" t="s">
        <v>3162</v>
      </c>
      <c r="C1415" s="13" t="s">
        <v>3162</v>
      </c>
      <c r="D1415" s="9" t="s">
        <v>536</v>
      </c>
      <c r="E1415" s="13" t="s">
        <v>3323</v>
      </c>
    </row>
    <row r="1416" spans="1:5" ht="43.2" x14ac:dyDescent="0.3">
      <c r="A1416" s="13" t="s">
        <v>1748</v>
      </c>
      <c r="B1416" t="s">
        <v>1748</v>
      </c>
      <c r="C1416" s="13" t="s">
        <v>1748</v>
      </c>
      <c r="D1416" s="9" t="s">
        <v>536</v>
      </c>
      <c r="E1416" s="13" t="s">
        <v>3323</v>
      </c>
    </row>
    <row r="1417" spans="1:5" ht="43.2" x14ac:dyDescent="0.3">
      <c r="A1417" s="13" t="s">
        <v>3163</v>
      </c>
      <c r="B1417" t="s">
        <v>3163</v>
      </c>
      <c r="C1417" s="13" t="s">
        <v>3163</v>
      </c>
      <c r="D1417" s="9" t="s">
        <v>536</v>
      </c>
      <c r="E1417" s="13" t="s">
        <v>3323</v>
      </c>
    </row>
    <row r="1418" spans="1:5" ht="43.2" x14ac:dyDescent="0.3">
      <c r="A1418" s="13" t="s">
        <v>1747</v>
      </c>
      <c r="B1418" t="s">
        <v>1747</v>
      </c>
      <c r="C1418" s="13" t="s">
        <v>1747</v>
      </c>
      <c r="D1418" s="9" t="s">
        <v>536</v>
      </c>
      <c r="E1418" s="13" t="s">
        <v>3323</v>
      </c>
    </row>
    <row r="1419" spans="1:5" ht="43.2" x14ac:dyDescent="0.3">
      <c r="A1419" s="13" t="s">
        <v>1746</v>
      </c>
      <c r="B1419" t="s">
        <v>1746</v>
      </c>
      <c r="C1419" s="13" t="s">
        <v>1746</v>
      </c>
      <c r="D1419" s="9" t="s">
        <v>536</v>
      </c>
      <c r="E1419" s="13" t="s">
        <v>3323</v>
      </c>
    </row>
    <row r="1420" spans="1:5" ht="43.2" x14ac:dyDescent="0.3">
      <c r="A1420" s="13" t="s">
        <v>3164</v>
      </c>
      <c r="B1420" t="s">
        <v>3164</v>
      </c>
      <c r="C1420" s="13" t="s">
        <v>3164</v>
      </c>
      <c r="D1420" s="9" t="s">
        <v>536</v>
      </c>
      <c r="E1420" s="13" t="s">
        <v>3323</v>
      </c>
    </row>
    <row r="1421" spans="1:5" ht="43.2" x14ac:dyDescent="0.3">
      <c r="A1421" s="13" t="s">
        <v>3165</v>
      </c>
      <c r="B1421" t="s">
        <v>3165</v>
      </c>
      <c r="C1421" s="13" t="s">
        <v>3165</v>
      </c>
      <c r="D1421" s="9" t="s">
        <v>536</v>
      </c>
      <c r="E1421" s="13" t="s">
        <v>3323</v>
      </c>
    </row>
    <row r="1422" spans="1:5" ht="43.2" x14ac:dyDescent="0.3">
      <c r="A1422" s="13" t="s">
        <v>1745</v>
      </c>
      <c r="B1422" t="s">
        <v>1745</v>
      </c>
      <c r="C1422" s="13" t="s">
        <v>1745</v>
      </c>
      <c r="D1422" s="9" t="s">
        <v>536</v>
      </c>
      <c r="E1422" s="13" t="s">
        <v>3323</v>
      </c>
    </row>
    <row r="1423" spans="1:5" ht="43.2" x14ac:dyDescent="0.3">
      <c r="A1423" s="13" t="s">
        <v>1744</v>
      </c>
      <c r="B1423" t="s">
        <v>1744</v>
      </c>
      <c r="C1423" s="13" t="s">
        <v>1744</v>
      </c>
      <c r="D1423" s="9" t="s">
        <v>536</v>
      </c>
      <c r="E1423" s="13" t="s">
        <v>3323</v>
      </c>
    </row>
    <row r="1424" spans="1:5" ht="43.2" x14ac:dyDescent="0.3">
      <c r="A1424" s="13" t="s">
        <v>1743</v>
      </c>
      <c r="B1424" t="s">
        <v>1743</v>
      </c>
      <c r="C1424" s="13" t="s">
        <v>1743</v>
      </c>
      <c r="D1424" s="9" t="s">
        <v>536</v>
      </c>
      <c r="E1424" s="13" t="s">
        <v>3323</v>
      </c>
    </row>
    <row r="1425" spans="1:5" ht="43.2" x14ac:dyDescent="0.3">
      <c r="A1425" s="13" t="s">
        <v>1742</v>
      </c>
      <c r="B1425" t="s">
        <v>1742</v>
      </c>
      <c r="C1425" s="13" t="s">
        <v>1742</v>
      </c>
      <c r="D1425" s="9" t="s">
        <v>536</v>
      </c>
      <c r="E1425" s="13" t="s">
        <v>3323</v>
      </c>
    </row>
    <row r="1426" spans="1:5" ht="43.2" x14ac:dyDescent="0.3">
      <c r="A1426" s="13" t="s">
        <v>1741</v>
      </c>
      <c r="B1426" t="s">
        <v>1741</v>
      </c>
      <c r="C1426" s="13" t="s">
        <v>1741</v>
      </c>
      <c r="D1426" s="9" t="s">
        <v>536</v>
      </c>
      <c r="E1426" s="13" t="s">
        <v>3323</v>
      </c>
    </row>
    <row r="1427" spans="1:5" ht="43.2" x14ac:dyDescent="0.3">
      <c r="A1427" s="13" t="s">
        <v>3166</v>
      </c>
      <c r="B1427" t="s">
        <v>3166</v>
      </c>
      <c r="C1427" s="13" t="s">
        <v>3166</v>
      </c>
      <c r="D1427" s="9" t="s">
        <v>536</v>
      </c>
      <c r="E1427" s="13" t="s">
        <v>3323</v>
      </c>
    </row>
    <row r="1428" spans="1:5" ht="43.2" x14ac:dyDescent="0.3">
      <c r="A1428" s="13" t="s">
        <v>3167</v>
      </c>
      <c r="B1428" t="s">
        <v>3167</v>
      </c>
      <c r="C1428" s="13" t="s">
        <v>3167</v>
      </c>
      <c r="D1428" s="9" t="s">
        <v>536</v>
      </c>
      <c r="E1428" s="13" t="s">
        <v>3323</v>
      </c>
    </row>
    <row r="1429" spans="1:5" ht="43.2" x14ac:dyDescent="0.3">
      <c r="A1429" s="13" t="s">
        <v>1740</v>
      </c>
      <c r="B1429" t="s">
        <v>1740</v>
      </c>
      <c r="C1429" s="13" t="s">
        <v>1740</v>
      </c>
      <c r="D1429" s="9" t="s">
        <v>536</v>
      </c>
      <c r="E1429" s="13" t="s">
        <v>3323</v>
      </c>
    </row>
    <row r="1430" spans="1:5" ht="43.2" x14ac:dyDescent="0.3">
      <c r="A1430" s="13" t="s">
        <v>1739</v>
      </c>
      <c r="B1430" t="s">
        <v>1739</v>
      </c>
      <c r="C1430" s="13" t="s">
        <v>1739</v>
      </c>
      <c r="D1430" s="9" t="s">
        <v>536</v>
      </c>
      <c r="E1430" s="13" t="s">
        <v>3323</v>
      </c>
    </row>
    <row r="1431" spans="1:5" ht="43.2" x14ac:dyDescent="0.3">
      <c r="A1431" s="13" t="s">
        <v>1738</v>
      </c>
      <c r="B1431" t="s">
        <v>1738</v>
      </c>
      <c r="C1431" s="13" t="s">
        <v>1738</v>
      </c>
      <c r="D1431" s="9" t="s">
        <v>536</v>
      </c>
      <c r="E1431" s="13" t="s">
        <v>3323</v>
      </c>
    </row>
    <row r="1432" spans="1:5" ht="43.2" x14ac:dyDescent="0.3">
      <c r="A1432" s="13" t="s">
        <v>1737</v>
      </c>
      <c r="B1432" t="s">
        <v>1737</v>
      </c>
      <c r="C1432" s="13" t="s">
        <v>1737</v>
      </c>
      <c r="D1432" s="9" t="s">
        <v>536</v>
      </c>
      <c r="E1432" s="13" t="s">
        <v>3323</v>
      </c>
    </row>
    <row r="1433" spans="1:5" ht="43.2" x14ac:dyDescent="0.3">
      <c r="A1433" s="13" t="s">
        <v>1736</v>
      </c>
      <c r="B1433" t="s">
        <v>1736</v>
      </c>
      <c r="C1433" s="13" t="s">
        <v>1736</v>
      </c>
      <c r="D1433" s="9" t="s">
        <v>536</v>
      </c>
      <c r="E1433" s="13" t="s">
        <v>3323</v>
      </c>
    </row>
    <row r="1434" spans="1:5" ht="43.2" x14ac:dyDescent="0.3">
      <c r="A1434" s="13" t="s">
        <v>3168</v>
      </c>
      <c r="B1434" t="s">
        <v>3168</v>
      </c>
      <c r="C1434" s="13" t="s">
        <v>3168</v>
      </c>
      <c r="D1434" s="9" t="s">
        <v>536</v>
      </c>
      <c r="E1434" s="13" t="s">
        <v>3323</v>
      </c>
    </row>
    <row r="1435" spans="1:5" ht="43.2" x14ac:dyDescent="0.3">
      <c r="A1435" s="13" t="s">
        <v>3169</v>
      </c>
      <c r="B1435" t="s">
        <v>3169</v>
      </c>
      <c r="C1435" s="13" t="s">
        <v>3169</v>
      </c>
      <c r="D1435" s="9" t="s">
        <v>536</v>
      </c>
      <c r="E1435" s="13" t="s">
        <v>3323</v>
      </c>
    </row>
    <row r="1436" spans="1:5" ht="43.2" x14ac:dyDescent="0.3">
      <c r="A1436" s="13" t="s">
        <v>1735</v>
      </c>
      <c r="B1436" t="s">
        <v>1735</v>
      </c>
      <c r="C1436" s="13" t="s">
        <v>1735</v>
      </c>
      <c r="D1436" s="9" t="s">
        <v>536</v>
      </c>
      <c r="E1436" s="13" t="s">
        <v>3323</v>
      </c>
    </row>
    <row r="1437" spans="1:5" ht="43.2" x14ac:dyDescent="0.3">
      <c r="A1437" s="13" t="s">
        <v>1734</v>
      </c>
      <c r="B1437" t="s">
        <v>1734</v>
      </c>
      <c r="C1437" s="13" t="s">
        <v>1734</v>
      </c>
      <c r="D1437" s="9" t="s">
        <v>536</v>
      </c>
      <c r="E1437" s="13" t="s">
        <v>3323</v>
      </c>
    </row>
    <row r="1438" spans="1:5" ht="43.2" x14ac:dyDescent="0.3">
      <c r="A1438" s="13" t="s">
        <v>1733</v>
      </c>
      <c r="B1438" t="s">
        <v>1733</v>
      </c>
      <c r="C1438" s="13" t="s">
        <v>1733</v>
      </c>
      <c r="D1438" s="9" t="s">
        <v>536</v>
      </c>
      <c r="E1438" s="13" t="s">
        <v>3323</v>
      </c>
    </row>
    <row r="1439" spans="1:5" ht="43.2" x14ac:dyDescent="0.3">
      <c r="A1439" s="13" t="s">
        <v>1732</v>
      </c>
      <c r="B1439" t="s">
        <v>1732</v>
      </c>
      <c r="C1439" s="13" t="s">
        <v>1732</v>
      </c>
      <c r="D1439" s="9" t="s">
        <v>536</v>
      </c>
      <c r="E1439" s="13" t="s">
        <v>3323</v>
      </c>
    </row>
    <row r="1440" spans="1:5" ht="43.2" x14ac:dyDescent="0.3">
      <c r="A1440" s="13" t="s">
        <v>1731</v>
      </c>
      <c r="B1440" t="s">
        <v>1731</v>
      </c>
      <c r="C1440" s="13" t="s">
        <v>1731</v>
      </c>
      <c r="D1440" s="9" t="s">
        <v>536</v>
      </c>
      <c r="E1440" s="13" t="s">
        <v>3323</v>
      </c>
    </row>
    <row r="1441" spans="1:5" ht="43.2" x14ac:dyDescent="0.3">
      <c r="A1441" s="13" t="s">
        <v>3170</v>
      </c>
      <c r="B1441" t="s">
        <v>3170</v>
      </c>
      <c r="C1441" s="13" t="s">
        <v>3170</v>
      </c>
      <c r="D1441" s="9" t="s">
        <v>536</v>
      </c>
      <c r="E1441" s="13" t="s">
        <v>3323</v>
      </c>
    </row>
    <row r="1442" spans="1:5" ht="43.2" x14ac:dyDescent="0.3">
      <c r="A1442" s="13" t="s">
        <v>3171</v>
      </c>
      <c r="B1442" t="s">
        <v>3171</v>
      </c>
      <c r="C1442" s="13" t="s">
        <v>3171</v>
      </c>
      <c r="D1442" s="9" t="s">
        <v>536</v>
      </c>
      <c r="E1442" s="13" t="s">
        <v>3323</v>
      </c>
    </row>
    <row r="1443" spans="1:5" ht="43.2" x14ac:dyDescent="0.3">
      <c r="A1443" s="13" t="s">
        <v>1730</v>
      </c>
      <c r="B1443" t="s">
        <v>1730</v>
      </c>
      <c r="C1443" s="13" t="s">
        <v>1730</v>
      </c>
      <c r="D1443" s="9" t="s">
        <v>536</v>
      </c>
      <c r="E1443" s="13" t="s">
        <v>3323</v>
      </c>
    </row>
    <row r="1444" spans="1:5" ht="43.2" x14ac:dyDescent="0.3">
      <c r="A1444" s="13" t="s">
        <v>1729</v>
      </c>
      <c r="B1444" t="s">
        <v>1729</v>
      </c>
      <c r="C1444" s="13" t="s">
        <v>1729</v>
      </c>
      <c r="D1444" s="9" t="s">
        <v>536</v>
      </c>
      <c r="E1444" s="13" t="s">
        <v>3323</v>
      </c>
    </row>
    <row r="1445" spans="1:5" ht="43.2" x14ac:dyDescent="0.3">
      <c r="A1445" s="13" t="s">
        <v>1728</v>
      </c>
      <c r="B1445" t="s">
        <v>1728</v>
      </c>
      <c r="C1445" s="13" t="s">
        <v>1728</v>
      </c>
      <c r="D1445" s="9" t="s">
        <v>536</v>
      </c>
      <c r="E1445" s="13" t="s">
        <v>3323</v>
      </c>
    </row>
    <row r="1446" spans="1:5" ht="43.2" x14ac:dyDescent="0.3">
      <c r="A1446" s="13" t="s">
        <v>1727</v>
      </c>
      <c r="B1446" t="s">
        <v>1727</v>
      </c>
      <c r="C1446" s="13" t="s">
        <v>1727</v>
      </c>
      <c r="D1446" s="9" t="s">
        <v>536</v>
      </c>
      <c r="E1446" s="13" t="s">
        <v>3323</v>
      </c>
    </row>
    <row r="1447" spans="1:5" ht="43.2" x14ac:dyDescent="0.3">
      <c r="A1447" s="13" t="s">
        <v>1726</v>
      </c>
      <c r="B1447" t="s">
        <v>1726</v>
      </c>
      <c r="C1447" s="13" t="s">
        <v>1726</v>
      </c>
      <c r="D1447" s="9" t="s">
        <v>536</v>
      </c>
      <c r="E1447" s="13" t="s">
        <v>3323</v>
      </c>
    </row>
    <row r="1448" spans="1:5" ht="43.2" x14ac:dyDescent="0.3">
      <c r="A1448" s="13" t="s">
        <v>3172</v>
      </c>
      <c r="B1448" t="s">
        <v>3172</v>
      </c>
      <c r="C1448" s="13" t="s">
        <v>3172</v>
      </c>
      <c r="D1448" s="9" t="s">
        <v>536</v>
      </c>
      <c r="E1448" s="13" t="s">
        <v>3323</v>
      </c>
    </row>
    <row r="1449" spans="1:5" ht="43.2" x14ac:dyDescent="0.3">
      <c r="A1449" s="13" t="s">
        <v>3173</v>
      </c>
      <c r="B1449" t="s">
        <v>3173</v>
      </c>
      <c r="C1449" s="13" t="s">
        <v>3173</v>
      </c>
      <c r="D1449" s="9" t="s">
        <v>536</v>
      </c>
      <c r="E1449" s="13" t="s">
        <v>3323</v>
      </c>
    </row>
    <row r="1450" spans="1:5" ht="43.2" x14ac:dyDescent="0.3">
      <c r="A1450" s="13" t="s">
        <v>1725</v>
      </c>
      <c r="B1450" t="s">
        <v>1725</v>
      </c>
      <c r="C1450" s="13" t="s">
        <v>1725</v>
      </c>
      <c r="D1450" s="9" t="s">
        <v>536</v>
      </c>
      <c r="E1450" s="13" t="s">
        <v>3323</v>
      </c>
    </row>
    <row r="1451" spans="1:5" ht="43.2" x14ac:dyDescent="0.3">
      <c r="A1451" s="13" t="s">
        <v>1724</v>
      </c>
      <c r="B1451" t="s">
        <v>1724</v>
      </c>
      <c r="C1451" s="13" t="s">
        <v>1724</v>
      </c>
      <c r="D1451" s="9" t="s">
        <v>536</v>
      </c>
      <c r="E1451" s="13" t="s">
        <v>3323</v>
      </c>
    </row>
    <row r="1452" spans="1:5" ht="43.2" x14ac:dyDescent="0.3">
      <c r="A1452" s="13" t="s">
        <v>1723</v>
      </c>
      <c r="B1452" t="s">
        <v>1723</v>
      </c>
      <c r="C1452" s="13" t="s">
        <v>1723</v>
      </c>
      <c r="D1452" s="9" t="s">
        <v>536</v>
      </c>
      <c r="E1452" s="13" t="s">
        <v>3323</v>
      </c>
    </row>
    <row r="1453" spans="1:5" ht="43.2" x14ac:dyDescent="0.3">
      <c r="A1453" s="13" t="s">
        <v>1722</v>
      </c>
      <c r="B1453" t="s">
        <v>1722</v>
      </c>
      <c r="C1453" s="13" t="s">
        <v>1722</v>
      </c>
      <c r="D1453" s="9" t="s">
        <v>536</v>
      </c>
      <c r="E1453" s="13" t="s">
        <v>3323</v>
      </c>
    </row>
    <row r="1454" spans="1:5" ht="43.2" x14ac:dyDescent="0.3">
      <c r="A1454" s="13" t="s">
        <v>1721</v>
      </c>
      <c r="B1454" t="s">
        <v>1721</v>
      </c>
      <c r="C1454" s="13" t="s">
        <v>1721</v>
      </c>
      <c r="D1454" s="9" t="s">
        <v>536</v>
      </c>
      <c r="E1454" s="13" t="s">
        <v>3323</v>
      </c>
    </row>
    <row r="1455" spans="1:5" ht="43.2" x14ac:dyDescent="0.3">
      <c r="A1455" s="13" t="s">
        <v>3174</v>
      </c>
      <c r="B1455" t="s">
        <v>3174</v>
      </c>
      <c r="C1455" s="13" t="s">
        <v>3174</v>
      </c>
      <c r="D1455" s="9" t="s">
        <v>536</v>
      </c>
      <c r="E1455" s="13" t="s">
        <v>3323</v>
      </c>
    </row>
    <row r="1456" spans="1:5" ht="43.2" x14ac:dyDescent="0.3">
      <c r="A1456" s="13" t="s">
        <v>3175</v>
      </c>
      <c r="B1456" t="s">
        <v>3175</v>
      </c>
      <c r="C1456" s="13" t="s">
        <v>3175</v>
      </c>
      <c r="D1456" s="9" t="s">
        <v>536</v>
      </c>
      <c r="E1456" s="13" t="s">
        <v>3323</v>
      </c>
    </row>
    <row r="1457" spans="1:5" ht="43.2" x14ac:dyDescent="0.3">
      <c r="A1457" s="13" t="s">
        <v>1720</v>
      </c>
      <c r="B1457" t="s">
        <v>1720</v>
      </c>
      <c r="C1457" s="13" t="s">
        <v>1720</v>
      </c>
      <c r="D1457" s="9" t="s">
        <v>536</v>
      </c>
      <c r="E1457" s="13" t="s">
        <v>3323</v>
      </c>
    </row>
    <row r="1458" spans="1:5" ht="43.2" x14ac:dyDescent="0.3">
      <c r="A1458" s="13" t="s">
        <v>1719</v>
      </c>
      <c r="B1458" t="s">
        <v>1719</v>
      </c>
      <c r="C1458" s="13" t="s">
        <v>1719</v>
      </c>
      <c r="D1458" s="9" t="s">
        <v>536</v>
      </c>
      <c r="E1458" s="13" t="s">
        <v>3323</v>
      </c>
    </row>
    <row r="1459" spans="1:5" ht="43.2" x14ac:dyDescent="0.3">
      <c r="A1459" s="13" t="s">
        <v>1718</v>
      </c>
      <c r="B1459" t="s">
        <v>1718</v>
      </c>
      <c r="C1459" s="13" t="s">
        <v>1718</v>
      </c>
      <c r="D1459" s="9" t="s">
        <v>536</v>
      </c>
      <c r="E1459" s="13" t="s">
        <v>3323</v>
      </c>
    </row>
    <row r="1460" spans="1:5" ht="43.2" x14ac:dyDescent="0.3">
      <c r="A1460" s="13" t="s">
        <v>1717</v>
      </c>
      <c r="B1460" t="s">
        <v>1717</v>
      </c>
      <c r="C1460" s="13" t="s">
        <v>1717</v>
      </c>
      <c r="D1460" s="9" t="s">
        <v>536</v>
      </c>
      <c r="E1460" s="13" t="s">
        <v>3323</v>
      </c>
    </row>
    <row r="1461" spans="1:5" ht="43.2" x14ac:dyDescent="0.3">
      <c r="A1461" s="13" t="s">
        <v>1716</v>
      </c>
      <c r="B1461" t="s">
        <v>1716</v>
      </c>
      <c r="C1461" s="13" t="s">
        <v>1716</v>
      </c>
      <c r="D1461" s="9" t="s">
        <v>536</v>
      </c>
      <c r="E1461" s="13" t="s">
        <v>3323</v>
      </c>
    </row>
    <row r="1462" spans="1:5" ht="43.2" x14ac:dyDescent="0.3">
      <c r="A1462" s="13" t="s">
        <v>3176</v>
      </c>
      <c r="B1462" t="s">
        <v>3176</v>
      </c>
      <c r="C1462" s="13" t="s">
        <v>3176</v>
      </c>
      <c r="D1462" s="9" t="s">
        <v>536</v>
      </c>
      <c r="E1462" s="13" t="s">
        <v>3323</v>
      </c>
    </row>
    <row r="1463" spans="1:5" ht="43.2" x14ac:dyDescent="0.3">
      <c r="A1463" s="13" t="s">
        <v>3177</v>
      </c>
      <c r="B1463" t="s">
        <v>3177</v>
      </c>
      <c r="C1463" s="13" t="s">
        <v>3177</v>
      </c>
      <c r="D1463" s="9" t="s">
        <v>536</v>
      </c>
      <c r="E1463" s="13" t="s">
        <v>3323</v>
      </c>
    </row>
    <row r="1464" spans="1:5" ht="43.2" x14ac:dyDescent="0.3">
      <c r="A1464" s="13" t="s">
        <v>1715</v>
      </c>
      <c r="B1464" t="s">
        <v>1715</v>
      </c>
      <c r="C1464" s="13" t="s">
        <v>1715</v>
      </c>
      <c r="D1464" s="9" t="s">
        <v>536</v>
      </c>
      <c r="E1464" s="13" t="s">
        <v>3323</v>
      </c>
    </row>
    <row r="1465" spans="1:5" ht="43.2" x14ac:dyDescent="0.3">
      <c r="A1465" s="13" t="s">
        <v>1714</v>
      </c>
      <c r="B1465" t="s">
        <v>1714</v>
      </c>
      <c r="C1465" s="13" t="s">
        <v>1714</v>
      </c>
      <c r="D1465" s="9" t="s">
        <v>536</v>
      </c>
      <c r="E1465" s="13" t="s">
        <v>3323</v>
      </c>
    </row>
    <row r="1466" spans="1:5" ht="43.2" x14ac:dyDescent="0.3">
      <c r="A1466" s="13" t="s">
        <v>1713</v>
      </c>
      <c r="B1466" t="s">
        <v>1713</v>
      </c>
      <c r="C1466" s="13" t="s">
        <v>1713</v>
      </c>
      <c r="D1466" s="9" t="s">
        <v>536</v>
      </c>
      <c r="E1466" s="13" t="s">
        <v>3323</v>
      </c>
    </row>
    <row r="1467" spans="1:5" ht="43.2" x14ac:dyDescent="0.3">
      <c r="A1467" s="13" t="s">
        <v>1712</v>
      </c>
      <c r="B1467" t="s">
        <v>1712</v>
      </c>
      <c r="C1467" s="13" t="s">
        <v>1712</v>
      </c>
      <c r="D1467" s="9" t="s">
        <v>536</v>
      </c>
      <c r="E1467" s="13" t="s">
        <v>3323</v>
      </c>
    </row>
    <row r="1468" spans="1:5" ht="43.2" x14ac:dyDescent="0.3">
      <c r="A1468" s="13" t="s">
        <v>1711</v>
      </c>
      <c r="B1468" t="s">
        <v>1711</v>
      </c>
      <c r="C1468" s="13" t="s">
        <v>1711</v>
      </c>
      <c r="D1468" s="9" t="s">
        <v>536</v>
      </c>
      <c r="E1468" s="13" t="s">
        <v>3323</v>
      </c>
    </row>
    <row r="1469" spans="1:5" ht="43.2" x14ac:dyDescent="0.3">
      <c r="A1469" s="13" t="s">
        <v>3178</v>
      </c>
      <c r="B1469" t="s">
        <v>3178</v>
      </c>
      <c r="C1469" s="13" t="s">
        <v>3178</v>
      </c>
      <c r="D1469" s="9" t="s">
        <v>536</v>
      </c>
      <c r="E1469" s="13" t="s">
        <v>3323</v>
      </c>
    </row>
    <row r="1470" spans="1:5" ht="43.2" x14ac:dyDescent="0.3">
      <c r="A1470" s="13" t="s">
        <v>3179</v>
      </c>
      <c r="B1470" t="s">
        <v>3179</v>
      </c>
      <c r="C1470" s="13" t="s">
        <v>3179</v>
      </c>
      <c r="D1470" s="9" t="s">
        <v>536</v>
      </c>
      <c r="E1470" s="13" t="s">
        <v>3323</v>
      </c>
    </row>
    <row r="1471" spans="1:5" ht="43.2" x14ac:dyDescent="0.3">
      <c r="A1471" s="13" t="s">
        <v>1710</v>
      </c>
      <c r="B1471" t="s">
        <v>1710</v>
      </c>
      <c r="C1471" s="13" t="s">
        <v>1710</v>
      </c>
      <c r="D1471" s="9" t="s">
        <v>536</v>
      </c>
      <c r="E1471" s="13" t="s">
        <v>3323</v>
      </c>
    </row>
    <row r="1472" spans="1:5" ht="43.2" x14ac:dyDescent="0.3">
      <c r="A1472" s="13" t="s">
        <v>1709</v>
      </c>
      <c r="B1472" t="s">
        <v>1709</v>
      </c>
      <c r="C1472" s="13" t="s">
        <v>1709</v>
      </c>
      <c r="D1472" s="9" t="s">
        <v>536</v>
      </c>
      <c r="E1472" s="13" t="s">
        <v>3323</v>
      </c>
    </row>
    <row r="1473" spans="1:5" ht="43.2" x14ac:dyDescent="0.3">
      <c r="A1473" s="13" t="s">
        <v>1708</v>
      </c>
      <c r="B1473" t="s">
        <v>1708</v>
      </c>
      <c r="C1473" s="13" t="s">
        <v>1708</v>
      </c>
      <c r="D1473" s="9" t="s">
        <v>536</v>
      </c>
      <c r="E1473" s="13" t="s">
        <v>3323</v>
      </c>
    </row>
    <row r="1474" spans="1:5" ht="43.2" x14ac:dyDescent="0.3">
      <c r="A1474" s="13" t="s">
        <v>1707</v>
      </c>
      <c r="B1474" t="s">
        <v>1707</v>
      </c>
      <c r="C1474" s="13" t="s">
        <v>1707</v>
      </c>
      <c r="D1474" s="9" t="s">
        <v>536</v>
      </c>
      <c r="E1474" s="13" t="s">
        <v>3323</v>
      </c>
    </row>
    <row r="1475" spans="1:5" ht="43.2" x14ac:dyDescent="0.3">
      <c r="A1475" s="13" t="s">
        <v>1706</v>
      </c>
      <c r="B1475" t="s">
        <v>1706</v>
      </c>
      <c r="C1475" s="13" t="s">
        <v>1706</v>
      </c>
      <c r="D1475" s="9" t="s">
        <v>536</v>
      </c>
      <c r="E1475" s="13" t="s">
        <v>3323</v>
      </c>
    </row>
    <row r="1476" spans="1:5" ht="43.2" x14ac:dyDescent="0.3">
      <c r="A1476" s="13" t="s">
        <v>3180</v>
      </c>
      <c r="B1476" t="s">
        <v>3180</v>
      </c>
      <c r="C1476" s="13" t="s">
        <v>3180</v>
      </c>
      <c r="D1476" s="9" t="s">
        <v>536</v>
      </c>
      <c r="E1476" s="13" t="s">
        <v>3323</v>
      </c>
    </row>
    <row r="1477" spans="1:5" ht="43.2" x14ac:dyDescent="0.3">
      <c r="A1477" s="13" t="s">
        <v>3181</v>
      </c>
      <c r="B1477" t="s">
        <v>3181</v>
      </c>
      <c r="C1477" s="13" t="s">
        <v>3181</v>
      </c>
      <c r="D1477" s="9" t="s">
        <v>536</v>
      </c>
      <c r="E1477" s="13" t="s">
        <v>3323</v>
      </c>
    </row>
    <row r="1478" spans="1:5" ht="43.2" x14ac:dyDescent="0.3">
      <c r="A1478" s="13" t="s">
        <v>1705</v>
      </c>
      <c r="B1478" t="s">
        <v>1705</v>
      </c>
      <c r="C1478" s="13" t="s">
        <v>1705</v>
      </c>
      <c r="D1478" s="9" t="s">
        <v>536</v>
      </c>
      <c r="E1478" s="13" t="s">
        <v>3323</v>
      </c>
    </row>
    <row r="1479" spans="1:5" ht="43.2" x14ac:dyDescent="0.3">
      <c r="A1479" s="13" t="s">
        <v>1704</v>
      </c>
      <c r="B1479" t="s">
        <v>1704</v>
      </c>
      <c r="C1479" s="13" t="s">
        <v>1704</v>
      </c>
      <c r="D1479" s="9" t="s">
        <v>536</v>
      </c>
      <c r="E1479" s="13" t="s">
        <v>3323</v>
      </c>
    </row>
    <row r="1480" spans="1:5" ht="43.2" x14ac:dyDescent="0.3">
      <c r="A1480" s="13" t="s">
        <v>1703</v>
      </c>
      <c r="B1480" t="s">
        <v>1703</v>
      </c>
      <c r="C1480" s="13" t="s">
        <v>1703</v>
      </c>
      <c r="D1480" s="9" t="s">
        <v>536</v>
      </c>
      <c r="E1480" s="13" t="s">
        <v>3323</v>
      </c>
    </row>
    <row r="1481" spans="1:5" ht="43.2" x14ac:dyDescent="0.3">
      <c r="A1481" s="13" t="s">
        <v>1702</v>
      </c>
      <c r="B1481" t="s">
        <v>1702</v>
      </c>
      <c r="C1481" s="13" t="s">
        <v>1702</v>
      </c>
      <c r="D1481" s="9" t="s">
        <v>536</v>
      </c>
      <c r="E1481" s="13" t="s">
        <v>3323</v>
      </c>
    </row>
    <row r="1482" spans="1:5" ht="43.2" x14ac:dyDescent="0.3">
      <c r="A1482" s="13" t="s">
        <v>1701</v>
      </c>
      <c r="B1482" t="s">
        <v>1701</v>
      </c>
      <c r="C1482" s="13" t="s">
        <v>1701</v>
      </c>
      <c r="D1482" s="9" t="s">
        <v>536</v>
      </c>
      <c r="E1482" s="13" t="s">
        <v>3323</v>
      </c>
    </row>
    <row r="1483" spans="1:5" ht="43.2" x14ac:dyDescent="0.3">
      <c r="A1483" s="13" t="s">
        <v>3182</v>
      </c>
      <c r="B1483" t="s">
        <v>3182</v>
      </c>
      <c r="C1483" s="13" t="s">
        <v>3182</v>
      </c>
      <c r="D1483" s="9" t="s">
        <v>536</v>
      </c>
      <c r="E1483" s="13" t="s">
        <v>3323</v>
      </c>
    </row>
    <row r="1484" spans="1:5" ht="43.2" x14ac:dyDescent="0.3">
      <c r="A1484" s="13" t="s">
        <v>3183</v>
      </c>
      <c r="B1484" t="s">
        <v>3183</v>
      </c>
      <c r="C1484" s="13" t="s">
        <v>3183</v>
      </c>
      <c r="D1484" s="9" t="s">
        <v>536</v>
      </c>
      <c r="E1484" s="13" t="s">
        <v>3323</v>
      </c>
    </row>
    <row r="1485" spans="1:5" ht="43.2" x14ac:dyDescent="0.3">
      <c r="A1485" s="13" t="s">
        <v>1700</v>
      </c>
      <c r="B1485" t="s">
        <v>1700</v>
      </c>
      <c r="C1485" s="13" t="s">
        <v>1700</v>
      </c>
      <c r="D1485" s="9" t="s">
        <v>536</v>
      </c>
      <c r="E1485" s="13" t="s">
        <v>3323</v>
      </c>
    </row>
    <row r="1486" spans="1:5" ht="43.2" x14ac:dyDescent="0.3">
      <c r="A1486" s="13" t="s">
        <v>1699</v>
      </c>
      <c r="B1486" t="s">
        <v>1699</v>
      </c>
      <c r="C1486" s="13" t="s">
        <v>1699</v>
      </c>
      <c r="D1486" s="9" t="s">
        <v>536</v>
      </c>
      <c r="E1486" s="13" t="s">
        <v>3323</v>
      </c>
    </row>
    <row r="1487" spans="1:5" ht="43.2" x14ac:dyDescent="0.3">
      <c r="A1487" s="13" t="s">
        <v>1698</v>
      </c>
      <c r="B1487" t="s">
        <v>1698</v>
      </c>
      <c r="C1487" s="13" t="s">
        <v>1698</v>
      </c>
      <c r="D1487" s="9" t="s">
        <v>536</v>
      </c>
      <c r="E1487" s="13" t="s">
        <v>3323</v>
      </c>
    </row>
    <row r="1488" spans="1:5" ht="43.2" x14ac:dyDescent="0.3">
      <c r="A1488" s="13" t="s">
        <v>1697</v>
      </c>
      <c r="B1488" t="s">
        <v>1697</v>
      </c>
      <c r="C1488" s="13" t="s">
        <v>1697</v>
      </c>
      <c r="D1488" s="9" t="s">
        <v>536</v>
      </c>
      <c r="E1488" s="13" t="s">
        <v>3323</v>
      </c>
    </row>
    <row r="1489" spans="1:5" ht="43.2" x14ac:dyDescent="0.3">
      <c r="A1489" s="13" t="s">
        <v>1696</v>
      </c>
      <c r="B1489" t="s">
        <v>1696</v>
      </c>
      <c r="C1489" s="13" t="s">
        <v>1696</v>
      </c>
      <c r="D1489" s="9" t="s">
        <v>536</v>
      </c>
      <c r="E1489" s="13" t="s">
        <v>3323</v>
      </c>
    </row>
    <row r="1490" spans="1:5" ht="43.2" x14ac:dyDescent="0.3">
      <c r="A1490" s="13" t="s">
        <v>3184</v>
      </c>
      <c r="B1490" t="s">
        <v>3184</v>
      </c>
      <c r="C1490" s="13" t="s">
        <v>3184</v>
      </c>
      <c r="D1490" s="9" t="s">
        <v>536</v>
      </c>
      <c r="E1490" s="13" t="s">
        <v>3323</v>
      </c>
    </row>
    <row r="1491" spans="1:5" ht="43.2" x14ac:dyDescent="0.3">
      <c r="A1491" s="13" t="s">
        <v>3185</v>
      </c>
      <c r="B1491" t="s">
        <v>3185</v>
      </c>
      <c r="C1491" s="13" t="s">
        <v>3185</v>
      </c>
      <c r="D1491" s="9" t="s">
        <v>536</v>
      </c>
      <c r="E1491" s="13" t="s">
        <v>3323</v>
      </c>
    </row>
    <row r="1492" spans="1:5" ht="43.2" x14ac:dyDescent="0.3">
      <c r="A1492" s="13" t="s">
        <v>3186</v>
      </c>
      <c r="B1492" t="s">
        <v>3186</v>
      </c>
      <c r="C1492" s="13" t="s">
        <v>3186</v>
      </c>
      <c r="D1492" s="9" t="s">
        <v>536</v>
      </c>
      <c r="E1492" s="13" t="s">
        <v>3323</v>
      </c>
    </row>
    <row r="1493" spans="1:5" ht="43.2" x14ac:dyDescent="0.3">
      <c r="A1493" s="13" t="s">
        <v>3187</v>
      </c>
      <c r="B1493" t="s">
        <v>3187</v>
      </c>
      <c r="C1493" s="13" t="s">
        <v>3187</v>
      </c>
      <c r="D1493" s="9" t="s">
        <v>536</v>
      </c>
      <c r="E1493" s="13" t="s">
        <v>3323</v>
      </c>
    </row>
    <row r="1494" spans="1:5" ht="43.2" x14ac:dyDescent="0.3">
      <c r="A1494" s="13" t="s">
        <v>3188</v>
      </c>
      <c r="B1494" t="s">
        <v>3188</v>
      </c>
      <c r="C1494" s="13" t="s">
        <v>3188</v>
      </c>
      <c r="D1494" s="9" t="s">
        <v>536</v>
      </c>
      <c r="E1494" s="13" t="s">
        <v>3323</v>
      </c>
    </row>
    <row r="1495" spans="1:5" ht="43.2" x14ac:dyDescent="0.3">
      <c r="A1495" s="13" t="s">
        <v>3189</v>
      </c>
      <c r="B1495" t="s">
        <v>3189</v>
      </c>
      <c r="C1495" s="13" t="s">
        <v>3189</v>
      </c>
      <c r="D1495" s="9" t="s">
        <v>536</v>
      </c>
      <c r="E1495" s="13" t="s">
        <v>3323</v>
      </c>
    </row>
    <row r="1496" spans="1:5" ht="43.2" x14ac:dyDescent="0.3">
      <c r="A1496" s="13" t="s">
        <v>3190</v>
      </c>
      <c r="B1496" t="s">
        <v>3190</v>
      </c>
      <c r="C1496" s="13" t="s">
        <v>3190</v>
      </c>
      <c r="D1496" s="9" t="s">
        <v>536</v>
      </c>
      <c r="E1496" s="13" t="s">
        <v>3323</v>
      </c>
    </row>
    <row r="1497" spans="1:5" x14ac:dyDescent="0.3">
      <c r="A1497" s="27" t="s">
        <v>3324</v>
      </c>
      <c r="B1497" t="s">
        <v>3201</v>
      </c>
      <c r="C1497" s="13" t="s">
        <v>3324</v>
      </c>
      <c r="D1497" s="9" t="s">
        <v>536</v>
      </c>
      <c r="E1497" s="13" t="s">
        <v>3323</v>
      </c>
    </row>
    <row r="1498" spans="1:5" ht="43.2" x14ac:dyDescent="0.3">
      <c r="A1498" s="26" t="s">
        <v>3202</v>
      </c>
      <c r="B1498" t="s">
        <v>3202</v>
      </c>
      <c r="C1498" s="13" t="s">
        <v>3202</v>
      </c>
      <c r="D1498" s="9" t="s">
        <v>536</v>
      </c>
      <c r="E1498" s="13" t="s">
        <v>3323</v>
      </c>
    </row>
    <row r="1499" spans="1:5" ht="43.2" x14ac:dyDescent="0.3">
      <c r="A1499" s="26" t="s">
        <v>3203</v>
      </c>
      <c r="B1499" t="s">
        <v>3203</v>
      </c>
      <c r="C1499" s="13" t="s">
        <v>3203</v>
      </c>
      <c r="D1499" s="9" t="s">
        <v>536</v>
      </c>
      <c r="E1499" s="13" t="s">
        <v>3323</v>
      </c>
    </row>
    <row r="1500" spans="1:5" ht="43.2" x14ac:dyDescent="0.3">
      <c r="A1500" s="26" t="s">
        <v>3204</v>
      </c>
      <c r="B1500" t="s">
        <v>3204</v>
      </c>
      <c r="C1500" s="13" t="s">
        <v>3204</v>
      </c>
      <c r="D1500" s="9" t="s">
        <v>536</v>
      </c>
      <c r="E1500" s="13" t="s">
        <v>3323</v>
      </c>
    </row>
    <row r="1501" spans="1:5" ht="43.2" x14ac:dyDescent="0.3">
      <c r="A1501" s="26" t="s">
        <v>3205</v>
      </c>
      <c r="B1501" t="s">
        <v>3205</v>
      </c>
      <c r="C1501" s="13" t="s">
        <v>3205</v>
      </c>
      <c r="D1501" s="9" t="s">
        <v>536</v>
      </c>
      <c r="E1501" s="13" t="s">
        <v>3323</v>
      </c>
    </row>
    <row r="1502" spans="1:5" ht="43.2" x14ac:dyDescent="0.3">
      <c r="A1502" s="26" t="s">
        <v>1695</v>
      </c>
      <c r="B1502" t="s">
        <v>1695</v>
      </c>
      <c r="C1502" s="13" t="s">
        <v>1695</v>
      </c>
      <c r="D1502" s="9" t="s">
        <v>536</v>
      </c>
      <c r="E1502" s="13" t="s">
        <v>3323</v>
      </c>
    </row>
    <row r="1503" spans="1:5" ht="43.2" x14ac:dyDescent="0.3">
      <c r="A1503" s="26" t="s">
        <v>3206</v>
      </c>
      <c r="B1503" t="s">
        <v>3206</v>
      </c>
      <c r="C1503" s="13" t="s">
        <v>3206</v>
      </c>
      <c r="D1503" s="9" t="s">
        <v>536</v>
      </c>
      <c r="E1503" s="13" t="s">
        <v>3323</v>
      </c>
    </row>
    <row r="1504" spans="1:5" ht="43.2" x14ac:dyDescent="0.3">
      <c r="A1504" s="26" t="s">
        <v>3207</v>
      </c>
      <c r="B1504" t="s">
        <v>3207</v>
      </c>
      <c r="C1504" s="13" t="s">
        <v>3207</v>
      </c>
      <c r="D1504" s="9" t="s">
        <v>536</v>
      </c>
      <c r="E1504" s="13" t="s">
        <v>3323</v>
      </c>
    </row>
    <row r="1505" spans="1:5" ht="43.2" x14ac:dyDescent="0.3">
      <c r="A1505" s="26" t="s">
        <v>3208</v>
      </c>
      <c r="B1505" t="s">
        <v>3208</v>
      </c>
      <c r="C1505" s="13" t="s">
        <v>3208</v>
      </c>
      <c r="D1505" s="9" t="s">
        <v>536</v>
      </c>
      <c r="E1505" s="13" t="s">
        <v>3323</v>
      </c>
    </row>
    <row r="1506" spans="1:5" ht="43.2" x14ac:dyDescent="0.3">
      <c r="A1506" s="26" t="s">
        <v>3209</v>
      </c>
      <c r="B1506" t="s">
        <v>3209</v>
      </c>
      <c r="C1506" s="13" t="s">
        <v>3209</v>
      </c>
      <c r="D1506" s="9" t="s">
        <v>536</v>
      </c>
      <c r="E1506" s="13" t="s">
        <v>3323</v>
      </c>
    </row>
    <row r="1507" spans="1:5" ht="43.2" x14ac:dyDescent="0.3">
      <c r="A1507" s="26" t="s">
        <v>3210</v>
      </c>
      <c r="B1507" t="s">
        <v>3210</v>
      </c>
      <c r="C1507" s="13" t="s">
        <v>3210</v>
      </c>
      <c r="D1507" s="9" t="s">
        <v>536</v>
      </c>
      <c r="E1507" s="13" t="s">
        <v>3323</v>
      </c>
    </row>
    <row r="1508" spans="1:5" ht="43.2" x14ac:dyDescent="0.3">
      <c r="A1508" s="26" t="s">
        <v>3211</v>
      </c>
      <c r="B1508" t="s">
        <v>3211</v>
      </c>
      <c r="C1508" s="13" t="s">
        <v>3211</v>
      </c>
      <c r="D1508" s="9" t="s">
        <v>536</v>
      </c>
      <c r="E1508" s="13" t="s">
        <v>3323</v>
      </c>
    </row>
    <row r="1509" spans="1:5" ht="43.2" x14ac:dyDescent="0.3">
      <c r="A1509" s="26" t="s">
        <v>3212</v>
      </c>
      <c r="B1509" t="s">
        <v>3212</v>
      </c>
      <c r="C1509" s="13" t="s">
        <v>3212</v>
      </c>
      <c r="D1509" s="9" t="s">
        <v>536</v>
      </c>
      <c r="E1509" s="13" t="s">
        <v>3323</v>
      </c>
    </row>
    <row r="1510" spans="1:5" ht="43.2" x14ac:dyDescent="0.3">
      <c r="A1510" s="26" t="s">
        <v>1694</v>
      </c>
      <c r="B1510" t="s">
        <v>1694</v>
      </c>
      <c r="C1510" s="13" t="s">
        <v>1694</v>
      </c>
      <c r="D1510" s="9" t="s">
        <v>536</v>
      </c>
      <c r="E1510" s="13" t="s">
        <v>3323</v>
      </c>
    </row>
    <row r="1511" spans="1:5" ht="43.2" x14ac:dyDescent="0.3">
      <c r="A1511" s="26" t="s">
        <v>3213</v>
      </c>
      <c r="B1511" t="s">
        <v>3213</v>
      </c>
      <c r="C1511" s="13" t="s">
        <v>3213</v>
      </c>
      <c r="D1511" s="9" t="s">
        <v>536</v>
      </c>
      <c r="E1511" s="13" t="s">
        <v>3323</v>
      </c>
    </row>
    <row r="1512" spans="1:5" ht="43.2" x14ac:dyDescent="0.3">
      <c r="A1512" s="26" t="s">
        <v>3214</v>
      </c>
      <c r="B1512" t="s">
        <v>3214</v>
      </c>
      <c r="C1512" s="13" t="s">
        <v>3214</v>
      </c>
      <c r="D1512" s="9" t="s">
        <v>536</v>
      </c>
      <c r="E1512" s="13" t="s">
        <v>3323</v>
      </c>
    </row>
    <row r="1513" spans="1:5" ht="43.2" x14ac:dyDescent="0.3">
      <c r="A1513" s="26" t="s">
        <v>3215</v>
      </c>
      <c r="B1513" t="s">
        <v>3215</v>
      </c>
      <c r="C1513" s="13" t="s">
        <v>3215</v>
      </c>
      <c r="D1513" s="9" t="s">
        <v>536</v>
      </c>
      <c r="E1513" s="13" t="s">
        <v>3323</v>
      </c>
    </row>
    <row r="1514" spans="1:5" ht="43.2" x14ac:dyDescent="0.3">
      <c r="A1514" s="26" t="s">
        <v>3216</v>
      </c>
      <c r="B1514" t="s">
        <v>3216</v>
      </c>
      <c r="C1514" s="13" t="s">
        <v>3216</v>
      </c>
      <c r="D1514" s="9" t="s">
        <v>536</v>
      </c>
      <c r="E1514" s="13" t="s">
        <v>3323</v>
      </c>
    </row>
    <row r="1515" spans="1:5" ht="43.2" x14ac:dyDescent="0.3">
      <c r="A1515" s="26" t="s">
        <v>3217</v>
      </c>
      <c r="B1515" t="s">
        <v>3217</v>
      </c>
      <c r="C1515" s="13" t="s">
        <v>3217</v>
      </c>
      <c r="D1515" s="9" t="s">
        <v>536</v>
      </c>
      <c r="E1515" s="13" t="s">
        <v>3323</v>
      </c>
    </row>
    <row r="1516" spans="1:5" ht="43.2" x14ac:dyDescent="0.3">
      <c r="A1516" s="26" t="s">
        <v>3218</v>
      </c>
      <c r="B1516" t="s">
        <v>3218</v>
      </c>
      <c r="C1516" s="13" t="s">
        <v>3218</v>
      </c>
      <c r="D1516" s="9" t="s">
        <v>536</v>
      </c>
      <c r="E1516" s="13" t="s">
        <v>3323</v>
      </c>
    </row>
    <row r="1517" spans="1:5" ht="43.2" x14ac:dyDescent="0.3">
      <c r="A1517" s="26" t="s">
        <v>3219</v>
      </c>
      <c r="B1517" t="s">
        <v>3219</v>
      </c>
      <c r="C1517" s="13" t="s">
        <v>3219</v>
      </c>
      <c r="D1517" s="9" t="s">
        <v>536</v>
      </c>
      <c r="E1517" s="13" t="s">
        <v>3323</v>
      </c>
    </row>
    <row r="1518" spans="1:5" ht="43.2" x14ac:dyDescent="0.3">
      <c r="A1518" s="26" t="s">
        <v>3220</v>
      </c>
      <c r="B1518" t="s">
        <v>3220</v>
      </c>
      <c r="C1518" s="13" t="s">
        <v>3220</v>
      </c>
      <c r="D1518" s="9" t="s">
        <v>536</v>
      </c>
      <c r="E1518" s="13" t="s">
        <v>3323</v>
      </c>
    </row>
    <row r="1519" spans="1:5" ht="43.2" x14ac:dyDescent="0.3">
      <c r="A1519" s="26" t="s">
        <v>3221</v>
      </c>
      <c r="B1519" t="s">
        <v>3221</v>
      </c>
      <c r="C1519" s="13" t="s">
        <v>3221</v>
      </c>
      <c r="D1519" s="9" t="s">
        <v>536</v>
      </c>
      <c r="E1519" s="13" t="s">
        <v>3323</v>
      </c>
    </row>
    <row r="1520" spans="1:5" ht="43.2" x14ac:dyDescent="0.3">
      <c r="A1520" s="26" t="s">
        <v>3222</v>
      </c>
      <c r="B1520" t="s">
        <v>3222</v>
      </c>
      <c r="C1520" s="13" t="s">
        <v>3222</v>
      </c>
      <c r="D1520" s="9" t="s">
        <v>536</v>
      </c>
      <c r="E1520" s="13" t="s">
        <v>3323</v>
      </c>
    </row>
    <row r="1521" spans="1:5" ht="43.2" x14ac:dyDescent="0.3">
      <c r="A1521" s="26" t="s">
        <v>3223</v>
      </c>
      <c r="B1521" t="s">
        <v>3223</v>
      </c>
      <c r="C1521" s="13" t="s">
        <v>3223</v>
      </c>
      <c r="D1521" s="9" t="s">
        <v>536</v>
      </c>
      <c r="E1521" s="13" t="s">
        <v>3323</v>
      </c>
    </row>
    <row r="1522" spans="1:5" ht="43.2" x14ac:dyDescent="0.3">
      <c r="A1522" s="26" t="s">
        <v>3224</v>
      </c>
      <c r="B1522" t="s">
        <v>3224</v>
      </c>
      <c r="C1522" s="13" t="s">
        <v>3224</v>
      </c>
      <c r="D1522" s="9" t="s">
        <v>536</v>
      </c>
      <c r="E1522" s="13" t="s">
        <v>3323</v>
      </c>
    </row>
    <row r="1523" spans="1:5" ht="43.2" x14ac:dyDescent="0.3">
      <c r="A1523" s="26" t="s">
        <v>3225</v>
      </c>
      <c r="B1523" t="s">
        <v>3225</v>
      </c>
      <c r="C1523" s="13" t="s">
        <v>3225</v>
      </c>
      <c r="D1523" s="9" t="s">
        <v>536</v>
      </c>
      <c r="E1523" s="13" t="s">
        <v>3323</v>
      </c>
    </row>
    <row r="1524" spans="1:5" ht="43.2" x14ac:dyDescent="0.3">
      <c r="A1524" s="26" t="s">
        <v>3226</v>
      </c>
      <c r="B1524" t="s">
        <v>3226</v>
      </c>
      <c r="C1524" s="13" t="s">
        <v>3226</v>
      </c>
      <c r="D1524" s="9" t="s">
        <v>536</v>
      </c>
      <c r="E1524" s="13" t="s">
        <v>3323</v>
      </c>
    </row>
    <row r="1525" spans="1:5" ht="43.2" x14ac:dyDescent="0.3">
      <c r="A1525" s="26" t="s">
        <v>3227</v>
      </c>
      <c r="B1525" t="s">
        <v>3227</v>
      </c>
      <c r="C1525" s="13" t="s">
        <v>3227</v>
      </c>
      <c r="D1525" s="9" t="s">
        <v>536</v>
      </c>
      <c r="E1525" s="13" t="s">
        <v>3323</v>
      </c>
    </row>
    <row r="1526" spans="1:5" ht="43.2" x14ac:dyDescent="0.3">
      <c r="A1526" s="26" t="s">
        <v>3228</v>
      </c>
      <c r="B1526" t="s">
        <v>3228</v>
      </c>
      <c r="C1526" s="13" t="s">
        <v>3228</v>
      </c>
      <c r="D1526" s="9" t="s">
        <v>536</v>
      </c>
      <c r="E1526" s="13" t="s">
        <v>3323</v>
      </c>
    </row>
    <row r="1527" spans="1:5" ht="43.2" x14ac:dyDescent="0.3">
      <c r="A1527" s="26" t="s">
        <v>3229</v>
      </c>
      <c r="B1527" t="s">
        <v>3229</v>
      </c>
      <c r="C1527" s="13" t="s">
        <v>3229</v>
      </c>
      <c r="D1527" s="9" t="s">
        <v>536</v>
      </c>
      <c r="E1527" s="13" t="s">
        <v>3323</v>
      </c>
    </row>
    <row r="1528" spans="1:5" ht="43.2" x14ac:dyDescent="0.3">
      <c r="A1528" s="26" t="s">
        <v>3230</v>
      </c>
      <c r="B1528" t="s">
        <v>3230</v>
      </c>
      <c r="C1528" s="13" t="s">
        <v>3230</v>
      </c>
      <c r="D1528" s="9" t="s">
        <v>536</v>
      </c>
      <c r="E1528" s="13" t="s">
        <v>3323</v>
      </c>
    </row>
    <row r="1529" spans="1:5" ht="43.2" x14ac:dyDescent="0.3">
      <c r="A1529" s="26" t="s">
        <v>3231</v>
      </c>
      <c r="B1529" t="s">
        <v>3231</v>
      </c>
      <c r="C1529" s="13" t="s">
        <v>3231</v>
      </c>
      <c r="D1529" s="9" t="s">
        <v>536</v>
      </c>
      <c r="E1529" s="13" t="s">
        <v>3323</v>
      </c>
    </row>
    <row r="1530" spans="1:5" ht="43.2" x14ac:dyDescent="0.3">
      <c r="A1530" s="26" t="s">
        <v>1693</v>
      </c>
      <c r="B1530" t="s">
        <v>1693</v>
      </c>
      <c r="C1530" s="13" t="s">
        <v>1693</v>
      </c>
      <c r="D1530" s="9" t="s">
        <v>536</v>
      </c>
      <c r="E1530" s="13" t="s">
        <v>3323</v>
      </c>
    </row>
    <row r="1531" spans="1:5" ht="43.2" x14ac:dyDescent="0.3">
      <c r="A1531" s="26" t="s">
        <v>3232</v>
      </c>
      <c r="B1531" t="s">
        <v>3232</v>
      </c>
      <c r="C1531" s="13" t="s">
        <v>3232</v>
      </c>
      <c r="D1531" s="9" t="s">
        <v>536</v>
      </c>
      <c r="E1531" s="13" t="s">
        <v>3323</v>
      </c>
    </row>
    <row r="1532" spans="1:5" ht="43.2" x14ac:dyDescent="0.3">
      <c r="A1532" s="26" t="s">
        <v>3233</v>
      </c>
      <c r="B1532" t="s">
        <v>3233</v>
      </c>
      <c r="C1532" s="13" t="s">
        <v>3233</v>
      </c>
      <c r="D1532" s="9" t="s">
        <v>536</v>
      </c>
      <c r="E1532" s="13" t="s">
        <v>3323</v>
      </c>
    </row>
    <row r="1533" spans="1:5" ht="43.2" x14ac:dyDescent="0.3">
      <c r="A1533" s="26" t="s">
        <v>3234</v>
      </c>
      <c r="B1533" t="s">
        <v>3234</v>
      </c>
      <c r="C1533" s="13" t="s">
        <v>3234</v>
      </c>
      <c r="D1533" s="9" t="s">
        <v>536</v>
      </c>
      <c r="E1533" s="13" t="s">
        <v>3323</v>
      </c>
    </row>
    <row r="1534" spans="1:5" ht="43.2" x14ac:dyDescent="0.3">
      <c r="A1534" s="26" t="s">
        <v>3235</v>
      </c>
      <c r="B1534" t="s">
        <v>3235</v>
      </c>
      <c r="C1534" s="13" t="s">
        <v>3235</v>
      </c>
      <c r="D1534" s="9" t="s">
        <v>536</v>
      </c>
      <c r="E1534" s="13" t="s">
        <v>3323</v>
      </c>
    </row>
    <row r="1535" spans="1:5" ht="43.2" x14ac:dyDescent="0.3">
      <c r="A1535" s="26" t="s">
        <v>3236</v>
      </c>
      <c r="B1535" t="s">
        <v>3236</v>
      </c>
      <c r="C1535" s="13" t="s">
        <v>3236</v>
      </c>
      <c r="D1535" s="9" t="s">
        <v>536</v>
      </c>
      <c r="E1535" s="13" t="s">
        <v>3323</v>
      </c>
    </row>
    <row r="1536" spans="1:5" ht="43.2" x14ac:dyDescent="0.3">
      <c r="A1536" s="26" t="s">
        <v>1692</v>
      </c>
      <c r="B1536" t="s">
        <v>1692</v>
      </c>
      <c r="C1536" s="13" t="s">
        <v>1692</v>
      </c>
      <c r="D1536" s="9" t="s">
        <v>536</v>
      </c>
      <c r="E1536" s="13" t="s">
        <v>3323</v>
      </c>
    </row>
    <row r="1537" spans="1:5" ht="43.2" x14ac:dyDescent="0.3">
      <c r="A1537" s="26" t="s">
        <v>3237</v>
      </c>
      <c r="B1537" t="s">
        <v>3237</v>
      </c>
      <c r="C1537" s="13" t="s">
        <v>3237</v>
      </c>
      <c r="D1537" s="9" t="s">
        <v>536</v>
      </c>
      <c r="E1537" s="13" t="s">
        <v>3323</v>
      </c>
    </row>
    <row r="1538" spans="1:5" ht="43.2" x14ac:dyDescent="0.3">
      <c r="A1538" s="26" t="s">
        <v>3238</v>
      </c>
      <c r="B1538" t="s">
        <v>3238</v>
      </c>
      <c r="C1538" s="13" t="s">
        <v>3238</v>
      </c>
      <c r="D1538" s="9" t="s">
        <v>536</v>
      </c>
      <c r="E1538" s="13" t="s">
        <v>3323</v>
      </c>
    </row>
    <row r="1539" spans="1:5" ht="43.2" x14ac:dyDescent="0.3">
      <c r="A1539" s="26" t="s">
        <v>1691</v>
      </c>
      <c r="B1539" t="s">
        <v>1691</v>
      </c>
      <c r="C1539" s="13" t="s">
        <v>1691</v>
      </c>
      <c r="D1539" s="9" t="s">
        <v>536</v>
      </c>
      <c r="E1539" s="13" t="s">
        <v>3323</v>
      </c>
    </row>
    <row r="1540" spans="1:5" ht="43.2" x14ac:dyDescent="0.3">
      <c r="A1540" s="26" t="s">
        <v>3239</v>
      </c>
      <c r="B1540" t="s">
        <v>3239</v>
      </c>
      <c r="C1540" s="13" t="s">
        <v>3239</v>
      </c>
      <c r="D1540" s="9" t="s">
        <v>536</v>
      </c>
      <c r="E1540" s="13" t="s">
        <v>3323</v>
      </c>
    </row>
    <row r="1541" spans="1:5" ht="43.2" x14ac:dyDescent="0.3">
      <c r="A1541" s="26" t="s">
        <v>3240</v>
      </c>
      <c r="B1541" t="s">
        <v>3240</v>
      </c>
      <c r="C1541" s="13" t="s">
        <v>3240</v>
      </c>
      <c r="D1541" s="9" t="s">
        <v>536</v>
      </c>
      <c r="E1541" s="13" t="s">
        <v>3323</v>
      </c>
    </row>
    <row r="1542" spans="1:5" ht="43.2" x14ac:dyDescent="0.3">
      <c r="A1542" s="26" t="s">
        <v>1690</v>
      </c>
      <c r="B1542" t="s">
        <v>1690</v>
      </c>
      <c r="C1542" s="13" t="s">
        <v>1690</v>
      </c>
      <c r="D1542" s="9" t="s">
        <v>536</v>
      </c>
      <c r="E1542" s="13" t="s">
        <v>3323</v>
      </c>
    </row>
    <row r="1543" spans="1:5" ht="43.2" x14ac:dyDescent="0.3">
      <c r="A1543" s="26" t="s">
        <v>3241</v>
      </c>
      <c r="B1543" t="s">
        <v>3241</v>
      </c>
      <c r="C1543" s="13" t="s">
        <v>3241</v>
      </c>
      <c r="D1543" s="9" t="s">
        <v>536</v>
      </c>
      <c r="E1543" s="13" t="s">
        <v>3323</v>
      </c>
    </row>
    <row r="1544" spans="1:5" ht="43.2" x14ac:dyDescent="0.3">
      <c r="A1544" s="26" t="s">
        <v>1689</v>
      </c>
      <c r="B1544" t="s">
        <v>1689</v>
      </c>
      <c r="C1544" s="13" t="s">
        <v>1689</v>
      </c>
      <c r="D1544" s="9" t="s">
        <v>536</v>
      </c>
      <c r="E1544" s="13" t="s">
        <v>3323</v>
      </c>
    </row>
    <row r="1545" spans="1:5" ht="43.2" x14ac:dyDescent="0.3">
      <c r="A1545" s="26" t="s">
        <v>1688</v>
      </c>
      <c r="B1545" t="s">
        <v>1688</v>
      </c>
      <c r="C1545" s="13" t="s">
        <v>1688</v>
      </c>
      <c r="D1545" s="9" t="s">
        <v>536</v>
      </c>
      <c r="E1545" s="13" t="s">
        <v>3323</v>
      </c>
    </row>
    <row r="1546" spans="1:5" ht="43.2" x14ac:dyDescent="0.3">
      <c r="A1546" s="26" t="s">
        <v>1687</v>
      </c>
      <c r="B1546" t="s">
        <v>1687</v>
      </c>
      <c r="C1546" s="13" t="s">
        <v>1687</v>
      </c>
      <c r="D1546" s="9" t="s">
        <v>536</v>
      </c>
      <c r="E1546" s="13" t="s">
        <v>3323</v>
      </c>
    </row>
    <row r="1547" spans="1:5" ht="43.2" x14ac:dyDescent="0.3">
      <c r="A1547" s="26" t="s">
        <v>3242</v>
      </c>
      <c r="B1547" t="s">
        <v>3242</v>
      </c>
      <c r="C1547" s="13" t="s">
        <v>3242</v>
      </c>
      <c r="D1547" s="9" t="s">
        <v>536</v>
      </c>
      <c r="E1547" s="13" t="s">
        <v>3323</v>
      </c>
    </row>
    <row r="1548" spans="1:5" ht="43.2" x14ac:dyDescent="0.3">
      <c r="A1548" s="26" t="s">
        <v>3243</v>
      </c>
      <c r="B1548" t="s">
        <v>3243</v>
      </c>
      <c r="C1548" s="13" t="s">
        <v>3243</v>
      </c>
      <c r="D1548" s="9" t="s">
        <v>536</v>
      </c>
      <c r="E1548" s="13" t="s">
        <v>3323</v>
      </c>
    </row>
    <row r="1549" spans="1:5" ht="43.2" x14ac:dyDescent="0.3">
      <c r="A1549" s="26" t="s">
        <v>3244</v>
      </c>
      <c r="B1549" t="s">
        <v>3244</v>
      </c>
      <c r="C1549" s="13" t="s">
        <v>3244</v>
      </c>
      <c r="D1549" s="9" t="s">
        <v>536</v>
      </c>
      <c r="E1549" s="13" t="s">
        <v>3323</v>
      </c>
    </row>
    <row r="1550" spans="1:5" ht="43.2" x14ac:dyDescent="0.3">
      <c r="A1550" s="26" t="s">
        <v>3245</v>
      </c>
      <c r="B1550" t="s">
        <v>3245</v>
      </c>
      <c r="C1550" s="13" t="s">
        <v>3245</v>
      </c>
      <c r="D1550" s="9" t="s">
        <v>536</v>
      </c>
      <c r="E1550" s="13" t="s">
        <v>3323</v>
      </c>
    </row>
    <row r="1551" spans="1:5" ht="43.2" x14ac:dyDescent="0.3">
      <c r="A1551" s="26" t="s">
        <v>1686</v>
      </c>
      <c r="B1551" t="s">
        <v>1686</v>
      </c>
      <c r="C1551" s="13" t="s">
        <v>1686</v>
      </c>
      <c r="D1551" s="9" t="s">
        <v>536</v>
      </c>
      <c r="E1551" s="13" t="s">
        <v>3323</v>
      </c>
    </row>
    <row r="1552" spans="1:5" ht="43.2" x14ac:dyDescent="0.3">
      <c r="A1552" s="26" t="s">
        <v>1685</v>
      </c>
      <c r="B1552" t="s">
        <v>1685</v>
      </c>
      <c r="C1552" s="13" t="s">
        <v>1685</v>
      </c>
      <c r="D1552" s="9" t="s">
        <v>536</v>
      </c>
      <c r="E1552" s="13" t="s">
        <v>3323</v>
      </c>
    </row>
    <row r="1553" spans="1:5" ht="43.2" x14ac:dyDescent="0.3">
      <c r="A1553" s="26" t="s">
        <v>3246</v>
      </c>
      <c r="B1553" t="s">
        <v>3246</v>
      </c>
      <c r="C1553" s="13" t="s">
        <v>3246</v>
      </c>
      <c r="D1553" s="9" t="s">
        <v>536</v>
      </c>
      <c r="E1553" s="13" t="s">
        <v>3323</v>
      </c>
    </row>
    <row r="1554" spans="1:5" ht="43.2" x14ac:dyDescent="0.3">
      <c r="A1554" s="26" t="s">
        <v>3247</v>
      </c>
      <c r="B1554" t="s">
        <v>3247</v>
      </c>
      <c r="C1554" s="13" t="s">
        <v>3247</v>
      </c>
      <c r="D1554" s="9" t="s">
        <v>536</v>
      </c>
      <c r="E1554" s="13" t="s">
        <v>3323</v>
      </c>
    </row>
    <row r="1555" spans="1:5" ht="43.2" x14ac:dyDescent="0.3">
      <c r="A1555" s="26" t="s">
        <v>3248</v>
      </c>
      <c r="B1555" t="s">
        <v>3248</v>
      </c>
      <c r="C1555" s="13" t="s">
        <v>3248</v>
      </c>
      <c r="D1555" s="9" t="s">
        <v>536</v>
      </c>
      <c r="E1555" s="13" t="s">
        <v>3323</v>
      </c>
    </row>
    <row r="1556" spans="1:5" ht="43.2" x14ac:dyDescent="0.3">
      <c r="A1556" s="26" t="s">
        <v>3249</v>
      </c>
      <c r="B1556" t="s">
        <v>3249</v>
      </c>
      <c r="C1556" s="13" t="s">
        <v>3249</v>
      </c>
      <c r="D1556" s="9" t="s">
        <v>536</v>
      </c>
      <c r="E1556" s="13" t="s">
        <v>3323</v>
      </c>
    </row>
    <row r="1557" spans="1:5" ht="43.2" x14ac:dyDescent="0.3">
      <c r="A1557" s="26" t="s">
        <v>3250</v>
      </c>
      <c r="B1557" t="s">
        <v>3250</v>
      </c>
      <c r="C1557" s="13" t="s">
        <v>3250</v>
      </c>
      <c r="D1557" s="9" t="s">
        <v>536</v>
      </c>
      <c r="E1557" s="13" t="s">
        <v>3323</v>
      </c>
    </row>
    <row r="1558" spans="1:5" ht="43.2" x14ac:dyDescent="0.3">
      <c r="A1558" s="26" t="s">
        <v>1684</v>
      </c>
      <c r="B1558" t="s">
        <v>1684</v>
      </c>
      <c r="C1558" s="13" t="s">
        <v>1684</v>
      </c>
      <c r="D1558" s="9" t="s">
        <v>536</v>
      </c>
      <c r="E1558" s="13" t="s">
        <v>3323</v>
      </c>
    </row>
    <row r="1559" spans="1:5" ht="43.2" x14ac:dyDescent="0.3">
      <c r="A1559" s="26" t="s">
        <v>3251</v>
      </c>
      <c r="B1559" t="s">
        <v>3251</v>
      </c>
      <c r="C1559" s="13" t="s">
        <v>3251</v>
      </c>
      <c r="D1559" s="9" t="s">
        <v>536</v>
      </c>
      <c r="E1559" s="13" t="s">
        <v>3323</v>
      </c>
    </row>
    <row r="1560" spans="1:5" ht="43.2" x14ac:dyDescent="0.3">
      <c r="A1560" s="26" t="s">
        <v>1683</v>
      </c>
      <c r="B1560" t="s">
        <v>1683</v>
      </c>
      <c r="C1560" s="13" t="s">
        <v>1683</v>
      </c>
      <c r="D1560" s="9" t="s">
        <v>536</v>
      </c>
      <c r="E1560" s="13" t="s">
        <v>3323</v>
      </c>
    </row>
    <row r="1561" spans="1:5" ht="43.2" x14ac:dyDescent="0.3">
      <c r="A1561" s="26" t="s">
        <v>3252</v>
      </c>
      <c r="B1561" t="s">
        <v>3252</v>
      </c>
      <c r="C1561" s="13" t="s">
        <v>3252</v>
      </c>
      <c r="D1561" s="9" t="s">
        <v>536</v>
      </c>
      <c r="E1561" s="13" t="s">
        <v>3323</v>
      </c>
    </row>
    <row r="1562" spans="1:5" ht="43.2" x14ac:dyDescent="0.3">
      <c r="A1562" s="26" t="s">
        <v>3253</v>
      </c>
      <c r="B1562" t="s">
        <v>3253</v>
      </c>
      <c r="C1562" s="13" t="s">
        <v>3253</v>
      </c>
      <c r="D1562" s="9" t="s">
        <v>536</v>
      </c>
      <c r="E1562" s="13" t="s">
        <v>3323</v>
      </c>
    </row>
    <row r="1563" spans="1:5" ht="43.2" x14ac:dyDescent="0.3">
      <c r="A1563" s="26" t="s">
        <v>3254</v>
      </c>
      <c r="B1563" t="s">
        <v>3254</v>
      </c>
      <c r="C1563" s="13" t="s">
        <v>3254</v>
      </c>
      <c r="D1563" s="9" t="s">
        <v>536</v>
      </c>
      <c r="E1563" s="13" t="s">
        <v>3323</v>
      </c>
    </row>
    <row r="1564" spans="1:5" ht="43.2" x14ac:dyDescent="0.3">
      <c r="A1564" s="26" t="s">
        <v>3255</v>
      </c>
      <c r="B1564" t="s">
        <v>3255</v>
      </c>
      <c r="C1564" s="13" t="s">
        <v>3255</v>
      </c>
      <c r="D1564" s="9" t="s">
        <v>536</v>
      </c>
      <c r="E1564" s="13" t="s">
        <v>3323</v>
      </c>
    </row>
    <row r="1565" spans="1:5" ht="43.2" x14ac:dyDescent="0.3">
      <c r="A1565" s="26" t="s">
        <v>3256</v>
      </c>
      <c r="B1565" t="s">
        <v>3256</v>
      </c>
      <c r="C1565" s="13" t="s">
        <v>3256</v>
      </c>
      <c r="D1565" s="9" t="s">
        <v>536</v>
      </c>
      <c r="E1565" s="13" t="s">
        <v>3323</v>
      </c>
    </row>
    <row r="1566" spans="1:5" ht="43.2" x14ac:dyDescent="0.3">
      <c r="A1566" s="26" t="s">
        <v>1682</v>
      </c>
      <c r="B1566" t="s">
        <v>1682</v>
      </c>
      <c r="C1566" s="13" t="s">
        <v>1682</v>
      </c>
      <c r="D1566" s="9" t="s">
        <v>536</v>
      </c>
      <c r="E1566" s="13" t="s">
        <v>3323</v>
      </c>
    </row>
    <row r="1567" spans="1:5" ht="43.2" x14ac:dyDescent="0.3">
      <c r="A1567" s="26" t="s">
        <v>1681</v>
      </c>
      <c r="B1567" t="s">
        <v>1681</v>
      </c>
      <c r="C1567" s="13" t="s">
        <v>1681</v>
      </c>
      <c r="D1567" s="9" t="s">
        <v>536</v>
      </c>
      <c r="E1567" s="13" t="s">
        <v>3323</v>
      </c>
    </row>
    <row r="1568" spans="1:5" ht="43.2" x14ac:dyDescent="0.3">
      <c r="A1568" s="26" t="s">
        <v>3257</v>
      </c>
      <c r="B1568" t="s">
        <v>3257</v>
      </c>
      <c r="C1568" s="13" t="s">
        <v>3257</v>
      </c>
      <c r="D1568" s="9" t="s">
        <v>536</v>
      </c>
      <c r="E1568" s="13" t="s">
        <v>3323</v>
      </c>
    </row>
    <row r="1569" spans="1:5" ht="43.2" x14ac:dyDescent="0.3">
      <c r="A1569" s="26" t="s">
        <v>3258</v>
      </c>
      <c r="B1569" t="s">
        <v>3258</v>
      </c>
      <c r="C1569" s="13" t="s">
        <v>3258</v>
      </c>
      <c r="D1569" s="9" t="s">
        <v>536</v>
      </c>
      <c r="E1569" s="13" t="s">
        <v>3323</v>
      </c>
    </row>
    <row r="1570" spans="1:5" ht="43.2" x14ac:dyDescent="0.3">
      <c r="A1570" s="26" t="s">
        <v>1680</v>
      </c>
      <c r="B1570" t="s">
        <v>1680</v>
      </c>
      <c r="C1570" s="13" t="s">
        <v>1680</v>
      </c>
      <c r="D1570" s="9" t="s">
        <v>536</v>
      </c>
      <c r="E1570" s="13" t="s">
        <v>3323</v>
      </c>
    </row>
    <row r="1571" spans="1:5" ht="43.2" x14ac:dyDescent="0.3">
      <c r="A1571" s="26" t="s">
        <v>3259</v>
      </c>
      <c r="B1571" t="s">
        <v>3259</v>
      </c>
      <c r="C1571" s="13" t="s">
        <v>3259</v>
      </c>
      <c r="D1571" s="9" t="s">
        <v>536</v>
      </c>
      <c r="E1571" s="13" t="s">
        <v>3323</v>
      </c>
    </row>
    <row r="1572" spans="1:5" ht="43.2" x14ac:dyDescent="0.3">
      <c r="A1572" s="26" t="s">
        <v>1679</v>
      </c>
      <c r="B1572" t="s">
        <v>1679</v>
      </c>
      <c r="C1572" s="13" t="s">
        <v>1679</v>
      </c>
      <c r="D1572" s="9" t="s">
        <v>536</v>
      </c>
      <c r="E1572" s="13" t="s">
        <v>3323</v>
      </c>
    </row>
    <row r="1573" spans="1:5" ht="43.2" x14ac:dyDescent="0.3">
      <c r="A1573" s="26" t="s">
        <v>1678</v>
      </c>
      <c r="B1573" t="s">
        <v>1678</v>
      </c>
      <c r="C1573" s="13" t="s">
        <v>1678</v>
      </c>
      <c r="D1573" s="9" t="s">
        <v>536</v>
      </c>
      <c r="E1573" s="13" t="s">
        <v>3323</v>
      </c>
    </row>
    <row r="1574" spans="1:5" ht="43.2" x14ac:dyDescent="0.3">
      <c r="A1574" s="26" t="s">
        <v>3260</v>
      </c>
      <c r="B1574" t="s">
        <v>3260</v>
      </c>
      <c r="C1574" s="13" t="s">
        <v>3260</v>
      </c>
      <c r="D1574" s="9" t="s">
        <v>536</v>
      </c>
      <c r="E1574" s="13" t="s">
        <v>3323</v>
      </c>
    </row>
    <row r="1575" spans="1:5" ht="43.2" x14ac:dyDescent="0.3">
      <c r="A1575" s="26" t="s">
        <v>3261</v>
      </c>
      <c r="B1575" t="s">
        <v>3261</v>
      </c>
      <c r="C1575" s="13" t="s">
        <v>3261</v>
      </c>
      <c r="D1575" s="9" t="s">
        <v>536</v>
      </c>
      <c r="E1575" s="13" t="s">
        <v>3323</v>
      </c>
    </row>
    <row r="1576" spans="1:5" ht="43.2" x14ac:dyDescent="0.3">
      <c r="A1576" s="26" t="s">
        <v>3262</v>
      </c>
      <c r="B1576" t="s">
        <v>3262</v>
      </c>
      <c r="C1576" s="13" t="s">
        <v>3262</v>
      </c>
      <c r="D1576" s="9" t="s">
        <v>536</v>
      </c>
      <c r="E1576" s="13" t="s">
        <v>3323</v>
      </c>
    </row>
    <row r="1577" spans="1:5" ht="43.2" x14ac:dyDescent="0.3">
      <c r="A1577" s="26" t="s">
        <v>1677</v>
      </c>
      <c r="B1577" t="s">
        <v>1677</v>
      </c>
      <c r="C1577" s="13" t="s">
        <v>1677</v>
      </c>
      <c r="D1577" s="9" t="s">
        <v>536</v>
      </c>
      <c r="E1577" s="13" t="s">
        <v>3323</v>
      </c>
    </row>
    <row r="1578" spans="1:5" ht="43.2" x14ac:dyDescent="0.3">
      <c r="A1578" s="26" t="s">
        <v>3263</v>
      </c>
      <c r="B1578" t="s">
        <v>3263</v>
      </c>
      <c r="C1578" s="13" t="s">
        <v>3263</v>
      </c>
      <c r="D1578" s="9" t="s">
        <v>536</v>
      </c>
      <c r="E1578" s="13" t="s">
        <v>3323</v>
      </c>
    </row>
    <row r="1579" spans="1:5" ht="43.2" x14ac:dyDescent="0.3">
      <c r="A1579" s="26" t="s">
        <v>2095</v>
      </c>
      <c r="B1579" t="s">
        <v>2095</v>
      </c>
      <c r="C1579" s="13" t="s">
        <v>2095</v>
      </c>
      <c r="D1579" s="9" t="s">
        <v>536</v>
      </c>
      <c r="E1579" s="13" t="s">
        <v>3323</v>
      </c>
    </row>
    <row r="1580" spans="1:5" ht="43.2" x14ac:dyDescent="0.3">
      <c r="A1580" s="26" t="s">
        <v>1676</v>
      </c>
      <c r="B1580" t="s">
        <v>1676</v>
      </c>
      <c r="C1580" s="13" t="s">
        <v>1676</v>
      </c>
      <c r="D1580" s="9" t="s">
        <v>536</v>
      </c>
      <c r="E1580" s="13" t="s">
        <v>3323</v>
      </c>
    </row>
    <row r="1581" spans="1:5" ht="43.2" x14ac:dyDescent="0.3">
      <c r="A1581" s="26" t="s">
        <v>1675</v>
      </c>
      <c r="B1581" t="s">
        <v>1675</v>
      </c>
      <c r="C1581" s="13" t="s">
        <v>1675</v>
      </c>
      <c r="D1581" s="9" t="s">
        <v>536</v>
      </c>
      <c r="E1581" s="13" t="s">
        <v>3323</v>
      </c>
    </row>
    <row r="1582" spans="1:5" ht="43.2" x14ac:dyDescent="0.3">
      <c r="A1582" s="26" t="s">
        <v>3264</v>
      </c>
      <c r="B1582" t="s">
        <v>3264</v>
      </c>
      <c r="C1582" s="13" t="s">
        <v>3264</v>
      </c>
      <c r="D1582" s="9" t="s">
        <v>536</v>
      </c>
      <c r="E1582" s="13" t="s">
        <v>3323</v>
      </c>
    </row>
    <row r="1583" spans="1:5" ht="43.2" x14ac:dyDescent="0.3">
      <c r="A1583" s="26" t="s">
        <v>3265</v>
      </c>
      <c r="B1583" t="s">
        <v>3265</v>
      </c>
      <c r="C1583" s="13" t="s">
        <v>3265</v>
      </c>
      <c r="D1583" s="9" t="s">
        <v>536</v>
      </c>
      <c r="E1583" s="13" t="s">
        <v>3323</v>
      </c>
    </row>
    <row r="1584" spans="1:5" ht="43.2" x14ac:dyDescent="0.3">
      <c r="A1584" s="26" t="s">
        <v>3266</v>
      </c>
      <c r="B1584" t="s">
        <v>3266</v>
      </c>
      <c r="C1584" s="13" t="s">
        <v>3266</v>
      </c>
      <c r="D1584" s="9" t="s">
        <v>536</v>
      </c>
      <c r="E1584" s="13" t="s">
        <v>3323</v>
      </c>
    </row>
    <row r="1585" spans="1:5" ht="43.2" x14ac:dyDescent="0.3">
      <c r="A1585" s="26" t="s">
        <v>3267</v>
      </c>
      <c r="B1585" t="s">
        <v>3267</v>
      </c>
      <c r="C1585" s="13" t="s">
        <v>3267</v>
      </c>
      <c r="D1585" s="9" t="s">
        <v>536</v>
      </c>
      <c r="E1585" s="13" t="s">
        <v>3323</v>
      </c>
    </row>
    <row r="1586" spans="1:5" ht="43.2" x14ac:dyDescent="0.3">
      <c r="A1586" s="26" t="s">
        <v>1674</v>
      </c>
      <c r="B1586" t="s">
        <v>1674</v>
      </c>
      <c r="C1586" s="13" t="s">
        <v>1674</v>
      </c>
      <c r="D1586" s="9" t="s">
        <v>536</v>
      </c>
      <c r="E1586" s="13" t="s">
        <v>3323</v>
      </c>
    </row>
    <row r="1587" spans="1:5" ht="43.2" x14ac:dyDescent="0.3">
      <c r="A1587" s="26" t="s">
        <v>1673</v>
      </c>
      <c r="B1587" t="s">
        <v>1673</v>
      </c>
      <c r="C1587" s="13" t="s">
        <v>1673</v>
      </c>
      <c r="D1587" s="9" t="s">
        <v>536</v>
      </c>
      <c r="E1587" s="13" t="s">
        <v>3323</v>
      </c>
    </row>
    <row r="1588" spans="1:5" ht="43.2" x14ac:dyDescent="0.3">
      <c r="A1588" s="26" t="s">
        <v>1672</v>
      </c>
      <c r="B1588" t="s">
        <v>1672</v>
      </c>
      <c r="C1588" s="13" t="s">
        <v>1672</v>
      </c>
      <c r="D1588" s="9" t="s">
        <v>536</v>
      </c>
      <c r="E1588" s="13" t="s">
        <v>3323</v>
      </c>
    </row>
    <row r="1589" spans="1:5" ht="43.2" x14ac:dyDescent="0.3">
      <c r="A1589" s="26" t="s">
        <v>3268</v>
      </c>
      <c r="B1589" t="s">
        <v>3268</v>
      </c>
      <c r="C1589" s="13" t="s">
        <v>3268</v>
      </c>
      <c r="D1589" s="9" t="s">
        <v>536</v>
      </c>
      <c r="E1589" s="13" t="s">
        <v>3323</v>
      </c>
    </row>
    <row r="1590" spans="1:5" ht="43.2" x14ac:dyDescent="0.3">
      <c r="A1590" s="26" t="s">
        <v>3269</v>
      </c>
      <c r="B1590" t="s">
        <v>3269</v>
      </c>
      <c r="C1590" s="13" t="s">
        <v>3269</v>
      </c>
      <c r="D1590" s="9" t="s">
        <v>536</v>
      </c>
      <c r="E1590" s="13" t="s">
        <v>3323</v>
      </c>
    </row>
    <row r="1591" spans="1:5" ht="43.2" x14ac:dyDescent="0.3">
      <c r="A1591" s="26" t="s">
        <v>3270</v>
      </c>
      <c r="B1591" t="s">
        <v>3270</v>
      </c>
      <c r="C1591" s="13" t="s">
        <v>3270</v>
      </c>
      <c r="D1591" s="9" t="s">
        <v>536</v>
      </c>
      <c r="E1591" s="13" t="s">
        <v>3323</v>
      </c>
    </row>
    <row r="1592" spans="1:5" ht="43.2" x14ac:dyDescent="0.3">
      <c r="A1592" s="26" t="s">
        <v>1671</v>
      </c>
      <c r="B1592" t="s">
        <v>1671</v>
      </c>
      <c r="C1592" s="13" t="s">
        <v>1671</v>
      </c>
      <c r="D1592" s="9" t="s">
        <v>536</v>
      </c>
      <c r="E1592" s="13" t="s">
        <v>3323</v>
      </c>
    </row>
    <row r="1593" spans="1:5" ht="43.2" x14ac:dyDescent="0.3">
      <c r="A1593" s="26" t="s">
        <v>3271</v>
      </c>
      <c r="B1593" t="s">
        <v>3271</v>
      </c>
      <c r="C1593" s="13" t="s">
        <v>3271</v>
      </c>
      <c r="D1593" s="9" t="s">
        <v>536</v>
      </c>
      <c r="E1593" s="13" t="s">
        <v>3323</v>
      </c>
    </row>
    <row r="1594" spans="1:5" ht="43.2" x14ac:dyDescent="0.3">
      <c r="A1594" s="26" t="s">
        <v>2096</v>
      </c>
      <c r="B1594" t="s">
        <v>2096</v>
      </c>
      <c r="C1594" s="13" t="s">
        <v>2096</v>
      </c>
      <c r="D1594" s="9" t="s">
        <v>536</v>
      </c>
      <c r="E1594" s="13" t="s">
        <v>3323</v>
      </c>
    </row>
    <row r="1595" spans="1:5" ht="43.2" x14ac:dyDescent="0.3">
      <c r="A1595" s="26" t="s">
        <v>1670</v>
      </c>
      <c r="B1595" t="s">
        <v>1670</v>
      </c>
      <c r="C1595" s="13" t="s">
        <v>1670</v>
      </c>
      <c r="D1595" s="9" t="s">
        <v>536</v>
      </c>
      <c r="E1595" s="13" t="s">
        <v>3323</v>
      </c>
    </row>
    <row r="1596" spans="1:5" ht="43.2" x14ac:dyDescent="0.3">
      <c r="A1596" s="26" t="s">
        <v>3272</v>
      </c>
      <c r="B1596" t="s">
        <v>3272</v>
      </c>
      <c r="C1596" s="13" t="s">
        <v>3272</v>
      </c>
      <c r="D1596" s="9" t="s">
        <v>536</v>
      </c>
      <c r="E1596" s="13" t="s">
        <v>3323</v>
      </c>
    </row>
    <row r="1597" spans="1:5" ht="43.2" x14ac:dyDescent="0.3">
      <c r="A1597" s="26" t="s">
        <v>3273</v>
      </c>
      <c r="B1597" t="s">
        <v>3273</v>
      </c>
      <c r="C1597" s="13" t="s">
        <v>3273</v>
      </c>
      <c r="D1597" s="9" t="s">
        <v>536</v>
      </c>
      <c r="E1597" s="13" t="s">
        <v>3323</v>
      </c>
    </row>
    <row r="1598" spans="1:5" ht="43.2" x14ac:dyDescent="0.3">
      <c r="A1598" s="26" t="s">
        <v>3274</v>
      </c>
      <c r="B1598" t="s">
        <v>3274</v>
      </c>
      <c r="C1598" s="13" t="s">
        <v>3274</v>
      </c>
      <c r="D1598" s="9" t="s">
        <v>536</v>
      </c>
      <c r="E1598" s="13" t="s">
        <v>3323</v>
      </c>
    </row>
    <row r="1599" spans="1:5" ht="43.2" x14ac:dyDescent="0.3">
      <c r="A1599" s="26" t="s">
        <v>3275</v>
      </c>
      <c r="B1599" t="s">
        <v>3275</v>
      </c>
      <c r="C1599" s="13" t="s">
        <v>3275</v>
      </c>
      <c r="D1599" s="9" t="s">
        <v>536</v>
      </c>
      <c r="E1599" s="13" t="s">
        <v>3323</v>
      </c>
    </row>
    <row r="1600" spans="1:5" ht="43.2" x14ac:dyDescent="0.3">
      <c r="A1600" s="26" t="s">
        <v>1669</v>
      </c>
      <c r="B1600" t="s">
        <v>1669</v>
      </c>
      <c r="C1600" s="13" t="s">
        <v>1669</v>
      </c>
      <c r="D1600" s="9" t="s">
        <v>536</v>
      </c>
      <c r="E1600" s="13" t="s">
        <v>3323</v>
      </c>
    </row>
    <row r="1601" spans="1:5" ht="43.2" x14ac:dyDescent="0.3">
      <c r="A1601" s="26" t="s">
        <v>1668</v>
      </c>
      <c r="B1601" t="s">
        <v>1668</v>
      </c>
      <c r="C1601" s="13" t="s">
        <v>1668</v>
      </c>
      <c r="D1601" s="9" t="s">
        <v>536</v>
      </c>
      <c r="E1601" s="13" t="s">
        <v>3323</v>
      </c>
    </row>
    <row r="1602" spans="1:5" ht="43.2" x14ac:dyDescent="0.3">
      <c r="A1602" s="26" t="s">
        <v>1667</v>
      </c>
      <c r="B1602" t="s">
        <v>1667</v>
      </c>
      <c r="C1602" s="13" t="s">
        <v>1667</v>
      </c>
      <c r="D1602" s="9" t="s">
        <v>536</v>
      </c>
      <c r="E1602" s="13" t="s">
        <v>3323</v>
      </c>
    </row>
    <row r="1603" spans="1:5" ht="43.2" x14ac:dyDescent="0.3">
      <c r="A1603" s="26" t="s">
        <v>3276</v>
      </c>
      <c r="B1603" t="s">
        <v>3276</v>
      </c>
      <c r="C1603" s="13" t="s">
        <v>3276</v>
      </c>
      <c r="D1603" s="9" t="s">
        <v>536</v>
      </c>
      <c r="E1603" s="13" t="s">
        <v>3323</v>
      </c>
    </row>
    <row r="1604" spans="1:5" ht="43.2" x14ac:dyDescent="0.3">
      <c r="A1604" s="26" t="s">
        <v>3277</v>
      </c>
      <c r="B1604" t="s">
        <v>3277</v>
      </c>
      <c r="C1604" s="13" t="s">
        <v>3277</v>
      </c>
      <c r="D1604" s="9" t="s">
        <v>536</v>
      </c>
      <c r="E1604" s="13" t="s">
        <v>3323</v>
      </c>
    </row>
    <row r="1605" spans="1:5" ht="43.2" x14ac:dyDescent="0.3">
      <c r="A1605" s="26" t="s">
        <v>3278</v>
      </c>
      <c r="B1605" t="s">
        <v>3278</v>
      </c>
      <c r="C1605" s="13" t="s">
        <v>3278</v>
      </c>
      <c r="D1605" s="9" t="s">
        <v>536</v>
      </c>
      <c r="E1605" s="13" t="s">
        <v>3323</v>
      </c>
    </row>
    <row r="1606" spans="1:5" ht="43.2" x14ac:dyDescent="0.3">
      <c r="A1606" s="26" t="s">
        <v>3279</v>
      </c>
      <c r="B1606" t="s">
        <v>3279</v>
      </c>
      <c r="C1606" s="13" t="s">
        <v>3279</v>
      </c>
      <c r="D1606" s="9" t="s">
        <v>536</v>
      </c>
      <c r="E1606" s="13" t="s">
        <v>3323</v>
      </c>
    </row>
    <row r="1607" spans="1:5" ht="43.2" x14ac:dyDescent="0.3">
      <c r="A1607" s="26" t="s">
        <v>3280</v>
      </c>
      <c r="B1607" t="s">
        <v>3280</v>
      </c>
      <c r="C1607" s="13" t="s">
        <v>3280</v>
      </c>
      <c r="D1607" s="9" t="s">
        <v>536</v>
      </c>
      <c r="E1607" s="13" t="s">
        <v>3323</v>
      </c>
    </row>
    <row r="1608" spans="1:5" ht="43.2" x14ac:dyDescent="0.3">
      <c r="A1608" s="26" t="s">
        <v>1666</v>
      </c>
      <c r="B1608" t="s">
        <v>1666</v>
      </c>
      <c r="C1608" s="13" t="s">
        <v>1666</v>
      </c>
      <c r="D1608" s="9" t="s">
        <v>536</v>
      </c>
      <c r="E1608" s="13" t="s">
        <v>3323</v>
      </c>
    </row>
    <row r="1609" spans="1:5" ht="43.2" x14ac:dyDescent="0.3">
      <c r="A1609" s="26" t="s">
        <v>3281</v>
      </c>
      <c r="B1609" t="s">
        <v>3281</v>
      </c>
      <c r="C1609" s="13" t="s">
        <v>3281</v>
      </c>
      <c r="D1609" s="9" t="s">
        <v>536</v>
      </c>
      <c r="E1609" s="13" t="s">
        <v>3323</v>
      </c>
    </row>
    <row r="1610" spans="1:5" ht="43.2" x14ac:dyDescent="0.3">
      <c r="A1610" s="26" t="s">
        <v>3282</v>
      </c>
      <c r="B1610" t="s">
        <v>3282</v>
      </c>
      <c r="C1610" s="13" t="s">
        <v>3282</v>
      </c>
      <c r="D1610" s="9" t="s">
        <v>536</v>
      </c>
      <c r="E1610" s="13" t="s">
        <v>3323</v>
      </c>
    </row>
    <row r="1611" spans="1:5" ht="43.2" x14ac:dyDescent="0.3">
      <c r="A1611" s="26" t="s">
        <v>3283</v>
      </c>
      <c r="B1611" t="s">
        <v>3283</v>
      </c>
      <c r="C1611" s="13" t="s">
        <v>3283</v>
      </c>
      <c r="D1611" s="9" t="s">
        <v>536</v>
      </c>
      <c r="E1611" s="13" t="s">
        <v>3323</v>
      </c>
    </row>
    <row r="1612" spans="1:5" ht="43.2" x14ac:dyDescent="0.3">
      <c r="A1612" s="26" t="s">
        <v>3284</v>
      </c>
      <c r="B1612" t="s">
        <v>3284</v>
      </c>
      <c r="C1612" s="13" t="s">
        <v>3284</v>
      </c>
      <c r="D1612" s="9" t="s">
        <v>536</v>
      </c>
      <c r="E1612" s="13" t="s">
        <v>3323</v>
      </c>
    </row>
    <row r="1613" spans="1:5" ht="43.2" x14ac:dyDescent="0.3">
      <c r="A1613" s="26" t="s">
        <v>3285</v>
      </c>
      <c r="B1613" t="s">
        <v>3285</v>
      </c>
      <c r="C1613" s="13" t="s">
        <v>3285</v>
      </c>
      <c r="D1613" s="9" t="s">
        <v>536</v>
      </c>
      <c r="E1613" s="13" t="s">
        <v>3323</v>
      </c>
    </row>
    <row r="1614" spans="1:5" ht="43.2" x14ac:dyDescent="0.3">
      <c r="A1614" s="26" t="s">
        <v>2097</v>
      </c>
      <c r="B1614" t="s">
        <v>2097</v>
      </c>
      <c r="C1614" s="13" t="s">
        <v>2097</v>
      </c>
      <c r="D1614" s="9" t="s">
        <v>536</v>
      </c>
      <c r="E1614" s="13" t="s">
        <v>3323</v>
      </c>
    </row>
    <row r="1615" spans="1:5" ht="43.2" x14ac:dyDescent="0.3">
      <c r="A1615" s="26" t="s">
        <v>1665</v>
      </c>
      <c r="B1615" t="s">
        <v>1665</v>
      </c>
      <c r="C1615" s="13" t="s">
        <v>1665</v>
      </c>
      <c r="D1615" s="9" t="s">
        <v>536</v>
      </c>
      <c r="E1615" s="13" t="s">
        <v>3323</v>
      </c>
    </row>
    <row r="1616" spans="1:5" ht="43.2" x14ac:dyDescent="0.3">
      <c r="A1616" s="26" t="s">
        <v>1664</v>
      </c>
      <c r="B1616" t="s">
        <v>1664</v>
      </c>
      <c r="C1616" s="13" t="s">
        <v>1664</v>
      </c>
      <c r="D1616" s="9" t="s">
        <v>536</v>
      </c>
      <c r="E1616" s="13" t="s">
        <v>3323</v>
      </c>
    </row>
    <row r="1617" spans="1:5" ht="43.2" x14ac:dyDescent="0.3">
      <c r="A1617" s="26" t="s">
        <v>3286</v>
      </c>
      <c r="B1617" t="s">
        <v>3286</v>
      </c>
      <c r="C1617" s="13" t="s">
        <v>3286</v>
      </c>
      <c r="D1617" s="9" t="s">
        <v>536</v>
      </c>
      <c r="E1617" s="13" t="s">
        <v>3323</v>
      </c>
    </row>
    <row r="1618" spans="1:5" ht="43.2" x14ac:dyDescent="0.3">
      <c r="A1618" s="26" t="s">
        <v>3287</v>
      </c>
      <c r="B1618" t="s">
        <v>3287</v>
      </c>
      <c r="C1618" s="13" t="s">
        <v>3287</v>
      </c>
      <c r="D1618" s="9" t="s">
        <v>536</v>
      </c>
      <c r="E1618" s="13" t="s">
        <v>3323</v>
      </c>
    </row>
    <row r="1619" spans="1:5" ht="43.2" x14ac:dyDescent="0.3">
      <c r="A1619" s="26" t="s">
        <v>3288</v>
      </c>
      <c r="B1619" t="s">
        <v>3288</v>
      </c>
      <c r="C1619" s="13" t="s">
        <v>3288</v>
      </c>
      <c r="D1619" s="9" t="s">
        <v>536</v>
      </c>
      <c r="E1619" s="13" t="s">
        <v>3323</v>
      </c>
    </row>
    <row r="1620" spans="1:5" ht="43.2" x14ac:dyDescent="0.3">
      <c r="A1620" s="26" t="s">
        <v>3289</v>
      </c>
      <c r="B1620" t="s">
        <v>3289</v>
      </c>
      <c r="C1620" s="13" t="s">
        <v>3289</v>
      </c>
      <c r="D1620" s="9" t="s">
        <v>536</v>
      </c>
      <c r="E1620" s="13" t="s">
        <v>3323</v>
      </c>
    </row>
    <row r="1621" spans="1:5" ht="43.2" x14ac:dyDescent="0.3">
      <c r="A1621" s="26" t="s">
        <v>3290</v>
      </c>
      <c r="B1621" t="s">
        <v>3290</v>
      </c>
      <c r="C1621" s="13" t="s">
        <v>3290</v>
      </c>
      <c r="D1621" s="9" t="s">
        <v>536</v>
      </c>
      <c r="E1621" s="13" t="s">
        <v>3323</v>
      </c>
    </row>
    <row r="1622" spans="1:5" ht="43.2" x14ac:dyDescent="0.3">
      <c r="A1622" s="26" t="s">
        <v>3291</v>
      </c>
      <c r="B1622" t="s">
        <v>3291</v>
      </c>
      <c r="C1622" s="13" t="s">
        <v>3291</v>
      </c>
      <c r="D1622" s="9" t="s">
        <v>536</v>
      </c>
      <c r="E1622" s="13" t="s">
        <v>3323</v>
      </c>
    </row>
    <row r="1623" spans="1:5" ht="43.2" x14ac:dyDescent="0.3">
      <c r="A1623" s="26" t="s">
        <v>1663</v>
      </c>
      <c r="B1623" t="s">
        <v>1663</v>
      </c>
      <c r="C1623" s="13" t="s">
        <v>1663</v>
      </c>
      <c r="D1623" s="9" t="s">
        <v>536</v>
      </c>
      <c r="E1623" s="13" t="s">
        <v>3323</v>
      </c>
    </row>
    <row r="1624" spans="1:5" ht="43.2" x14ac:dyDescent="0.3">
      <c r="A1624" s="26" t="s">
        <v>3292</v>
      </c>
      <c r="B1624" t="s">
        <v>3292</v>
      </c>
      <c r="C1624" s="13" t="s">
        <v>3292</v>
      </c>
      <c r="D1624" s="9" t="s">
        <v>536</v>
      </c>
      <c r="E1624" s="13" t="s">
        <v>3323</v>
      </c>
    </row>
    <row r="1625" spans="1:5" ht="43.2" x14ac:dyDescent="0.3">
      <c r="A1625" s="26" t="s">
        <v>3293</v>
      </c>
      <c r="B1625" t="s">
        <v>3293</v>
      </c>
      <c r="C1625" s="13" t="s">
        <v>3293</v>
      </c>
      <c r="D1625" s="9" t="s">
        <v>536</v>
      </c>
      <c r="E1625" s="13" t="s">
        <v>3323</v>
      </c>
    </row>
    <row r="1626" spans="1:5" ht="43.2" x14ac:dyDescent="0.3">
      <c r="A1626" s="26" t="s">
        <v>3294</v>
      </c>
      <c r="B1626" t="s">
        <v>3294</v>
      </c>
      <c r="C1626" s="13" t="s">
        <v>3294</v>
      </c>
      <c r="D1626" s="9" t="s">
        <v>536</v>
      </c>
      <c r="E1626" s="13" t="s">
        <v>3323</v>
      </c>
    </row>
    <row r="1627" spans="1:5" ht="43.2" x14ac:dyDescent="0.3">
      <c r="A1627" s="26" t="s">
        <v>3295</v>
      </c>
      <c r="B1627" t="s">
        <v>3295</v>
      </c>
      <c r="C1627" s="13" t="s">
        <v>3295</v>
      </c>
      <c r="D1627" s="9" t="s">
        <v>536</v>
      </c>
      <c r="E1627" s="13" t="s">
        <v>3323</v>
      </c>
    </row>
    <row r="1628" spans="1:5" ht="43.2" x14ac:dyDescent="0.3">
      <c r="A1628" s="26" t="s">
        <v>3296</v>
      </c>
      <c r="B1628" t="s">
        <v>3296</v>
      </c>
      <c r="C1628" s="13" t="s">
        <v>3296</v>
      </c>
      <c r="D1628" s="9" t="s">
        <v>536</v>
      </c>
      <c r="E1628" s="13" t="s">
        <v>3323</v>
      </c>
    </row>
    <row r="1629" spans="1:5" ht="43.2" x14ac:dyDescent="0.3">
      <c r="A1629" s="26" t="s">
        <v>1662</v>
      </c>
      <c r="B1629" t="s">
        <v>1662</v>
      </c>
      <c r="C1629" s="13" t="s">
        <v>1662</v>
      </c>
      <c r="D1629" s="9" t="s">
        <v>536</v>
      </c>
      <c r="E1629" s="13" t="s">
        <v>3323</v>
      </c>
    </row>
    <row r="1630" spans="1:5" ht="43.2" x14ac:dyDescent="0.3">
      <c r="A1630" s="26" t="s">
        <v>3297</v>
      </c>
      <c r="B1630" t="s">
        <v>3297</v>
      </c>
      <c r="C1630" s="13" t="s">
        <v>3297</v>
      </c>
      <c r="D1630" s="9" t="s">
        <v>536</v>
      </c>
      <c r="E1630" s="13" t="s">
        <v>3323</v>
      </c>
    </row>
    <row r="1631" spans="1:5" ht="43.2" x14ac:dyDescent="0.3">
      <c r="A1631" s="26" t="s">
        <v>3298</v>
      </c>
      <c r="B1631" t="s">
        <v>3298</v>
      </c>
      <c r="C1631" s="13" t="s">
        <v>3298</v>
      </c>
      <c r="D1631" s="9" t="s">
        <v>536</v>
      </c>
      <c r="E1631" s="13" t="s">
        <v>3323</v>
      </c>
    </row>
    <row r="1632" spans="1:5" ht="43.2" x14ac:dyDescent="0.3">
      <c r="A1632" s="26" t="s">
        <v>3299</v>
      </c>
      <c r="B1632" t="s">
        <v>3299</v>
      </c>
      <c r="C1632" s="13" t="s">
        <v>3299</v>
      </c>
      <c r="D1632" s="9" t="s">
        <v>536</v>
      </c>
      <c r="E1632" s="13" t="s">
        <v>3323</v>
      </c>
    </row>
    <row r="1633" spans="1:5" ht="43.2" x14ac:dyDescent="0.3">
      <c r="A1633" s="26" t="s">
        <v>3300</v>
      </c>
      <c r="B1633" t="s">
        <v>3300</v>
      </c>
      <c r="C1633" s="13" t="s">
        <v>3300</v>
      </c>
      <c r="D1633" s="9" t="s">
        <v>536</v>
      </c>
      <c r="E1633" s="13" t="s">
        <v>3323</v>
      </c>
    </row>
    <row r="1634" spans="1:5" ht="43.2" x14ac:dyDescent="0.3">
      <c r="A1634" s="26" t="s">
        <v>3301</v>
      </c>
      <c r="B1634" t="s">
        <v>3301</v>
      </c>
      <c r="C1634" s="13" t="s">
        <v>3301</v>
      </c>
      <c r="D1634" s="9" t="s">
        <v>536</v>
      </c>
      <c r="E1634" s="13" t="s">
        <v>3323</v>
      </c>
    </row>
    <row r="1635" spans="1:5" ht="43.2" x14ac:dyDescent="0.3">
      <c r="A1635" s="26" t="s">
        <v>3302</v>
      </c>
      <c r="B1635" t="s">
        <v>3302</v>
      </c>
      <c r="C1635" s="13" t="s">
        <v>3302</v>
      </c>
      <c r="D1635" s="9" t="s">
        <v>536</v>
      </c>
      <c r="E1635" s="13" t="s">
        <v>3323</v>
      </c>
    </row>
    <row r="1636" spans="1:5" ht="43.2" x14ac:dyDescent="0.3">
      <c r="A1636" s="26" t="s">
        <v>3303</v>
      </c>
      <c r="B1636" t="s">
        <v>3303</v>
      </c>
      <c r="C1636" s="13" t="s">
        <v>3303</v>
      </c>
      <c r="D1636" s="9" t="s">
        <v>536</v>
      </c>
      <c r="E1636" s="13" t="s">
        <v>3323</v>
      </c>
    </row>
    <row r="1637" spans="1:5" ht="43.2" x14ac:dyDescent="0.3">
      <c r="A1637" s="26" t="s">
        <v>3304</v>
      </c>
      <c r="B1637" t="s">
        <v>3304</v>
      </c>
      <c r="C1637" s="13" t="s">
        <v>3304</v>
      </c>
      <c r="D1637" s="9" t="s">
        <v>536</v>
      </c>
      <c r="E1637" s="13" t="s">
        <v>3323</v>
      </c>
    </row>
    <row r="1638" spans="1:5" ht="43.2" x14ac:dyDescent="0.3">
      <c r="A1638" s="26" t="s">
        <v>3305</v>
      </c>
      <c r="B1638" t="s">
        <v>3305</v>
      </c>
      <c r="C1638" s="13" t="s">
        <v>3305</v>
      </c>
      <c r="D1638" s="9" t="s">
        <v>536</v>
      </c>
      <c r="E1638" s="13" t="s">
        <v>3323</v>
      </c>
    </row>
    <row r="1639" spans="1:5" ht="43.2" x14ac:dyDescent="0.3">
      <c r="A1639" s="26" t="s">
        <v>3306</v>
      </c>
      <c r="B1639" t="s">
        <v>3306</v>
      </c>
      <c r="C1639" s="13" t="s">
        <v>3306</v>
      </c>
      <c r="D1639" s="9" t="s">
        <v>536</v>
      </c>
      <c r="E1639" s="13" t="s">
        <v>3323</v>
      </c>
    </row>
    <row r="1640" spans="1:5" ht="43.2" x14ac:dyDescent="0.3">
      <c r="A1640" s="26" t="s">
        <v>3307</v>
      </c>
      <c r="B1640" t="s">
        <v>3307</v>
      </c>
      <c r="C1640" s="13" t="s">
        <v>3307</v>
      </c>
      <c r="D1640" s="9" t="s">
        <v>536</v>
      </c>
      <c r="E1640" s="13" t="s">
        <v>3323</v>
      </c>
    </row>
    <row r="1641" spans="1:5" ht="43.2" x14ac:dyDescent="0.3">
      <c r="A1641" s="26" t="s">
        <v>3308</v>
      </c>
      <c r="B1641" t="s">
        <v>3308</v>
      </c>
      <c r="C1641" s="13" t="s">
        <v>3308</v>
      </c>
      <c r="D1641" s="9" t="s">
        <v>536</v>
      </c>
      <c r="E1641" s="13" t="s">
        <v>3323</v>
      </c>
    </row>
    <row r="1642" spans="1:5" ht="43.2" x14ac:dyDescent="0.3">
      <c r="A1642" s="26" t="s">
        <v>3309</v>
      </c>
      <c r="B1642" t="s">
        <v>3309</v>
      </c>
      <c r="C1642" s="13" t="s">
        <v>3309</v>
      </c>
      <c r="D1642" s="9" t="s">
        <v>536</v>
      </c>
      <c r="E1642" s="13" t="s">
        <v>3323</v>
      </c>
    </row>
    <row r="1643" spans="1:5" ht="43.2" x14ac:dyDescent="0.3">
      <c r="A1643" s="26" t="s">
        <v>3310</v>
      </c>
      <c r="B1643" t="s">
        <v>3310</v>
      </c>
      <c r="C1643" s="13" t="s">
        <v>3310</v>
      </c>
      <c r="D1643" s="9" t="s">
        <v>536</v>
      </c>
      <c r="E1643" s="13" t="s">
        <v>3323</v>
      </c>
    </row>
    <row r="1644" spans="1:5" ht="43.2" x14ac:dyDescent="0.3">
      <c r="A1644" s="26" t="s">
        <v>3311</v>
      </c>
      <c r="B1644" t="s">
        <v>3311</v>
      </c>
      <c r="C1644" s="13" t="s">
        <v>3311</v>
      </c>
      <c r="D1644" s="9" t="s">
        <v>536</v>
      </c>
      <c r="E1644" s="13" t="s">
        <v>3323</v>
      </c>
    </row>
    <row r="1645" spans="1:5" ht="43.2" x14ac:dyDescent="0.3">
      <c r="A1645" s="26" t="s">
        <v>3312</v>
      </c>
      <c r="B1645" t="s">
        <v>3312</v>
      </c>
      <c r="C1645" s="13" t="s">
        <v>3312</v>
      </c>
      <c r="D1645" s="9" t="s">
        <v>536</v>
      </c>
      <c r="E1645" s="13" t="s">
        <v>3323</v>
      </c>
    </row>
    <row r="1646" spans="1:5" ht="43.2" x14ac:dyDescent="0.3">
      <c r="A1646" s="26" t="s">
        <v>3313</v>
      </c>
      <c r="B1646" t="s">
        <v>3313</v>
      </c>
      <c r="C1646" s="13" t="s">
        <v>3313</v>
      </c>
      <c r="D1646" s="9" t="s">
        <v>536</v>
      </c>
      <c r="E1646" s="13" t="s">
        <v>3323</v>
      </c>
    </row>
    <row r="1647" spans="1:5" x14ac:dyDescent="0.3">
      <c r="A1647" s="13" t="s">
        <v>3191</v>
      </c>
      <c r="B1647" t="s">
        <v>3314</v>
      </c>
      <c r="C1647" s="13" t="s">
        <v>3191</v>
      </c>
      <c r="D1647" s="9" t="s">
        <v>536</v>
      </c>
      <c r="E1647" s="13" t="s">
        <v>3323</v>
      </c>
    </row>
    <row r="1648" spans="1:5" x14ac:dyDescent="0.3">
      <c r="A1648" s="13" t="s">
        <v>3192</v>
      </c>
      <c r="B1648" t="s">
        <v>3315</v>
      </c>
      <c r="C1648" s="13" t="s">
        <v>3192</v>
      </c>
      <c r="D1648" s="9" t="s">
        <v>536</v>
      </c>
      <c r="E1648" s="13" t="s">
        <v>3323</v>
      </c>
    </row>
    <row r="1649" spans="1:5" x14ac:dyDescent="0.3">
      <c r="A1649" s="13" t="s">
        <v>3193</v>
      </c>
      <c r="B1649" t="s">
        <v>3316</v>
      </c>
      <c r="C1649" s="13" t="s">
        <v>3193</v>
      </c>
      <c r="D1649" s="9" t="s">
        <v>536</v>
      </c>
      <c r="E1649" s="13" t="s">
        <v>3323</v>
      </c>
    </row>
    <row r="1650" spans="1:5" x14ac:dyDescent="0.3">
      <c r="A1650" s="13" t="s">
        <v>3194</v>
      </c>
      <c r="B1650" t="s">
        <v>3317</v>
      </c>
      <c r="C1650" s="13" t="s">
        <v>3194</v>
      </c>
      <c r="D1650" s="9" t="s">
        <v>536</v>
      </c>
      <c r="E1650" s="13" t="s">
        <v>3323</v>
      </c>
    </row>
    <row r="1651" spans="1:5" x14ac:dyDescent="0.3">
      <c r="A1651" s="13" t="s">
        <v>3195</v>
      </c>
      <c r="B1651" t="s">
        <v>2092</v>
      </c>
      <c r="C1651" s="13" t="s">
        <v>3195</v>
      </c>
      <c r="D1651" s="9" t="s">
        <v>536</v>
      </c>
      <c r="E1651" s="13" t="s">
        <v>3323</v>
      </c>
    </row>
    <row r="1652" spans="1:5" ht="43.2" x14ac:dyDescent="0.3">
      <c r="A1652" s="26" t="s">
        <v>3318</v>
      </c>
      <c r="B1652" t="s">
        <v>3318</v>
      </c>
      <c r="C1652" s="13" t="s">
        <v>3318</v>
      </c>
      <c r="D1652" s="9" t="s">
        <v>536</v>
      </c>
      <c r="E1652" s="13" t="s">
        <v>3323</v>
      </c>
    </row>
    <row r="1653" spans="1:5" ht="43.2" x14ac:dyDescent="0.3">
      <c r="A1653" s="26" t="s">
        <v>3319</v>
      </c>
      <c r="B1653" t="s">
        <v>3319</v>
      </c>
      <c r="C1653" s="13" t="s">
        <v>3319</v>
      </c>
      <c r="D1653" s="9" t="s">
        <v>536</v>
      </c>
      <c r="E1653" s="13" t="s">
        <v>3323</v>
      </c>
    </row>
    <row r="1654" spans="1:5" ht="43.2" x14ac:dyDescent="0.3">
      <c r="A1654" s="26" t="s">
        <v>3320</v>
      </c>
      <c r="B1654" t="s">
        <v>3320</v>
      </c>
      <c r="C1654" s="13" t="s">
        <v>3320</v>
      </c>
      <c r="D1654" s="9" t="s">
        <v>536</v>
      </c>
      <c r="E1654" s="13" t="s">
        <v>3323</v>
      </c>
    </row>
    <row r="1655" spans="1:5" ht="43.2" x14ac:dyDescent="0.3">
      <c r="A1655" s="13" t="s">
        <v>3196</v>
      </c>
      <c r="B1655" t="s">
        <v>1636</v>
      </c>
      <c r="C1655" s="13" t="s">
        <v>3196</v>
      </c>
      <c r="D1655" s="9" t="s">
        <v>536</v>
      </c>
      <c r="E1655" s="13" t="s">
        <v>3323</v>
      </c>
    </row>
    <row r="1656" spans="1:5" ht="43.2" x14ac:dyDescent="0.3">
      <c r="A1656" s="13" t="s">
        <v>3197</v>
      </c>
      <c r="B1656" t="s">
        <v>1639</v>
      </c>
      <c r="C1656" s="13" t="s">
        <v>3197</v>
      </c>
      <c r="D1656" s="9" t="s">
        <v>536</v>
      </c>
      <c r="E1656" s="13" t="s">
        <v>3323</v>
      </c>
    </row>
    <row r="1657" spans="1:5" ht="28.8" x14ac:dyDescent="0.3">
      <c r="A1657" s="13" t="s">
        <v>1635</v>
      </c>
      <c r="B1657" t="s">
        <v>1635</v>
      </c>
      <c r="C1657" s="13" t="s">
        <v>1635</v>
      </c>
      <c r="D1657" s="9" t="s">
        <v>536</v>
      </c>
      <c r="E1657" s="13" t="s">
        <v>3323</v>
      </c>
    </row>
    <row r="1658" spans="1:5" x14ac:dyDescent="0.3">
      <c r="A1658" s="13" t="s">
        <v>3198</v>
      </c>
      <c r="B1658" t="s">
        <v>3321</v>
      </c>
      <c r="C1658" s="13" t="s">
        <v>3198</v>
      </c>
      <c r="D1658" s="9" t="s">
        <v>536</v>
      </c>
      <c r="E1658" s="13" t="s">
        <v>3323</v>
      </c>
    </row>
    <row r="1659" spans="1:5" x14ac:dyDescent="0.3">
      <c r="A1659" s="13" t="s">
        <v>3199</v>
      </c>
      <c r="B1659" t="s">
        <v>3199</v>
      </c>
      <c r="C1659" s="13" t="s">
        <v>3199</v>
      </c>
      <c r="D1659" s="9" t="s">
        <v>536</v>
      </c>
      <c r="E1659" s="13" t="s">
        <v>3323</v>
      </c>
    </row>
    <row r="1660" spans="1:5" x14ac:dyDescent="0.3">
      <c r="A1660" s="26" t="s">
        <v>3322</v>
      </c>
      <c r="B1660" t="s">
        <v>3322</v>
      </c>
      <c r="C1660" t="s">
        <v>3322</v>
      </c>
      <c r="E1660" s="13" t="s">
        <v>3323</v>
      </c>
    </row>
  </sheetData>
  <dataValidations count="1">
    <dataValidation type="list" sqref="D2:D1659" xr:uid="{00000000-0002-0000-0100-000000000000}">
      <formula1>"SÍ,NO"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4000"/>
  <sheetViews>
    <sheetView showGridLines="0" workbookViewId="0"/>
  </sheetViews>
  <sheetFormatPr baseColWidth="10" defaultColWidth="8.88671875" defaultRowHeight="14.4" x14ac:dyDescent="0.3"/>
  <cols>
    <col min="1" max="1" width="13.33203125" customWidth="1"/>
    <col min="2" max="2" width="15.5546875" customWidth="1"/>
    <col min="3" max="3" width="13.33203125" customWidth="1"/>
    <col min="4" max="4" width="16.109375" customWidth="1"/>
    <col min="5" max="5" width="24.44140625" customWidth="1"/>
    <col min="6" max="6" width="13.88671875" customWidth="1"/>
    <col min="7" max="7" width="36.6640625" customWidth="1"/>
    <col min="8" max="8" width="13.88671875" customWidth="1"/>
    <col min="9" max="9" width="15" customWidth="1"/>
    <col min="10" max="10" width="12.77734375" customWidth="1"/>
    <col min="11" max="11" width="12.21875" customWidth="1"/>
    <col min="12" max="12" width="24.44140625" customWidth="1"/>
    <col min="13" max="13" width="16.109375" customWidth="1"/>
    <col min="14" max="14" width="12.21875" customWidth="1"/>
    <col min="15" max="15" width="14.44140625" customWidth="1"/>
    <col min="16" max="16" width="13.88671875" customWidth="1"/>
    <col min="17" max="17" width="28.88671875" customWidth="1"/>
    <col min="18" max="18" width="24.44140625" customWidth="1"/>
  </cols>
  <sheetData>
    <row r="1" spans="1:18" ht="42" customHeight="1" x14ac:dyDescent="0.3">
      <c r="A1" s="4" t="s">
        <v>537</v>
      </c>
      <c r="B1" s="4" t="s">
        <v>538</v>
      </c>
      <c r="C1" s="4" t="s">
        <v>539</v>
      </c>
      <c r="D1" s="4" t="s">
        <v>540</v>
      </c>
      <c r="E1" s="4" t="s">
        <v>541</v>
      </c>
      <c r="F1" s="4" t="s">
        <v>542</v>
      </c>
      <c r="G1" s="4" t="s">
        <v>1</v>
      </c>
      <c r="H1" s="4" t="s">
        <v>543</v>
      </c>
      <c r="I1" s="4" t="s">
        <v>544</v>
      </c>
      <c r="J1" s="4" t="s">
        <v>545</v>
      </c>
      <c r="K1" s="4" t="s">
        <v>546</v>
      </c>
      <c r="L1" s="4" t="s">
        <v>547</v>
      </c>
      <c r="M1" s="4" t="s">
        <v>531</v>
      </c>
      <c r="N1" s="4" t="s">
        <v>548</v>
      </c>
      <c r="O1" s="4" t="s">
        <v>549</v>
      </c>
      <c r="P1" s="4" t="s">
        <v>550</v>
      </c>
      <c r="Q1" s="4" t="s">
        <v>551</v>
      </c>
      <c r="R1" s="4" t="s">
        <v>552</v>
      </c>
    </row>
    <row r="2" spans="1:18" x14ac:dyDescent="0.3">
      <c r="B2" s="10"/>
      <c r="I2" s="11"/>
      <c r="K2" s="12"/>
      <c r="L2" s="12"/>
      <c r="M2" s="12"/>
      <c r="N2" s="12"/>
      <c r="O2" s="12"/>
    </row>
    <row r="3" spans="1:18" x14ac:dyDescent="0.3">
      <c r="B3" s="10"/>
      <c r="I3" s="11"/>
      <c r="K3" s="12"/>
      <c r="L3" s="12"/>
      <c r="M3" s="12"/>
      <c r="N3" s="12"/>
      <c r="O3" s="12"/>
    </row>
    <row r="4" spans="1:18" x14ac:dyDescent="0.3">
      <c r="B4" s="10"/>
      <c r="I4" s="11"/>
      <c r="K4" s="12"/>
      <c r="L4" s="12"/>
      <c r="M4" s="12"/>
      <c r="N4" s="12"/>
      <c r="O4" s="12"/>
    </row>
    <row r="5" spans="1:18" x14ac:dyDescent="0.3">
      <c r="B5" s="10"/>
      <c r="I5" s="11"/>
      <c r="K5" s="12"/>
      <c r="L5" s="12"/>
      <c r="M5" s="12"/>
      <c r="N5" s="12"/>
      <c r="O5" s="12"/>
    </row>
    <row r="6" spans="1:18" x14ac:dyDescent="0.3">
      <c r="B6" s="10"/>
      <c r="I6" s="11"/>
      <c r="K6" s="12"/>
      <c r="L6" s="12"/>
      <c r="M6" s="12"/>
      <c r="N6" s="12"/>
      <c r="O6" s="12"/>
    </row>
    <row r="7" spans="1:18" x14ac:dyDescent="0.3">
      <c r="B7" s="10"/>
      <c r="I7" s="11"/>
      <c r="K7" s="12"/>
      <c r="L7" s="12"/>
      <c r="M7" s="12"/>
      <c r="N7" s="12"/>
      <c r="O7" s="12"/>
    </row>
    <row r="8" spans="1:18" x14ac:dyDescent="0.3">
      <c r="B8" s="10"/>
      <c r="I8" s="11"/>
      <c r="K8" s="12"/>
      <c r="L8" s="12"/>
      <c r="M8" s="12"/>
      <c r="N8" s="12"/>
      <c r="O8" s="12"/>
    </row>
    <row r="9" spans="1:18" x14ac:dyDescent="0.3">
      <c r="B9" s="10"/>
      <c r="I9" s="11"/>
      <c r="K9" s="12"/>
      <c r="L9" s="12"/>
      <c r="M9" s="12"/>
      <c r="N9" s="12"/>
      <c r="O9" s="12"/>
    </row>
    <row r="10" spans="1:18" x14ac:dyDescent="0.3">
      <c r="B10" s="10"/>
      <c r="I10" s="11"/>
      <c r="K10" s="12"/>
      <c r="L10" s="12"/>
      <c r="M10" s="12"/>
      <c r="N10" s="12"/>
      <c r="O10" s="12"/>
    </row>
    <row r="11" spans="1:18" x14ac:dyDescent="0.3">
      <c r="B11" s="10"/>
      <c r="I11" s="11"/>
      <c r="K11" s="12"/>
      <c r="L11" s="12"/>
      <c r="M11" s="12"/>
      <c r="N11" s="12"/>
      <c r="O11" s="12"/>
    </row>
    <row r="12" spans="1:18" x14ac:dyDescent="0.3">
      <c r="B12" s="10"/>
      <c r="I12" s="11"/>
      <c r="K12" s="12"/>
      <c r="L12" s="12"/>
      <c r="M12" s="12"/>
      <c r="N12" s="12"/>
      <c r="O12" s="12"/>
    </row>
    <row r="13" spans="1:18" x14ac:dyDescent="0.3">
      <c r="B13" s="10"/>
      <c r="I13" s="11"/>
      <c r="K13" s="12"/>
      <c r="L13" s="12"/>
      <c r="M13" s="12"/>
      <c r="N13" s="12"/>
      <c r="O13" s="12"/>
    </row>
    <row r="14" spans="1:18" x14ac:dyDescent="0.3">
      <c r="B14" s="10"/>
      <c r="I14" s="11"/>
      <c r="K14" s="12"/>
      <c r="L14" s="12"/>
      <c r="M14" s="12"/>
      <c r="N14" s="12"/>
      <c r="O14" s="12"/>
    </row>
    <row r="15" spans="1:18" x14ac:dyDescent="0.3">
      <c r="B15" s="10"/>
      <c r="I15" s="11"/>
      <c r="K15" s="12"/>
      <c r="L15" s="12"/>
      <c r="M15" s="12"/>
      <c r="N15" s="12"/>
      <c r="O15" s="12"/>
    </row>
    <row r="16" spans="1:18" x14ac:dyDescent="0.3">
      <c r="B16" s="10"/>
      <c r="I16" s="11"/>
      <c r="K16" s="12"/>
      <c r="L16" s="12"/>
      <c r="M16" s="12"/>
      <c r="N16" s="12"/>
      <c r="O16" s="12"/>
    </row>
    <row r="17" spans="2:15" x14ac:dyDescent="0.3">
      <c r="B17" s="10"/>
      <c r="I17" s="11"/>
      <c r="K17" s="12"/>
      <c r="L17" s="12"/>
      <c r="M17" s="12"/>
      <c r="N17" s="12"/>
      <c r="O17" s="12"/>
    </row>
    <row r="18" spans="2:15" x14ac:dyDescent="0.3">
      <c r="B18" s="10"/>
      <c r="I18" s="11"/>
      <c r="K18" s="12"/>
      <c r="L18" s="12"/>
      <c r="M18" s="12"/>
      <c r="N18" s="12"/>
      <c r="O18" s="12"/>
    </row>
    <row r="19" spans="2:15" x14ac:dyDescent="0.3">
      <c r="B19" s="10"/>
      <c r="I19" s="11"/>
      <c r="K19" s="12"/>
      <c r="L19" s="12"/>
      <c r="M19" s="12"/>
      <c r="N19" s="12"/>
      <c r="O19" s="12"/>
    </row>
    <row r="20" spans="2:15" x14ac:dyDescent="0.3">
      <c r="B20" s="10"/>
      <c r="I20" s="11"/>
      <c r="K20" s="12"/>
      <c r="L20" s="12"/>
      <c r="M20" s="12"/>
      <c r="N20" s="12"/>
      <c r="O20" s="12"/>
    </row>
    <row r="21" spans="2:15" x14ac:dyDescent="0.3">
      <c r="B21" s="10"/>
      <c r="I21" s="11"/>
      <c r="K21" s="12"/>
      <c r="L21" s="12"/>
      <c r="M21" s="12"/>
      <c r="N21" s="12"/>
      <c r="O21" s="12"/>
    </row>
    <row r="22" spans="2:15" x14ac:dyDescent="0.3">
      <c r="B22" s="10"/>
      <c r="I22" s="11"/>
      <c r="K22" s="12"/>
      <c r="L22" s="12"/>
      <c r="M22" s="12"/>
      <c r="N22" s="12"/>
      <c r="O22" s="12"/>
    </row>
    <row r="23" spans="2:15" x14ac:dyDescent="0.3">
      <c r="B23" s="10"/>
      <c r="I23" s="11"/>
      <c r="K23" s="12"/>
      <c r="L23" s="12"/>
      <c r="M23" s="12"/>
      <c r="N23" s="12"/>
      <c r="O23" s="12"/>
    </row>
    <row r="24" spans="2:15" x14ac:dyDescent="0.3">
      <c r="B24" s="10"/>
      <c r="I24" s="11"/>
      <c r="K24" s="12"/>
      <c r="L24" s="12"/>
      <c r="M24" s="12"/>
      <c r="N24" s="12"/>
      <c r="O24" s="12"/>
    </row>
    <row r="25" spans="2:15" x14ac:dyDescent="0.3">
      <c r="B25" s="10"/>
      <c r="I25" s="11"/>
      <c r="K25" s="12"/>
      <c r="L25" s="12"/>
      <c r="M25" s="12"/>
      <c r="N25" s="12"/>
      <c r="O25" s="12"/>
    </row>
    <row r="26" spans="2:15" x14ac:dyDescent="0.3">
      <c r="B26" s="10"/>
      <c r="I26" s="11"/>
      <c r="K26" s="12"/>
      <c r="L26" s="12"/>
      <c r="M26" s="12"/>
      <c r="N26" s="12"/>
      <c r="O26" s="12"/>
    </row>
    <row r="27" spans="2:15" x14ac:dyDescent="0.3">
      <c r="B27" s="10"/>
      <c r="I27" s="11"/>
      <c r="K27" s="12"/>
      <c r="L27" s="12"/>
      <c r="M27" s="12"/>
      <c r="N27" s="12"/>
      <c r="O27" s="12"/>
    </row>
    <row r="28" spans="2:15" x14ac:dyDescent="0.3">
      <c r="B28" s="10"/>
      <c r="I28" s="11"/>
      <c r="K28" s="12"/>
      <c r="L28" s="12"/>
      <c r="M28" s="12"/>
      <c r="N28" s="12"/>
      <c r="O28" s="12"/>
    </row>
    <row r="29" spans="2:15" x14ac:dyDescent="0.3">
      <c r="B29" s="10"/>
      <c r="I29" s="11"/>
      <c r="K29" s="12"/>
      <c r="L29" s="12"/>
      <c r="M29" s="12"/>
      <c r="N29" s="12"/>
      <c r="O29" s="12"/>
    </row>
    <row r="30" spans="2:15" x14ac:dyDescent="0.3">
      <c r="B30" s="10"/>
      <c r="I30" s="11"/>
      <c r="K30" s="12"/>
      <c r="L30" s="12"/>
      <c r="M30" s="12"/>
      <c r="N30" s="12"/>
      <c r="O30" s="12"/>
    </row>
    <row r="31" spans="2:15" x14ac:dyDescent="0.3">
      <c r="B31" s="10"/>
      <c r="I31" s="11"/>
      <c r="K31" s="12"/>
      <c r="L31" s="12"/>
      <c r="M31" s="12"/>
      <c r="N31" s="12"/>
      <c r="O31" s="12"/>
    </row>
    <row r="32" spans="2:15" x14ac:dyDescent="0.3">
      <c r="B32" s="10"/>
      <c r="I32" s="11"/>
      <c r="K32" s="12"/>
      <c r="L32" s="12"/>
      <c r="M32" s="12"/>
      <c r="N32" s="12"/>
      <c r="O32" s="12"/>
    </row>
    <row r="33" spans="2:15" x14ac:dyDescent="0.3">
      <c r="B33" s="10"/>
      <c r="I33" s="11"/>
      <c r="K33" s="12"/>
      <c r="L33" s="12"/>
      <c r="M33" s="12"/>
      <c r="N33" s="12"/>
      <c r="O33" s="12"/>
    </row>
    <row r="34" spans="2:15" x14ac:dyDescent="0.3">
      <c r="B34" s="10"/>
      <c r="I34" s="11"/>
      <c r="K34" s="12"/>
      <c r="L34" s="12"/>
      <c r="M34" s="12"/>
      <c r="N34" s="12"/>
      <c r="O34" s="12"/>
    </row>
    <row r="35" spans="2:15" x14ac:dyDescent="0.3">
      <c r="B35" s="10"/>
      <c r="I35" s="11"/>
      <c r="K35" s="12"/>
      <c r="L35" s="12"/>
      <c r="M35" s="12"/>
      <c r="N35" s="12"/>
      <c r="O35" s="12"/>
    </row>
    <row r="36" spans="2:15" x14ac:dyDescent="0.3">
      <c r="B36" s="10"/>
      <c r="I36" s="11"/>
      <c r="K36" s="12"/>
      <c r="L36" s="12"/>
      <c r="M36" s="12"/>
      <c r="N36" s="12"/>
      <c r="O36" s="12"/>
    </row>
    <row r="37" spans="2:15" x14ac:dyDescent="0.3">
      <c r="B37" s="10"/>
      <c r="I37" s="11"/>
      <c r="K37" s="12"/>
      <c r="L37" s="12"/>
      <c r="M37" s="12"/>
      <c r="N37" s="12"/>
      <c r="O37" s="12"/>
    </row>
    <row r="38" spans="2:15" x14ac:dyDescent="0.3">
      <c r="B38" s="10"/>
      <c r="I38" s="11"/>
      <c r="K38" s="12"/>
      <c r="L38" s="12"/>
      <c r="M38" s="12"/>
      <c r="N38" s="12"/>
      <c r="O38" s="12"/>
    </row>
    <row r="39" spans="2:15" x14ac:dyDescent="0.3">
      <c r="B39" s="10"/>
      <c r="I39" s="11"/>
      <c r="K39" s="12"/>
      <c r="L39" s="12"/>
      <c r="M39" s="12"/>
      <c r="N39" s="12"/>
      <c r="O39" s="12"/>
    </row>
    <row r="40" spans="2:15" x14ac:dyDescent="0.3">
      <c r="B40" s="10"/>
      <c r="I40" s="11"/>
      <c r="K40" s="12"/>
      <c r="L40" s="12"/>
      <c r="M40" s="12"/>
      <c r="N40" s="12"/>
      <c r="O40" s="12"/>
    </row>
    <row r="41" spans="2:15" x14ac:dyDescent="0.3">
      <c r="B41" s="10"/>
      <c r="I41" s="11"/>
      <c r="K41" s="12"/>
      <c r="L41" s="12"/>
      <c r="M41" s="12"/>
      <c r="N41" s="12"/>
      <c r="O41" s="12"/>
    </row>
    <row r="42" spans="2:15" x14ac:dyDescent="0.3">
      <c r="B42" s="10"/>
      <c r="I42" s="11"/>
      <c r="K42" s="12"/>
      <c r="L42" s="12"/>
      <c r="M42" s="12"/>
      <c r="N42" s="12"/>
      <c r="O42" s="12"/>
    </row>
    <row r="43" spans="2:15" x14ac:dyDescent="0.3">
      <c r="B43" s="10"/>
      <c r="I43" s="11"/>
      <c r="K43" s="12"/>
      <c r="L43" s="12"/>
      <c r="M43" s="12"/>
      <c r="N43" s="12"/>
      <c r="O43" s="12"/>
    </row>
    <row r="44" spans="2:15" x14ac:dyDescent="0.3">
      <c r="B44" s="10"/>
      <c r="I44" s="11"/>
      <c r="K44" s="12"/>
      <c r="L44" s="12"/>
      <c r="M44" s="12"/>
      <c r="N44" s="12"/>
      <c r="O44" s="12"/>
    </row>
    <row r="45" spans="2:15" x14ac:dyDescent="0.3">
      <c r="B45" s="10"/>
      <c r="I45" s="11"/>
      <c r="K45" s="12"/>
      <c r="L45" s="12"/>
      <c r="M45" s="12"/>
      <c r="N45" s="12"/>
      <c r="O45" s="12"/>
    </row>
    <row r="46" spans="2:15" x14ac:dyDescent="0.3">
      <c r="B46" s="10"/>
      <c r="I46" s="11"/>
      <c r="K46" s="12"/>
      <c r="L46" s="12"/>
      <c r="M46" s="12"/>
      <c r="N46" s="12"/>
      <c r="O46" s="12"/>
    </row>
    <row r="47" spans="2:15" x14ac:dyDescent="0.3">
      <c r="B47" s="10"/>
      <c r="I47" s="11"/>
      <c r="K47" s="12"/>
      <c r="L47" s="12"/>
      <c r="M47" s="12"/>
      <c r="N47" s="12"/>
      <c r="O47" s="12"/>
    </row>
    <row r="48" spans="2:15" x14ac:dyDescent="0.3">
      <c r="B48" s="10"/>
      <c r="I48" s="11"/>
      <c r="K48" s="12"/>
      <c r="L48" s="12"/>
      <c r="M48" s="12"/>
      <c r="N48" s="12"/>
      <c r="O48" s="12"/>
    </row>
    <row r="49" spans="2:15" x14ac:dyDescent="0.3">
      <c r="B49" s="10"/>
      <c r="I49" s="11"/>
      <c r="K49" s="12"/>
      <c r="L49" s="12"/>
      <c r="M49" s="12"/>
      <c r="N49" s="12"/>
      <c r="O49" s="12"/>
    </row>
    <row r="50" spans="2:15" x14ac:dyDescent="0.3">
      <c r="B50" s="10"/>
      <c r="I50" s="11"/>
      <c r="K50" s="12"/>
      <c r="L50" s="12"/>
      <c r="M50" s="12"/>
      <c r="N50" s="12"/>
      <c r="O50" s="12"/>
    </row>
    <row r="51" spans="2:15" x14ac:dyDescent="0.3">
      <c r="B51" s="10"/>
      <c r="I51" s="11"/>
      <c r="K51" s="12"/>
      <c r="L51" s="12"/>
      <c r="M51" s="12"/>
      <c r="N51" s="12"/>
      <c r="O51" s="12"/>
    </row>
    <row r="52" spans="2:15" x14ac:dyDescent="0.3">
      <c r="B52" s="10"/>
      <c r="I52" s="11"/>
      <c r="K52" s="12"/>
      <c r="L52" s="12"/>
      <c r="M52" s="12"/>
      <c r="N52" s="12"/>
      <c r="O52" s="12"/>
    </row>
    <row r="53" spans="2:15" x14ac:dyDescent="0.3">
      <c r="B53" s="10"/>
      <c r="I53" s="11"/>
      <c r="K53" s="12"/>
      <c r="L53" s="12"/>
      <c r="M53" s="12"/>
      <c r="N53" s="12"/>
      <c r="O53" s="12"/>
    </row>
    <row r="54" spans="2:15" x14ac:dyDescent="0.3">
      <c r="B54" s="10"/>
      <c r="I54" s="11"/>
      <c r="K54" s="12"/>
      <c r="L54" s="12"/>
      <c r="M54" s="12"/>
      <c r="N54" s="12"/>
      <c r="O54" s="12"/>
    </row>
    <row r="55" spans="2:15" x14ac:dyDescent="0.3">
      <c r="B55" s="10"/>
      <c r="I55" s="11"/>
      <c r="K55" s="12"/>
      <c r="L55" s="12"/>
      <c r="M55" s="12"/>
      <c r="N55" s="12"/>
      <c r="O55" s="12"/>
    </row>
    <row r="56" spans="2:15" x14ac:dyDescent="0.3">
      <c r="B56" s="10"/>
      <c r="I56" s="11"/>
      <c r="K56" s="12"/>
      <c r="L56" s="12"/>
      <c r="M56" s="12"/>
      <c r="N56" s="12"/>
      <c r="O56" s="12"/>
    </row>
    <row r="57" spans="2:15" x14ac:dyDescent="0.3">
      <c r="B57" s="10"/>
      <c r="I57" s="11"/>
      <c r="K57" s="12"/>
      <c r="L57" s="12"/>
      <c r="M57" s="12"/>
      <c r="N57" s="12"/>
      <c r="O57" s="12"/>
    </row>
    <row r="58" spans="2:15" x14ac:dyDescent="0.3">
      <c r="B58" s="10"/>
      <c r="I58" s="11"/>
      <c r="K58" s="12"/>
      <c r="L58" s="12"/>
      <c r="M58" s="12"/>
      <c r="N58" s="12"/>
      <c r="O58" s="12"/>
    </row>
    <row r="59" spans="2:15" x14ac:dyDescent="0.3">
      <c r="B59" s="10"/>
      <c r="I59" s="11"/>
      <c r="K59" s="12"/>
      <c r="L59" s="12"/>
      <c r="M59" s="12"/>
      <c r="N59" s="12"/>
      <c r="O59" s="12"/>
    </row>
    <row r="60" spans="2:15" x14ac:dyDescent="0.3">
      <c r="B60" s="10"/>
      <c r="I60" s="11"/>
      <c r="K60" s="12"/>
      <c r="L60" s="12"/>
      <c r="M60" s="12"/>
      <c r="N60" s="12"/>
      <c r="O60" s="12"/>
    </row>
    <row r="61" spans="2:15" x14ac:dyDescent="0.3">
      <c r="B61" s="10"/>
      <c r="I61" s="11"/>
      <c r="K61" s="12"/>
      <c r="L61" s="12"/>
      <c r="M61" s="12"/>
      <c r="N61" s="12"/>
      <c r="O61" s="12"/>
    </row>
    <row r="62" spans="2:15" x14ac:dyDescent="0.3">
      <c r="B62" s="10"/>
      <c r="I62" s="11"/>
      <c r="K62" s="12"/>
      <c r="L62" s="12"/>
      <c r="M62" s="12"/>
      <c r="N62" s="12"/>
      <c r="O62" s="12"/>
    </row>
    <row r="63" spans="2:15" x14ac:dyDescent="0.3">
      <c r="B63" s="10"/>
      <c r="I63" s="11"/>
      <c r="K63" s="12"/>
      <c r="L63" s="12"/>
      <c r="M63" s="12"/>
      <c r="N63" s="12"/>
      <c r="O63" s="12"/>
    </row>
    <row r="64" spans="2:15" x14ac:dyDescent="0.3">
      <c r="B64" s="10"/>
      <c r="I64" s="11"/>
      <c r="K64" s="12"/>
      <c r="L64" s="12"/>
      <c r="M64" s="12"/>
      <c r="N64" s="12"/>
      <c r="O64" s="12"/>
    </row>
    <row r="65" spans="2:15" x14ac:dyDescent="0.3">
      <c r="B65" s="10"/>
      <c r="I65" s="11"/>
      <c r="K65" s="12"/>
      <c r="L65" s="12"/>
      <c r="M65" s="12"/>
      <c r="N65" s="12"/>
      <c r="O65" s="12"/>
    </row>
    <row r="66" spans="2:15" x14ac:dyDescent="0.3">
      <c r="B66" s="10"/>
      <c r="I66" s="11"/>
      <c r="K66" s="12"/>
      <c r="L66" s="12"/>
      <c r="M66" s="12"/>
      <c r="N66" s="12"/>
      <c r="O66" s="12"/>
    </row>
    <row r="67" spans="2:15" x14ac:dyDescent="0.3">
      <c r="B67" s="10"/>
      <c r="I67" s="11"/>
      <c r="K67" s="12"/>
      <c r="L67" s="12"/>
      <c r="M67" s="12"/>
      <c r="N67" s="12"/>
      <c r="O67" s="12"/>
    </row>
    <row r="68" spans="2:15" x14ac:dyDescent="0.3">
      <c r="B68" s="10"/>
      <c r="I68" s="11"/>
      <c r="K68" s="12"/>
      <c r="L68" s="12"/>
      <c r="M68" s="12"/>
      <c r="N68" s="12"/>
      <c r="O68" s="12"/>
    </row>
    <row r="69" spans="2:15" x14ac:dyDescent="0.3">
      <c r="B69" s="10"/>
      <c r="I69" s="11"/>
      <c r="K69" s="12"/>
      <c r="L69" s="12"/>
      <c r="M69" s="12"/>
      <c r="N69" s="12"/>
      <c r="O69" s="12"/>
    </row>
    <row r="70" spans="2:15" x14ac:dyDescent="0.3">
      <c r="B70" s="10"/>
      <c r="I70" s="11"/>
      <c r="K70" s="12"/>
      <c r="L70" s="12"/>
      <c r="M70" s="12"/>
      <c r="N70" s="12"/>
      <c r="O70" s="12"/>
    </row>
    <row r="71" spans="2:15" x14ac:dyDescent="0.3">
      <c r="B71" s="10"/>
      <c r="I71" s="11"/>
      <c r="K71" s="12"/>
      <c r="L71" s="12"/>
      <c r="M71" s="12"/>
      <c r="N71" s="12"/>
      <c r="O71" s="12"/>
    </row>
    <row r="72" spans="2:15" x14ac:dyDescent="0.3">
      <c r="B72" s="10"/>
      <c r="I72" s="11"/>
      <c r="K72" s="12"/>
      <c r="L72" s="12"/>
      <c r="M72" s="12"/>
      <c r="N72" s="12"/>
      <c r="O72" s="12"/>
    </row>
    <row r="73" spans="2:15" x14ac:dyDescent="0.3">
      <c r="B73" s="10"/>
      <c r="I73" s="11"/>
      <c r="K73" s="12"/>
      <c r="L73" s="12"/>
      <c r="M73" s="12"/>
      <c r="N73" s="12"/>
      <c r="O73" s="12"/>
    </row>
    <row r="74" spans="2:15" x14ac:dyDescent="0.3">
      <c r="B74" s="10"/>
      <c r="I74" s="11"/>
      <c r="K74" s="12"/>
      <c r="L74" s="12"/>
      <c r="M74" s="12"/>
      <c r="N74" s="12"/>
      <c r="O74" s="12"/>
    </row>
    <row r="75" spans="2:15" x14ac:dyDescent="0.3">
      <c r="B75" s="10"/>
      <c r="I75" s="11"/>
      <c r="K75" s="12"/>
      <c r="L75" s="12"/>
      <c r="M75" s="12"/>
      <c r="N75" s="12"/>
      <c r="O75" s="12"/>
    </row>
    <row r="76" spans="2:15" x14ac:dyDescent="0.3">
      <c r="B76" s="10"/>
      <c r="I76" s="11"/>
      <c r="K76" s="12"/>
      <c r="L76" s="12"/>
      <c r="M76" s="12"/>
      <c r="N76" s="12"/>
      <c r="O76" s="12"/>
    </row>
    <row r="77" spans="2:15" x14ac:dyDescent="0.3">
      <c r="B77" s="10"/>
      <c r="I77" s="11"/>
      <c r="K77" s="12"/>
      <c r="L77" s="12"/>
      <c r="M77" s="12"/>
      <c r="N77" s="12"/>
      <c r="O77" s="12"/>
    </row>
    <row r="78" spans="2:15" x14ac:dyDescent="0.3">
      <c r="B78" s="10"/>
      <c r="I78" s="11"/>
      <c r="K78" s="12"/>
      <c r="L78" s="12"/>
      <c r="M78" s="12"/>
      <c r="N78" s="12"/>
      <c r="O78" s="12"/>
    </row>
    <row r="79" spans="2:15" x14ac:dyDescent="0.3">
      <c r="B79" s="10"/>
      <c r="I79" s="11"/>
      <c r="K79" s="12"/>
      <c r="L79" s="12"/>
      <c r="M79" s="12"/>
      <c r="N79" s="12"/>
      <c r="O79" s="12"/>
    </row>
    <row r="80" spans="2:15" x14ac:dyDescent="0.3">
      <c r="B80" s="10"/>
      <c r="I80" s="11"/>
      <c r="K80" s="12"/>
      <c r="L80" s="12"/>
      <c r="M80" s="12"/>
      <c r="N80" s="12"/>
      <c r="O80" s="12"/>
    </row>
    <row r="81" spans="2:15" x14ac:dyDescent="0.3">
      <c r="B81" s="10"/>
      <c r="I81" s="11"/>
      <c r="K81" s="12"/>
      <c r="L81" s="12"/>
      <c r="M81" s="12"/>
      <c r="N81" s="12"/>
      <c r="O81" s="12"/>
    </row>
    <row r="82" spans="2:15" x14ac:dyDescent="0.3">
      <c r="B82" s="10"/>
      <c r="I82" s="11"/>
      <c r="K82" s="12"/>
      <c r="L82" s="12"/>
      <c r="M82" s="12"/>
      <c r="N82" s="12"/>
      <c r="O82" s="12"/>
    </row>
    <row r="83" spans="2:15" x14ac:dyDescent="0.3">
      <c r="B83" s="10"/>
      <c r="I83" s="11"/>
      <c r="K83" s="12"/>
      <c r="L83" s="12"/>
      <c r="M83" s="12"/>
      <c r="N83" s="12"/>
      <c r="O83" s="12"/>
    </row>
    <row r="84" spans="2:15" x14ac:dyDescent="0.3">
      <c r="B84" s="10"/>
      <c r="I84" s="11"/>
      <c r="K84" s="12"/>
      <c r="L84" s="12"/>
      <c r="M84" s="12"/>
      <c r="N84" s="12"/>
      <c r="O84" s="12"/>
    </row>
    <row r="85" spans="2:15" x14ac:dyDescent="0.3">
      <c r="B85" s="10"/>
      <c r="I85" s="11"/>
      <c r="K85" s="12"/>
      <c r="L85" s="12"/>
      <c r="M85" s="12"/>
      <c r="N85" s="12"/>
      <c r="O85" s="12"/>
    </row>
    <row r="86" spans="2:15" x14ac:dyDescent="0.3">
      <c r="B86" s="10"/>
      <c r="I86" s="11"/>
      <c r="K86" s="12"/>
      <c r="L86" s="12"/>
      <c r="M86" s="12"/>
      <c r="N86" s="12"/>
      <c r="O86" s="12"/>
    </row>
    <row r="87" spans="2:15" x14ac:dyDescent="0.3">
      <c r="B87" s="10"/>
      <c r="I87" s="11"/>
      <c r="K87" s="12"/>
      <c r="L87" s="12"/>
      <c r="M87" s="12"/>
      <c r="N87" s="12"/>
      <c r="O87" s="12"/>
    </row>
    <row r="88" spans="2:15" x14ac:dyDescent="0.3">
      <c r="B88" s="10"/>
      <c r="I88" s="11"/>
      <c r="K88" s="12"/>
      <c r="L88" s="12"/>
      <c r="M88" s="12"/>
      <c r="N88" s="12"/>
      <c r="O88" s="12"/>
    </row>
    <row r="89" spans="2:15" x14ac:dyDescent="0.3">
      <c r="B89" s="10"/>
      <c r="I89" s="11"/>
      <c r="K89" s="12"/>
      <c r="L89" s="12"/>
      <c r="M89" s="12"/>
      <c r="N89" s="12"/>
      <c r="O89" s="12"/>
    </row>
    <row r="90" spans="2:15" x14ac:dyDescent="0.3">
      <c r="B90" s="10"/>
      <c r="I90" s="11"/>
      <c r="K90" s="12"/>
      <c r="L90" s="12"/>
      <c r="M90" s="12"/>
      <c r="N90" s="12"/>
      <c r="O90" s="12"/>
    </row>
    <row r="91" spans="2:15" x14ac:dyDescent="0.3">
      <c r="B91" s="10"/>
      <c r="I91" s="11"/>
      <c r="K91" s="12"/>
      <c r="L91" s="12"/>
      <c r="M91" s="12"/>
      <c r="N91" s="12"/>
      <c r="O91" s="12"/>
    </row>
    <row r="92" spans="2:15" x14ac:dyDescent="0.3">
      <c r="B92" s="10"/>
      <c r="I92" s="11"/>
      <c r="K92" s="12"/>
      <c r="L92" s="12"/>
      <c r="M92" s="12"/>
      <c r="N92" s="12"/>
      <c r="O92" s="12"/>
    </row>
    <row r="93" spans="2:15" x14ac:dyDescent="0.3">
      <c r="B93" s="10"/>
      <c r="I93" s="11"/>
      <c r="K93" s="12"/>
      <c r="L93" s="12"/>
      <c r="M93" s="12"/>
      <c r="N93" s="12"/>
      <c r="O93" s="12"/>
    </row>
    <row r="94" spans="2:15" x14ac:dyDescent="0.3">
      <c r="B94" s="10"/>
      <c r="I94" s="11"/>
      <c r="K94" s="12"/>
      <c r="L94" s="12"/>
      <c r="M94" s="12"/>
      <c r="N94" s="12"/>
      <c r="O94" s="12"/>
    </row>
    <row r="95" spans="2:15" x14ac:dyDescent="0.3">
      <c r="B95" s="10"/>
      <c r="I95" s="11"/>
      <c r="K95" s="12"/>
      <c r="L95" s="12"/>
      <c r="M95" s="12"/>
      <c r="N95" s="12"/>
      <c r="O95" s="12"/>
    </row>
    <row r="96" spans="2:15" x14ac:dyDescent="0.3">
      <c r="B96" s="10"/>
      <c r="I96" s="11"/>
      <c r="K96" s="12"/>
      <c r="L96" s="12"/>
      <c r="M96" s="12"/>
      <c r="N96" s="12"/>
      <c r="O96" s="12"/>
    </row>
    <row r="97" spans="2:15" x14ac:dyDescent="0.3">
      <c r="B97" s="10"/>
      <c r="I97" s="11"/>
      <c r="K97" s="12"/>
      <c r="L97" s="12"/>
      <c r="M97" s="12"/>
      <c r="N97" s="12"/>
      <c r="O97" s="12"/>
    </row>
    <row r="98" spans="2:15" x14ac:dyDescent="0.3">
      <c r="B98" s="10"/>
      <c r="I98" s="11"/>
      <c r="K98" s="12"/>
      <c r="L98" s="12"/>
      <c r="M98" s="12"/>
      <c r="N98" s="12"/>
      <c r="O98" s="12"/>
    </row>
    <row r="99" spans="2:15" x14ac:dyDescent="0.3">
      <c r="B99" s="10"/>
      <c r="I99" s="11"/>
      <c r="K99" s="12"/>
      <c r="L99" s="12"/>
      <c r="M99" s="12"/>
      <c r="N99" s="12"/>
      <c r="O99" s="12"/>
    </row>
    <row r="100" spans="2:15" x14ac:dyDescent="0.3">
      <c r="B100" s="10"/>
      <c r="I100" s="11"/>
      <c r="K100" s="12"/>
      <c r="L100" s="12"/>
      <c r="M100" s="12"/>
      <c r="N100" s="12"/>
      <c r="O100" s="12"/>
    </row>
    <row r="101" spans="2:15" x14ac:dyDescent="0.3">
      <c r="B101" s="10"/>
      <c r="I101" s="11"/>
      <c r="K101" s="12"/>
      <c r="L101" s="12"/>
      <c r="M101" s="12"/>
      <c r="N101" s="12"/>
      <c r="O101" s="12"/>
    </row>
    <row r="102" spans="2:15" x14ac:dyDescent="0.3">
      <c r="B102" s="10"/>
      <c r="I102" s="11"/>
      <c r="K102" s="12"/>
      <c r="L102" s="12"/>
      <c r="M102" s="12"/>
      <c r="N102" s="12"/>
      <c r="O102" s="12"/>
    </row>
    <row r="103" spans="2:15" x14ac:dyDescent="0.3">
      <c r="B103" s="10"/>
      <c r="I103" s="11"/>
      <c r="K103" s="12"/>
      <c r="L103" s="12"/>
      <c r="M103" s="12"/>
      <c r="N103" s="12"/>
      <c r="O103" s="12"/>
    </row>
    <row r="104" spans="2:15" x14ac:dyDescent="0.3">
      <c r="B104" s="10"/>
      <c r="I104" s="11"/>
      <c r="K104" s="12"/>
      <c r="L104" s="12"/>
      <c r="M104" s="12"/>
      <c r="N104" s="12"/>
      <c r="O104" s="12"/>
    </row>
    <row r="105" spans="2:15" x14ac:dyDescent="0.3">
      <c r="B105" s="10"/>
      <c r="I105" s="11"/>
      <c r="K105" s="12"/>
      <c r="L105" s="12"/>
      <c r="M105" s="12"/>
      <c r="N105" s="12"/>
      <c r="O105" s="12"/>
    </row>
    <row r="106" spans="2:15" x14ac:dyDescent="0.3">
      <c r="B106" s="10"/>
      <c r="I106" s="11"/>
      <c r="K106" s="12"/>
      <c r="L106" s="12"/>
      <c r="M106" s="12"/>
      <c r="N106" s="12"/>
      <c r="O106" s="12"/>
    </row>
    <row r="107" spans="2:15" x14ac:dyDescent="0.3">
      <c r="B107" s="10"/>
      <c r="I107" s="11"/>
      <c r="K107" s="12"/>
      <c r="L107" s="12"/>
      <c r="M107" s="12"/>
      <c r="N107" s="12"/>
      <c r="O107" s="12"/>
    </row>
    <row r="108" spans="2:15" x14ac:dyDescent="0.3">
      <c r="B108" s="10"/>
      <c r="I108" s="11"/>
      <c r="K108" s="12"/>
      <c r="L108" s="12"/>
      <c r="M108" s="12"/>
      <c r="N108" s="12"/>
      <c r="O108" s="12"/>
    </row>
    <row r="109" spans="2:15" x14ac:dyDescent="0.3">
      <c r="B109" s="10"/>
      <c r="I109" s="11"/>
      <c r="K109" s="12"/>
      <c r="L109" s="12"/>
      <c r="M109" s="12"/>
      <c r="N109" s="12"/>
      <c r="O109" s="12"/>
    </row>
    <row r="110" spans="2:15" x14ac:dyDescent="0.3">
      <c r="B110" s="10"/>
      <c r="I110" s="11"/>
      <c r="K110" s="12"/>
      <c r="L110" s="12"/>
      <c r="M110" s="12"/>
      <c r="N110" s="12"/>
      <c r="O110" s="12"/>
    </row>
    <row r="111" spans="2:15" x14ac:dyDescent="0.3">
      <c r="B111" s="10"/>
      <c r="I111" s="11"/>
      <c r="K111" s="12"/>
      <c r="L111" s="12"/>
      <c r="M111" s="12"/>
      <c r="N111" s="12"/>
      <c r="O111" s="12"/>
    </row>
    <row r="112" spans="2:15" x14ac:dyDescent="0.3">
      <c r="B112" s="10"/>
      <c r="I112" s="11"/>
      <c r="K112" s="12"/>
      <c r="L112" s="12"/>
      <c r="M112" s="12"/>
      <c r="N112" s="12"/>
      <c r="O112" s="12"/>
    </row>
    <row r="113" spans="2:15" x14ac:dyDescent="0.3">
      <c r="B113" s="10"/>
      <c r="I113" s="11"/>
      <c r="K113" s="12"/>
      <c r="L113" s="12"/>
      <c r="M113" s="12"/>
      <c r="N113" s="12"/>
      <c r="O113" s="12"/>
    </row>
    <row r="114" spans="2:15" x14ac:dyDescent="0.3">
      <c r="B114" s="10"/>
      <c r="I114" s="11"/>
      <c r="K114" s="12"/>
      <c r="L114" s="12"/>
      <c r="M114" s="12"/>
      <c r="N114" s="12"/>
      <c r="O114" s="12"/>
    </row>
    <row r="115" spans="2:15" x14ac:dyDescent="0.3">
      <c r="B115" s="10"/>
      <c r="I115" s="11"/>
      <c r="K115" s="12"/>
      <c r="L115" s="12"/>
      <c r="M115" s="12"/>
      <c r="N115" s="12"/>
      <c r="O115" s="12"/>
    </row>
    <row r="116" spans="2:15" x14ac:dyDescent="0.3">
      <c r="B116" s="10"/>
      <c r="I116" s="11"/>
      <c r="K116" s="12"/>
      <c r="L116" s="12"/>
      <c r="M116" s="12"/>
      <c r="N116" s="12"/>
      <c r="O116" s="12"/>
    </row>
    <row r="117" spans="2:15" x14ac:dyDescent="0.3">
      <c r="B117" s="10"/>
      <c r="I117" s="11"/>
      <c r="K117" s="12"/>
      <c r="L117" s="12"/>
      <c r="M117" s="12"/>
      <c r="N117" s="12"/>
      <c r="O117" s="12"/>
    </row>
    <row r="118" spans="2:15" x14ac:dyDescent="0.3">
      <c r="B118" s="10"/>
      <c r="I118" s="11"/>
      <c r="K118" s="12"/>
      <c r="L118" s="12"/>
      <c r="M118" s="12"/>
      <c r="N118" s="12"/>
      <c r="O118" s="12"/>
    </row>
    <row r="119" spans="2:15" x14ac:dyDescent="0.3">
      <c r="B119" s="10"/>
      <c r="I119" s="11"/>
      <c r="K119" s="12"/>
      <c r="L119" s="12"/>
      <c r="M119" s="12"/>
      <c r="N119" s="12"/>
      <c r="O119" s="12"/>
    </row>
    <row r="120" spans="2:15" x14ac:dyDescent="0.3">
      <c r="B120" s="10"/>
      <c r="I120" s="11"/>
      <c r="K120" s="12"/>
      <c r="L120" s="12"/>
      <c r="M120" s="12"/>
      <c r="N120" s="12"/>
      <c r="O120" s="12"/>
    </row>
    <row r="121" spans="2:15" x14ac:dyDescent="0.3">
      <c r="B121" s="10"/>
      <c r="I121" s="11"/>
      <c r="K121" s="12"/>
      <c r="L121" s="12"/>
      <c r="M121" s="12"/>
      <c r="N121" s="12"/>
      <c r="O121" s="12"/>
    </row>
    <row r="122" spans="2:15" x14ac:dyDescent="0.3">
      <c r="B122" s="10"/>
      <c r="I122" s="11"/>
      <c r="K122" s="12"/>
      <c r="L122" s="12"/>
      <c r="M122" s="12"/>
      <c r="N122" s="12"/>
      <c r="O122" s="12"/>
    </row>
    <row r="123" spans="2:15" x14ac:dyDescent="0.3">
      <c r="B123" s="10"/>
      <c r="I123" s="11"/>
      <c r="K123" s="12"/>
      <c r="L123" s="12"/>
      <c r="M123" s="12"/>
      <c r="N123" s="12"/>
      <c r="O123" s="12"/>
    </row>
    <row r="124" spans="2:15" x14ac:dyDescent="0.3">
      <c r="B124" s="10"/>
      <c r="I124" s="11"/>
      <c r="K124" s="12"/>
      <c r="L124" s="12"/>
      <c r="M124" s="12"/>
      <c r="N124" s="12"/>
      <c r="O124" s="12"/>
    </row>
    <row r="125" spans="2:15" x14ac:dyDescent="0.3">
      <c r="B125" s="10"/>
      <c r="I125" s="11"/>
      <c r="K125" s="12"/>
      <c r="L125" s="12"/>
      <c r="M125" s="12"/>
      <c r="N125" s="12"/>
      <c r="O125" s="12"/>
    </row>
    <row r="126" spans="2:15" x14ac:dyDescent="0.3">
      <c r="B126" s="10"/>
      <c r="I126" s="11"/>
      <c r="K126" s="12"/>
      <c r="L126" s="12"/>
      <c r="M126" s="12"/>
      <c r="N126" s="12"/>
      <c r="O126" s="12"/>
    </row>
    <row r="127" spans="2:15" x14ac:dyDescent="0.3">
      <c r="B127" s="10"/>
      <c r="I127" s="11"/>
      <c r="K127" s="12"/>
      <c r="L127" s="12"/>
      <c r="M127" s="12"/>
      <c r="N127" s="12"/>
      <c r="O127" s="12"/>
    </row>
    <row r="128" spans="2:15" x14ac:dyDescent="0.3">
      <c r="B128" s="10"/>
      <c r="I128" s="11"/>
      <c r="K128" s="12"/>
      <c r="L128" s="12"/>
      <c r="M128" s="12"/>
      <c r="N128" s="12"/>
      <c r="O128" s="12"/>
    </row>
    <row r="129" spans="2:15" x14ac:dyDescent="0.3">
      <c r="B129" s="10"/>
      <c r="I129" s="11"/>
      <c r="K129" s="12"/>
      <c r="L129" s="12"/>
      <c r="M129" s="12"/>
      <c r="N129" s="12"/>
      <c r="O129" s="12"/>
    </row>
    <row r="130" spans="2:15" x14ac:dyDescent="0.3">
      <c r="B130" s="10"/>
      <c r="I130" s="11"/>
      <c r="K130" s="12"/>
      <c r="L130" s="12"/>
      <c r="M130" s="12"/>
      <c r="N130" s="12"/>
      <c r="O130" s="12"/>
    </row>
    <row r="131" spans="2:15" x14ac:dyDescent="0.3">
      <c r="B131" s="10"/>
      <c r="I131" s="11"/>
      <c r="K131" s="12"/>
      <c r="L131" s="12"/>
      <c r="M131" s="12"/>
      <c r="N131" s="12"/>
      <c r="O131" s="12"/>
    </row>
    <row r="132" spans="2:15" x14ac:dyDescent="0.3">
      <c r="B132" s="10"/>
      <c r="I132" s="11"/>
      <c r="K132" s="12"/>
      <c r="L132" s="12"/>
      <c r="M132" s="12"/>
      <c r="N132" s="12"/>
      <c r="O132" s="12"/>
    </row>
    <row r="133" spans="2:15" x14ac:dyDescent="0.3">
      <c r="B133" s="10"/>
      <c r="I133" s="11"/>
      <c r="K133" s="12"/>
      <c r="L133" s="12"/>
      <c r="M133" s="12"/>
      <c r="N133" s="12"/>
      <c r="O133" s="12"/>
    </row>
    <row r="134" spans="2:15" x14ac:dyDescent="0.3">
      <c r="B134" s="10"/>
      <c r="I134" s="11"/>
      <c r="K134" s="12"/>
      <c r="L134" s="12"/>
      <c r="M134" s="12"/>
      <c r="N134" s="12"/>
      <c r="O134" s="12"/>
    </row>
    <row r="135" spans="2:15" x14ac:dyDescent="0.3">
      <c r="B135" s="10"/>
      <c r="I135" s="11"/>
      <c r="K135" s="12"/>
      <c r="L135" s="12"/>
      <c r="M135" s="12"/>
      <c r="N135" s="12"/>
      <c r="O135" s="12"/>
    </row>
    <row r="136" spans="2:15" x14ac:dyDescent="0.3">
      <c r="B136" s="10"/>
      <c r="I136" s="11"/>
      <c r="K136" s="12"/>
      <c r="L136" s="12"/>
      <c r="M136" s="12"/>
      <c r="N136" s="12"/>
      <c r="O136" s="12"/>
    </row>
    <row r="137" spans="2:15" x14ac:dyDescent="0.3">
      <c r="B137" s="10"/>
      <c r="I137" s="11"/>
      <c r="K137" s="12"/>
      <c r="L137" s="12"/>
      <c r="M137" s="12"/>
      <c r="N137" s="12"/>
      <c r="O137" s="12"/>
    </row>
    <row r="138" spans="2:15" x14ac:dyDescent="0.3">
      <c r="B138" s="10"/>
      <c r="I138" s="11"/>
      <c r="K138" s="12"/>
      <c r="L138" s="12"/>
      <c r="M138" s="12"/>
      <c r="N138" s="12"/>
      <c r="O138" s="12"/>
    </row>
    <row r="139" spans="2:15" x14ac:dyDescent="0.3">
      <c r="B139" s="10"/>
      <c r="I139" s="11"/>
      <c r="K139" s="12"/>
      <c r="L139" s="12"/>
      <c r="M139" s="12"/>
      <c r="N139" s="12"/>
      <c r="O139" s="12"/>
    </row>
    <row r="140" spans="2:15" x14ac:dyDescent="0.3">
      <c r="B140" s="10"/>
      <c r="I140" s="11"/>
      <c r="K140" s="12"/>
      <c r="L140" s="12"/>
      <c r="M140" s="12"/>
      <c r="N140" s="12"/>
      <c r="O140" s="12"/>
    </row>
    <row r="141" spans="2:15" x14ac:dyDescent="0.3">
      <c r="B141" s="10"/>
      <c r="I141" s="11"/>
      <c r="K141" s="12"/>
      <c r="L141" s="12"/>
      <c r="M141" s="12"/>
      <c r="N141" s="12"/>
      <c r="O141" s="12"/>
    </row>
    <row r="142" spans="2:15" x14ac:dyDescent="0.3">
      <c r="B142" s="10"/>
      <c r="I142" s="11"/>
      <c r="K142" s="12"/>
      <c r="L142" s="12"/>
      <c r="M142" s="12"/>
      <c r="N142" s="12"/>
      <c r="O142" s="12"/>
    </row>
    <row r="143" spans="2:15" x14ac:dyDescent="0.3">
      <c r="B143" s="10"/>
      <c r="I143" s="11"/>
      <c r="K143" s="12"/>
      <c r="L143" s="12"/>
      <c r="M143" s="12"/>
      <c r="N143" s="12"/>
      <c r="O143" s="12"/>
    </row>
    <row r="144" spans="2:15" x14ac:dyDescent="0.3">
      <c r="B144" s="10"/>
      <c r="I144" s="11"/>
      <c r="K144" s="12"/>
      <c r="L144" s="12"/>
      <c r="M144" s="12"/>
      <c r="N144" s="12"/>
      <c r="O144" s="12"/>
    </row>
    <row r="145" spans="2:15" x14ac:dyDescent="0.3">
      <c r="B145" s="10"/>
      <c r="I145" s="11"/>
      <c r="K145" s="12"/>
      <c r="L145" s="12"/>
      <c r="M145" s="12"/>
      <c r="N145" s="12"/>
      <c r="O145" s="12"/>
    </row>
    <row r="146" spans="2:15" x14ac:dyDescent="0.3">
      <c r="B146" s="10"/>
      <c r="I146" s="11"/>
      <c r="K146" s="12"/>
      <c r="L146" s="12"/>
      <c r="M146" s="12"/>
      <c r="N146" s="12"/>
      <c r="O146" s="12"/>
    </row>
    <row r="147" spans="2:15" x14ac:dyDescent="0.3">
      <c r="B147" s="10"/>
      <c r="I147" s="11"/>
      <c r="K147" s="12"/>
      <c r="L147" s="12"/>
      <c r="M147" s="12"/>
      <c r="N147" s="12"/>
      <c r="O147" s="12"/>
    </row>
    <row r="148" spans="2:15" x14ac:dyDescent="0.3">
      <c r="B148" s="10"/>
      <c r="I148" s="11"/>
      <c r="K148" s="12"/>
      <c r="L148" s="12"/>
      <c r="M148" s="12"/>
      <c r="N148" s="12"/>
      <c r="O148" s="12"/>
    </row>
    <row r="149" spans="2:15" x14ac:dyDescent="0.3">
      <c r="B149" s="10"/>
      <c r="I149" s="11"/>
      <c r="K149" s="12"/>
      <c r="L149" s="12"/>
      <c r="M149" s="12"/>
      <c r="N149" s="12"/>
      <c r="O149" s="12"/>
    </row>
    <row r="150" spans="2:15" x14ac:dyDescent="0.3">
      <c r="B150" s="10"/>
      <c r="I150" s="11"/>
      <c r="K150" s="12"/>
      <c r="L150" s="12"/>
      <c r="M150" s="12"/>
      <c r="N150" s="12"/>
      <c r="O150" s="12"/>
    </row>
    <row r="151" spans="2:15" x14ac:dyDescent="0.3">
      <c r="B151" s="10"/>
      <c r="I151" s="11"/>
      <c r="K151" s="12"/>
      <c r="L151" s="12"/>
      <c r="M151" s="12"/>
      <c r="N151" s="12"/>
      <c r="O151" s="12"/>
    </row>
    <row r="152" spans="2:15" x14ac:dyDescent="0.3">
      <c r="B152" s="10"/>
      <c r="I152" s="11"/>
      <c r="K152" s="12"/>
      <c r="L152" s="12"/>
      <c r="M152" s="12"/>
      <c r="N152" s="12"/>
      <c r="O152" s="12"/>
    </row>
    <row r="153" spans="2:15" x14ac:dyDescent="0.3">
      <c r="B153" s="10"/>
      <c r="I153" s="11"/>
      <c r="K153" s="12"/>
      <c r="L153" s="12"/>
      <c r="M153" s="12"/>
      <c r="N153" s="12"/>
      <c r="O153" s="12"/>
    </row>
    <row r="154" spans="2:15" x14ac:dyDescent="0.3">
      <c r="B154" s="10"/>
      <c r="I154" s="11"/>
      <c r="K154" s="12"/>
      <c r="L154" s="12"/>
      <c r="M154" s="12"/>
      <c r="N154" s="12"/>
      <c r="O154" s="12"/>
    </row>
    <row r="155" spans="2:15" x14ac:dyDescent="0.3">
      <c r="B155" s="10"/>
      <c r="I155" s="11"/>
      <c r="K155" s="12"/>
      <c r="L155" s="12"/>
      <c r="M155" s="12"/>
      <c r="N155" s="12"/>
      <c r="O155" s="12"/>
    </row>
    <row r="156" spans="2:15" x14ac:dyDescent="0.3">
      <c r="B156" s="10"/>
      <c r="I156" s="11"/>
      <c r="K156" s="12"/>
      <c r="L156" s="12"/>
      <c r="M156" s="12"/>
      <c r="N156" s="12"/>
      <c r="O156" s="12"/>
    </row>
    <row r="157" spans="2:15" x14ac:dyDescent="0.3">
      <c r="B157" s="10"/>
      <c r="I157" s="11"/>
      <c r="K157" s="12"/>
      <c r="L157" s="12"/>
      <c r="M157" s="12"/>
      <c r="N157" s="12"/>
      <c r="O157" s="12"/>
    </row>
    <row r="158" spans="2:15" x14ac:dyDescent="0.3">
      <c r="B158" s="10"/>
      <c r="I158" s="11"/>
      <c r="K158" s="12"/>
      <c r="L158" s="12"/>
      <c r="M158" s="12"/>
      <c r="N158" s="12"/>
      <c r="O158" s="12"/>
    </row>
    <row r="159" spans="2:15" x14ac:dyDescent="0.3">
      <c r="B159" s="10"/>
      <c r="I159" s="11"/>
      <c r="K159" s="12"/>
      <c r="L159" s="12"/>
      <c r="M159" s="12"/>
      <c r="N159" s="12"/>
      <c r="O159" s="12"/>
    </row>
    <row r="160" spans="2:15" x14ac:dyDescent="0.3">
      <c r="B160" s="10"/>
      <c r="I160" s="11"/>
      <c r="K160" s="12"/>
      <c r="L160" s="12"/>
      <c r="M160" s="12"/>
      <c r="N160" s="12"/>
      <c r="O160" s="12"/>
    </row>
    <row r="161" spans="2:15" x14ac:dyDescent="0.3">
      <c r="B161" s="10"/>
      <c r="I161" s="11"/>
      <c r="K161" s="12"/>
      <c r="L161" s="12"/>
      <c r="M161" s="12"/>
      <c r="N161" s="12"/>
      <c r="O161" s="12"/>
    </row>
    <row r="162" spans="2:15" x14ac:dyDescent="0.3">
      <c r="B162" s="10"/>
      <c r="I162" s="11"/>
      <c r="K162" s="12"/>
      <c r="L162" s="12"/>
      <c r="M162" s="12"/>
      <c r="N162" s="12"/>
      <c r="O162" s="12"/>
    </row>
    <row r="163" spans="2:15" x14ac:dyDescent="0.3">
      <c r="B163" s="10"/>
      <c r="I163" s="11"/>
      <c r="K163" s="12"/>
      <c r="L163" s="12"/>
      <c r="M163" s="12"/>
      <c r="N163" s="12"/>
      <c r="O163" s="12"/>
    </row>
    <row r="164" spans="2:15" x14ac:dyDescent="0.3">
      <c r="B164" s="10"/>
      <c r="I164" s="11"/>
      <c r="K164" s="12"/>
      <c r="L164" s="12"/>
      <c r="M164" s="12"/>
      <c r="N164" s="12"/>
      <c r="O164" s="12"/>
    </row>
    <row r="165" spans="2:15" x14ac:dyDescent="0.3">
      <c r="B165" s="10"/>
      <c r="I165" s="11"/>
      <c r="K165" s="12"/>
      <c r="L165" s="12"/>
      <c r="M165" s="12"/>
      <c r="N165" s="12"/>
      <c r="O165" s="12"/>
    </row>
    <row r="166" spans="2:15" x14ac:dyDescent="0.3">
      <c r="B166" s="10"/>
      <c r="I166" s="11"/>
      <c r="K166" s="12"/>
      <c r="L166" s="12"/>
      <c r="M166" s="12"/>
      <c r="N166" s="12"/>
      <c r="O166" s="12"/>
    </row>
    <row r="167" spans="2:15" x14ac:dyDescent="0.3">
      <c r="B167" s="10"/>
      <c r="I167" s="11"/>
      <c r="K167" s="12"/>
      <c r="L167" s="12"/>
      <c r="M167" s="12"/>
      <c r="N167" s="12"/>
      <c r="O167" s="12"/>
    </row>
    <row r="168" spans="2:15" x14ac:dyDescent="0.3">
      <c r="B168" s="10"/>
      <c r="I168" s="11"/>
      <c r="K168" s="12"/>
      <c r="L168" s="12"/>
      <c r="M168" s="12"/>
      <c r="N168" s="12"/>
      <c r="O168" s="12"/>
    </row>
    <row r="169" spans="2:15" x14ac:dyDescent="0.3">
      <c r="B169" s="10"/>
      <c r="I169" s="11"/>
      <c r="K169" s="12"/>
      <c r="L169" s="12"/>
      <c r="M169" s="12"/>
      <c r="N169" s="12"/>
      <c r="O169" s="12"/>
    </row>
    <row r="170" spans="2:15" x14ac:dyDescent="0.3">
      <c r="B170" s="10"/>
      <c r="I170" s="11"/>
      <c r="K170" s="12"/>
      <c r="L170" s="12"/>
      <c r="M170" s="12"/>
      <c r="N170" s="12"/>
      <c r="O170" s="12"/>
    </row>
    <row r="171" spans="2:15" x14ac:dyDescent="0.3">
      <c r="B171" s="10"/>
      <c r="I171" s="11"/>
      <c r="K171" s="12"/>
      <c r="L171" s="12"/>
      <c r="M171" s="12"/>
      <c r="N171" s="12"/>
      <c r="O171" s="12"/>
    </row>
    <row r="172" spans="2:15" x14ac:dyDescent="0.3">
      <c r="B172" s="10"/>
      <c r="I172" s="11"/>
      <c r="K172" s="12"/>
      <c r="L172" s="12"/>
      <c r="M172" s="12"/>
      <c r="N172" s="12"/>
      <c r="O172" s="12"/>
    </row>
    <row r="173" spans="2:15" x14ac:dyDescent="0.3">
      <c r="B173" s="10"/>
      <c r="I173" s="11"/>
      <c r="K173" s="12"/>
      <c r="L173" s="12"/>
      <c r="M173" s="12"/>
      <c r="N173" s="12"/>
      <c r="O173" s="12"/>
    </row>
    <row r="174" spans="2:15" x14ac:dyDescent="0.3">
      <c r="B174" s="10"/>
      <c r="I174" s="11"/>
      <c r="K174" s="12"/>
      <c r="L174" s="12"/>
      <c r="M174" s="12"/>
      <c r="N174" s="12"/>
      <c r="O174" s="12"/>
    </row>
    <row r="175" spans="2:15" x14ac:dyDescent="0.3">
      <c r="B175" s="10"/>
      <c r="I175" s="11"/>
      <c r="K175" s="12"/>
      <c r="L175" s="12"/>
      <c r="M175" s="12"/>
      <c r="N175" s="12"/>
      <c r="O175" s="12"/>
    </row>
    <row r="176" spans="2:15" x14ac:dyDescent="0.3">
      <c r="B176" s="10"/>
      <c r="I176" s="11"/>
      <c r="K176" s="12"/>
      <c r="L176" s="12"/>
      <c r="M176" s="12"/>
      <c r="N176" s="12"/>
      <c r="O176" s="12"/>
    </row>
    <row r="177" spans="2:15" x14ac:dyDescent="0.3">
      <c r="B177" s="10"/>
      <c r="I177" s="11"/>
      <c r="K177" s="12"/>
      <c r="L177" s="12"/>
      <c r="M177" s="12"/>
      <c r="N177" s="12"/>
      <c r="O177" s="12"/>
    </row>
    <row r="178" spans="2:15" x14ac:dyDescent="0.3">
      <c r="B178" s="10"/>
      <c r="I178" s="11"/>
      <c r="K178" s="12"/>
      <c r="L178" s="12"/>
      <c r="M178" s="12"/>
      <c r="N178" s="12"/>
      <c r="O178" s="12"/>
    </row>
    <row r="179" spans="2:15" x14ac:dyDescent="0.3">
      <c r="B179" s="10"/>
      <c r="I179" s="11"/>
      <c r="K179" s="12"/>
      <c r="L179" s="12"/>
      <c r="M179" s="12"/>
      <c r="N179" s="12"/>
      <c r="O179" s="12"/>
    </row>
    <row r="180" spans="2:15" x14ac:dyDescent="0.3">
      <c r="B180" s="10"/>
      <c r="I180" s="11"/>
      <c r="K180" s="12"/>
      <c r="L180" s="12"/>
      <c r="M180" s="12"/>
      <c r="N180" s="12"/>
      <c r="O180" s="12"/>
    </row>
    <row r="181" spans="2:15" x14ac:dyDescent="0.3">
      <c r="B181" s="10"/>
      <c r="I181" s="11"/>
      <c r="K181" s="12"/>
      <c r="L181" s="12"/>
      <c r="M181" s="12"/>
      <c r="N181" s="12"/>
      <c r="O181" s="12"/>
    </row>
    <row r="182" spans="2:15" x14ac:dyDescent="0.3">
      <c r="B182" s="10"/>
      <c r="I182" s="11"/>
      <c r="K182" s="12"/>
      <c r="L182" s="12"/>
      <c r="M182" s="12"/>
      <c r="N182" s="12"/>
      <c r="O182" s="12"/>
    </row>
    <row r="183" spans="2:15" x14ac:dyDescent="0.3">
      <c r="B183" s="10"/>
      <c r="I183" s="11"/>
      <c r="K183" s="12"/>
      <c r="L183" s="12"/>
      <c r="M183" s="12"/>
      <c r="N183" s="12"/>
      <c r="O183" s="12"/>
    </row>
    <row r="184" spans="2:15" x14ac:dyDescent="0.3">
      <c r="B184" s="10"/>
      <c r="I184" s="11"/>
      <c r="K184" s="12"/>
      <c r="L184" s="12"/>
      <c r="M184" s="12"/>
      <c r="N184" s="12"/>
      <c r="O184" s="12"/>
    </row>
    <row r="185" spans="2:15" x14ac:dyDescent="0.3">
      <c r="B185" s="10"/>
      <c r="I185" s="11"/>
      <c r="K185" s="12"/>
      <c r="L185" s="12"/>
      <c r="M185" s="12"/>
      <c r="N185" s="12"/>
      <c r="O185" s="12"/>
    </row>
    <row r="186" spans="2:15" x14ac:dyDescent="0.3">
      <c r="B186" s="10"/>
      <c r="I186" s="11"/>
      <c r="K186" s="12"/>
      <c r="L186" s="12"/>
      <c r="M186" s="12"/>
      <c r="N186" s="12"/>
      <c r="O186" s="12"/>
    </row>
    <row r="187" spans="2:15" x14ac:dyDescent="0.3">
      <c r="B187" s="10"/>
      <c r="I187" s="11"/>
      <c r="K187" s="12"/>
      <c r="L187" s="12"/>
      <c r="M187" s="12"/>
      <c r="N187" s="12"/>
      <c r="O187" s="12"/>
    </row>
    <row r="188" spans="2:15" x14ac:dyDescent="0.3">
      <c r="B188" s="10"/>
      <c r="I188" s="11"/>
      <c r="K188" s="12"/>
      <c r="L188" s="12"/>
      <c r="M188" s="12"/>
      <c r="N188" s="12"/>
      <c r="O188" s="12"/>
    </row>
    <row r="189" spans="2:15" x14ac:dyDescent="0.3">
      <c r="B189" s="10"/>
      <c r="I189" s="11"/>
      <c r="K189" s="12"/>
      <c r="L189" s="12"/>
      <c r="M189" s="12"/>
      <c r="N189" s="12"/>
      <c r="O189" s="12"/>
    </row>
    <row r="190" spans="2:15" x14ac:dyDescent="0.3">
      <c r="B190" s="10"/>
      <c r="I190" s="11"/>
      <c r="K190" s="12"/>
      <c r="L190" s="12"/>
      <c r="M190" s="12"/>
      <c r="N190" s="12"/>
      <c r="O190" s="12"/>
    </row>
    <row r="191" spans="2:15" x14ac:dyDescent="0.3">
      <c r="B191" s="10"/>
      <c r="I191" s="11"/>
      <c r="K191" s="12"/>
      <c r="L191" s="12"/>
      <c r="M191" s="12"/>
      <c r="N191" s="12"/>
      <c r="O191" s="12"/>
    </row>
    <row r="192" spans="2:15" x14ac:dyDescent="0.3">
      <c r="B192" s="10"/>
      <c r="I192" s="11"/>
      <c r="K192" s="12"/>
      <c r="L192" s="12"/>
      <c r="M192" s="12"/>
      <c r="N192" s="12"/>
      <c r="O192" s="12"/>
    </row>
    <row r="193" spans="2:15" x14ac:dyDescent="0.3">
      <c r="B193" s="10"/>
      <c r="I193" s="11"/>
      <c r="K193" s="12"/>
      <c r="L193" s="12"/>
      <c r="M193" s="12"/>
      <c r="N193" s="12"/>
      <c r="O193" s="12"/>
    </row>
    <row r="194" spans="2:15" x14ac:dyDescent="0.3">
      <c r="B194" s="10"/>
      <c r="I194" s="11"/>
      <c r="K194" s="12"/>
      <c r="L194" s="12"/>
      <c r="M194" s="12"/>
      <c r="N194" s="12"/>
      <c r="O194" s="12"/>
    </row>
    <row r="195" spans="2:15" x14ac:dyDescent="0.3">
      <c r="B195" s="10"/>
      <c r="I195" s="11"/>
      <c r="K195" s="12"/>
      <c r="L195" s="12"/>
      <c r="M195" s="12"/>
      <c r="N195" s="12"/>
      <c r="O195" s="12"/>
    </row>
    <row r="196" spans="2:15" x14ac:dyDescent="0.3">
      <c r="B196" s="10"/>
      <c r="I196" s="11"/>
      <c r="K196" s="12"/>
      <c r="L196" s="12"/>
      <c r="M196" s="12"/>
      <c r="N196" s="12"/>
      <c r="O196" s="12"/>
    </row>
    <row r="197" spans="2:15" x14ac:dyDescent="0.3">
      <c r="B197" s="10"/>
      <c r="I197" s="11"/>
      <c r="K197" s="12"/>
      <c r="L197" s="12"/>
      <c r="M197" s="12"/>
      <c r="N197" s="12"/>
      <c r="O197" s="12"/>
    </row>
    <row r="198" spans="2:15" x14ac:dyDescent="0.3">
      <c r="B198" s="10"/>
      <c r="I198" s="11"/>
      <c r="K198" s="12"/>
      <c r="L198" s="12"/>
      <c r="M198" s="12"/>
      <c r="N198" s="12"/>
      <c r="O198" s="12"/>
    </row>
    <row r="199" spans="2:15" x14ac:dyDescent="0.3">
      <c r="B199" s="10"/>
      <c r="I199" s="11"/>
      <c r="K199" s="12"/>
      <c r="L199" s="12"/>
      <c r="M199" s="12"/>
      <c r="N199" s="12"/>
      <c r="O199" s="12"/>
    </row>
    <row r="200" spans="2:15" x14ac:dyDescent="0.3">
      <c r="B200" s="10"/>
      <c r="I200" s="11"/>
      <c r="K200" s="12"/>
      <c r="L200" s="12"/>
      <c r="M200" s="12"/>
      <c r="N200" s="12"/>
      <c r="O200" s="12"/>
    </row>
    <row r="201" spans="2:15" x14ac:dyDescent="0.3">
      <c r="B201" s="10"/>
      <c r="I201" s="11"/>
      <c r="K201" s="12"/>
      <c r="L201" s="12"/>
      <c r="M201" s="12"/>
      <c r="N201" s="12"/>
      <c r="O201" s="12"/>
    </row>
    <row r="202" spans="2:15" x14ac:dyDescent="0.3">
      <c r="B202" s="10"/>
      <c r="I202" s="11"/>
      <c r="K202" s="12"/>
      <c r="L202" s="12"/>
      <c r="M202" s="12"/>
      <c r="N202" s="12"/>
      <c r="O202" s="12"/>
    </row>
    <row r="203" spans="2:15" x14ac:dyDescent="0.3">
      <c r="B203" s="10"/>
      <c r="I203" s="11"/>
      <c r="K203" s="12"/>
      <c r="L203" s="12"/>
      <c r="M203" s="12"/>
      <c r="N203" s="12"/>
      <c r="O203" s="12"/>
    </row>
    <row r="204" spans="2:15" x14ac:dyDescent="0.3">
      <c r="B204" s="10"/>
      <c r="I204" s="11"/>
      <c r="K204" s="12"/>
      <c r="L204" s="12"/>
      <c r="M204" s="12"/>
      <c r="N204" s="12"/>
      <c r="O204" s="12"/>
    </row>
    <row r="205" spans="2:15" x14ac:dyDescent="0.3">
      <c r="B205" s="10"/>
      <c r="I205" s="11"/>
      <c r="K205" s="12"/>
      <c r="L205" s="12"/>
      <c r="M205" s="12"/>
      <c r="N205" s="12"/>
      <c r="O205" s="12"/>
    </row>
    <row r="206" spans="2:15" x14ac:dyDescent="0.3">
      <c r="B206" s="10"/>
      <c r="I206" s="11"/>
      <c r="K206" s="12"/>
      <c r="L206" s="12"/>
      <c r="M206" s="12"/>
      <c r="N206" s="12"/>
      <c r="O206" s="12"/>
    </row>
    <row r="207" spans="2:15" x14ac:dyDescent="0.3">
      <c r="B207" s="10"/>
      <c r="I207" s="11"/>
      <c r="K207" s="12"/>
      <c r="L207" s="12"/>
      <c r="M207" s="12"/>
      <c r="N207" s="12"/>
      <c r="O207" s="12"/>
    </row>
    <row r="208" spans="2:15" x14ac:dyDescent="0.3">
      <c r="B208" s="10"/>
      <c r="I208" s="11"/>
      <c r="K208" s="12"/>
      <c r="L208" s="12"/>
      <c r="M208" s="12"/>
      <c r="N208" s="12"/>
      <c r="O208" s="12"/>
    </row>
    <row r="209" spans="2:15" x14ac:dyDescent="0.3">
      <c r="B209" s="10"/>
      <c r="I209" s="11"/>
      <c r="K209" s="12"/>
      <c r="L209" s="12"/>
      <c r="M209" s="12"/>
      <c r="N209" s="12"/>
      <c r="O209" s="12"/>
    </row>
    <row r="210" spans="2:15" x14ac:dyDescent="0.3">
      <c r="B210" s="10"/>
      <c r="I210" s="11"/>
      <c r="K210" s="12"/>
      <c r="L210" s="12"/>
      <c r="M210" s="12"/>
      <c r="N210" s="12"/>
      <c r="O210" s="12"/>
    </row>
    <row r="211" spans="2:15" x14ac:dyDescent="0.3">
      <c r="B211" s="10"/>
      <c r="I211" s="11"/>
      <c r="K211" s="12"/>
      <c r="L211" s="12"/>
      <c r="M211" s="12"/>
      <c r="N211" s="12"/>
      <c r="O211" s="12"/>
    </row>
    <row r="212" spans="2:15" x14ac:dyDescent="0.3">
      <c r="B212" s="10"/>
      <c r="I212" s="11"/>
      <c r="K212" s="12"/>
      <c r="L212" s="12"/>
      <c r="M212" s="12"/>
      <c r="N212" s="12"/>
      <c r="O212" s="12"/>
    </row>
    <row r="213" spans="2:15" x14ac:dyDescent="0.3">
      <c r="B213" s="10"/>
      <c r="I213" s="11"/>
      <c r="K213" s="12"/>
      <c r="L213" s="12"/>
      <c r="M213" s="12"/>
      <c r="N213" s="12"/>
      <c r="O213" s="12"/>
    </row>
    <row r="214" spans="2:15" x14ac:dyDescent="0.3">
      <c r="B214" s="10"/>
      <c r="I214" s="11"/>
      <c r="K214" s="12"/>
      <c r="L214" s="12"/>
      <c r="M214" s="12"/>
      <c r="N214" s="12"/>
      <c r="O214" s="12"/>
    </row>
    <row r="215" spans="2:15" x14ac:dyDescent="0.3">
      <c r="B215" s="10"/>
      <c r="I215" s="11"/>
      <c r="K215" s="12"/>
      <c r="L215" s="12"/>
      <c r="M215" s="12"/>
      <c r="N215" s="12"/>
      <c r="O215" s="12"/>
    </row>
    <row r="216" spans="2:15" x14ac:dyDescent="0.3">
      <c r="B216" s="10"/>
      <c r="I216" s="11"/>
      <c r="K216" s="12"/>
      <c r="L216" s="12"/>
      <c r="M216" s="12"/>
      <c r="N216" s="12"/>
      <c r="O216" s="12"/>
    </row>
    <row r="217" spans="2:15" x14ac:dyDescent="0.3">
      <c r="B217" s="10"/>
      <c r="I217" s="11"/>
      <c r="K217" s="12"/>
      <c r="L217" s="12"/>
      <c r="M217" s="12"/>
      <c r="N217" s="12"/>
      <c r="O217" s="12"/>
    </row>
    <row r="218" spans="2:15" x14ac:dyDescent="0.3">
      <c r="B218" s="10"/>
      <c r="I218" s="11"/>
      <c r="K218" s="12"/>
      <c r="L218" s="12"/>
      <c r="M218" s="12"/>
      <c r="N218" s="12"/>
      <c r="O218" s="12"/>
    </row>
    <row r="219" spans="2:15" x14ac:dyDescent="0.3">
      <c r="B219" s="10"/>
      <c r="I219" s="11"/>
      <c r="K219" s="12"/>
      <c r="L219" s="12"/>
      <c r="M219" s="12"/>
      <c r="N219" s="12"/>
      <c r="O219" s="12"/>
    </row>
    <row r="220" spans="2:15" x14ac:dyDescent="0.3">
      <c r="B220" s="10"/>
      <c r="I220" s="11"/>
      <c r="K220" s="12"/>
      <c r="L220" s="12"/>
      <c r="M220" s="12"/>
      <c r="N220" s="12"/>
      <c r="O220" s="12"/>
    </row>
    <row r="221" spans="2:15" x14ac:dyDescent="0.3">
      <c r="B221" s="10"/>
      <c r="I221" s="11"/>
      <c r="K221" s="12"/>
      <c r="L221" s="12"/>
      <c r="M221" s="12"/>
      <c r="N221" s="12"/>
      <c r="O221" s="12"/>
    </row>
    <row r="222" spans="2:15" x14ac:dyDescent="0.3">
      <c r="B222" s="10"/>
      <c r="I222" s="11"/>
      <c r="K222" s="12"/>
      <c r="L222" s="12"/>
      <c r="M222" s="12"/>
      <c r="N222" s="12"/>
      <c r="O222" s="12"/>
    </row>
    <row r="223" spans="2:15" x14ac:dyDescent="0.3">
      <c r="B223" s="10"/>
      <c r="I223" s="11"/>
      <c r="K223" s="12"/>
      <c r="L223" s="12"/>
      <c r="M223" s="12"/>
      <c r="N223" s="12"/>
      <c r="O223" s="12"/>
    </row>
    <row r="224" spans="2:15" x14ac:dyDescent="0.3">
      <c r="B224" s="10"/>
      <c r="I224" s="11"/>
      <c r="K224" s="12"/>
      <c r="L224" s="12"/>
      <c r="M224" s="12"/>
      <c r="N224" s="12"/>
      <c r="O224" s="12"/>
    </row>
    <row r="225" spans="2:15" x14ac:dyDescent="0.3">
      <c r="B225" s="10"/>
      <c r="I225" s="11"/>
      <c r="K225" s="12"/>
      <c r="L225" s="12"/>
      <c r="M225" s="12"/>
      <c r="N225" s="12"/>
      <c r="O225" s="12"/>
    </row>
    <row r="226" spans="2:15" x14ac:dyDescent="0.3">
      <c r="B226" s="10"/>
      <c r="I226" s="11"/>
      <c r="K226" s="12"/>
      <c r="L226" s="12"/>
      <c r="M226" s="12"/>
      <c r="N226" s="12"/>
      <c r="O226" s="12"/>
    </row>
    <row r="227" spans="2:15" x14ac:dyDescent="0.3">
      <c r="B227" s="10"/>
      <c r="I227" s="11"/>
      <c r="K227" s="12"/>
      <c r="L227" s="12"/>
      <c r="M227" s="12"/>
      <c r="N227" s="12"/>
      <c r="O227" s="12"/>
    </row>
    <row r="228" spans="2:15" x14ac:dyDescent="0.3">
      <c r="B228" s="10"/>
      <c r="I228" s="11"/>
      <c r="K228" s="12"/>
      <c r="L228" s="12"/>
      <c r="M228" s="12"/>
      <c r="N228" s="12"/>
      <c r="O228" s="12"/>
    </row>
    <row r="229" spans="2:15" x14ac:dyDescent="0.3">
      <c r="B229" s="10"/>
      <c r="I229" s="11"/>
      <c r="K229" s="12"/>
      <c r="L229" s="12"/>
      <c r="M229" s="12"/>
      <c r="N229" s="12"/>
      <c r="O229" s="12"/>
    </row>
    <row r="230" spans="2:15" x14ac:dyDescent="0.3">
      <c r="B230" s="10"/>
      <c r="I230" s="11"/>
      <c r="K230" s="12"/>
      <c r="L230" s="12"/>
      <c r="M230" s="12"/>
      <c r="N230" s="12"/>
      <c r="O230" s="12"/>
    </row>
    <row r="231" spans="2:15" x14ac:dyDescent="0.3">
      <c r="B231" s="10"/>
      <c r="I231" s="11"/>
      <c r="K231" s="12"/>
      <c r="L231" s="12"/>
      <c r="M231" s="12"/>
      <c r="N231" s="12"/>
      <c r="O231" s="12"/>
    </row>
    <row r="232" spans="2:15" x14ac:dyDescent="0.3">
      <c r="B232" s="10"/>
      <c r="I232" s="11"/>
      <c r="K232" s="12"/>
      <c r="L232" s="12"/>
      <c r="M232" s="12"/>
      <c r="N232" s="12"/>
      <c r="O232" s="12"/>
    </row>
    <row r="233" spans="2:15" x14ac:dyDescent="0.3">
      <c r="B233" s="10"/>
      <c r="I233" s="11"/>
      <c r="K233" s="12"/>
      <c r="L233" s="12"/>
      <c r="M233" s="12"/>
      <c r="N233" s="12"/>
      <c r="O233" s="12"/>
    </row>
    <row r="234" spans="2:15" x14ac:dyDescent="0.3">
      <c r="B234" s="10"/>
      <c r="I234" s="11"/>
      <c r="K234" s="12"/>
      <c r="L234" s="12"/>
      <c r="M234" s="12"/>
      <c r="N234" s="12"/>
      <c r="O234" s="12"/>
    </row>
    <row r="235" spans="2:15" x14ac:dyDescent="0.3">
      <c r="B235" s="10"/>
      <c r="I235" s="11"/>
      <c r="K235" s="12"/>
      <c r="L235" s="12"/>
      <c r="M235" s="12"/>
      <c r="N235" s="12"/>
      <c r="O235" s="12"/>
    </row>
    <row r="236" spans="2:15" x14ac:dyDescent="0.3">
      <c r="B236" s="10"/>
      <c r="I236" s="11"/>
      <c r="K236" s="12"/>
      <c r="L236" s="12"/>
      <c r="M236" s="12"/>
      <c r="N236" s="12"/>
      <c r="O236" s="12"/>
    </row>
    <row r="237" spans="2:15" x14ac:dyDescent="0.3">
      <c r="B237" s="10"/>
      <c r="I237" s="11"/>
      <c r="K237" s="12"/>
      <c r="L237" s="12"/>
      <c r="M237" s="12"/>
      <c r="N237" s="12"/>
      <c r="O237" s="12"/>
    </row>
    <row r="238" spans="2:15" x14ac:dyDescent="0.3">
      <c r="B238" s="10"/>
      <c r="I238" s="11"/>
      <c r="K238" s="12"/>
      <c r="L238" s="12"/>
      <c r="M238" s="12"/>
      <c r="N238" s="12"/>
      <c r="O238" s="12"/>
    </row>
    <row r="239" spans="2:15" x14ac:dyDescent="0.3">
      <c r="B239" s="10"/>
      <c r="I239" s="11"/>
      <c r="K239" s="12"/>
      <c r="L239" s="12"/>
      <c r="M239" s="12"/>
      <c r="N239" s="12"/>
      <c r="O239" s="12"/>
    </row>
    <row r="240" spans="2:15" x14ac:dyDescent="0.3">
      <c r="B240" s="10"/>
      <c r="I240" s="11"/>
      <c r="K240" s="12"/>
      <c r="L240" s="12"/>
      <c r="M240" s="12"/>
      <c r="N240" s="12"/>
      <c r="O240" s="12"/>
    </row>
    <row r="241" spans="2:15" x14ac:dyDescent="0.3">
      <c r="B241" s="10"/>
      <c r="I241" s="11"/>
      <c r="K241" s="12"/>
      <c r="L241" s="12"/>
      <c r="M241" s="12"/>
      <c r="N241" s="12"/>
      <c r="O241" s="12"/>
    </row>
    <row r="242" spans="2:15" x14ac:dyDescent="0.3">
      <c r="B242" s="10"/>
      <c r="I242" s="11"/>
      <c r="K242" s="12"/>
      <c r="L242" s="12"/>
      <c r="M242" s="12"/>
      <c r="N242" s="12"/>
      <c r="O242" s="12"/>
    </row>
    <row r="243" spans="2:15" x14ac:dyDescent="0.3">
      <c r="B243" s="10"/>
      <c r="I243" s="11"/>
      <c r="K243" s="12"/>
      <c r="L243" s="12"/>
      <c r="M243" s="12"/>
      <c r="N243" s="12"/>
      <c r="O243" s="12"/>
    </row>
    <row r="244" spans="2:15" x14ac:dyDescent="0.3">
      <c r="B244" s="10"/>
      <c r="I244" s="11"/>
      <c r="K244" s="12"/>
      <c r="L244" s="12"/>
      <c r="M244" s="12"/>
      <c r="N244" s="12"/>
      <c r="O244" s="12"/>
    </row>
    <row r="245" spans="2:15" x14ac:dyDescent="0.3">
      <c r="B245" s="10"/>
      <c r="I245" s="11"/>
      <c r="K245" s="12"/>
      <c r="L245" s="12"/>
      <c r="M245" s="12"/>
      <c r="N245" s="12"/>
      <c r="O245" s="12"/>
    </row>
    <row r="246" spans="2:15" x14ac:dyDescent="0.3">
      <c r="B246" s="10"/>
      <c r="I246" s="11"/>
      <c r="K246" s="12"/>
      <c r="L246" s="12"/>
      <c r="M246" s="12"/>
      <c r="N246" s="12"/>
      <c r="O246" s="12"/>
    </row>
    <row r="247" spans="2:15" x14ac:dyDescent="0.3">
      <c r="B247" s="10"/>
      <c r="I247" s="11"/>
      <c r="K247" s="12"/>
      <c r="L247" s="12"/>
      <c r="M247" s="12"/>
      <c r="N247" s="12"/>
      <c r="O247" s="12"/>
    </row>
    <row r="248" spans="2:15" x14ac:dyDescent="0.3">
      <c r="B248" s="10"/>
      <c r="I248" s="11"/>
      <c r="K248" s="12"/>
      <c r="L248" s="12"/>
      <c r="M248" s="12"/>
      <c r="N248" s="12"/>
      <c r="O248" s="12"/>
    </row>
    <row r="249" spans="2:15" x14ac:dyDescent="0.3">
      <c r="B249" s="10"/>
      <c r="I249" s="11"/>
      <c r="K249" s="12"/>
      <c r="L249" s="12"/>
      <c r="M249" s="12"/>
      <c r="N249" s="12"/>
      <c r="O249" s="12"/>
    </row>
    <row r="250" spans="2:15" x14ac:dyDescent="0.3">
      <c r="B250" s="10"/>
      <c r="I250" s="11"/>
      <c r="K250" s="12"/>
      <c r="L250" s="12"/>
      <c r="M250" s="12"/>
      <c r="N250" s="12"/>
      <c r="O250" s="12"/>
    </row>
    <row r="251" spans="2:15" x14ac:dyDescent="0.3">
      <c r="B251" s="10"/>
      <c r="I251" s="11"/>
      <c r="K251" s="12"/>
      <c r="L251" s="12"/>
      <c r="M251" s="12"/>
      <c r="N251" s="12"/>
      <c r="O251" s="12"/>
    </row>
    <row r="252" spans="2:15" x14ac:dyDescent="0.3">
      <c r="B252" s="10"/>
      <c r="I252" s="11"/>
      <c r="K252" s="12"/>
      <c r="L252" s="12"/>
      <c r="M252" s="12"/>
      <c r="N252" s="12"/>
      <c r="O252" s="12"/>
    </row>
    <row r="253" spans="2:15" x14ac:dyDescent="0.3">
      <c r="B253" s="10"/>
      <c r="I253" s="11"/>
      <c r="K253" s="12"/>
      <c r="L253" s="12"/>
      <c r="M253" s="12"/>
      <c r="N253" s="12"/>
      <c r="O253" s="12"/>
    </row>
    <row r="254" spans="2:15" x14ac:dyDescent="0.3">
      <c r="B254" s="10"/>
      <c r="I254" s="11"/>
      <c r="K254" s="12"/>
      <c r="L254" s="12"/>
      <c r="M254" s="12"/>
      <c r="N254" s="12"/>
      <c r="O254" s="12"/>
    </row>
    <row r="255" spans="2:15" x14ac:dyDescent="0.3">
      <c r="B255" s="10"/>
      <c r="I255" s="11"/>
      <c r="K255" s="12"/>
      <c r="L255" s="12"/>
      <c r="M255" s="12"/>
      <c r="N255" s="12"/>
      <c r="O255" s="12"/>
    </row>
    <row r="256" spans="2:15" x14ac:dyDescent="0.3">
      <c r="B256" s="10"/>
      <c r="I256" s="11"/>
      <c r="K256" s="12"/>
      <c r="L256" s="12"/>
      <c r="M256" s="12"/>
      <c r="N256" s="12"/>
      <c r="O256" s="12"/>
    </row>
    <row r="257" spans="2:15" x14ac:dyDescent="0.3">
      <c r="B257" s="10"/>
      <c r="I257" s="11"/>
      <c r="K257" s="12"/>
      <c r="L257" s="12"/>
      <c r="M257" s="12"/>
      <c r="N257" s="12"/>
      <c r="O257" s="12"/>
    </row>
    <row r="258" spans="2:15" x14ac:dyDescent="0.3">
      <c r="B258" s="10"/>
      <c r="I258" s="11"/>
      <c r="K258" s="12"/>
      <c r="L258" s="12"/>
      <c r="M258" s="12"/>
      <c r="N258" s="12"/>
      <c r="O258" s="12"/>
    </row>
    <row r="259" spans="2:15" x14ac:dyDescent="0.3">
      <c r="B259" s="10"/>
      <c r="I259" s="11"/>
      <c r="K259" s="12"/>
      <c r="L259" s="12"/>
      <c r="M259" s="12"/>
      <c r="N259" s="12"/>
      <c r="O259" s="12"/>
    </row>
    <row r="260" spans="2:15" x14ac:dyDescent="0.3">
      <c r="B260" s="10"/>
      <c r="I260" s="11"/>
      <c r="K260" s="12"/>
      <c r="L260" s="12"/>
      <c r="M260" s="12"/>
      <c r="N260" s="12"/>
      <c r="O260" s="12"/>
    </row>
    <row r="261" spans="2:15" x14ac:dyDescent="0.3">
      <c r="B261" s="10"/>
      <c r="I261" s="11"/>
      <c r="K261" s="12"/>
      <c r="L261" s="12"/>
      <c r="M261" s="12"/>
      <c r="N261" s="12"/>
      <c r="O261" s="12"/>
    </row>
    <row r="262" spans="2:15" x14ac:dyDescent="0.3">
      <c r="B262" s="10"/>
      <c r="I262" s="11"/>
      <c r="K262" s="12"/>
      <c r="L262" s="12"/>
      <c r="M262" s="12"/>
      <c r="N262" s="12"/>
      <c r="O262" s="12"/>
    </row>
    <row r="263" spans="2:15" x14ac:dyDescent="0.3">
      <c r="B263" s="10"/>
      <c r="I263" s="11"/>
      <c r="K263" s="12"/>
      <c r="L263" s="12"/>
      <c r="M263" s="12"/>
      <c r="N263" s="12"/>
      <c r="O263" s="12"/>
    </row>
    <row r="264" spans="2:15" x14ac:dyDescent="0.3">
      <c r="B264" s="10"/>
      <c r="I264" s="11"/>
      <c r="K264" s="12"/>
      <c r="L264" s="12"/>
      <c r="M264" s="12"/>
      <c r="N264" s="12"/>
      <c r="O264" s="12"/>
    </row>
    <row r="265" spans="2:15" x14ac:dyDescent="0.3">
      <c r="B265" s="10"/>
      <c r="I265" s="11"/>
      <c r="K265" s="12"/>
      <c r="L265" s="12"/>
      <c r="M265" s="12"/>
      <c r="N265" s="12"/>
      <c r="O265" s="12"/>
    </row>
    <row r="266" spans="2:15" x14ac:dyDescent="0.3">
      <c r="B266" s="10"/>
      <c r="I266" s="11"/>
      <c r="K266" s="12"/>
      <c r="L266" s="12"/>
      <c r="M266" s="12"/>
      <c r="N266" s="12"/>
      <c r="O266" s="12"/>
    </row>
    <row r="267" spans="2:15" x14ac:dyDescent="0.3">
      <c r="B267" s="10"/>
      <c r="I267" s="11"/>
      <c r="K267" s="12"/>
      <c r="L267" s="12"/>
      <c r="M267" s="12"/>
      <c r="N267" s="12"/>
      <c r="O267" s="12"/>
    </row>
    <row r="268" spans="2:15" x14ac:dyDescent="0.3">
      <c r="B268" s="10"/>
      <c r="I268" s="11"/>
      <c r="K268" s="12"/>
      <c r="L268" s="12"/>
      <c r="M268" s="12"/>
      <c r="N268" s="12"/>
      <c r="O268" s="12"/>
    </row>
    <row r="269" spans="2:15" x14ac:dyDescent="0.3">
      <c r="B269" s="10"/>
      <c r="I269" s="11"/>
      <c r="K269" s="12"/>
      <c r="L269" s="12"/>
      <c r="M269" s="12"/>
      <c r="N269" s="12"/>
      <c r="O269" s="12"/>
    </row>
    <row r="270" spans="2:15" x14ac:dyDescent="0.3">
      <c r="B270" s="10"/>
      <c r="I270" s="11"/>
      <c r="K270" s="12"/>
      <c r="L270" s="12"/>
      <c r="M270" s="12"/>
      <c r="N270" s="12"/>
      <c r="O270" s="12"/>
    </row>
    <row r="271" spans="2:15" x14ac:dyDescent="0.3">
      <c r="B271" s="10"/>
      <c r="I271" s="11"/>
      <c r="K271" s="12"/>
      <c r="L271" s="12"/>
      <c r="M271" s="12"/>
      <c r="N271" s="12"/>
      <c r="O271" s="12"/>
    </row>
    <row r="272" spans="2:15" x14ac:dyDescent="0.3">
      <c r="B272" s="10"/>
      <c r="I272" s="11"/>
      <c r="K272" s="12"/>
      <c r="L272" s="12"/>
      <c r="M272" s="12"/>
      <c r="N272" s="12"/>
      <c r="O272" s="12"/>
    </row>
    <row r="273" spans="2:15" x14ac:dyDescent="0.3">
      <c r="B273" s="10"/>
      <c r="I273" s="11"/>
      <c r="K273" s="12"/>
      <c r="L273" s="12"/>
      <c r="M273" s="12"/>
      <c r="N273" s="12"/>
      <c r="O273" s="12"/>
    </row>
    <row r="274" spans="2:15" x14ac:dyDescent="0.3">
      <c r="B274" s="10"/>
      <c r="I274" s="11"/>
      <c r="K274" s="12"/>
      <c r="L274" s="12"/>
      <c r="M274" s="12"/>
      <c r="N274" s="12"/>
      <c r="O274" s="12"/>
    </row>
    <row r="275" spans="2:15" x14ac:dyDescent="0.3">
      <c r="B275" s="10"/>
      <c r="I275" s="11"/>
      <c r="K275" s="12"/>
      <c r="L275" s="12"/>
      <c r="M275" s="12"/>
      <c r="N275" s="12"/>
      <c r="O275" s="12"/>
    </row>
    <row r="276" spans="2:15" x14ac:dyDescent="0.3">
      <c r="B276" s="10"/>
      <c r="I276" s="11"/>
      <c r="K276" s="12"/>
      <c r="L276" s="12"/>
      <c r="M276" s="12"/>
      <c r="N276" s="12"/>
      <c r="O276" s="12"/>
    </row>
    <row r="277" spans="2:15" x14ac:dyDescent="0.3">
      <c r="B277" s="10"/>
      <c r="I277" s="11"/>
      <c r="K277" s="12"/>
      <c r="L277" s="12"/>
      <c r="M277" s="12"/>
      <c r="N277" s="12"/>
      <c r="O277" s="12"/>
    </row>
    <row r="278" spans="2:15" x14ac:dyDescent="0.3">
      <c r="B278" s="10"/>
      <c r="I278" s="11"/>
      <c r="K278" s="12"/>
      <c r="L278" s="12"/>
      <c r="M278" s="12"/>
      <c r="N278" s="12"/>
      <c r="O278" s="12"/>
    </row>
    <row r="279" spans="2:15" x14ac:dyDescent="0.3">
      <c r="B279" s="10"/>
      <c r="I279" s="11"/>
      <c r="K279" s="12"/>
      <c r="L279" s="12"/>
      <c r="M279" s="12"/>
      <c r="N279" s="12"/>
      <c r="O279" s="12"/>
    </row>
    <row r="280" spans="2:15" x14ac:dyDescent="0.3">
      <c r="B280" s="10"/>
      <c r="I280" s="11"/>
      <c r="K280" s="12"/>
      <c r="L280" s="12"/>
      <c r="M280" s="12"/>
      <c r="N280" s="12"/>
      <c r="O280" s="12"/>
    </row>
    <row r="281" spans="2:15" x14ac:dyDescent="0.3">
      <c r="B281" s="10"/>
      <c r="I281" s="11"/>
      <c r="K281" s="12"/>
      <c r="L281" s="12"/>
      <c r="M281" s="12"/>
      <c r="N281" s="12"/>
      <c r="O281" s="12"/>
    </row>
    <row r="282" spans="2:15" x14ac:dyDescent="0.3">
      <c r="B282" s="10"/>
      <c r="I282" s="11"/>
      <c r="K282" s="12"/>
      <c r="L282" s="12"/>
      <c r="M282" s="12"/>
      <c r="N282" s="12"/>
      <c r="O282" s="12"/>
    </row>
    <row r="283" spans="2:15" x14ac:dyDescent="0.3">
      <c r="B283" s="10"/>
      <c r="I283" s="11"/>
      <c r="K283" s="12"/>
      <c r="L283" s="12"/>
      <c r="M283" s="12"/>
      <c r="N283" s="12"/>
      <c r="O283" s="12"/>
    </row>
    <row r="284" spans="2:15" x14ac:dyDescent="0.3">
      <c r="B284" s="10"/>
      <c r="I284" s="11"/>
      <c r="K284" s="12"/>
      <c r="L284" s="12"/>
      <c r="M284" s="12"/>
      <c r="N284" s="12"/>
      <c r="O284" s="12"/>
    </row>
    <row r="285" spans="2:15" x14ac:dyDescent="0.3">
      <c r="B285" s="10"/>
      <c r="I285" s="11"/>
      <c r="K285" s="12"/>
      <c r="L285" s="12"/>
      <c r="M285" s="12"/>
      <c r="N285" s="12"/>
      <c r="O285" s="12"/>
    </row>
    <row r="286" spans="2:15" x14ac:dyDescent="0.3">
      <c r="B286" s="10"/>
      <c r="I286" s="11"/>
      <c r="K286" s="12"/>
      <c r="L286" s="12"/>
      <c r="M286" s="12"/>
      <c r="N286" s="12"/>
      <c r="O286" s="12"/>
    </row>
    <row r="287" spans="2:15" x14ac:dyDescent="0.3">
      <c r="B287" s="10"/>
      <c r="I287" s="11"/>
      <c r="K287" s="12"/>
      <c r="L287" s="12"/>
      <c r="M287" s="12"/>
      <c r="N287" s="12"/>
      <c r="O287" s="12"/>
    </row>
    <row r="288" spans="2:15" x14ac:dyDescent="0.3">
      <c r="B288" s="10"/>
      <c r="I288" s="11"/>
      <c r="K288" s="12"/>
      <c r="L288" s="12"/>
      <c r="M288" s="12"/>
      <c r="N288" s="12"/>
      <c r="O288" s="12"/>
    </row>
    <row r="289" spans="2:15" x14ac:dyDescent="0.3">
      <c r="B289" s="10"/>
      <c r="I289" s="11"/>
      <c r="K289" s="12"/>
      <c r="L289" s="12"/>
      <c r="M289" s="12"/>
      <c r="N289" s="12"/>
      <c r="O289" s="12"/>
    </row>
    <row r="290" spans="2:15" x14ac:dyDescent="0.3">
      <c r="B290" s="10"/>
      <c r="I290" s="11"/>
      <c r="K290" s="12"/>
      <c r="L290" s="12"/>
      <c r="M290" s="12"/>
      <c r="N290" s="12"/>
      <c r="O290" s="12"/>
    </row>
    <row r="291" spans="2:15" x14ac:dyDescent="0.3">
      <c r="B291" s="10"/>
      <c r="I291" s="11"/>
      <c r="K291" s="12"/>
      <c r="L291" s="12"/>
      <c r="M291" s="12"/>
      <c r="N291" s="12"/>
      <c r="O291" s="12"/>
    </row>
    <row r="292" spans="2:15" x14ac:dyDescent="0.3">
      <c r="B292" s="10"/>
      <c r="I292" s="11"/>
      <c r="K292" s="12"/>
      <c r="L292" s="12"/>
      <c r="M292" s="12"/>
      <c r="N292" s="12"/>
      <c r="O292" s="12"/>
    </row>
    <row r="293" spans="2:15" x14ac:dyDescent="0.3">
      <c r="B293" s="10"/>
      <c r="I293" s="11"/>
      <c r="K293" s="12"/>
      <c r="L293" s="12"/>
      <c r="M293" s="12"/>
      <c r="N293" s="12"/>
      <c r="O293" s="12"/>
    </row>
    <row r="294" spans="2:15" x14ac:dyDescent="0.3">
      <c r="B294" s="10"/>
      <c r="I294" s="11"/>
      <c r="K294" s="12"/>
      <c r="L294" s="12"/>
      <c r="M294" s="12"/>
      <c r="N294" s="12"/>
      <c r="O294" s="12"/>
    </row>
    <row r="295" spans="2:15" x14ac:dyDescent="0.3">
      <c r="B295" s="10"/>
      <c r="I295" s="11"/>
      <c r="K295" s="12"/>
      <c r="L295" s="12"/>
      <c r="M295" s="12"/>
      <c r="N295" s="12"/>
      <c r="O295" s="12"/>
    </row>
    <row r="296" spans="2:15" x14ac:dyDescent="0.3">
      <c r="B296" s="10"/>
      <c r="I296" s="11"/>
      <c r="K296" s="12"/>
      <c r="L296" s="12"/>
      <c r="M296" s="12"/>
      <c r="N296" s="12"/>
      <c r="O296" s="12"/>
    </row>
    <row r="297" spans="2:15" x14ac:dyDescent="0.3">
      <c r="B297" s="10"/>
      <c r="I297" s="11"/>
      <c r="K297" s="12"/>
      <c r="L297" s="12"/>
      <c r="M297" s="12"/>
      <c r="N297" s="12"/>
      <c r="O297" s="12"/>
    </row>
    <row r="298" spans="2:15" x14ac:dyDescent="0.3">
      <c r="B298" s="10"/>
      <c r="I298" s="11"/>
      <c r="K298" s="12"/>
      <c r="L298" s="12"/>
      <c r="M298" s="12"/>
      <c r="N298" s="12"/>
      <c r="O298" s="12"/>
    </row>
    <row r="299" spans="2:15" x14ac:dyDescent="0.3">
      <c r="B299" s="10"/>
      <c r="I299" s="11"/>
      <c r="K299" s="12"/>
      <c r="L299" s="12"/>
      <c r="M299" s="12"/>
      <c r="N299" s="12"/>
      <c r="O299" s="12"/>
    </row>
    <row r="300" spans="2:15" x14ac:dyDescent="0.3">
      <c r="B300" s="10"/>
      <c r="I300" s="11"/>
      <c r="K300" s="12"/>
      <c r="L300" s="12"/>
      <c r="M300" s="12"/>
      <c r="N300" s="12"/>
      <c r="O300" s="12"/>
    </row>
    <row r="301" spans="2:15" x14ac:dyDescent="0.3">
      <c r="B301" s="10"/>
      <c r="I301" s="11"/>
      <c r="K301" s="12"/>
      <c r="L301" s="12"/>
      <c r="M301" s="12"/>
      <c r="N301" s="12"/>
      <c r="O301" s="12"/>
    </row>
    <row r="302" spans="2:15" x14ac:dyDescent="0.3">
      <c r="B302" s="10"/>
      <c r="I302" s="11"/>
      <c r="K302" s="12"/>
      <c r="L302" s="12"/>
      <c r="M302" s="12"/>
      <c r="N302" s="12"/>
      <c r="O302" s="12"/>
    </row>
    <row r="303" spans="2:15" x14ac:dyDescent="0.3">
      <c r="B303" s="10"/>
      <c r="I303" s="11"/>
      <c r="K303" s="12"/>
      <c r="L303" s="12"/>
      <c r="M303" s="12"/>
      <c r="N303" s="12"/>
      <c r="O303" s="12"/>
    </row>
    <row r="304" spans="2:15" x14ac:dyDescent="0.3">
      <c r="B304" s="10"/>
      <c r="I304" s="11"/>
      <c r="K304" s="12"/>
      <c r="L304" s="12"/>
      <c r="M304" s="12"/>
      <c r="N304" s="12"/>
      <c r="O304" s="12"/>
    </row>
    <row r="305" spans="2:15" x14ac:dyDescent="0.3">
      <c r="B305" s="10"/>
      <c r="I305" s="11"/>
      <c r="K305" s="12"/>
      <c r="L305" s="12"/>
      <c r="M305" s="12"/>
      <c r="N305" s="12"/>
      <c r="O305" s="12"/>
    </row>
    <row r="306" spans="2:15" x14ac:dyDescent="0.3">
      <c r="B306" s="10"/>
      <c r="I306" s="11"/>
      <c r="K306" s="12"/>
      <c r="L306" s="12"/>
      <c r="M306" s="12"/>
      <c r="N306" s="12"/>
      <c r="O306" s="12"/>
    </row>
    <row r="307" spans="2:15" x14ac:dyDescent="0.3">
      <c r="B307" s="10"/>
      <c r="I307" s="11"/>
      <c r="K307" s="12"/>
      <c r="L307" s="12"/>
      <c r="M307" s="12"/>
      <c r="N307" s="12"/>
      <c r="O307" s="12"/>
    </row>
    <row r="308" spans="2:15" x14ac:dyDescent="0.3">
      <c r="B308" s="10"/>
      <c r="I308" s="11"/>
      <c r="K308" s="12"/>
      <c r="L308" s="12"/>
      <c r="M308" s="12"/>
      <c r="N308" s="12"/>
      <c r="O308" s="12"/>
    </row>
    <row r="309" spans="2:15" x14ac:dyDescent="0.3">
      <c r="B309" s="10"/>
      <c r="I309" s="11"/>
      <c r="K309" s="12"/>
      <c r="L309" s="12"/>
      <c r="M309" s="12"/>
      <c r="N309" s="12"/>
      <c r="O309" s="12"/>
    </row>
    <row r="310" spans="2:15" x14ac:dyDescent="0.3">
      <c r="B310" s="10"/>
      <c r="I310" s="11"/>
      <c r="K310" s="12"/>
      <c r="L310" s="12"/>
      <c r="M310" s="12"/>
      <c r="N310" s="12"/>
      <c r="O310" s="12"/>
    </row>
    <row r="311" spans="2:15" x14ac:dyDescent="0.3">
      <c r="B311" s="10"/>
      <c r="I311" s="11"/>
      <c r="K311" s="12"/>
      <c r="L311" s="12"/>
      <c r="M311" s="12"/>
      <c r="N311" s="12"/>
      <c r="O311" s="12"/>
    </row>
    <row r="312" spans="2:15" x14ac:dyDescent="0.3">
      <c r="B312" s="10"/>
      <c r="I312" s="11"/>
      <c r="K312" s="12"/>
      <c r="L312" s="12"/>
      <c r="M312" s="12"/>
      <c r="N312" s="12"/>
      <c r="O312" s="12"/>
    </row>
    <row r="313" spans="2:15" x14ac:dyDescent="0.3">
      <c r="B313" s="10"/>
      <c r="I313" s="11"/>
      <c r="K313" s="12"/>
      <c r="L313" s="12"/>
      <c r="M313" s="12"/>
      <c r="N313" s="12"/>
      <c r="O313" s="12"/>
    </row>
    <row r="314" spans="2:15" x14ac:dyDescent="0.3">
      <c r="B314" s="10"/>
      <c r="I314" s="11"/>
      <c r="K314" s="12"/>
      <c r="L314" s="12"/>
      <c r="M314" s="12"/>
      <c r="N314" s="12"/>
      <c r="O314" s="12"/>
    </row>
    <row r="315" spans="2:15" x14ac:dyDescent="0.3">
      <c r="B315" s="10"/>
      <c r="I315" s="11"/>
      <c r="K315" s="12"/>
      <c r="L315" s="12"/>
      <c r="M315" s="12"/>
      <c r="N315" s="12"/>
      <c r="O315" s="12"/>
    </row>
    <row r="316" spans="2:15" x14ac:dyDescent="0.3">
      <c r="B316" s="10"/>
      <c r="I316" s="11"/>
      <c r="K316" s="12"/>
      <c r="L316" s="12"/>
      <c r="M316" s="12"/>
      <c r="N316" s="12"/>
      <c r="O316" s="12"/>
    </row>
    <row r="317" spans="2:15" x14ac:dyDescent="0.3">
      <c r="B317" s="10"/>
      <c r="I317" s="11"/>
      <c r="K317" s="12"/>
      <c r="L317" s="12"/>
      <c r="M317" s="12"/>
      <c r="N317" s="12"/>
      <c r="O317" s="12"/>
    </row>
    <row r="318" spans="2:15" x14ac:dyDescent="0.3">
      <c r="B318" s="10"/>
      <c r="I318" s="11"/>
      <c r="K318" s="12"/>
      <c r="L318" s="12"/>
      <c r="M318" s="12"/>
      <c r="N318" s="12"/>
      <c r="O318" s="12"/>
    </row>
    <row r="319" spans="2:15" x14ac:dyDescent="0.3">
      <c r="B319" s="10"/>
      <c r="I319" s="11"/>
      <c r="K319" s="12"/>
      <c r="L319" s="12"/>
      <c r="M319" s="12"/>
      <c r="N319" s="12"/>
      <c r="O319" s="12"/>
    </row>
    <row r="320" spans="2:15" x14ac:dyDescent="0.3">
      <c r="B320" s="10"/>
      <c r="I320" s="11"/>
      <c r="K320" s="12"/>
      <c r="L320" s="12"/>
      <c r="M320" s="12"/>
      <c r="N320" s="12"/>
      <c r="O320" s="12"/>
    </row>
    <row r="321" spans="2:15" x14ac:dyDescent="0.3">
      <c r="B321" s="10"/>
      <c r="I321" s="11"/>
      <c r="K321" s="12"/>
      <c r="L321" s="12"/>
      <c r="M321" s="12"/>
      <c r="N321" s="12"/>
      <c r="O321" s="12"/>
    </row>
    <row r="322" spans="2:15" x14ac:dyDescent="0.3">
      <c r="B322" s="10"/>
      <c r="I322" s="11"/>
      <c r="K322" s="12"/>
      <c r="L322" s="12"/>
      <c r="M322" s="12"/>
      <c r="N322" s="12"/>
      <c r="O322" s="12"/>
    </row>
    <row r="323" spans="2:15" x14ac:dyDescent="0.3">
      <c r="B323" s="10"/>
      <c r="I323" s="11"/>
      <c r="K323" s="12"/>
      <c r="L323" s="12"/>
      <c r="M323" s="12"/>
      <c r="N323" s="12"/>
      <c r="O323" s="12"/>
    </row>
    <row r="324" spans="2:15" x14ac:dyDescent="0.3">
      <c r="B324" s="10"/>
      <c r="I324" s="11"/>
      <c r="K324" s="12"/>
      <c r="L324" s="12"/>
      <c r="M324" s="12"/>
      <c r="N324" s="12"/>
      <c r="O324" s="12"/>
    </row>
    <row r="325" spans="2:15" x14ac:dyDescent="0.3">
      <c r="B325" s="10"/>
      <c r="I325" s="11"/>
      <c r="K325" s="12"/>
      <c r="L325" s="12"/>
      <c r="M325" s="12"/>
      <c r="N325" s="12"/>
      <c r="O325" s="12"/>
    </row>
    <row r="326" spans="2:15" x14ac:dyDescent="0.3">
      <c r="B326" s="10"/>
      <c r="I326" s="11"/>
      <c r="K326" s="12"/>
      <c r="L326" s="12"/>
      <c r="M326" s="12"/>
      <c r="N326" s="12"/>
      <c r="O326" s="12"/>
    </row>
    <row r="327" spans="2:15" x14ac:dyDescent="0.3">
      <c r="B327" s="10"/>
      <c r="I327" s="11"/>
      <c r="K327" s="12"/>
      <c r="L327" s="12"/>
      <c r="M327" s="12"/>
      <c r="N327" s="12"/>
      <c r="O327" s="12"/>
    </row>
    <row r="328" spans="2:15" x14ac:dyDescent="0.3">
      <c r="B328" s="10"/>
      <c r="I328" s="11"/>
      <c r="K328" s="12"/>
      <c r="L328" s="12"/>
      <c r="M328" s="12"/>
      <c r="N328" s="12"/>
      <c r="O328" s="12"/>
    </row>
    <row r="329" spans="2:15" x14ac:dyDescent="0.3">
      <c r="B329" s="10"/>
      <c r="I329" s="11"/>
      <c r="K329" s="12"/>
      <c r="L329" s="12"/>
      <c r="M329" s="12"/>
      <c r="N329" s="12"/>
      <c r="O329" s="12"/>
    </row>
    <row r="330" spans="2:15" x14ac:dyDescent="0.3">
      <c r="B330" s="10"/>
      <c r="I330" s="11"/>
      <c r="K330" s="12"/>
      <c r="L330" s="12"/>
      <c r="M330" s="12"/>
      <c r="N330" s="12"/>
      <c r="O330" s="12"/>
    </row>
    <row r="331" spans="2:15" x14ac:dyDescent="0.3">
      <c r="B331" s="10"/>
      <c r="I331" s="11"/>
      <c r="K331" s="12"/>
      <c r="L331" s="12"/>
      <c r="M331" s="12"/>
      <c r="N331" s="12"/>
      <c r="O331" s="12"/>
    </row>
    <row r="332" spans="2:15" x14ac:dyDescent="0.3">
      <c r="B332" s="10"/>
      <c r="I332" s="11"/>
      <c r="K332" s="12"/>
      <c r="L332" s="12"/>
      <c r="M332" s="12"/>
      <c r="N332" s="12"/>
      <c r="O332" s="12"/>
    </row>
    <row r="333" spans="2:15" x14ac:dyDescent="0.3">
      <c r="B333" s="10"/>
      <c r="I333" s="11"/>
      <c r="K333" s="12"/>
      <c r="L333" s="12"/>
      <c r="M333" s="12"/>
      <c r="N333" s="12"/>
      <c r="O333" s="12"/>
    </row>
    <row r="334" spans="2:15" x14ac:dyDescent="0.3">
      <c r="B334" s="10"/>
      <c r="I334" s="11"/>
      <c r="K334" s="12"/>
      <c r="L334" s="12"/>
      <c r="M334" s="12"/>
      <c r="N334" s="12"/>
      <c r="O334" s="12"/>
    </row>
    <row r="335" spans="2:15" x14ac:dyDescent="0.3">
      <c r="B335" s="10"/>
      <c r="I335" s="11"/>
      <c r="K335" s="12"/>
      <c r="L335" s="12"/>
      <c r="M335" s="12"/>
      <c r="N335" s="12"/>
      <c r="O335" s="12"/>
    </row>
    <row r="336" spans="2:15" x14ac:dyDescent="0.3">
      <c r="B336" s="10"/>
      <c r="I336" s="11"/>
      <c r="K336" s="12"/>
      <c r="L336" s="12"/>
      <c r="M336" s="12"/>
      <c r="N336" s="12"/>
      <c r="O336" s="12"/>
    </row>
    <row r="337" spans="2:15" x14ac:dyDescent="0.3">
      <c r="B337" s="10"/>
      <c r="I337" s="11"/>
      <c r="K337" s="12"/>
      <c r="L337" s="12"/>
      <c r="M337" s="12"/>
      <c r="N337" s="12"/>
      <c r="O337" s="12"/>
    </row>
    <row r="338" spans="2:15" x14ac:dyDescent="0.3">
      <c r="B338" s="10"/>
      <c r="I338" s="11"/>
      <c r="K338" s="12"/>
      <c r="L338" s="12"/>
      <c r="M338" s="12"/>
      <c r="N338" s="12"/>
      <c r="O338" s="12"/>
    </row>
    <row r="339" spans="2:15" x14ac:dyDescent="0.3">
      <c r="B339" s="10"/>
      <c r="I339" s="11"/>
      <c r="K339" s="12"/>
      <c r="L339" s="12"/>
      <c r="M339" s="12"/>
      <c r="N339" s="12"/>
      <c r="O339" s="12"/>
    </row>
    <row r="340" spans="2:15" x14ac:dyDescent="0.3">
      <c r="B340" s="10"/>
      <c r="I340" s="11"/>
      <c r="K340" s="12"/>
      <c r="L340" s="12"/>
      <c r="M340" s="12"/>
      <c r="N340" s="12"/>
      <c r="O340" s="12"/>
    </row>
    <row r="341" spans="2:15" x14ac:dyDescent="0.3">
      <c r="B341" s="10"/>
      <c r="I341" s="11"/>
      <c r="K341" s="12"/>
      <c r="L341" s="12"/>
      <c r="M341" s="12"/>
      <c r="N341" s="12"/>
      <c r="O341" s="12"/>
    </row>
    <row r="342" spans="2:15" x14ac:dyDescent="0.3">
      <c r="B342" s="10"/>
      <c r="I342" s="11"/>
      <c r="K342" s="12"/>
      <c r="L342" s="12"/>
      <c r="M342" s="12"/>
      <c r="N342" s="12"/>
      <c r="O342" s="12"/>
    </row>
    <row r="343" spans="2:15" x14ac:dyDescent="0.3">
      <c r="B343" s="10"/>
      <c r="I343" s="11"/>
      <c r="K343" s="12"/>
      <c r="L343" s="12"/>
      <c r="M343" s="12"/>
      <c r="N343" s="12"/>
      <c r="O343" s="12"/>
    </row>
    <row r="344" spans="2:15" x14ac:dyDescent="0.3">
      <c r="B344" s="10"/>
      <c r="I344" s="11"/>
      <c r="K344" s="12"/>
      <c r="L344" s="12"/>
      <c r="M344" s="12"/>
      <c r="N344" s="12"/>
      <c r="O344" s="12"/>
    </row>
    <row r="345" spans="2:15" x14ac:dyDescent="0.3">
      <c r="B345" s="10"/>
      <c r="I345" s="11"/>
      <c r="K345" s="12"/>
      <c r="L345" s="12"/>
      <c r="M345" s="12"/>
      <c r="N345" s="12"/>
      <c r="O345" s="12"/>
    </row>
    <row r="346" spans="2:15" x14ac:dyDescent="0.3">
      <c r="B346" s="10"/>
      <c r="I346" s="11"/>
      <c r="K346" s="12"/>
      <c r="L346" s="12"/>
      <c r="M346" s="12"/>
      <c r="N346" s="12"/>
      <c r="O346" s="12"/>
    </row>
    <row r="347" spans="2:15" x14ac:dyDescent="0.3">
      <c r="B347" s="10"/>
      <c r="I347" s="11"/>
      <c r="K347" s="12"/>
      <c r="L347" s="12"/>
      <c r="M347" s="12"/>
      <c r="N347" s="12"/>
      <c r="O347" s="12"/>
    </row>
    <row r="348" spans="2:15" x14ac:dyDescent="0.3">
      <c r="B348" s="10"/>
      <c r="I348" s="11"/>
      <c r="K348" s="12"/>
      <c r="L348" s="12"/>
      <c r="M348" s="12"/>
      <c r="N348" s="12"/>
      <c r="O348" s="12"/>
    </row>
    <row r="349" spans="2:15" x14ac:dyDescent="0.3">
      <c r="B349" s="10"/>
      <c r="I349" s="11"/>
      <c r="K349" s="12"/>
      <c r="L349" s="12"/>
      <c r="M349" s="12"/>
      <c r="N349" s="12"/>
      <c r="O349" s="12"/>
    </row>
    <row r="350" spans="2:15" x14ac:dyDescent="0.3">
      <c r="B350" s="10"/>
      <c r="I350" s="11"/>
      <c r="K350" s="12"/>
      <c r="L350" s="12"/>
      <c r="M350" s="12"/>
      <c r="N350" s="12"/>
      <c r="O350" s="12"/>
    </row>
    <row r="351" spans="2:15" x14ac:dyDescent="0.3">
      <c r="B351" s="10"/>
      <c r="I351" s="11"/>
      <c r="K351" s="12"/>
      <c r="L351" s="12"/>
      <c r="M351" s="12"/>
      <c r="N351" s="12"/>
      <c r="O351" s="12"/>
    </row>
    <row r="352" spans="2:15" x14ac:dyDescent="0.3">
      <c r="B352" s="10"/>
      <c r="I352" s="11"/>
      <c r="K352" s="12"/>
      <c r="L352" s="12"/>
      <c r="M352" s="12"/>
      <c r="N352" s="12"/>
      <c r="O352" s="12"/>
    </row>
    <row r="353" spans="2:15" x14ac:dyDescent="0.3">
      <c r="B353" s="10"/>
      <c r="I353" s="11"/>
      <c r="K353" s="12"/>
      <c r="L353" s="12"/>
      <c r="M353" s="12"/>
      <c r="N353" s="12"/>
      <c r="O353" s="12"/>
    </row>
    <row r="354" spans="2:15" x14ac:dyDescent="0.3">
      <c r="B354" s="10"/>
      <c r="I354" s="11"/>
      <c r="K354" s="12"/>
      <c r="L354" s="12"/>
      <c r="M354" s="12"/>
      <c r="N354" s="12"/>
      <c r="O354" s="12"/>
    </row>
    <row r="355" spans="2:15" x14ac:dyDescent="0.3">
      <c r="B355" s="10"/>
      <c r="I355" s="11"/>
      <c r="K355" s="12"/>
      <c r="L355" s="12"/>
      <c r="M355" s="12"/>
      <c r="N355" s="12"/>
      <c r="O355" s="12"/>
    </row>
    <row r="356" spans="2:15" x14ac:dyDescent="0.3">
      <c r="B356" s="10"/>
      <c r="I356" s="11"/>
      <c r="K356" s="12"/>
      <c r="L356" s="12"/>
      <c r="M356" s="12"/>
      <c r="N356" s="12"/>
      <c r="O356" s="12"/>
    </row>
    <row r="357" spans="2:15" x14ac:dyDescent="0.3">
      <c r="B357" s="10"/>
      <c r="I357" s="11"/>
      <c r="K357" s="12"/>
      <c r="L357" s="12"/>
      <c r="M357" s="12"/>
      <c r="N357" s="12"/>
      <c r="O357" s="12"/>
    </row>
    <row r="358" spans="2:15" x14ac:dyDescent="0.3">
      <c r="B358" s="10"/>
      <c r="I358" s="11"/>
      <c r="K358" s="12"/>
      <c r="L358" s="12"/>
      <c r="M358" s="12"/>
      <c r="N358" s="12"/>
      <c r="O358" s="12"/>
    </row>
    <row r="359" spans="2:15" x14ac:dyDescent="0.3">
      <c r="B359" s="10"/>
      <c r="I359" s="11"/>
      <c r="K359" s="12"/>
      <c r="L359" s="12"/>
      <c r="M359" s="12"/>
      <c r="N359" s="12"/>
      <c r="O359" s="12"/>
    </row>
    <row r="360" spans="2:15" x14ac:dyDescent="0.3">
      <c r="B360" s="10"/>
      <c r="I360" s="11"/>
      <c r="K360" s="12"/>
      <c r="L360" s="12"/>
      <c r="M360" s="12"/>
      <c r="N360" s="12"/>
      <c r="O360" s="12"/>
    </row>
    <row r="361" spans="2:15" x14ac:dyDescent="0.3">
      <c r="B361" s="10"/>
      <c r="I361" s="11"/>
      <c r="K361" s="12"/>
      <c r="L361" s="12"/>
      <c r="M361" s="12"/>
      <c r="N361" s="12"/>
      <c r="O361" s="12"/>
    </row>
    <row r="362" spans="2:15" x14ac:dyDescent="0.3">
      <c r="B362" s="10"/>
      <c r="I362" s="11"/>
      <c r="K362" s="12"/>
      <c r="L362" s="12"/>
      <c r="M362" s="12"/>
      <c r="N362" s="12"/>
      <c r="O362" s="12"/>
    </row>
    <row r="363" spans="2:15" x14ac:dyDescent="0.3">
      <c r="B363" s="10"/>
      <c r="I363" s="11"/>
      <c r="K363" s="12"/>
      <c r="L363" s="12"/>
      <c r="M363" s="12"/>
      <c r="N363" s="12"/>
      <c r="O363" s="12"/>
    </row>
    <row r="364" spans="2:15" x14ac:dyDescent="0.3">
      <c r="B364" s="10"/>
      <c r="I364" s="11"/>
      <c r="K364" s="12"/>
      <c r="L364" s="12"/>
      <c r="M364" s="12"/>
      <c r="N364" s="12"/>
      <c r="O364" s="12"/>
    </row>
    <row r="365" spans="2:15" x14ac:dyDescent="0.3">
      <c r="B365" s="10"/>
      <c r="I365" s="11"/>
      <c r="K365" s="12"/>
      <c r="L365" s="12"/>
      <c r="M365" s="12"/>
      <c r="N365" s="12"/>
      <c r="O365" s="12"/>
    </row>
    <row r="366" spans="2:15" x14ac:dyDescent="0.3">
      <c r="B366" s="10"/>
      <c r="I366" s="11"/>
      <c r="K366" s="12"/>
      <c r="L366" s="12"/>
      <c r="M366" s="12"/>
      <c r="N366" s="12"/>
      <c r="O366" s="12"/>
    </row>
    <row r="367" spans="2:15" x14ac:dyDescent="0.3">
      <c r="B367" s="10"/>
      <c r="I367" s="11"/>
      <c r="K367" s="12"/>
      <c r="L367" s="12"/>
      <c r="M367" s="12"/>
      <c r="N367" s="12"/>
      <c r="O367" s="12"/>
    </row>
    <row r="368" spans="2:15" x14ac:dyDescent="0.3">
      <c r="B368" s="10"/>
      <c r="I368" s="11"/>
      <c r="K368" s="12"/>
      <c r="L368" s="12"/>
      <c r="M368" s="12"/>
      <c r="N368" s="12"/>
      <c r="O368" s="12"/>
    </row>
    <row r="369" spans="2:15" x14ac:dyDescent="0.3">
      <c r="B369" s="10"/>
      <c r="I369" s="11"/>
      <c r="K369" s="12"/>
      <c r="L369" s="12"/>
      <c r="M369" s="12"/>
      <c r="N369" s="12"/>
      <c r="O369" s="12"/>
    </row>
    <row r="370" spans="2:15" x14ac:dyDescent="0.3">
      <c r="B370" s="10"/>
      <c r="I370" s="11"/>
      <c r="K370" s="12"/>
      <c r="L370" s="12"/>
      <c r="M370" s="12"/>
      <c r="N370" s="12"/>
      <c r="O370" s="12"/>
    </row>
    <row r="371" spans="2:15" x14ac:dyDescent="0.3">
      <c r="B371" s="10"/>
      <c r="I371" s="11"/>
      <c r="K371" s="12"/>
      <c r="L371" s="12"/>
      <c r="M371" s="12"/>
      <c r="N371" s="12"/>
      <c r="O371" s="12"/>
    </row>
    <row r="372" spans="2:15" x14ac:dyDescent="0.3">
      <c r="B372" s="10"/>
      <c r="I372" s="11"/>
      <c r="K372" s="12"/>
      <c r="L372" s="12"/>
      <c r="M372" s="12"/>
      <c r="N372" s="12"/>
      <c r="O372" s="12"/>
    </row>
    <row r="373" spans="2:15" x14ac:dyDescent="0.3">
      <c r="B373" s="10"/>
      <c r="I373" s="11"/>
      <c r="K373" s="12"/>
      <c r="L373" s="12"/>
      <c r="M373" s="12"/>
      <c r="N373" s="12"/>
      <c r="O373" s="12"/>
    </row>
    <row r="374" spans="2:15" x14ac:dyDescent="0.3">
      <c r="B374" s="10"/>
      <c r="I374" s="11"/>
      <c r="K374" s="12"/>
      <c r="L374" s="12"/>
      <c r="M374" s="12"/>
      <c r="N374" s="12"/>
      <c r="O374" s="12"/>
    </row>
    <row r="375" spans="2:15" x14ac:dyDescent="0.3">
      <c r="B375" s="10"/>
      <c r="I375" s="11"/>
      <c r="K375" s="12"/>
      <c r="L375" s="12"/>
      <c r="M375" s="12"/>
      <c r="N375" s="12"/>
      <c r="O375" s="12"/>
    </row>
    <row r="376" spans="2:15" x14ac:dyDescent="0.3">
      <c r="B376" s="10"/>
      <c r="I376" s="11"/>
      <c r="K376" s="12"/>
      <c r="L376" s="12"/>
      <c r="M376" s="12"/>
      <c r="N376" s="12"/>
      <c r="O376" s="12"/>
    </row>
    <row r="377" spans="2:15" x14ac:dyDescent="0.3">
      <c r="B377" s="10"/>
      <c r="I377" s="11"/>
      <c r="K377" s="12"/>
      <c r="L377" s="12"/>
      <c r="M377" s="12"/>
      <c r="N377" s="12"/>
      <c r="O377" s="12"/>
    </row>
    <row r="378" spans="2:15" x14ac:dyDescent="0.3">
      <c r="B378" s="10"/>
      <c r="I378" s="11"/>
      <c r="K378" s="12"/>
      <c r="L378" s="12"/>
      <c r="M378" s="12"/>
      <c r="N378" s="12"/>
      <c r="O378" s="12"/>
    </row>
    <row r="379" spans="2:15" x14ac:dyDescent="0.3">
      <c r="B379" s="10"/>
      <c r="I379" s="11"/>
      <c r="K379" s="12"/>
      <c r="L379" s="12"/>
      <c r="M379" s="12"/>
      <c r="N379" s="12"/>
      <c r="O379" s="12"/>
    </row>
    <row r="380" spans="2:15" x14ac:dyDescent="0.3">
      <c r="B380" s="10"/>
      <c r="I380" s="11"/>
      <c r="K380" s="12"/>
      <c r="L380" s="12"/>
      <c r="M380" s="12"/>
      <c r="N380" s="12"/>
      <c r="O380" s="12"/>
    </row>
    <row r="381" spans="2:15" x14ac:dyDescent="0.3">
      <c r="B381" s="10"/>
      <c r="I381" s="11"/>
      <c r="K381" s="12"/>
      <c r="L381" s="12"/>
      <c r="M381" s="12"/>
      <c r="N381" s="12"/>
      <c r="O381" s="12"/>
    </row>
    <row r="382" spans="2:15" x14ac:dyDescent="0.3">
      <c r="B382" s="10"/>
      <c r="I382" s="11"/>
      <c r="K382" s="12"/>
      <c r="L382" s="12"/>
      <c r="M382" s="12"/>
      <c r="N382" s="12"/>
      <c r="O382" s="12"/>
    </row>
    <row r="383" spans="2:15" x14ac:dyDescent="0.3">
      <c r="B383" s="10"/>
      <c r="I383" s="11"/>
      <c r="K383" s="12"/>
      <c r="L383" s="12"/>
      <c r="M383" s="12"/>
      <c r="N383" s="12"/>
      <c r="O383" s="12"/>
    </row>
    <row r="384" spans="2:15" x14ac:dyDescent="0.3">
      <c r="B384" s="10"/>
      <c r="I384" s="11"/>
      <c r="K384" s="12"/>
      <c r="L384" s="12"/>
      <c r="M384" s="12"/>
      <c r="N384" s="12"/>
      <c r="O384" s="12"/>
    </row>
    <row r="385" spans="2:15" x14ac:dyDescent="0.3">
      <c r="B385" s="10"/>
      <c r="I385" s="11"/>
      <c r="K385" s="12"/>
      <c r="L385" s="12"/>
      <c r="M385" s="12"/>
      <c r="N385" s="12"/>
      <c r="O385" s="12"/>
    </row>
    <row r="386" spans="2:15" x14ac:dyDescent="0.3">
      <c r="B386" s="10"/>
      <c r="I386" s="11"/>
      <c r="K386" s="12"/>
      <c r="L386" s="12"/>
      <c r="M386" s="12"/>
      <c r="N386" s="12"/>
      <c r="O386" s="12"/>
    </row>
    <row r="387" spans="2:15" x14ac:dyDescent="0.3">
      <c r="B387" s="10"/>
      <c r="I387" s="11"/>
      <c r="K387" s="12"/>
      <c r="L387" s="12"/>
      <c r="M387" s="12"/>
      <c r="N387" s="12"/>
      <c r="O387" s="12"/>
    </row>
    <row r="388" spans="2:15" x14ac:dyDescent="0.3">
      <c r="B388" s="10"/>
      <c r="I388" s="11"/>
      <c r="K388" s="12"/>
      <c r="L388" s="12"/>
      <c r="M388" s="12"/>
      <c r="N388" s="12"/>
      <c r="O388" s="12"/>
    </row>
    <row r="389" spans="2:15" x14ac:dyDescent="0.3">
      <c r="B389" s="10"/>
      <c r="I389" s="11"/>
      <c r="K389" s="12"/>
      <c r="L389" s="12"/>
      <c r="M389" s="12"/>
      <c r="N389" s="12"/>
      <c r="O389" s="12"/>
    </row>
    <row r="390" spans="2:15" x14ac:dyDescent="0.3">
      <c r="B390" s="10"/>
      <c r="I390" s="11"/>
      <c r="K390" s="12"/>
      <c r="L390" s="12"/>
      <c r="M390" s="12"/>
      <c r="N390" s="12"/>
      <c r="O390" s="12"/>
    </row>
    <row r="391" spans="2:15" x14ac:dyDescent="0.3">
      <c r="B391" s="10"/>
      <c r="I391" s="11"/>
      <c r="K391" s="12"/>
      <c r="L391" s="12"/>
      <c r="M391" s="12"/>
      <c r="N391" s="12"/>
      <c r="O391" s="12"/>
    </row>
    <row r="392" spans="2:15" x14ac:dyDescent="0.3">
      <c r="B392" s="10"/>
      <c r="I392" s="11"/>
      <c r="K392" s="12"/>
      <c r="L392" s="12"/>
      <c r="M392" s="12"/>
      <c r="N392" s="12"/>
      <c r="O392" s="12"/>
    </row>
    <row r="393" spans="2:15" x14ac:dyDescent="0.3">
      <c r="B393" s="10"/>
      <c r="I393" s="11"/>
      <c r="K393" s="12"/>
      <c r="L393" s="12"/>
      <c r="M393" s="12"/>
      <c r="N393" s="12"/>
      <c r="O393" s="12"/>
    </row>
    <row r="394" spans="2:15" x14ac:dyDescent="0.3">
      <c r="B394" s="10"/>
      <c r="I394" s="11"/>
      <c r="K394" s="12"/>
      <c r="L394" s="12"/>
      <c r="M394" s="12"/>
      <c r="N394" s="12"/>
      <c r="O394" s="12"/>
    </row>
    <row r="395" spans="2:15" x14ac:dyDescent="0.3">
      <c r="B395" s="10"/>
      <c r="I395" s="11"/>
      <c r="K395" s="12"/>
      <c r="L395" s="12"/>
      <c r="M395" s="12"/>
      <c r="N395" s="12"/>
      <c r="O395" s="12"/>
    </row>
    <row r="396" spans="2:15" x14ac:dyDescent="0.3">
      <c r="B396" s="10"/>
      <c r="I396" s="11"/>
      <c r="K396" s="12"/>
      <c r="L396" s="12"/>
      <c r="M396" s="12"/>
      <c r="N396" s="12"/>
      <c r="O396" s="12"/>
    </row>
    <row r="397" spans="2:15" x14ac:dyDescent="0.3">
      <c r="B397" s="10"/>
      <c r="I397" s="11"/>
      <c r="K397" s="12"/>
      <c r="L397" s="12"/>
      <c r="M397" s="12"/>
      <c r="N397" s="12"/>
      <c r="O397" s="12"/>
    </row>
    <row r="398" spans="2:15" x14ac:dyDescent="0.3">
      <c r="B398" s="10"/>
      <c r="I398" s="11"/>
      <c r="K398" s="12"/>
      <c r="L398" s="12"/>
      <c r="M398" s="12"/>
      <c r="N398" s="12"/>
      <c r="O398" s="12"/>
    </row>
    <row r="399" spans="2:15" x14ac:dyDescent="0.3">
      <c r="B399" s="10"/>
      <c r="I399" s="11"/>
      <c r="K399" s="12"/>
      <c r="L399" s="12"/>
      <c r="M399" s="12"/>
      <c r="N399" s="12"/>
      <c r="O399" s="12"/>
    </row>
    <row r="400" spans="2:15" x14ac:dyDescent="0.3">
      <c r="B400" s="10"/>
      <c r="I400" s="11"/>
      <c r="K400" s="12"/>
      <c r="L400" s="12"/>
      <c r="M400" s="12"/>
      <c r="N400" s="12"/>
      <c r="O400" s="12"/>
    </row>
    <row r="401" spans="2:15" x14ac:dyDescent="0.3">
      <c r="B401" s="10"/>
      <c r="I401" s="11"/>
      <c r="K401" s="12"/>
      <c r="L401" s="12"/>
      <c r="M401" s="12"/>
      <c r="N401" s="12"/>
      <c r="O401" s="12"/>
    </row>
    <row r="402" spans="2:15" x14ac:dyDescent="0.3">
      <c r="B402" s="10"/>
      <c r="I402" s="11"/>
      <c r="K402" s="12"/>
      <c r="L402" s="12"/>
      <c r="M402" s="12"/>
      <c r="N402" s="12"/>
      <c r="O402" s="12"/>
    </row>
    <row r="403" spans="2:15" x14ac:dyDescent="0.3">
      <c r="B403" s="10"/>
      <c r="I403" s="11"/>
      <c r="K403" s="12"/>
      <c r="L403" s="12"/>
      <c r="M403" s="12"/>
      <c r="N403" s="12"/>
      <c r="O403" s="12"/>
    </row>
    <row r="404" spans="2:15" x14ac:dyDescent="0.3">
      <c r="B404" s="10"/>
      <c r="I404" s="11"/>
      <c r="K404" s="12"/>
      <c r="L404" s="12"/>
      <c r="M404" s="12"/>
      <c r="N404" s="12"/>
      <c r="O404" s="12"/>
    </row>
    <row r="405" spans="2:15" x14ac:dyDescent="0.3">
      <c r="B405" s="10"/>
      <c r="I405" s="11"/>
      <c r="K405" s="12"/>
      <c r="L405" s="12"/>
      <c r="M405" s="12"/>
      <c r="N405" s="12"/>
      <c r="O405" s="12"/>
    </row>
    <row r="406" spans="2:15" x14ac:dyDescent="0.3">
      <c r="B406" s="10"/>
      <c r="I406" s="11"/>
      <c r="K406" s="12"/>
      <c r="L406" s="12"/>
      <c r="M406" s="12"/>
      <c r="N406" s="12"/>
      <c r="O406" s="12"/>
    </row>
    <row r="407" spans="2:15" x14ac:dyDescent="0.3">
      <c r="B407" s="10"/>
      <c r="I407" s="11"/>
      <c r="K407" s="12"/>
      <c r="L407" s="12"/>
      <c r="M407" s="12"/>
      <c r="N407" s="12"/>
      <c r="O407" s="12"/>
    </row>
    <row r="408" spans="2:15" x14ac:dyDescent="0.3">
      <c r="B408" s="10"/>
      <c r="I408" s="11"/>
      <c r="K408" s="12"/>
      <c r="L408" s="12"/>
      <c r="M408" s="12"/>
      <c r="N408" s="12"/>
      <c r="O408" s="12"/>
    </row>
    <row r="409" spans="2:15" x14ac:dyDescent="0.3">
      <c r="B409" s="10"/>
      <c r="I409" s="11"/>
      <c r="K409" s="12"/>
      <c r="L409" s="12"/>
      <c r="M409" s="12"/>
      <c r="N409" s="12"/>
      <c r="O409" s="12"/>
    </row>
    <row r="410" spans="2:15" x14ac:dyDescent="0.3">
      <c r="B410" s="10"/>
      <c r="I410" s="11"/>
      <c r="K410" s="12"/>
      <c r="L410" s="12"/>
      <c r="M410" s="12"/>
      <c r="N410" s="12"/>
      <c r="O410" s="12"/>
    </row>
    <row r="411" spans="2:15" x14ac:dyDescent="0.3">
      <c r="B411" s="10"/>
      <c r="I411" s="11"/>
      <c r="K411" s="12"/>
      <c r="L411" s="12"/>
      <c r="M411" s="12"/>
      <c r="N411" s="12"/>
      <c r="O411" s="12"/>
    </row>
    <row r="412" spans="2:15" x14ac:dyDescent="0.3">
      <c r="B412" s="10"/>
      <c r="I412" s="11"/>
      <c r="K412" s="12"/>
      <c r="L412" s="12"/>
      <c r="M412" s="12"/>
      <c r="N412" s="12"/>
      <c r="O412" s="12"/>
    </row>
    <row r="413" spans="2:15" x14ac:dyDescent="0.3">
      <c r="B413" s="10"/>
      <c r="I413" s="11"/>
      <c r="K413" s="12"/>
      <c r="L413" s="12"/>
      <c r="M413" s="12"/>
      <c r="N413" s="12"/>
      <c r="O413" s="12"/>
    </row>
    <row r="414" spans="2:15" x14ac:dyDescent="0.3">
      <c r="B414" s="10"/>
      <c r="I414" s="11"/>
      <c r="K414" s="12"/>
      <c r="L414" s="12"/>
      <c r="M414" s="12"/>
      <c r="N414" s="12"/>
      <c r="O414" s="12"/>
    </row>
    <row r="415" spans="2:15" x14ac:dyDescent="0.3">
      <c r="B415" s="10"/>
      <c r="I415" s="11"/>
      <c r="K415" s="12"/>
      <c r="L415" s="12"/>
      <c r="M415" s="12"/>
      <c r="N415" s="12"/>
      <c r="O415" s="12"/>
    </row>
    <row r="416" spans="2:15" x14ac:dyDescent="0.3">
      <c r="B416" s="10"/>
      <c r="I416" s="11"/>
      <c r="K416" s="12"/>
      <c r="L416" s="12"/>
      <c r="M416" s="12"/>
      <c r="N416" s="12"/>
      <c r="O416" s="12"/>
    </row>
    <row r="417" spans="2:15" x14ac:dyDescent="0.3">
      <c r="B417" s="10"/>
      <c r="I417" s="11"/>
      <c r="K417" s="12"/>
      <c r="L417" s="12"/>
      <c r="M417" s="12"/>
      <c r="N417" s="12"/>
      <c r="O417" s="12"/>
    </row>
    <row r="418" spans="2:15" x14ac:dyDescent="0.3">
      <c r="B418" s="10"/>
      <c r="I418" s="11"/>
      <c r="K418" s="12"/>
      <c r="L418" s="12"/>
      <c r="M418" s="12"/>
      <c r="N418" s="12"/>
      <c r="O418" s="12"/>
    </row>
    <row r="419" spans="2:15" x14ac:dyDescent="0.3">
      <c r="B419" s="10"/>
      <c r="I419" s="11"/>
      <c r="K419" s="12"/>
      <c r="L419" s="12"/>
      <c r="M419" s="12"/>
      <c r="N419" s="12"/>
      <c r="O419" s="12"/>
    </row>
    <row r="420" spans="2:15" x14ac:dyDescent="0.3">
      <c r="B420" s="10"/>
      <c r="I420" s="11"/>
      <c r="K420" s="12"/>
      <c r="L420" s="12"/>
      <c r="M420" s="12"/>
      <c r="N420" s="12"/>
      <c r="O420" s="12"/>
    </row>
    <row r="421" spans="2:15" x14ac:dyDescent="0.3">
      <c r="B421" s="10"/>
      <c r="I421" s="11"/>
      <c r="K421" s="12"/>
      <c r="L421" s="12"/>
      <c r="M421" s="12"/>
      <c r="N421" s="12"/>
      <c r="O421" s="12"/>
    </row>
    <row r="422" spans="2:15" x14ac:dyDescent="0.3">
      <c r="B422" s="10"/>
      <c r="I422" s="11"/>
      <c r="K422" s="12"/>
      <c r="L422" s="12"/>
      <c r="M422" s="12"/>
      <c r="N422" s="12"/>
      <c r="O422" s="12"/>
    </row>
    <row r="423" spans="2:15" x14ac:dyDescent="0.3">
      <c r="B423" s="10"/>
      <c r="I423" s="11"/>
      <c r="K423" s="12"/>
      <c r="L423" s="12"/>
      <c r="M423" s="12"/>
      <c r="N423" s="12"/>
      <c r="O423" s="12"/>
    </row>
    <row r="424" spans="2:15" x14ac:dyDescent="0.3">
      <c r="B424" s="10"/>
      <c r="I424" s="11"/>
      <c r="K424" s="12"/>
      <c r="L424" s="12"/>
      <c r="M424" s="12"/>
      <c r="N424" s="12"/>
      <c r="O424" s="12"/>
    </row>
    <row r="425" spans="2:15" x14ac:dyDescent="0.3">
      <c r="B425" s="10"/>
      <c r="I425" s="11"/>
      <c r="K425" s="12"/>
      <c r="L425" s="12"/>
      <c r="M425" s="12"/>
      <c r="N425" s="12"/>
      <c r="O425" s="12"/>
    </row>
    <row r="426" spans="2:15" x14ac:dyDescent="0.3">
      <c r="B426" s="10"/>
      <c r="I426" s="11"/>
      <c r="K426" s="12"/>
      <c r="L426" s="12"/>
      <c r="M426" s="12"/>
      <c r="N426" s="12"/>
      <c r="O426" s="12"/>
    </row>
    <row r="427" spans="2:15" x14ac:dyDescent="0.3">
      <c r="B427" s="10"/>
      <c r="I427" s="11"/>
      <c r="K427" s="12"/>
      <c r="L427" s="12"/>
      <c r="M427" s="12"/>
      <c r="N427" s="12"/>
      <c r="O427" s="12"/>
    </row>
    <row r="428" spans="2:15" x14ac:dyDescent="0.3">
      <c r="B428" s="10"/>
      <c r="I428" s="11"/>
      <c r="K428" s="12"/>
      <c r="L428" s="12"/>
      <c r="M428" s="12"/>
      <c r="N428" s="12"/>
      <c r="O428" s="12"/>
    </row>
    <row r="429" spans="2:15" x14ac:dyDescent="0.3">
      <c r="B429" s="10"/>
      <c r="I429" s="11"/>
      <c r="K429" s="12"/>
      <c r="L429" s="12"/>
      <c r="M429" s="12"/>
      <c r="N429" s="12"/>
      <c r="O429" s="12"/>
    </row>
    <row r="430" spans="2:15" x14ac:dyDescent="0.3">
      <c r="B430" s="10"/>
      <c r="I430" s="11"/>
      <c r="K430" s="12"/>
      <c r="L430" s="12"/>
      <c r="M430" s="12"/>
      <c r="N430" s="12"/>
      <c r="O430" s="12"/>
    </row>
    <row r="431" spans="2:15" x14ac:dyDescent="0.3">
      <c r="B431" s="10"/>
      <c r="I431" s="11"/>
      <c r="K431" s="12"/>
      <c r="L431" s="12"/>
      <c r="M431" s="12"/>
      <c r="N431" s="12"/>
      <c r="O431" s="12"/>
    </row>
    <row r="432" spans="2:15" x14ac:dyDescent="0.3">
      <c r="B432" s="10"/>
      <c r="I432" s="11"/>
      <c r="K432" s="12"/>
      <c r="L432" s="12"/>
      <c r="M432" s="12"/>
      <c r="N432" s="12"/>
      <c r="O432" s="12"/>
    </row>
    <row r="433" spans="2:15" x14ac:dyDescent="0.3">
      <c r="B433" s="10"/>
      <c r="I433" s="11"/>
      <c r="K433" s="12"/>
      <c r="L433" s="12"/>
      <c r="M433" s="12"/>
      <c r="N433" s="12"/>
      <c r="O433" s="12"/>
    </row>
    <row r="434" spans="2:15" x14ac:dyDescent="0.3">
      <c r="B434" s="10"/>
      <c r="I434" s="11"/>
      <c r="K434" s="12"/>
      <c r="L434" s="12"/>
      <c r="M434" s="12"/>
      <c r="N434" s="12"/>
      <c r="O434" s="12"/>
    </row>
    <row r="435" spans="2:15" x14ac:dyDescent="0.3">
      <c r="B435" s="10"/>
      <c r="I435" s="11"/>
      <c r="K435" s="12"/>
      <c r="L435" s="12"/>
      <c r="M435" s="12"/>
      <c r="N435" s="12"/>
      <c r="O435" s="12"/>
    </row>
    <row r="436" spans="2:15" x14ac:dyDescent="0.3">
      <c r="B436" s="10"/>
      <c r="I436" s="11"/>
      <c r="K436" s="12"/>
      <c r="L436" s="12"/>
      <c r="M436" s="12"/>
      <c r="N436" s="12"/>
      <c r="O436" s="12"/>
    </row>
    <row r="437" spans="2:15" x14ac:dyDescent="0.3">
      <c r="B437" s="10"/>
      <c r="I437" s="11"/>
      <c r="K437" s="12"/>
      <c r="L437" s="12"/>
      <c r="M437" s="12"/>
      <c r="N437" s="12"/>
      <c r="O437" s="12"/>
    </row>
    <row r="438" spans="2:15" x14ac:dyDescent="0.3">
      <c r="B438" s="10"/>
      <c r="I438" s="11"/>
      <c r="K438" s="12"/>
      <c r="L438" s="12"/>
      <c r="M438" s="12"/>
      <c r="N438" s="12"/>
      <c r="O438" s="12"/>
    </row>
    <row r="439" spans="2:15" x14ac:dyDescent="0.3">
      <c r="B439" s="10"/>
      <c r="I439" s="11"/>
      <c r="K439" s="12"/>
      <c r="L439" s="12"/>
      <c r="M439" s="12"/>
      <c r="N439" s="12"/>
      <c r="O439" s="12"/>
    </row>
    <row r="440" spans="2:15" x14ac:dyDescent="0.3">
      <c r="B440" s="10"/>
      <c r="I440" s="11"/>
      <c r="K440" s="12"/>
      <c r="L440" s="12"/>
      <c r="M440" s="12"/>
      <c r="N440" s="12"/>
      <c r="O440" s="12"/>
    </row>
    <row r="441" spans="2:15" x14ac:dyDescent="0.3">
      <c r="B441" s="10"/>
      <c r="I441" s="11"/>
      <c r="K441" s="12"/>
      <c r="L441" s="12"/>
      <c r="M441" s="12"/>
      <c r="N441" s="12"/>
      <c r="O441" s="12"/>
    </row>
    <row r="442" spans="2:15" x14ac:dyDescent="0.3">
      <c r="B442" s="10"/>
      <c r="I442" s="11"/>
      <c r="K442" s="12"/>
      <c r="L442" s="12"/>
      <c r="M442" s="12"/>
      <c r="N442" s="12"/>
      <c r="O442" s="12"/>
    </row>
    <row r="443" spans="2:15" x14ac:dyDescent="0.3">
      <c r="B443" s="10"/>
      <c r="I443" s="11"/>
      <c r="K443" s="12"/>
      <c r="L443" s="12"/>
      <c r="M443" s="12"/>
      <c r="N443" s="12"/>
      <c r="O443" s="12"/>
    </row>
    <row r="444" spans="2:15" x14ac:dyDescent="0.3">
      <c r="B444" s="10"/>
      <c r="I444" s="11"/>
      <c r="K444" s="12"/>
      <c r="L444" s="12"/>
      <c r="M444" s="12"/>
      <c r="N444" s="12"/>
      <c r="O444" s="12"/>
    </row>
    <row r="445" spans="2:15" x14ac:dyDescent="0.3">
      <c r="B445" s="10"/>
      <c r="I445" s="11"/>
      <c r="K445" s="12"/>
      <c r="L445" s="12"/>
      <c r="M445" s="12"/>
      <c r="N445" s="12"/>
      <c r="O445" s="12"/>
    </row>
    <row r="446" spans="2:15" x14ac:dyDescent="0.3">
      <c r="B446" s="10"/>
      <c r="I446" s="11"/>
      <c r="K446" s="12"/>
      <c r="L446" s="12"/>
      <c r="M446" s="12"/>
      <c r="N446" s="12"/>
      <c r="O446" s="12"/>
    </row>
    <row r="447" spans="2:15" x14ac:dyDescent="0.3">
      <c r="B447" s="10"/>
      <c r="I447" s="11"/>
      <c r="K447" s="12"/>
      <c r="L447" s="12"/>
      <c r="M447" s="12"/>
      <c r="N447" s="12"/>
      <c r="O447" s="12"/>
    </row>
    <row r="448" spans="2:15" x14ac:dyDescent="0.3">
      <c r="B448" s="10"/>
      <c r="I448" s="11"/>
      <c r="K448" s="12"/>
      <c r="L448" s="12"/>
      <c r="M448" s="12"/>
      <c r="N448" s="12"/>
      <c r="O448" s="12"/>
    </row>
    <row r="449" spans="2:15" x14ac:dyDescent="0.3">
      <c r="B449" s="10"/>
      <c r="I449" s="11"/>
      <c r="K449" s="12"/>
      <c r="L449" s="12"/>
      <c r="M449" s="12"/>
      <c r="N449" s="12"/>
      <c r="O449" s="12"/>
    </row>
    <row r="450" spans="2:15" x14ac:dyDescent="0.3">
      <c r="B450" s="10"/>
      <c r="I450" s="11"/>
      <c r="K450" s="12"/>
      <c r="L450" s="12"/>
      <c r="M450" s="12"/>
      <c r="N450" s="12"/>
      <c r="O450" s="12"/>
    </row>
    <row r="451" spans="2:15" x14ac:dyDescent="0.3">
      <c r="B451" s="10"/>
      <c r="I451" s="11"/>
      <c r="K451" s="12"/>
      <c r="L451" s="12"/>
      <c r="M451" s="12"/>
      <c r="N451" s="12"/>
      <c r="O451" s="12"/>
    </row>
    <row r="452" spans="2:15" x14ac:dyDescent="0.3">
      <c r="B452" s="10"/>
      <c r="I452" s="11"/>
      <c r="K452" s="12"/>
      <c r="L452" s="12"/>
      <c r="M452" s="12"/>
      <c r="N452" s="12"/>
      <c r="O452" s="12"/>
    </row>
    <row r="453" spans="2:15" x14ac:dyDescent="0.3">
      <c r="B453" s="10"/>
      <c r="I453" s="11"/>
      <c r="K453" s="12"/>
      <c r="L453" s="12"/>
      <c r="M453" s="12"/>
      <c r="N453" s="12"/>
      <c r="O453" s="12"/>
    </row>
    <row r="454" spans="2:15" x14ac:dyDescent="0.3">
      <c r="B454" s="10"/>
      <c r="I454" s="11"/>
      <c r="K454" s="12"/>
      <c r="L454" s="12"/>
      <c r="M454" s="12"/>
      <c r="N454" s="12"/>
      <c r="O454" s="12"/>
    </row>
    <row r="455" spans="2:15" x14ac:dyDescent="0.3">
      <c r="B455" s="10"/>
      <c r="I455" s="11"/>
      <c r="K455" s="12"/>
      <c r="L455" s="12"/>
      <c r="M455" s="12"/>
      <c r="N455" s="12"/>
      <c r="O455" s="12"/>
    </row>
    <row r="456" spans="2:15" x14ac:dyDescent="0.3">
      <c r="B456" s="10"/>
      <c r="I456" s="11"/>
      <c r="K456" s="12"/>
      <c r="L456" s="12"/>
      <c r="M456" s="12"/>
      <c r="N456" s="12"/>
      <c r="O456" s="12"/>
    </row>
    <row r="457" spans="2:15" x14ac:dyDescent="0.3">
      <c r="B457" s="10"/>
      <c r="I457" s="11"/>
      <c r="K457" s="12"/>
      <c r="L457" s="12"/>
      <c r="M457" s="12"/>
      <c r="N457" s="12"/>
      <c r="O457" s="12"/>
    </row>
    <row r="458" spans="2:15" x14ac:dyDescent="0.3">
      <c r="B458" s="10"/>
      <c r="I458" s="11"/>
      <c r="K458" s="12"/>
      <c r="L458" s="12"/>
      <c r="M458" s="12"/>
      <c r="N458" s="12"/>
      <c r="O458" s="12"/>
    </row>
    <row r="459" spans="2:15" x14ac:dyDescent="0.3">
      <c r="B459" s="10"/>
      <c r="I459" s="11"/>
      <c r="K459" s="12"/>
      <c r="L459" s="12"/>
      <c r="M459" s="12"/>
      <c r="N459" s="12"/>
      <c r="O459" s="12"/>
    </row>
    <row r="460" spans="2:15" x14ac:dyDescent="0.3">
      <c r="B460" s="10"/>
      <c r="I460" s="11"/>
      <c r="K460" s="12"/>
      <c r="L460" s="12"/>
      <c r="M460" s="12"/>
      <c r="N460" s="12"/>
      <c r="O460" s="12"/>
    </row>
    <row r="461" spans="2:15" x14ac:dyDescent="0.3">
      <c r="B461" s="10"/>
      <c r="I461" s="11"/>
      <c r="K461" s="12"/>
      <c r="L461" s="12"/>
      <c r="M461" s="12"/>
      <c r="N461" s="12"/>
      <c r="O461" s="12"/>
    </row>
    <row r="462" spans="2:15" x14ac:dyDescent="0.3">
      <c r="B462" s="10"/>
      <c r="I462" s="11"/>
      <c r="K462" s="12"/>
      <c r="L462" s="12"/>
      <c r="M462" s="12"/>
      <c r="N462" s="12"/>
      <c r="O462" s="12"/>
    </row>
    <row r="463" spans="2:15" x14ac:dyDescent="0.3">
      <c r="B463" s="10"/>
      <c r="I463" s="11"/>
      <c r="K463" s="12"/>
      <c r="L463" s="12"/>
      <c r="M463" s="12"/>
      <c r="N463" s="12"/>
      <c r="O463" s="12"/>
    </row>
    <row r="464" spans="2:15" x14ac:dyDescent="0.3">
      <c r="B464" s="10"/>
      <c r="I464" s="11"/>
      <c r="K464" s="12"/>
      <c r="L464" s="12"/>
      <c r="M464" s="12"/>
      <c r="N464" s="12"/>
      <c r="O464" s="12"/>
    </row>
    <row r="465" spans="2:15" x14ac:dyDescent="0.3">
      <c r="B465" s="10"/>
      <c r="I465" s="11"/>
      <c r="K465" s="12"/>
      <c r="L465" s="12"/>
      <c r="M465" s="12"/>
      <c r="N465" s="12"/>
      <c r="O465" s="12"/>
    </row>
    <row r="466" spans="2:15" x14ac:dyDescent="0.3">
      <c r="B466" s="10"/>
      <c r="I466" s="11"/>
      <c r="K466" s="12"/>
      <c r="L466" s="12"/>
      <c r="M466" s="12"/>
      <c r="N466" s="12"/>
      <c r="O466" s="12"/>
    </row>
    <row r="467" spans="2:15" x14ac:dyDescent="0.3">
      <c r="B467" s="10"/>
      <c r="I467" s="11"/>
      <c r="K467" s="12"/>
      <c r="L467" s="12"/>
      <c r="M467" s="12"/>
      <c r="N467" s="12"/>
      <c r="O467" s="12"/>
    </row>
    <row r="468" spans="2:15" x14ac:dyDescent="0.3">
      <c r="B468" s="10"/>
      <c r="I468" s="11"/>
      <c r="K468" s="12"/>
      <c r="L468" s="12"/>
      <c r="M468" s="12"/>
      <c r="N468" s="12"/>
      <c r="O468" s="12"/>
    </row>
    <row r="469" spans="2:15" x14ac:dyDescent="0.3">
      <c r="B469" s="10"/>
      <c r="I469" s="11"/>
      <c r="K469" s="12"/>
      <c r="L469" s="12"/>
      <c r="M469" s="12"/>
      <c r="N469" s="12"/>
      <c r="O469" s="12"/>
    </row>
    <row r="470" spans="2:15" x14ac:dyDescent="0.3">
      <c r="B470" s="10"/>
      <c r="I470" s="11"/>
      <c r="K470" s="12"/>
      <c r="L470" s="12"/>
      <c r="M470" s="12"/>
      <c r="N470" s="12"/>
      <c r="O470" s="12"/>
    </row>
    <row r="471" spans="2:15" x14ac:dyDescent="0.3">
      <c r="B471" s="10"/>
      <c r="I471" s="11"/>
      <c r="K471" s="12"/>
      <c r="L471" s="12"/>
      <c r="M471" s="12"/>
      <c r="N471" s="12"/>
      <c r="O471" s="12"/>
    </row>
    <row r="472" spans="2:15" x14ac:dyDescent="0.3">
      <c r="B472" s="10"/>
      <c r="I472" s="11"/>
      <c r="K472" s="12"/>
      <c r="L472" s="12"/>
      <c r="M472" s="12"/>
      <c r="N472" s="12"/>
      <c r="O472" s="12"/>
    </row>
    <row r="473" spans="2:15" x14ac:dyDescent="0.3">
      <c r="B473" s="10"/>
      <c r="I473" s="11"/>
      <c r="K473" s="12"/>
      <c r="L473" s="12"/>
      <c r="M473" s="12"/>
      <c r="N473" s="12"/>
      <c r="O473" s="12"/>
    </row>
    <row r="474" spans="2:15" x14ac:dyDescent="0.3">
      <c r="B474" s="10"/>
      <c r="I474" s="11"/>
      <c r="K474" s="12"/>
      <c r="L474" s="12"/>
      <c r="M474" s="12"/>
      <c r="N474" s="12"/>
      <c r="O474" s="12"/>
    </row>
    <row r="475" spans="2:15" x14ac:dyDescent="0.3">
      <c r="B475" s="10"/>
      <c r="I475" s="11"/>
      <c r="K475" s="12"/>
      <c r="L475" s="12"/>
      <c r="M475" s="12"/>
      <c r="N475" s="12"/>
      <c r="O475" s="12"/>
    </row>
    <row r="476" spans="2:15" x14ac:dyDescent="0.3">
      <c r="B476" s="10"/>
      <c r="I476" s="11"/>
      <c r="K476" s="12"/>
      <c r="L476" s="12"/>
      <c r="M476" s="12"/>
      <c r="N476" s="12"/>
      <c r="O476" s="12"/>
    </row>
    <row r="477" spans="2:15" x14ac:dyDescent="0.3">
      <c r="B477" s="10"/>
      <c r="I477" s="11"/>
      <c r="K477" s="12"/>
      <c r="L477" s="12"/>
      <c r="M477" s="12"/>
      <c r="N477" s="12"/>
      <c r="O477" s="12"/>
    </row>
    <row r="478" spans="2:15" x14ac:dyDescent="0.3">
      <c r="B478" s="10"/>
      <c r="I478" s="11"/>
      <c r="K478" s="12"/>
      <c r="L478" s="12"/>
      <c r="M478" s="12"/>
      <c r="N478" s="12"/>
      <c r="O478" s="12"/>
    </row>
    <row r="479" spans="2:15" x14ac:dyDescent="0.3">
      <c r="B479" s="10"/>
      <c r="I479" s="11"/>
      <c r="K479" s="12"/>
      <c r="L479" s="12"/>
      <c r="M479" s="12"/>
      <c r="N479" s="12"/>
      <c r="O479" s="12"/>
    </row>
    <row r="480" spans="2:15" x14ac:dyDescent="0.3">
      <c r="B480" s="10"/>
      <c r="I480" s="11"/>
      <c r="K480" s="12"/>
      <c r="L480" s="12"/>
      <c r="M480" s="12"/>
      <c r="N480" s="12"/>
      <c r="O480" s="12"/>
    </row>
    <row r="481" spans="2:15" x14ac:dyDescent="0.3">
      <c r="B481" s="10"/>
      <c r="I481" s="11"/>
      <c r="K481" s="12"/>
      <c r="L481" s="12"/>
      <c r="M481" s="12"/>
      <c r="N481" s="12"/>
      <c r="O481" s="12"/>
    </row>
    <row r="482" spans="2:15" x14ac:dyDescent="0.3">
      <c r="B482" s="10"/>
      <c r="I482" s="11"/>
      <c r="K482" s="12"/>
      <c r="L482" s="12"/>
      <c r="M482" s="12"/>
      <c r="N482" s="12"/>
      <c r="O482" s="12"/>
    </row>
    <row r="483" spans="2:15" x14ac:dyDescent="0.3">
      <c r="B483" s="10"/>
      <c r="I483" s="11"/>
      <c r="K483" s="12"/>
      <c r="L483" s="12"/>
      <c r="M483" s="12"/>
      <c r="N483" s="12"/>
      <c r="O483" s="12"/>
    </row>
    <row r="484" spans="2:15" x14ac:dyDescent="0.3">
      <c r="B484" s="10"/>
      <c r="I484" s="11"/>
      <c r="K484" s="12"/>
      <c r="L484" s="12"/>
      <c r="M484" s="12"/>
      <c r="N484" s="12"/>
      <c r="O484" s="12"/>
    </row>
    <row r="485" spans="2:15" x14ac:dyDescent="0.3">
      <c r="B485" s="10"/>
      <c r="I485" s="11"/>
      <c r="K485" s="12"/>
      <c r="L485" s="12"/>
      <c r="M485" s="12"/>
      <c r="N485" s="12"/>
      <c r="O485" s="12"/>
    </row>
    <row r="486" spans="2:15" x14ac:dyDescent="0.3">
      <c r="B486" s="10"/>
      <c r="I486" s="11"/>
      <c r="K486" s="12"/>
      <c r="L486" s="12"/>
      <c r="M486" s="12"/>
      <c r="N486" s="12"/>
      <c r="O486" s="12"/>
    </row>
    <row r="487" spans="2:15" x14ac:dyDescent="0.3">
      <c r="B487" s="10"/>
      <c r="I487" s="11"/>
      <c r="K487" s="12"/>
      <c r="L487" s="12"/>
      <c r="M487" s="12"/>
      <c r="N487" s="12"/>
      <c r="O487" s="12"/>
    </row>
    <row r="488" spans="2:15" x14ac:dyDescent="0.3">
      <c r="B488" s="10"/>
      <c r="I488" s="11"/>
      <c r="K488" s="12"/>
      <c r="L488" s="12"/>
      <c r="M488" s="12"/>
      <c r="N488" s="12"/>
      <c r="O488" s="12"/>
    </row>
    <row r="489" spans="2:15" x14ac:dyDescent="0.3">
      <c r="B489" s="10"/>
      <c r="I489" s="11"/>
      <c r="K489" s="12"/>
      <c r="L489" s="12"/>
      <c r="M489" s="12"/>
      <c r="N489" s="12"/>
      <c r="O489" s="12"/>
    </row>
    <row r="490" spans="2:15" x14ac:dyDescent="0.3">
      <c r="B490" s="10"/>
      <c r="I490" s="11"/>
      <c r="K490" s="12"/>
      <c r="L490" s="12"/>
      <c r="M490" s="12"/>
      <c r="N490" s="12"/>
      <c r="O490" s="12"/>
    </row>
    <row r="491" spans="2:15" x14ac:dyDescent="0.3">
      <c r="B491" s="10"/>
      <c r="I491" s="11"/>
      <c r="K491" s="12"/>
      <c r="L491" s="12"/>
      <c r="M491" s="12"/>
      <c r="N491" s="12"/>
      <c r="O491" s="12"/>
    </row>
    <row r="492" spans="2:15" x14ac:dyDescent="0.3">
      <c r="B492" s="10"/>
      <c r="I492" s="11"/>
      <c r="K492" s="12"/>
      <c r="L492" s="12"/>
      <c r="M492" s="12"/>
      <c r="N492" s="12"/>
      <c r="O492" s="12"/>
    </row>
    <row r="493" spans="2:15" x14ac:dyDescent="0.3">
      <c r="B493" s="10"/>
      <c r="I493" s="11"/>
      <c r="K493" s="12"/>
      <c r="L493" s="12"/>
      <c r="M493" s="12"/>
      <c r="N493" s="12"/>
      <c r="O493" s="12"/>
    </row>
    <row r="494" spans="2:15" x14ac:dyDescent="0.3">
      <c r="B494" s="10"/>
      <c r="I494" s="11"/>
      <c r="K494" s="12"/>
      <c r="L494" s="12"/>
      <c r="M494" s="12"/>
      <c r="N494" s="12"/>
      <c r="O494" s="12"/>
    </row>
    <row r="495" spans="2:15" x14ac:dyDescent="0.3">
      <c r="B495" s="10"/>
      <c r="I495" s="11"/>
      <c r="K495" s="12"/>
      <c r="L495" s="12"/>
      <c r="M495" s="12"/>
      <c r="N495" s="12"/>
      <c r="O495" s="12"/>
    </row>
    <row r="496" spans="2:15" x14ac:dyDescent="0.3">
      <c r="B496" s="10"/>
      <c r="I496" s="11"/>
      <c r="K496" s="12"/>
      <c r="L496" s="12"/>
      <c r="M496" s="12"/>
      <c r="N496" s="12"/>
      <c r="O496" s="12"/>
    </row>
    <row r="497" spans="2:15" x14ac:dyDescent="0.3">
      <c r="B497" s="10"/>
      <c r="I497" s="11"/>
      <c r="K497" s="12"/>
      <c r="L497" s="12"/>
      <c r="M497" s="12"/>
      <c r="N497" s="12"/>
      <c r="O497" s="12"/>
    </row>
    <row r="498" spans="2:15" x14ac:dyDescent="0.3">
      <c r="B498" s="10"/>
      <c r="I498" s="11"/>
      <c r="K498" s="12"/>
      <c r="L498" s="12"/>
      <c r="M498" s="12"/>
      <c r="N498" s="12"/>
      <c r="O498" s="12"/>
    </row>
    <row r="499" spans="2:15" x14ac:dyDescent="0.3">
      <c r="B499" s="10"/>
      <c r="I499" s="11"/>
      <c r="K499" s="12"/>
      <c r="L499" s="12"/>
      <c r="M499" s="12"/>
      <c r="N499" s="12"/>
      <c r="O499" s="12"/>
    </row>
    <row r="500" spans="2:15" x14ac:dyDescent="0.3">
      <c r="B500" s="10"/>
      <c r="I500" s="11"/>
      <c r="K500" s="12"/>
      <c r="L500" s="12"/>
      <c r="M500" s="12"/>
      <c r="N500" s="12"/>
      <c r="O500" s="12"/>
    </row>
    <row r="501" spans="2:15" x14ac:dyDescent="0.3">
      <c r="B501" s="10"/>
      <c r="I501" s="11"/>
      <c r="K501" s="12"/>
      <c r="L501" s="12"/>
      <c r="M501" s="12"/>
      <c r="N501" s="12"/>
      <c r="O501" s="12"/>
    </row>
    <row r="502" spans="2:15" x14ac:dyDescent="0.3">
      <c r="B502" s="10"/>
      <c r="I502" s="11"/>
      <c r="K502" s="12"/>
      <c r="L502" s="12"/>
      <c r="M502" s="12"/>
      <c r="N502" s="12"/>
      <c r="O502" s="12"/>
    </row>
    <row r="503" spans="2:15" x14ac:dyDescent="0.3">
      <c r="B503" s="10"/>
      <c r="I503" s="11"/>
      <c r="K503" s="12"/>
      <c r="L503" s="12"/>
      <c r="M503" s="12"/>
      <c r="N503" s="12"/>
      <c r="O503" s="12"/>
    </row>
    <row r="504" spans="2:15" x14ac:dyDescent="0.3">
      <c r="B504" s="10"/>
      <c r="I504" s="11"/>
      <c r="K504" s="12"/>
      <c r="L504" s="12"/>
      <c r="M504" s="12"/>
      <c r="N504" s="12"/>
      <c r="O504" s="12"/>
    </row>
    <row r="505" spans="2:15" x14ac:dyDescent="0.3">
      <c r="B505" s="10"/>
      <c r="I505" s="11"/>
      <c r="K505" s="12"/>
      <c r="L505" s="12"/>
      <c r="M505" s="12"/>
      <c r="N505" s="12"/>
      <c r="O505" s="12"/>
    </row>
    <row r="506" spans="2:15" x14ac:dyDescent="0.3">
      <c r="B506" s="10"/>
      <c r="I506" s="11"/>
      <c r="K506" s="12"/>
      <c r="L506" s="12"/>
      <c r="M506" s="12"/>
      <c r="N506" s="12"/>
      <c r="O506" s="12"/>
    </row>
    <row r="507" spans="2:15" x14ac:dyDescent="0.3">
      <c r="B507" s="10"/>
      <c r="I507" s="11"/>
      <c r="K507" s="12"/>
      <c r="L507" s="12"/>
      <c r="M507" s="12"/>
      <c r="N507" s="12"/>
      <c r="O507" s="12"/>
    </row>
    <row r="508" spans="2:15" x14ac:dyDescent="0.3">
      <c r="B508" s="10"/>
      <c r="I508" s="11"/>
      <c r="K508" s="12"/>
      <c r="L508" s="12"/>
      <c r="M508" s="12"/>
      <c r="N508" s="12"/>
      <c r="O508" s="12"/>
    </row>
    <row r="509" spans="2:15" x14ac:dyDescent="0.3">
      <c r="B509" s="10"/>
      <c r="I509" s="11"/>
      <c r="K509" s="12"/>
      <c r="L509" s="12"/>
      <c r="M509" s="12"/>
      <c r="N509" s="12"/>
      <c r="O509" s="12"/>
    </row>
    <row r="510" spans="2:15" x14ac:dyDescent="0.3">
      <c r="B510" s="10"/>
      <c r="I510" s="11"/>
      <c r="K510" s="12"/>
      <c r="L510" s="12"/>
      <c r="M510" s="12"/>
      <c r="N510" s="12"/>
      <c r="O510" s="12"/>
    </row>
    <row r="511" spans="2:15" x14ac:dyDescent="0.3">
      <c r="B511" s="10"/>
      <c r="I511" s="11"/>
      <c r="K511" s="12"/>
      <c r="L511" s="12"/>
      <c r="M511" s="12"/>
      <c r="N511" s="12"/>
      <c r="O511" s="12"/>
    </row>
    <row r="512" spans="2:15" x14ac:dyDescent="0.3">
      <c r="B512" s="10"/>
      <c r="I512" s="11"/>
      <c r="K512" s="12"/>
      <c r="L512" s="12"/>
      <c r="M512" s="12"/>
      <c r="N512" s="12"/>
      <c r="O512" s="12"/>
    </row>
    <row r="513" spans="2:15" x14ac:dyDescent="0.3">
      <c r="B513" s="10"/>
      <c r="I513" s="11"/>
      <c r="K513" s="12"/>
      <c r="L513" s="12"/>
      <c r="M513" s="12"/>
      <c r="N513" s="12"/>
      <c r="O513" s="12"/>
    </row>
    <row r="514" spans="2:15" x14ac:dyDescent="0.3">
      <c r="B514" s="10"/>
      <c r="I514" s="11"/>
      <c r="K514" s="12"/>
      <c r="L514" s="12"/>
      <c r="M514" s="12"/>
      <c r="N514" s="12"/>
      <c r="O514" s="12"/>
    </row>
    <row r="515" spans="2:15" x14ac:dyDescent="0.3">
      <c r="B515" s="10"/>
      <c r="I515" s="11"/>
      <c r="K515" s="12"/>
      <c r="L515" s="12"/>
      <c r="M515" s="12"/>
      <c r="N515" s="12"/>
      <c r="O515" s="12"/>
    </row>
    <row r="516" spans="2:15" x14ac:dyDescent="0.3">
      <c r="B516" s="10"/>
      <c r="I516" s="11"/>
      <c r="K516" s="12"/>
      <c r="L516" s="12"/>
      <c r="M516" s="12"/>
      <c r="N516" s="12"/>
      <c r="O516" s="12"/>
    </row>
    <row r="517" spans="2:15" x14ac:dyDescent="0.3">
      <c r="B517" s="10"/>
      <c r="I517" s="11"/>
      <c r="K517" s="12"/>
      <c r="L517" s="12"/>
      <c r="M517" s="12"/>
      <c r="N517" s="12"/>
      <c r="O517" s="12"/>
    </row>
    <row r="518" spans="2:15" x14ac:dyDescent="0.3">
      <c r="B518" s="10"/>
      <c r="I518" s="11"/>
      <c r="K518" s="12"/>
      <c r="L518" s="12"/>
      <c r="M518" s="12"/>
      <c r="N518" s="12"/>
      <c r="O518" s="12"/>
    </row>
    <row r="519" spans="2:15" x14ac:dyDescent="0.3">
      <c r="B519" s="10"/>
      <c r="I519" s="11"/>
      <c r="K519" s="12"/>
      <c r="L519" s="12"/>
      <c r="M519" s="12"/>
      <c r="N519" s="12"/>
      <c r="O519" s="12"/>
    </row>
    <row r="520" spans="2:15" x14ac:dyDescent="0.3">
      <c r="B520" s="10"/>
      <c r="I520" s="11"/>
      <c r="K520" s="12"/>
      <c r="L520" s="12"/>
      <c r="M520" s="12"/>
      <c r="N520" s="12"/>
      <c r="O520" s="12"/>
    </row>
    <row r="521" spans="2:15" x14ac:dyDescent="0.3">
      <c r="B521" s="10"/>
      <c r="I521" s="11"/>
      <c r="K521" s="12"/>
      <c r="L521" s="12"/>
      <c r="M521" s="12"/>
      <c r="N521" s="12"/>
      <c r="O521" s="12"/>
    </row>
    <row r="522" spans="2:15" x14ac:dyDescent="0.3">
      <c r="B522" s="10"/>
      <c r="I522" s="11"/>
      <c r="K522" s="12"/>
      <c r="L522" s="12"/>
      <c r="M522" s="12"/>
      <c r="N522" s="12"/>
      <c r="O522" s="12"/>
    </row>
    <row r="523" spans="2:15" x14ac:dyDescent="0.3">
      <c r="B523" s="10"/>
      <c r="I523" s="11"/>
      <c r="K523" s="12"/>
      <c r="L523" s="12"/>
      <c r="M523" s="12"/>
      <c r="N523" s="12"/>
      <c r="O523" s="12"/>
    </row>
    <row r="524" spans="2:15" x14ac:dyDescent="0.3">
      <c r="B524" s="10"/>
      <c r="I524" s="11"/>
      <c r="K524" s="12"/>
      <c r="L524" s="12"/>
      <c r="M524" s="12"/>
      <c r="N524" s="12"/>
      <c r="O524" s="12"/>
    </row>
    <row r="525" spans="2:15" x14ac:dyDescent="0.3">
      <c r="B525" s="10"/>
      <c r="I525" s="11"/>
      <c r="K525" s="12"/>
      <c r="L525" s="12"/>
      <c r="M525" s="12"/>
      <c r="N525" s="12"/>
      <c r="O525" s="12"/>
    </row>
    <row r="526" spans="2:15" x14ac:dyDescent="0.3">
      <c r="B526" s="10"/>
      <c r="I526" s="11"/>
      <c r="K526" s="12"/>
      <c r="L526" s="12"/>
      <c r="M526" s="12"/>
      <c r="N526" s="12"/>
      <c r="O526" s="12"/>
    </row>
    <row r="527" spans="2:15" x14ac:dyDescent="0.3">
      <c r="B527" s="10"/>
      <c r="I527" s="11"/>
      <c r="K527" s="12"/>
      <c r="L527" s="12"/>
      <c r="M527" s="12"/>
      <c r="N527" s="12"/>
      <c r="O527" s="12"/>
    </row>
    <row r="528" spans="2:15" x14ac:dyDescent="0.3">
      <c r="B528" s="10"/>
      <c r="I528" s="11"/>
      <c r="K528" s="12"/>
      <c r="L528" s="12"/>
      <c r="M528" s="12"/>
      <c r="N528" s="12"/>
      <c r="O528" s="12"/>
    </row>
    <row r="529" spans="2:15" x14ac:dyDescent="0.3">
      <c r="B529" s="10"/>
      <c r="I529" s="11"/>
      <c r="K529" s="12"/>
      <c r="L529" s="12"/>
      <c r="M529" s="12"/>
      <c r="N529" s="12"/>
      <c r="O529" s="12"/>
    </row>
    <row r="530" spans="2:15" x14ac:dyDescent="0.3">
      <c r="B530" s="10"/>
      <c r="I530" s="11"/>
      <c r="K530" s="12"/>
      <c r="L530" s="12"/>
      <c r="M530" s="12"/>
      <c r="N530" s="12"/>
      <c r="O530" s="12"/>
    </row>
    <row r="531" spans="2:15" x14ac:dyDescent="0.3">
      <c r="B531" s="10"/>
      <c r="I531" s="11"/>
      <c r="K531" s="12"/>
      <c r="L531" s="12"/>
      <c r="M531" s="12"/>
      <c r="N531" s="12"/>
      <c r="O531" s="12"/>
    </row>
    <row r="532" spans="2:15" x14ac:dyDescent="0.3">
      <c r="B532" s="10"/>
      <c r="I532" s="11"/>
      <c r="K532" s="12"/>
      <c r="L532" s="12"/>
      <c r="M532" s="12"/>
      <c r="N532" s="12"/>
      <c r="O532" s="12"/>
    </row>
    <row r="533" spans="2:15" x14ac:dyDescent="0.3">
      <c r="B533" s="10"/>
      <c r="I533" s="11"/>
      <c r="K533" s="12"/>
      <c r="L533" s="12"/>
      <c r="M533" s="12"/>
      <c r="N533" s="12"/>
      <c r="O533" s="12"/>
    </row>
    <row r="534" spans="2:15" x14ac:dyDescent="0.3">
      <c r="B534" s="10"/>
      <c r="I534" s="11"/>
      <c r="K534" s="12"/>
      <c r="L534" s="12"/>
      <c r="M534" s="12"/>
      <c r="N534" s="12"/>
      <c r="O534" s="12"/>
    </row>
    <row r="535" spans="2:15" x14ac:dyDescent="0.3">
      <c r="B535" s="10"/>
      <c r="I535" s="11"/>
      <c r="K535" s="12"/>
      <c r="L535" s="12"/>
      <c r="M535" s="12"/>
      <c r="N535" s="12"/>
      <c r="O535" s="12"/>
    </row>
    <row r="536" spans="2:15" x14ac:dyDescent="0.3">
      <c r="B536" s="10"/>
      <c r="I536" s="11"/>
      <c r="K536" s="12"/>
      <c r="L536" s="12"/>
      <c r="M536" s="12"/>
      <c r="N536" s="12"/>
      <c r="O536" s="12"/>
    </row>
    <row r="537" spans="2:15" x14ac:dyDescent="0.3">
      <c r="B537" s="10"/>
      <c r="I537" s="11"/>
      <c r="K537" s="12"/>
      <c r="L537" s="12"/>
      <c r="M537" s="12"/>
      <c r="N537" s="12"/>
      <c r="O537" s="12"/>
    </row>
    <row r="538" spans="2:15" x14ac:dyDescent="0.3">
      <c r="B538" s="10"/>
      <c r="I538" s="11"/>
      <c r="K538" s="12"/>
      <c r="L538" s="12"/>
      <c r="M538" s="12"/>
      <c r="N538" s="12"/>
      <c r="O538" s="12"/>
    </row>
    <row r="539" spans="2:15" x14ac:dyDescent="0.3">
      <c r="B539" s="10"/>
      <c r="I539" s="11"/>
      <c r="K539" s="12"/>
      <c r="L539" s="12"/>
      <c r="M539" s="12"/>
      <c r="N539" s="12"/>
      <c r="O539" s="12"/>
    </row>
    <row r="540" spans="2:15" x14ac:dyDescent="0.3">
      <c r="B540" s="10"/>
      <c r="I540" s="11"/>
      <c r="K540" s="12"/>
      <c r="L540" s="12"/>
      <c r="M540" s="12"/>
      <c r="N540" s="12"/>
      <c r="O540" s="12"/>
    </row>
    <row r="541" spans="2:15" x14ac:dyDescent="0.3">
      <c r="B541" s="10"/>
      <c r="I541" s="11"/>
      <c r="K541" s="12"/>
      <c r="L541" s="12"/>
      <c r="M541" s="12"/>
      <c r="N541" s="12"/>
      <c r="O541" s="12"/>
    </row>
    <row r="542" spans="2:15" x14ac:dyDescent="0.3">
      <c r="B542" s="10"/>
      <c r="I542" s="11"/>
      <c r="K542" s="12"/>
      <c r="L542" s="12"/>
      <c r="M542" s="12"/>
      <c r="N542" s="12"/>
      <c r="O542" s="12"/>
    </row>
    <row r="543" spans="2:15" x14ac:dyDescent="0.3">
      <c r="B543" s="10"/>
      <c r="I543" s="11"/>
      <c r="K543" s="12"/>
      <c r="L543" s="12"/>
      <c r="M543" s="12"/>
      <c r="N543" s="12"/>
      <c r="O543" s="12"/>
    </row>
    <row r="544" spans="2:15" x14ac:dyDescent="0.3">
      <c r="B544" s="10"/>
      <c r="I544" s="11"/>
      <c r="K544" s="12"/>
      <c r="L544" s="12"/>
      <c r="M544" s="12"/>
      <c r="N544" s="12"/>
      <c r="O544" s="12"/>
    </row>
    <row r="545" spans="2:15" x14ac:dyDescent="0.3">
      <c r="B545" s="10"/>
      <c r="I545" s="11"/>
      <c r="K545" s="12"/>
      <c r="L545" s="12"/>
      <c r="M545" s="12"/>
      <c r="N545" s="12"/>
      <c r="O545" s="12"/>
    </row>
    <row r="546" spans="2:15" x14ac:dyDescent="0.3">
      <c r="B546" s="10"/>
      <c r="I546" s="11"/>
      <c r="K546" s="12"/>
      <c r="L546" s="12"/>
      <c r="M546" s="12"/>
      <c r="N546" s="12"/>
      <c r="O546" s="12"/>
    </row>
    <row r="547" spans="2:15" x14ac:dyDescent="0.3">
      <c r="B547" s="10"/>
      <c r="I547" s="11"/>
      <c r="K547" s="12"/>
      <c r="L547" s="12"/>
      <c r="M547" s="12"/>
      <c r="N547" s="12"/>
      <c r="O547" s="12"/>
    </row>
    <row r="548" spans="2:15" x14ac:dyDescent="0.3">
      <c r="B548" s="10"/>
      <c r="I548" s="11"/>
      <c r="K548" s="12"/>
      <c r="L548" s="12"/>
      <c r="M548" s="12"/>
      <c r="N548" s="12"/>
      <c r="O548" s="12"/>
    </row>
    <row r="549" spans="2:15" x14ac:dyDescent="0.3">
      <c r="B549" s="10"/>
      <c r="I549" s="11"/>
      <c r="K549" s="12"/>
      <c r="L549" s="12"/>
      <c r="M549" s="12"/>
      <c r="N549" s="12"/>
      <c r="O549" s="12"/>
    </row>
    <row r="550" spans="2:15" x14ac:dyDescent="0.3">
      <c r="B550" s="10"/>
      <c r="I550" s="11"/>
      <c r="K550" s="12"/>
      <c r="L550" s="12"/>
      <c r="M550" s="12"/>
      <c r="N550" s="12"/>
      <c r="O550" s="12"/>
    </row>
    <row r="551" spans="2:15" x14ac:dyDescent="0.3">
      <c r="B551" s="10"/>
      <c r="I551" s="11"/>
      <c r="K551" s="12"/>
      <c r="L551" s="12"/>
      <c r="M551" s="12"/>
      <c r="N551" s="12"/>
      <c r="O551" s="12"/>
    </row>
    <row r="552" spans="2:15" x14ac:dyDescent="0.3">
      <c r="B552" s="10"/>
      <c r="I552" s="11"/>
      <c r="K552" s="12"/>
      <c r="L552" s="12"/>
      <c r="M552" s="12"/>
      <c r="N552" s="12"/>
      <c r="O552" s="12"/>
    </row>
    <row r="553" spans="2:15" x14ac:dyDescent="0.3">
      <c r="B553" s="10"/>
      <c r="I553" s="11"/>
      <c r="K553" s="12"/>
      <c r="L553" s="12"/>
      <c r="M553" s="12"/>
      <c r="N553" s="12"/>
      <c r="O553" s="12"/>
    </row>
    <row r="554" spans="2:15" x14ac:dyDescent="0.3">
      <c r="B554" s="10"/>
      <c r="I554" s="11"/>
      <c r="K554" s="12"/>
      <c r="L554" s="12"/>
      <c r="M554" s="12"/>
      <c r="N554" s="12"/>
      <c r="O554" s="12"/>
    </row>
    <row r="555" spans="2:15" x14ac:dyDescent="0.3">
      <c r="B555" s="10"/>
      <c r="I555" s="11"/>
      <c r="K555" s="12"/>
      <c r="L555" s="12"/>
      <c r="M555" s="12"/>
      <c r="N555" s="12"/>
      <c r="O555" s="12"/>
    </row>
    <row r="556" spans="2:15" x14ac:dyDescent="0.3">
      <c r="B556" s="10"/>
      <c r="I556" s="11"/>
      <c r="K556" s="12"/>
      <c r="L556" s="12"/>
      <c r="M556" s="12"/>
      <c r="N556" s="12"/>
      <c r="O556" s="12"/>
    </row>
    <row r="557" spans="2:15" x14ac:dyDescent="0.3">
      <c r="B557" s="10"/>
      <c r="I557" s="11"/>
      <c r="K557" s="12"/>
      <c r="L557" s="12"/>
      <c r="M557" s="12"/>
      <c r="N557" s="12"/>
      <c r="O557" s="12"/>
    </row>
    <row r="558" spans="2:15" x14ac:dyDescent="0.3">
      <c r="B558" s="10"/>
      <c r="I558" s="11"/>
      <c r="K558" s="12"/>
      <c r="L558" s="12"/>
      <c r="M558" s="12"/>
      <c r="N558" s="12"/>
      <c r="O558" s="12"/>
    </row>
    <row r="559" spans="2:15" x14ac:dyDescent="0.3">
      <c r="B559" s="10"/>
      <c r="I559" s="11"/>
      <c r="K559" s="12"/>
      <c r="L559" s="12"/>
      <c r="M559" s="12"/>
      <c r="N559" s="12"/>
      <c r="O559" s="12"/>
    </row>
    <row r="560" spans="2:15" x14ac:dyDescent="0.3">
      <c r="B560" s="10"/>
      <c r="I560" s="11"/>
      <c r="K560" s="12"/>
      <c r="L560" s="12"/>
      <c r="M560" s="12"/>
      <c r="N560" s="12"/>
      <c r="O560" s="12"/>
    </row>
    <row r="561" spans="2:15" x14ac:dyDescent="0.3">
      <c r="B561" s="10"/>
      <c r="I561" s="11"/>
      <c r="K561" s="12"/>
      <c r="L561" s="12"/>
      <c r="M561" s="12"/>
      <c r="N561" s="12"/>
      <c r="O561" s="12"/>
    </row>
    <row r="562" spans="2:15" x14ac:dyDescent="0.3">
      <c r="B562" s="10"/>
      <c r="I562" s="11"/>
      <c r="K562" s="12"/>
      <c r="L562" s="12"/>
      <c r="M562" s="12"/>
      <c r="N562" s="12"/>
      <c r="O562" s="12"/>
    </row>
    <row r="563" spans="2:15" x14ac:dyDescent="0.3">
      <c r="B563" s="10"/>
      <c r="I563" s="11"/>
      <c r="K563" s="12"/>
      <c r="L563" s="12"/>
      <c r="M563" s="12"/>
      <c r="N563" s="12"/>
      <c r="O563" s="12"/>
    </row>
    <row r="564" spans="2:15" x14ac:dyDescent="0.3">
      <c r="B564" s="10"/>
      <c r="I564" s="11"/>
      <c r="K564" s="12"/>
      <c r="L564" s="12"/>
      <c r="M564" s="12"/>
      <c r="N564" s="12"/>
      <c r="O564" s="12"/>
    </row>
    <row r="565" spans="2:15" x14ac:dyDescent="0.3">
      <c r="B565" s="10"/>
      <c r="I565" s="11"/>
      <c r="K565" s="12"/>
      <c r="L565" s="12"/>
      <c r="M565" s="12"/>
      <c r="N565" s="12"/>
      <c r="O565" s="12"/>
    </row>
    <row r="566" spans="2:15" x14ac:dyDescent="0.3">
      <c r="B566" s="10"/>
      <c r="I566" s="11"/>
      <c r="K566" s="12"/>
      <c r="L566" s="12"/>
      <c r="M566" s="12"/>
      <c r="N566" s="12"/>
      <c r="O566" s="12"/>
    </row>
    <row r="567" spans="2:15" x14ac:dyDescent="0.3">
      <c r="B567" s="10"/>
      <c r="I567" s="11"/>
      <c r="K567" s="12"/>
      <c r="L567" s="12"/>
      <c r="M567" s="12"/>
      <c r="N567" s="12"/>
      <c r="O567" s="12"/>
    </row>
    <row r="568" spans="2:15" x14ac:dyDescent="0.3">
      <c r="B568" s="10"/>
      <c r="I568" s="11"/>
      <c r="K568" s="12"/>
      <c r="L568" s="12"/>
      <c r="M568" s="12"/>
      <c r="N568" s="12"/>
      <c r="O568" s="12"/>
    </row>
    <row r="569" spans="2:15" x14ac:dyDescent="0.3">
      <c r="B569" s="10"/>
      <c r="I569" s="11"/>
      <c r="K569" s="12"/>
      <c r="L569" s="12"/>
      <c r="M569" s="12"/>
      <c r="N569" s="12"/>
      <c r="O569" s="12"/>
    </row>
    <row r="570" spans="2:15" x14ac:dyDescent="0.3">
      <c r="B570" s="10"/>
      <c r="I570" s="11"/>
      <c r="K570" s="12"/>
      <c r="L570" s="12"/>
      <c r="M570" s="12"/>
      <c r="N570" s="12"/>
      <c r="O570" s="12"/>
    </row>
    <row r="571" spans="2:15" x14ac:dyDescent="0.3">
      <c r="B571" s="10"/>
      <c r="I571" s="11"/>
      <c r="K571" s="12"/>
      <c r="L571" s="12"/>
      <c r="M571" s="12"/>
      <c r="N571" s="12"/>
      <c r="O571" s="12"/>
    </row>
    <row r="572" spans="2:15" x14ac:dyDescent="0.3">
      <c r="B572" s="10"/>
      <c r="I572" s="11"/>
      <c r="K572" s="12"/>
      <c r="L572" s="12"/>
      <c r="M572" s="12"/>
      <c r="N572" s="12"/>
      <c r="O572" s="12"/>
    </row>
    <row r="573" spans="2:15" x14ac:dyDescent="0.3">
      <c r="B573" s="10"/>
      <c r="I573" s="11"/>
      <c r="K573" s="12"/>
      <c r="L573" s="12"/>
      <c r="M573" s="12"/>
      <c r="N573" s="12"/>
      <c r="O573" s="12"/>
    </row>
    <row r="574" spans="2:15" x14ac:dyDescent="0.3">
      <c r="B574" s="10"/>
      <c r="I574" s="11"/>
      <c r="K574" s="12"/>
      <c r="L574" s="12"/>
      <c r="M574" s="12"/>
      <c r="N574" s="12"/>
      <c r="O574" s="12"/>
    </row>
    <row r="575" spans="2:15" x14ac:dyDescent="0.3">
      <c r="B575" s="10"/>
      <c r="I575" s="11"/>
      <c r="K575" s="12"/>
      <c r="L575" s="12"/>
      <c r="M575" s="12"/>
      <c r="N575" s="12"/>
      <c r="O575" s="12"/>
    </row>
    <row r="576" spans="2:15" x14ac:dyDescent="0.3">
      <c r="B576" s="10"/>
      <c r="I576" s="11"/>
      <c r="K576" s="12"/>
      <c r="L576" s="12"/>
      <c r="M576" s="12"/>
      <c r="N576" s="12"/>
      <c r="O576" s="12"/>
    </row>
    <row r="577" spans="2:15" x14ac:dyDescent="0.3">
      <c r="B577" s="10"/>
      <c r="I577" s="11"/>
      <c r="K577" s="12"/>
      <c r="L577" s="12"/>
      <c r="M577" s="12"/>
      <c r="N577" s="12"/>
      <c r="O577" s="12"/>
    </row>
    <row r="578" spans="2:15" x14ac:dyDescent="0.3">
      <c r="B578" s="10"/>
      <c r="I578" s="11"/>
      <c r="K578" s="12"/>
      <c r="L578" s="12"/>
      <c r="M578" s="12"/>
      <c r="N578" s="12"/>
      <c r="O578" s="12"/>
    </row>
    <row r="579" spans="2:15" x14ac:dyDescent="0.3">
      <c r="B579" s="10"/>
      <c r="I579" s="11"/>
      <c r="K579" s="12"/>
      <c r="L579" s="12"/>
      <c r="M579" s="12"/>
      <c r="N579" s="12"/>
      <c r="O579" s="12"/>
    </row>
    <row r="580" spans="2:15" x14ac:dyDescent="0.3">
      <c r="B580" s="10"/>
      <c r="I580" s="11"/>
      <c r="K580" s="12"/>
      <c r="L580" s="12"/>
      <c r="M580" s="12"/>
      <c r="N580" s="12"/>
      <c r="O580" s="12"/>
    </row>
    <row r="581" spans="2:15" x14ac:dyDescent="0.3">
      <c r="B581" s="10"/>
      <c r="I581" s="11"/>
      <c r="K581" s="12"/>
      <c r="L581" s="12"/>
      <c r="M581" s="12"/>
      <c r="N581" s="12"/>
      <c r="O581" s="12"/>
    </row>
    <row r="582" spans="2:15" x14ac:dyDescent="0.3">
      <c r="B582" s="10"/>
      <c r="I582" s="11"/>
      <c r="K582" s="12"/>
      <c r="L582" s="12"/>
      <c r="M582" s="12"/>
      <c r="N582" s="12"/>
      <c r="O582" s="12"/>
    </row>
    <row r="583" spans="2:15" x14ac:dyDescent="0.3">
      <c r="B583" s="10"/>
      <c r="I583" s="11"/>
      <c r="K583" s="12"/>
      <c r="L583" s="12"/>
      <c r="M583" s="12"/>
      <c r="N583" s="12"/>
      <c r="O583" s="12"/>
    </row>
    <row r="584" spans="2:15" x14ac:dyDescent="0.3">
      <c r="B584" s="10"/>
      <c r="I584" s="11"/>
      <c r="K584" s="12"/>
      <c r="L584" s="12"/>
      <c r="M584" s="12"/>
      <c r="N584" s="12"/>
      <c r="O584" s="12"/>
    </row>
    <row r="585" spans="2:15" x14ac:dyDescent="0.3">
      <c r="B585" s="10"/>
      <c r="I585" s="11"/>
      <c r="K585" s="12"/>
      <c r="L585" s="12"/>
      <c r="M585" s="12"/>
      <c r="N585" s="12"/>
      <c r="O585" s="12"/>
    </row>
    <row r="586" spans="2:15" x14ac:dyDescent="0.3">
      <c r="B586" s="10"/>
      <c r="I586" s="11"/>
      <c r="K586" s="12"/>
      <c r="L586" s="12"/>
      <c r="M586" s="12"/>
      <c r="N586" s="12"/>
      <c r="O586" s="12"/>
    </row>
    <row r="587" spans="2:15" x14ac:dyDescent="0.3">
      <c r="B587" s="10"/>
      <c r="I587" s="11"/>
      <c r="K587" s="12"/>
      <c r="L587" s="12"/>
      <c r="M587" s="12"/>
      <c r="N587" s="12"/>
      <c r="O587" s="12"/>
    </row>
    <row r="588" spans="2:15" x14ac:dyDescent="0.3">
      <c r="B588" s="10"/>
      <c r="I588" s="11"/>
      <c r="K588" s="12"/>
      <c r="L588" s="12"/>
      <c r="M588" s="12"/>
      <c r="N588" s="12"/>
      <c r="O588" s="12"/>
    </row>
    <row r="589" spans="2:15" x14ac:dyDescent="0.3">
      <c r="B589" s="10"/>
      <c r="I589" s="11"/>
      <c r="K589" s="12"/>
      <c r="L589" s="12"/>
      <c r="M589" s="12"/>
      <c r="N589" s="12"/>
      <c r="O589" s="12"/>
    </row>
    <row r="590" spans="2:15" x14ac:dyDescent="0.3">
      <c r="B590" s="10"/>
      <c r="I590" s="11"/>
      <c r="K590" s="12"/>
      <c r="L590" s="12"/>
      <c r="M590" s="12"/>
      <c r="N590" s="12"/>
      <c r="O590" s="12"/>
    </row>
    <row r="591" spans="2:15" x14ac:dyDescent="0.3">
      <c r="B591" s="10"/>
      <c r="I591" s="11"/>
      <c r="K591" s="12"/>
      <c r="L591" s="12"/>
      <c r="M591" s="12"/>
      <c r="N591" s="12"/>
      <c r="O591" s="12"/>
    </row>
    <row r="592" spans="2:15" x14ac:dyDescent="0.3">
      <c r="B592" s="10"/>
      <c r="I592" s="11"/>
      <c r="K592" s="12"/>
      <c r="L592" s="12"/>
      <c r="M592" s="12"/>
      <c r="N592" s="12"/>
      <c r="O592" s="12"/>
    </row>
    <row r="593" spans="2:15" x14ac:dyDescent="0.3">
      <c r="B593" s="10"/>
      <c r="I593" s="11"/>
      <c r="K593" s="12"/>
      <c r="L593" s="12"/>
      <c r="M593" s="12"/>
      <c r="N593" s="12"/>
      <c r="O593" s="12"/>
    </row>
    <row r="594" spans="2:15" x14ac:dyDescent="0.3">
      <c r="B594" s="10"/>
      <c r="I594" s="11"/>
      <c r="K594" s="12"/>
      <c r="L594" s="12"/>
      <c r="M594" s="12"/>
      <c r="N594" s="12"/>
      <c r="O594" s="12"/>
    </row>
    <row r="595" spans="2:15" x14ac:dyDescent="0.3">
      <c r="B595" s="10"/>
      <c r="I595" s="11"/>
      <c r="K595" s="12"/>
      <c r="L595" s="12"/>
      <c r="M595" s="12"/>
      <c r="N595" s="12"/>
      <c r="O595" s="12"/>
    </row>
    <row r="596" spans="2:15" x14ac:dyDescent="0.3">
      <c r="B596" s="10"/>
      <c r="I596" s="11"/>
      <c r="K596" s="12"/>
      <c r="L596" s="12"/>
      <c r="M596" s="12"/>
      <c r="N596" s="12"/>
      <c r="O596" s="12"/>
    </row>
    <row r="597" spans="2:15" x14ac:dyDescent="0.3">
      <c r="B597" s="10"/>
      <c r="I597" s="11"/>
      <c r="K597" s="12"/>
      <c r="L597" s="12"/>
      <c r="M597" s="12"/>
      <c r="N597" s="12"/>
      <c r="O597" s="12"/>
    </row>
    <row r="598" spans="2:15" x14ac:dyDescent="0.3">
      <c r="B598" s="10"/>
      <c r="I598" s="11"/>
      <c r="K598" s="12"/>
      <c r="L598" s="12"/>
      <c r="M598" s="12"/>
      <c r="N598" s="12"/>
      <c r="O598" s="12"/>
    </row>
    <row r="599" spans="2:15" x14ac:dyDescent="0.3">
      <c r="B599" s="10"/>
      <c r="I599" s="11"/>
      <c r="K599" s="12"/>
      <c r="L599" s="12"/>
      <c r="M599" s="12"/>
      <c r="N599" s="12"/>
      <c r="O599" s="12"/>
    </row>
    <row r="600" spans="2:15" x14ac:dyDescent="0.3">
      <c r="B600" s="10"/>
      <c r="I600" s="11"/>
      <c r="K600" s="12"/>
      <c r="L600" s="12"/>
      <c r="M600" s="12"/>
      <c r="N600" s="12"/>
      <c r="O600" s="12"/>
    </row>
    <row r="601" spans="2:15" x14ac:dyDescent="0.3">
      <c r="B601" s="10"/>
      <c r="I601" s="11"/>
      <c r="K601" s="12"/>
      <c r="L601" s="12"/>
      <c r="M601" s="12"/>
      <c r="N601" s="12"/>
      <c r="O601" s="12"/>
    </row>
    <row r="602" spans="2:15" x14ac:dyDescent="0.3">
      <c r="B602" s="10"/>
      <c r="I602" s="11"/>
      <c r="K602" s="12"/>
      <c r="L602" s="12"/>
      <c r="M602" s="12"/>
      <c r="N602" s="12"/>
      <c r="O602" s="12"/>
    </row>
    <row r="603" spans="2:15" x14ac:dyDescent="0.3">
      <c r="B603" s="10"/>
      <c r="I603" s="11"/>
      <c r="K603" s="12"/>
      <c r="L603" s="12"/>
      <c r="M603" s="12"/>
      <c r="N603" s="12"/>
      <c r="O603" s="12"/>
    </row>
    <row r="604" spans="2:15" x14ac:dyDescent="0.3">
      <c r="B604" s="10"/>
      <c r="I604" s="11"/>
      <c r="K604" s="12"/>
      <c r="L604" s="12"/>
      <c r="M604" s="12"/>
      <c r="N604" s="12"/>
      <c r="O604" s="12"/>
    </row>
    <row r="605" spans="2:15" x14ac:dyDescent="0.3">
      <c r="B605" s="10"/>
      <c r="I605" s="11"/>
      <c r="K605" s="12"/>
      <c r="L605" s="12"/>
      <c r="M605" s="12"/>
      <c r="N605" s="12"/>
      <c r="O605" s="12"/>
    </row>
    <row r="606" spans="2:15" x14ac:dyDescent="0.3">
      <c r="B606" s="10"/>
      <c r="I606" s="11"/>
      <c r="K606" s="12"/>
      <c r="L606" s="12"/>
      <c r="M606" s="12"/>
      <c r="N606" s="12"/>
      <c r="O606" s="12"/>
    </row>
    <row r="607" spans="2:15" x14ac:dyDescent="0.3">
      <c r="B607" s="10"/>
      <c r="I607" s="11"/>
      <c r="K607" s="12"/>
      <c r="L607" s="12"/>
      <c r="M607" s="12"/>
      <c r="N607" s="12"/>
      <c r="O607" s="12"/>
    </row>
    <row r="608" spans="2:15" x14ac:dyDescent="0.3">
      <c r="B608" s="10"/>
      <c r="I608" s="11"/>
      <c r="K608" s="12"/>
      <c r="L608" s="12"/>
      <c r="M608" s="12"/>
      <c r="N608" s="12"/>
      <c r="O608" s="12"/>
    </row>
    <row r="609" spans="2:15" x14ac:dyDescent="0.3">
      <c r="B609" s="10"/>
      <c r="I609" s="11"/>
      <c r="K609" s="12"/>
      <c r="L609" s="12"/>
      <c r="M609" s="12"/>
      <c r="N609" s="12"/>
      <c r="O609" s="12"/>
    </row>
    <row r="610" spans="2:15" x14ac:dyDescent="0.3">
      <c r="B610" s="10"/>
      <c r="I610" s="11"/>
      <c r="K610" s="12"/>
      <c r="L610" s="12"/>
      <c r="M610" s="12"/>
      <c r="N610" s="12"/>
      <c r="O610" s="12"/>
    </row>
    <row r="611" spans="2:15" x14ac:dyDescent="0.3">
      <c r="B611" s="10"/>
      <c r="I611" s="11"/>
      <c r="K611" s="12"/>
      <c r="L611" s="12"/>
      <c r="M611" s="12"/>
      <c r="N611" s="12"/>
      <c r="O611" s="12"/>
    </row>
    <row r="612" spans="2:15" x14ac:dyDescent="0.3">
      <c r="B612" s="10"/>
      <c r="I612" s="11"/>
      <c r="K612" s="12"/>
      <c r="L612" s="12"/>
      <c r="M612" s="12"/>
      <c r="N612" s="12"/>
      <c r="O612" s="12"/>
    </row>
    <row r="613" spans="2:15" x14ac:dyDescent="0.3">
      <c r="B613" s="10"/>
      <c r="I613" s="11"/>
      <c r="K613" s="12"/>
      <c r="L613" s="12"/>
      <c r="M613" s="12"/>
      <c r="N613" s="12"/>
      <c r="O613" s="12"/>
    </row>
    <row r="614" spans="2:15" x14ac:dyDescent="0.3">
      <c r="B614" s="10"/>
      <c r="I614" s="11"/>
      <c r="K614" s="12"/>
      <c r="L614" s="12"/>
      <c r="M614" s="12"/>
      <c r="N614" s="12"/>
      <c r="O614" s="12"/>
    </row>
    <row r="615" spans="2:15" x14ac:dyDescent="0.3">
      <c r="B615" s="10"/>
      <c r="I615" s="11"/>
      <c r="K615" s="12"/>
      <c r="L615" s="12"/>
      <c r="M615" s="12"/>
      <c r="N615" s="12"/>
      <c r="O615" s="12"/>
    </row>
    <row r="616" spans="2:15" x14ac:dyDescent="0.3">
      <c r="B616" s="10"/>
      <c r="I616" s="11"/>
      <c r="K616" s="12"/>
      <c r="L616" s="12"/>
      <c r="M616" s="12"/>
      <c r="N616" s="12"/>
      <c r="O616" s="12"/>
    </row>
    <row r="617" spans="2:15" x14ac:dyDescent="0.3">
      <c r="B617" s="10"/>
      <c r="I617" s="11"/>
      <c r="K617" s="12"/>
      <c r="L617" s="12"/>
      <c r="M617" s="12"/>
      <c r="N617" s="12"/>
      <c r="O617" s="12"/>
    </row>
    <row r="618" spans="2:15" x14ac:dyDescent="0.3">
      <c r="B618" s="10"/>
      <c r="I618" s="11"/>
      <c r="K618" s="12"/>
      <c r="L618" s="12"/>
      <c r="M618" s="12"/>
      <c r="N618" s="12"/>
      <c r="O618" s="12"/>
    </row>
    <row r="619" spans="2:15" x14ac:dyDescent="0.3">
      <c r="B619" s="10"/>
      <c r="I619" s="11"/>
      <c r="K619" s="12"/>
      <c r="L619" s="12"/>
      <c r="M619" s="12"/>
      <c r="N619" s="12"/>
      <c r="O619" s="12"/>
    </row>
    <row r="620" spans="2:15" x14ac:dyDescent="0.3">
      <c r="B620" s="10"/>
      <c r="I620" s="11"/>
      <c r="K620" s="12"/>
      <c r="L620" s="12"/>
      <c r="M620" s="12"/>
      <c r="N620" s="12"/>
      <c r="O620" s="12"/>
    </row>
    <row r="621" spans="2:15" x14ac:dyDescent="0.3">
      <c r="B621" s="10"/>
      <c r="I621" s="11"/>
      <c r="K621" s="12"/>
      <c r="L621" s="12"/>
      <c r="M621" s="12"/>
      <c r="N621" s="12"/>
      <c r="O621" s="12"/>
    </row>
    <row r="622" spans="2:15" x14ac:dyDescent="0.3">
      <c r="B622" s="10"/>
      <c r="I622" s="11"/>
      <c r="K622" s="12"/>
      <c r="L622" s="12"/>
      <c r="M622" s="12"/>
      <c r="N622" s="12"/>
      <c r="O622" s="12"/>
    </row>
    <row r="623" spans="2:15" x14ac:dyDescent="0.3">
      <c r="B623" s="10"/>
      <c r="I623" s="11"/>
      <c r="K623" s="12"/>
      <c r="L623" s="12"/>
      <c r="M623" s="12"/>
      <c r="N623" s="12"/>
      <c r="O623" s="12"/>
    </row>
    <row r="624" spans="2:15" x14ac:dyDescent="0.3">
      <c r="B624" s="10"/>
      <c r="I624" s="11"/>
      <c r="K624" s="12"/>
      <c r="L624" s="12"/>
      <c r="M624" s="12"/>
      <c r="N624" s="12"/>
      <c r="O624" s="12"/>
    </row>
    <row r="625" spans="2:15" x14ac:dyDescent="0.3">
      <c r="B625" s="10"/>
      <c r="I625" s="11"/>
      <c r="K625" s="12"/>
      <c r="L625" s="12"/>
      <c r="M625" s="12"/>
      <c r="N625" s="12"/>
      <c r="O625" s="12"/>
    </row>
    <row r="626" spans="2:15" x14ac:dyDescent="0.3">
      <c r="B626" s="10"/>
      <c r="I626" s="11"/>
      <c r="K626" s="12"/>
      <c r="L626" s="12"/>
      <c r="M626" s="12"/>
      <c r="N626" s="12"/>
      <c r="O626" s="12"/>
    </row>
    <row r="627" spans="2:15" x14ac:dyDescent="0.3">
      <c r="B627" s="10"/>
      <c r="I627" s="11"/>
      <c r="K627" s="12"/>
      <c r="L627" s="12"/>
      <c r="M627" s="12"/>
      <c r="N627" s="12"/>
      <c r="O627" s="12"/>
    </row>
    <row r="628" spans="2:15" x14ac:dyDescent="0.3">
      <c r="B628" s="10"/>
      <c r="I628" s="11"/>
      <c r="K628" s="12"/>
      <c r="L628" s="12"/>
      <c r="M628" s="12"/>
      <c r="N628" s="12"/>
      <c r="O628" s="12"/>
    </row>
    <row r="629" spans="2:15" x14ac:dyDescent="0.3">
      <c r="B629" s="10"/>
      <c r="I629" s="11"/>
      <c r="K629" s="12"/>
      <c r="L629" s="12"/>
      <c r="M629" s="12"/>
      <c r="N629" s="12"/>
      <c r="O629" s="12"/>
    </row>
    <row r="630" spans="2:15" x14ac:dyDescent="0.3">
      <c r="B630" s="10"/>
      <c r="I630" s="11"/>
      <c r="K630" s="12"/>
      <c r="L630" s="12"/>
      <c r="M630" s="12"/>
      <c r="N630" s="12"/>
      <c r="O630" s="12"/>
    </row>
    <row r="631" spans="2:15" x14ac:dyDescent="0.3">
      <c r="B631" s="10"/>
      <c r="I631" s="11"/>
      <c r="K631" s="12"/>
      <c r="L631" s="12"/>
      <c r="M631" s="12"/>
      <c r="N631" s="12"/>
      <c r="O631" s="12"/>
    </row>
    <row r="632" spans="2:15" x14ac:dyDescent="0.3">
      <c r="B632" s="10"/>
      <c r="I632" s="11"/>
      <c r="K632" s="12"/>
      <c r="L632" s="12"/>
      <c r="M632" s="12"/>
      <c r="N632" s="12"/>
      <c r="O632" s="12"/>
    </row>
    <row r="633" spans="2:15" x14ac:dyDescent="0.3">
      <c r="B633" s="10"/>
      <c r="I633" s="11"/>
      <c r="K633" s="12"/>
      <c r="L633" s="12"/>
      <c r="M633" s="12"/>
      <c r="N633" s="12"/>
      <c r="O633" s="12"/>
    </row>
    <row r="634" spans="2:15" x14ac:dyDescent="0.3">
      <c r="B634" s="10"/>
      <c r="I634" s="11"/>
      <c r="K634" s="12"/>
      <c r="L634" s="12"/>
      <c r="M634" s="12"/>
      <c r="N634" s="12"/>
      <c r="O634" s="12"/>
    </row>
    <row r="635" spans="2:15" x14ac:dyDescent="0.3">
      <c r="B635" s="10"/>
      <c r="I635" s="11"/>
      <c r="K635" s="12"/>
      <c r="L635" s="12"/>
      <c r="M635" s="12"/>
      <c r="N635" s="12"/>
      <c r="O635" s="12"/>
    </row>
    <row r="636" spans="2:15" x14ac:dyDescent="0.3">
      <c r="B636" s="10"/>
      <c r="I636" s="11"/>
      <c r="K636" s="12"/>
      <c r="L636" s="12"/>
      <c r="M636" s="12"/>
      <c r="N636" s="12"/>
      <c r="O636" s="12"/>
    </row>
    <row r="637" spans="2:15" x14ac:dyDescent="0.3">
      <c r="B637" s="10"/>
      <c r="I637" s="11"/>
      <c r="K637" s="12"/>
      <c r="L637" s="12"/>
      <c r="M637" s="12"/>
      <c r="N637" s="12"/>
      <c r="O637" s="12"/>
    </row>
    <row r="638" spans="2:15" x14ac:dyDescent="0.3">
      <c r="B638" s="10"/>
      <c r="I638" s="11"/>
      <c r="K638" s="12"/>
      <c r="L638" s="12"/>
      <c r="M638" s="12"/>
      <c r="N638" s="12"/>
      <c r="O638" s="12"/>
    </row>
    <row r="639" spans="2:15" x14ac:dyDescent="0.3">
      <c r="B639" s="10"/>
      <c r="I639" s="11"/>
      <c r="K639" s="12"/>
      <c r="L639" s="12"/>
      <c r="M639" s="12"/>
      <c r="N639" s="12"/>
      <c r="O639" s="12"/>
    </row>
    <row r="640" spans="2:15" x14ac:dyDescent="0.3">
      <c r="B640" s="10"/>
      <c r="I640" s="11"/>
      <c r="K640" s="12"/>
      <c r="L640" s="12"/>
      <c r="M640" s="12"/>
      <c r="N640" s="12"/>
      <c r="O640" s="12"/>
    </row>
    <row r="641" spans="2:15" x14ac:dyDescent="0.3">
      <c r="B641" s="10"/>
      <c r="I641" s="11"/>
      <c r="K641" s="12"/>
      <c r="L641" s="12"/>
      <c r="M641" s="12"/>
      <c r="N641" s="12"/>
      <c r="O641" s="12"/>
    </row>
    <row r="642" spans="2:15" x14ac:dyDescent="0.3">
      <c r="B642" s="10"/>
      <c r="I642" s="11"/>
      <c r="K642" s="12"/>
      <c r="L642" s="12"/>
      <c r="M642" s="12"/>
      <c r="N642" s="12"/>
      <c r="O642" s="12"/>
    </row>
    <row r="643" spans="2:15" x14ac:dyDescent="0.3">
      <c r="B643" s="10"/>
      <c r="I643" s="11"/>
      <c r="K643" s="12"/>
      <c r="L643" s="12"/>
      <c r="M643" s="12"/>
      <c r="N643" s="12"/>
      <c r="O643" s="12"/>
    </row>
    <row r="644" spans="2:15" x14ac:dyDescent="0.3">
      <c r="B644" s="10"/>
      <c r="I644" s="11"/>
      <c r="K644" s="12"/>
      <c r="L644" s="12"/>
      <c r="M644" s="12"/>
      <c r="N644" s="12"/>
      <c r="O644" s="12"/>
    </row>
    <row r="645" spans="2:15" x14ac:dyDescent="0.3">
      <c r="B645" s="10"/>
      <c r="I645" s="11"/>
      <c r="K645" s="12"/>
      <c r="L645" s="12"/>
      <c r="M645" s="12"/>
      <c r="N645" s="12"/>
      <c r="O645" s="12"/>
    </row>
    <row r="646" spans="2:15" x14ac:dyDescent="0.3">
      <c r="B646" s="10"/>
      <c r="I646" s="11"/>
      <c r="K646" s="12"/>
      <c r="L646" s="12"/>
      <c r="M646" s="12"/>
      <c r="N646" s="12"/>
      <c r="O646" s="12"/>
    </row>
    <row r="647" spans="2:15" x14ac:dyDescent="0.3">
      <c r="B647" s="10"/>
      <c r="I647" s="11"/>
      <c r="K647" s="12"/>
      <c r="L647" s="12"/>
      <c r="M647" s="12"/>
      <c r="N647" s="12"/>
      <c r="O647" s="12"/>
    </row>
    <row r="648" spans="2:15" x14ac:dyDescent="0.3">
      <c r="B648" s="10"/>
      <c r="I648" s="11"/>
      <c r="K648" s="12"/>
      <c r="L648" s="12"/>
      <c r="M648" s="12"/>
      <c r="N648" s="12"/>
      <c r="O648" s="12"/>
    </row>
    <row r="649" spans="2:15" x14ac:dyDescent="0.3">
      <c r="B649" s="10"/>
      <c r="I649" s="11"/>
      <c r="K649" s="12"/>
      <c r="L649" s="12"/>
      <c r="M649" s="12"/>
      <c r="N649" s="12"/>
      <c r="O649" s="12"/>
    </row>
    <row r="650" spans="2:15" x14ac:dyDescent="0.3">
      <c r="B650" s="10"/>
      <c r="I650" s="11"/>
      <c r="K650" s="12"/>
      <c r="L650" s="12"/>
      <c r="M650" s="12"/>
      <c r="N650" s="12"/>
      <c r="O650" s="12"/>
    </row>
    <row r="651" spans="2:15" x14ac:dyDescent="0.3">
      <c r="B651" s="10"/>
      <c r="I651" s="11"/>
      <c r="K651" s="12"/>
      <c r="L651" s="12"/>
      <c r="M651" s="12"/>
      <c r="N651" s="12"/>
      <c r="O651" s="12"/>
    </row>
    <row r="652" spans="2:15" x14ac:dyDescent="0.3">
      <c r="B652" s="10"/>
      <c r="I652" s="11"/>
      <c r="K652" s="12"/>
      <c r="L652" s="12"/>
      <c r="M652" s="12"/>
      <c r="N652" s="12"/>
      <c r="O652" s="12"/>
    </row>
    <row r="653" spans="2:15" x14ac:dyDescent="0.3">
      <c r="B653" s="10"/>
      <c r="I653" s="11"/>
      <c r="K653" s="12"/>
      <c r="L653" s="12"/>
      <c r="M653" s="12"/>
      <c r="N653" s="12"/>
      <c r="O653" s="12"/>
    </row>
    <row r="654" spans="2:15" x14ac:dyDescent="0.3">
      <c r="B654" s="10"/>
      <c r="I654" s="11"/>
      <c r="K654" s="12"/>
      <c r="L654" s="12"/>
      <c r="M654" s="12"/>
      <c r="N654" s="12"/>
      <c r="O654" s="12"/>
    </row>
    <row r="655" spans="2:15" x14ac:dyDescent="0.3">
      <c r="B655" s="10"/>
      <c r="I655" s="11"/>
      <c r="K655" s="12"/>
      <c r="L655" s="12"/>
      <c r="M655" s="12"/>
      <c r="N655" s="12"/>
      <c r="O655" s="12"/>
    </row>
    <row r="656" spans="2:15" x14ac:dyDescent="0.3">
      <c r="B656" s="10"/>
      <c r="I656" s="11"/>
      <c r="K656" s="12"/>
      <c r="L656" s="12"/>
      <c r="M656" s="12"/>
      <c r="N656" s="12"/>
      <c r="O656" s="12"/>
    </row>
    <row r="657" spans="2:15" x14ac:dyDescent="0.3">
      <c r="B657" s="10"/>
      <c r="I657" s="11"/>
      <c r="K657" s="12"/>
      <c r="L657" s="12"/>
      <c r="M657" s="12"/>
      <c r="N657" s="12"/>
      <c r="O657" s="12"/>
    </row>
    <row r="658" spans="2:15" x14ac:dyDescent="0.3">
      <c r="B658" s="10"/>
      <c r="I658" s="11"/>
      <c r="K658" s="12"/>
      <c r="L658" s="12"/>
      <c r="M658" s="12"/>
      <c r="N658" s="12"/>
      <c r="O658" s="12"/>
    </row>
    <row r="659" spans="2:15" x14ac:dyDescent="0.3">
      <c r="B659" s="10"/>
      <c r="I659" s="11"/>
      <c r="K659" s="12"/>
      <c r="L659" s="12"/>
      <c r="M659" s="12"/>
      <c r="N659" s="12"/>
      <c r="O659" s="12"/>
    </row>
    <row r="660" spans="2:15" x14ac:dyDescent="0.3">
      <c r="B660" s="10"/>
      <c r="I660" s="11"/>
      <c r="K660" s="12"/>
      <c r="L660" s="12"/>
      <c r="M660" s="12"/>
      <c r="N660" s="12"/>
      <c r="O660" s="12"/>
    </row>
    <row r="661" spans="2:15" x14ac:dyDescent="0.3">
      <c r="B661" s="10"/>
      <c r="I661" s="11"/>
      <c r="K661" s="12"/>
      <c r="L661" s="12"/>
      <c r="M661" s="12"/>
      <c r="N661" s="12"/>
      <c r="O661" s="12"/>
    </row>
    <row r="662" spans="2:15" x14ac:dyDescent="0.3">
      <c r="B662" s="10"/>
      <c r="I662" s="11"/>
      <c r="K662" s="12"/>
      <c r="L662" s="12"/>
      <c r="M662" s="12"/>
      <c r="N662" s="12"/>
      <c r="O662" s="12"/>
    </row>
    <row r="663" spans="2:15" x14ac:dyDescent="0.3">
      <c r="B663" s="10"/>
      <c r="I663" s="11"/>
      <c r="K663" s="12"/>
      <c r="L663" s="12"/>
      <c r="M663" s="12"/>
      <c r="N663" s="12"/>
      <c r="O663" s="12"/>
    </row>
    <row r="664" spans="2:15" x14ac:dyDescent="0.3">
      <c r="B664" s="10"/>
      <c r="I664" s="11"/>
      <c r="K664" s="12"/>
      <c r="L664" s="12"/>
      <c r="M664" s="12"/>
      <c r="N664" s="12"/>
      <c r="O664" s="12"/>
    </row>
    <row r="665" spans="2:15" x14ac:dyDescent="0.3">
      <c r="B665" s="10"/>
      <c r="I665" s="11"/>
      <c r="K665" s="12"/>
      <c r="L665" s="12"/>
      <c r="M665" s="12"/>
      <c r="N665" s="12"/>
      <c r="O665" s="12"/>
    </row>
    <row r="666" spans="2:15" x14ac:dyDescent="0.3">
      <c r="B666" s="10"/>
      <c r="I666" s="11"/>
      <c r="K666" s="12"/>
      <c r="L666" s="12"/>
      <c r="M666" s="12"/>
      <c r="N666" s="12"/>
      <c r="O666" s="12"/>
    </row>
    <row r="667" spans="2:15" x14ac:dyDescent="0.3">
      <c r="B667" s="10"/>
      <c r="I667" s="11"/>
      <c r="K667" s="12"/>
      <c r="L667" s="12"/>
      <c r="M667" s="12"/>
      <c r="N667" s="12"/>
      <c r="O667" s="12"/>
    </row>
    <row r="668" spans="2:15" x14ac:dyDescent="0.3">
      <c r="B668" s="10"/>
      <c r="I668" s="11"/>
      <c r="K668" s="12"/>
      <c r="L668" s="12"/>
      <c r="M668" s="12"/>
      <c r="N668" s="12"/>
      <c r="O668" s="12"/>
    </row>
    <row r="669" spans="2:15" x14ac:dyDescent="0.3">
      <c r="B669" s="10"/>
      <c r="I669" s="11"/>
      <c r="K669" s="12"/>
      <c r="L669" s="12"/>
      <c r="M669" s="12"/>
      <c r="N669" s="12"/>
      <c r="O669" s="12"/>
    </row>
    <row r="670" spans="2:15" x14ac:dyDescent="0.3">
      <c r="B670" s="10"/>
      <c r="I670" s="11"/>
      <c r="K670" s="12"/>
      <c r="L670" s="12"/>
      <c r="M670" s="12"/>
      <c r="N670" s="12"/>
      <c r="O670" s="12"/>
    </row>
    <row r="671" spans="2:15" x14ac:dyDescent="0.3">
      <c r="B671" s="10"/>
      <c r="I671" s="11"/>
      <c r="K671" s="12"/>
      <c r="L671" s="12"/>
      <c r="M671" s="12"/>
      <c r="N671" s="12"/>
      <c r="O671" s="12"/>
    </row>
    <row r="672" spans="2:15" x14ac:dyDescent="0.3">
      <c r="B672" s="10"/>
      <c r="I672" s="11"/>
      <c r="K672" s="12"/>
      <c r="L672" s="12"/>
      <c r="M672" s="12"/>
      <c r="N672" s="12"/>
      <c r="O672" s="12"/>
    </row>
    <row r="673" spans="2:15" x14ac:dyDescent="0.3">
      <c r="B673" s="10"/>
      <c r="I673" s="11"/>
      <c r="K673" s="12"/>
      <c r="L673" s="12"/>
      <c r="M673" s="12"/>
      <c r="N673" s="12"/>
      <c r="O673" s="12"/>
    </row>
    <row r="674" spans="2:15" x14ac:dyDescent="0.3">
      <c r="B674" s="10"/>
      <c r="I674" s="11"/>
      <c r="K674" s="12"/>
      <c r="L674" s="12"/>
      <c r="M674" s="12"/>
      <c r="N674" s="12"/>
      <c r="O674" s="12"/>
    </row>
    <row r="675" spans="2:15" x14ac:dyDescent="0.3">
      <c r="B675" s="10"/>
      <c r="I675" s="11"/>
      <c r="K675" s="12"/>
      <c r="L675" s="12"/>
      <c r="M675" s="12"/>
      <c r="N675" s="12"/>
      <c r="O675" s="12"/>
    </row>
    <row r="676" spans="2:15" x14ac:dyDescent="0.3">
      <c r="B676" s="10"/>
      <c r="I676" s="11"/>
      <c r="K676" s="12"/>
      <c r="L676" s="12"/>
      <c r="M676" s="12"/>
      <c r="N676" s="12"/>
      <c r="O676" s="12"/>
    </row>
    <row r="677" spans="2:15" x14ac:dyDescent="0.3">
      <c r="B677" s="10"/>
      <c r="I677" s="11"/>
      <c r="K677" s="12"/>
      <c r="L677" s="12"/>
      <c r="M677" s="12"/>
      <c r="N677" s="12"/>
      <c r="O677" s="12"/>
    </row>
    <row r="678" spans="2:15" x14ac:dyDescent="0.3">
      <c r="B678" s="10"/>
      <c r="I678" s="11"/>
      <c r="K678" s="12"/>
      <c r="L678" s="12"/>
      <c r="M678" s="12"/>
      <c r="N678" s="12"/>
      <c r="O678" s="12"/>
    </row>
    <row r="679" spans="2:15" x14ac:dyDescent="0.3">
      <c r="B679" s="10"/>
      <c r="I679" s="11"/>
      <c r="K679" s="12"/>
      <c r="L679" s="12"/>
      <c r="M679" s="12"/>
      <c r="N679" s="12"/>
      <c r="O679" s="12"/>
    </row>
    <row r="680" spans="2:15" x14ac:dyDescent="0.3">
      <c r="B680" s="10"/>
      <c r="I680" s="11"/>
      <c r="K680" s="12"/>
      <c r="L680" s="12"/>
      <c r="M680" s="12"/>
      <c r="N680" s="12"/>
      <c r="O680" s="12"/>
    </row>
    <row r="681" spans="2:15" x14ac:dyDescent="0.3">
      <c r="B681" s="10"/>
      <c r="I681" s="11"/>
      <c r="K681" s="12"/>
      <c r="L681" s="12"/>
      <c r="M681" s="12"/>
      <c r="N681" s="12"/>
      <c r="O681" s="12"/>
    </row>
    <row r="682" spans="2:15" x14ac:dyDescent="0.3">
      <c r="B682" s="10"/>
      <c r="I682" s="11"/>
      <c r="K682" s="12"/>
      <c r="L682" s="12"/>
      <c r="M682" s="12"/>
      <c r="N682" s="12"/>
      <c r="O682" s="12"/>
    </row>
    <row r="683" spans="2:15" x14ac:dyDescent="0.3">
      <c r="B683" s="10"/>
      <c r="I683" s="11"/>
      <c r="K683" s="12"/>
      <c r="L683" s="12"/>
      <c r="M683" s="12"/>
      <c r="N683" s="12"/>
      <c r="O683" s="12"/>
    </row>
    <row r="684" spans="2:15" x14ac:dyDescent="0.3">
      <c r="B684" s="10"/>
      <c r="I684" s="11"/>
      <c r="K684" s="12"/>
      <c r="L684" s="12"/>
      <c r="M684" s="12"/>
      <c r="N684" s="12"/>
      <c r="O684" s="12"/>
    </row>
    <row r="685" spans="2:15" x14ac:dyDescent="0.3">
      <c r="B685" s="10"/>
      <c r="I685" s="11"/>
      <c r="K685" s="12"/>
      <c r="L685" s="12"/>
      <c r="M685" s="12"/>
      <c r="N685" s="12"/>
      <c r="O685" s="12"/>
    </row>
    <row r="686" spans="2:15" x14ac:dyDescent="0.3">
      <c r="B686" s="10"/>
      <c r="I686" s="11"/>
      <c r="K686" s="12"/>
      <c r="L686" s="12"/>
      <c r="M686" s="12"/>
      <c r="N686" s="12"/>
      <c r="O686" s="12"/>
    </row>
    <row r="687" spans="2:15" x14ac:dyDescent="0.3">
      <c r="B687" s="10"/>
      <c r="I687" s="11"/>
      <c r="K687" s="12"/>
      <c r="L687" s="12"/>
      <c r="M687" s="12"/>
      <c r="N687" s="12"/>
      <c r="O687" s="12"/>
    </row>
    <row r="688" spans="2:15" x14ac:dyDescent="0.3">
      <c r="B688" s="10"/>
      <c r="I688" s="11"/>
      <c r="K688" s="12"/>
      <c r="L688" s="12"/>
      <c r="M688" s="12"/>
      <c r="N688" s="12"/>
      <c r="O688" s="12"/>
    </row>
    <row r="689" spans="2:15" x14ac:dyDescent="0.3">
      <c r="B689" s="10"/>
      <c r="I689" s="11"/>
      <c r="K689" s="12"/>
      <c r="L689" s="12"/>
      <c r="M689" s="12"/>
      <c r="N689" s="12"/>
      <c r="O689" s="12"/>
    </row>
    <row r="690" spans="2:15" x14ac:dyDescent="0.3">
      <c r="B690" s="10"/>
      <c r="I690" s="11"/>
      <c r="K690" s="12"/>
      <c r="L690" s="12"/>
      <c r="M690" s="12"/>
      <c r="N690" s="12"/>
      <c r="O690" s="12"/>
    </row>
    <row r="691" spans="2:15" x14ac:dyDescent="0.3">
      <c r="B691" s="10"/>
      <c r="I691" s="11"/>
      <c r="K691" s="12"/>
      <c r="L691" s="12"/>
      <c r="M691" s="12"/>
      <c r="N691" s="12"/>
      <c r="O691" s="12"/>
    </row>
    <row r="692" spans="2:15" x14ac:dyDescent="0.3">
      <c r="B692" s="10"/>
      <c r="I692" s="11"/>
      <c r="K692" s="12"/>
      <c r="L692" s="12"/>
      <c r="M692" s="12"/>
      <c r="N692" s="12"/>
      <c r="O692" s="12"/>
    </row>
    <row r="693" spans="2:15" x14ac:dyDescent="0.3">
      <c r="B693" s="10"/>
      <c r="I693" s="11"/>
      <c r="K693" s="12"/>
      <c r="L693" s="12"/>
      <c r="M693" s="12"/>
      <c r="N693" s="12"/>
      <c r="O693" s="12"/>
    </row>
    <row r="694" spans="2:15" x14ac:dyDescent="0.3">
      <c r="B694" s="10"/>
      <c r="I694" s="11"/>
      <c r="K694" s="12"/>
      <c r="L694" s="12"/>
      <c r="M694" s="12"/>
      <c r="N694" s="12"/>
      <c r="O694" s="12"/>
    </row>
    <row r="695" spans="2:15" x14ac:dyDescent="0.3">
      <c r="B695" s="10"/>
      <c r="I695" s="11"/>
      <c r="K695" s="12"/>
      <c r="L695" s="12"/>
      <c r="M695" s="12"/>
      <c r="N695" s="12"/>
      <c r="O695" s="12"/>
    </row>
    <row r="696" spans="2:15" x14ac:dyDescent="0.3">
      <c r="B696" s="10"/>
      <c r="I696" s="11"/>
      <c r="K696" s="12"/>
      <c r="L696" s="12"/>
      <c r="M696" s="12"/>
      <c r="N696" s="12"/>
      <c r="O696" s="12"/>
    </row>
    <row r="697" spans="2:15" x14ac:dyDescent="0.3">
      <c r="B697" s="10"/>
      <c r="I697" s="11"/>
      <c r="K697" s="12"/>
      <c r="L697" s="12"/>
      <c r="M697" s="12"/>
      <c r="N697" s="12"/>
      <c r="O697" s="12"/>
    </row>
    <row r="698" spans="2:15" x14ac:dyDescent="0.3">
      <c r="B698" s="10"/>
      <c r="I698" s="11"/>
      <c r="K698" s="12"/>
      <c r="L698" s="12"/>
      <c r="M698" s="12"/>
      <c r="N698" s="12"/>
      <c r="O698" s="12"/>
    </row>
    <row r="699" spans="2:15" x14ac:dyDescent="0.3">
      <c r="B699" s="10"/>
      <c r="I699" s="11"/>
      <c r="K699" s="12"/>
      <c r="L699" s="12"/>
      <c r="M699" s="12"/>
      <c r="N699" s="12"/>
      <c r="O699" s="12"/>
    </row>
    <row r="700" spans="2:15" x14ac:dyDescent="0.3">
      <c r="B700" s="10"/>
      <c r="I700" s="11"/>
      <c r="K700" s="12"/>
      <c r="L700" s="12"/>
      <c r="M700" s="12"/>
      <c r="N700" s="12"/>
      <c r="O700" s="12"/>
    </row>
    <row r="701" spans="2:15" x14ac:dyDescent="0.3">
      <c r="B701" s="10"/>
      <c r="I701" s="11"/>
      <c r="K701" s="12"/>
      <c r="L701" s="12"/>
      <c r="M701" s="12"/>
      <c r="N701" s="12"/>
      <c r="O701" s="12"/>
    </row>
    <row r="702" spans="2:15" x14ac:dyDescent="0.3">
      <c r="B702" s="10"/>
      <c r="I702" s="11"/>
      <c r="K702" s="12"/>
      <c r="L702" s="12"/>
      <c r="M702" s="12"/>
      <c r="N702" s="12"/>
      <c r="O702" s="12"/>
    </row>
    <row r="703" spans="2:15" x14ac:dyDescent="0.3">
      <c r="B703" s="10"/>
      <c r="I703" s="11"/>
      <c r="K703" s="12"/>
      <c r="L703" s="12"/>
      <c r="M703" s="12"/>
      <c r="N703" s="12"/>
      <c r="O703" s="12"/>
    </row>
    <row r="704" spans="2:15" x14ac:dyDescent="0.3">
      <c r="B704" s="10"/>
      <c r="I704" s="11"/>
      <c r="K704" s="12"/>
      <c r="L704" s="12"/>
      <c r="M704" s="12"/>
      <c r="N704" s="12"/>
      <c r="O704" s="12"/>
    </row>
    <row r="705" spans="2:15" x14ac:dyDescent="0.3">
      <c r="B705" s="10"/>
      <c r="I705" s="11"/>
      <c r="K705" s="12"/>
      <c r="L705" s="12"/>
      <c r="M705" s="12"/>
      <c r="N705" s="12"/>
      <c r="O705" s="12"/>
    </row>
    <row r="706" spans="2:15" x14ac:dyDescent="0.3">
      <c r="B706" s="10"/>
      <c r="I706" s="11"/>
      <c r="K706" s="12"/>
      <c r="L706" s="12"/>
      <c r="M706" s="12"/>
      <c r="N706" s="12"/>
      <c r="O706" s="12"/>
    </row>
    <row r="707" spans="2:15" x14ac:dyDescent="0.3">
      <c r="B707" s="10"/>
      <c r="I707" s="11"/>
      <c r="K707" s="12"/>
      <c r="L707" s="12"/>
      <c r="M707" s="12"/>
      <c r="N707" s="12"/>
      <c r="O707" s="12"/>
    </row>
    <row r="708" spans="2:15" x14ac:dyDescent="0.3">
      <c r="B708" s="10"/>
      <c r="I708" s="11"/>
      <c r="K708" s="12"/>
      <c r="L708" s="12"/>
      <c r="M708" s="12"/>
      <c r="N708" s="12"/>
      <c r="O708" s="12"/>
    </row>
    <row r="709" spans="2:15" x14ac:dyDescent="0.3">
      <c r="B709" s="10"/>
      <c r="I709" s="11"/>
      <c r="K709" s="12"/>
      <c r="L709" s="12"/>
      <c r="M709" s="12"/>
      <c r="N709" s="12"/>
      <c r="O709" s="12"/>
    </row>
    <row r="710" spans="2:15" x14ac:dyDescent="0.3">
      <c r="B710" s="10"/>
      <c r="I710" s="11"/>
      <c r="K710" s="12"/>
      <c r="L710" s="12"/>
      <c r="M710" s="12"/>
      <c r="N710" s="12"/>
      <c r="O710" s="12"/>
    </row>
    <row r="711" spans="2:15" x14ac:dyDescent="0.3">
      <c r="B711" s="10"/>
      <c r="I711" s="11"/>
      <c r="K711" s="12"/>
      <c r="L711" s="12"/>
      <c r="M711" s="12"/>
      <c r="N711" s="12"/>
      <c r="O711" s="12"/>
    </row>
    <row r="712" spans="2:15" x14ac:dyDescent="0.3">
      <c r="B712" s="10"/>
      <c r="I712" s="11"/>
      <c r="K712" s="12"/>
      <c r="L712" s="12"/>
      <c r="M712" s="12"/>
      <c r="N712" s="12"/>
      <c r="O712" s="12"/>
    </row>
    <row r="713" spans="2:15" x14ac:dyDescent="0.3">
      <c r="B713" s="10"/>
      <c r="I713" s="11"/>
      <c r="K713" s="12"/>
      <c r="L713" s="12"/>
      <c r="M713" s="12"/>
      <c r="N713" s="12"/>
      <c r="O713" s="12"/>
    </row>
    <row r="714" spans="2:15" x14ac:dyDescent="0.3">
      <c r="B714" s="10"/>
      <c r="I714" s="11"/>
      <c r="K714" s="12"/>
      <c r="L714" s="12"/>
      <c r="M714" s="12"/>
      <c r="N714" s="12"/>
      <c r="O714" s="12"/>
    </row>
    <row r="715" spans="2:15" x14ac:dyDescent="0.3">
      <c r="B715" s="10"/>
      <c r="I715" s="11"/>
      <c r="K715" s="12"/>
      <c r="L715" s="12"/>
      <c r="M715" s="12"/>
      <c r="N715" s="12"/>
      <c r="O715" s="12"/>
    </row>
    <row r="716" spans="2:15" x14ac:dyDescent="0.3">
      <c r="B716" s="10"/>
      <c r="I716" s="11"/>
      <c r="K716" s="12"/>
      <c r="L716" s="12"/>
      <c r="M716" s="12"/>
      <c r="N716" s="12"/>
      <c r="O716" s="12"/>
    </row>
    <row r="717" spans="2:15" x14ac:dyDescent="0.3">
      <c r="B717" s="10"/>
      <c r="I717" s="11"/>
      <c r="K717" s="12"/>
      <c r="L717" s="12"/>
      <c r="M717" s="12"/>
      <c r="N717" s="12"/>
      <c r="O717" s="12"/>
    </row>
    <row r="718" spans="2:15" x14ac:dyDescent="0.3">
      <c r="B718" s="10"/>
      <c r="I718" s="11"/>
      <c r="K718" s="12"/>
      <c r="L718" s="12"/>
      <c r="M718" s="12"/>
      <c r="N718" s="12"/>
      <c r="O718" s="12"/>
    </row>
    <row r="719" spans="2:15" x14ac:dyDescent="0.3">
      <c r="B719" s="10"/>
      <c r="I719" s="11"/>
      <c r="K719" s="12"/>
      <c r="L719" s="12"/>
      <c r="M719" s="12"/>
      <c r="N719" s="12"/>
      <c r="O719" s="12"/>
    </row>
    <row r="720" spans="2:15" x14ac:dyDescent="0.3">
      <c r="B720" s="10"/>
      <c r="I720" s="11"/>
      <c r="K720" s="12"/>
      <c r="L720" s="12"/>
      <c r="M720" s="12"/>
      <c r="N720" s="12"/>
      <c r="O720" s="12"/>
    </row>
    <row r="721" spans="2:15" x14ac:dyDescent="0.3">
      <c r="B721" s="10"/>
      <c r="I721" s="11"/>
      <c r="K721" s="12"/>
      <c r="L721" s="12"/>
      <c r="M721" s="12"/>
      <c r="N721" s="12"/>
      <c r="O721" s="12"/>
    </row>
    <row r="722" spans="2:15" x14ac:dyDescent="0.3">
      <c r="B722" s="10"/>
      <c r="I722" s="11"/>
      <c r="K722" s="12"/>
      <c r="L722" s="12"/>
      <c r="M722" s="12"/>
      <c r="N722" s="12"/>
      <c r="O722" s="12"/>
    </row>
    <row r="723" spans="2:15" x14ac:dyDescent="0.3">
      <c r="B723" s="10"/>
      <c r="I723" s="11"/>
      <c r="K723" s="12"/>
      <c r="L723" s="12"/>
      <c r="M723" s="12"/>
      <c r="N723" s="12"/>
      <c r="O723" s="12"/>
    </row>
    <row r="724" spans="2:15" x14ac:dyDescent="0.3">
      <c r="B724" s="10"/>
      <c r="I724" s="11"/>
      <c r="K724" s="12"/>
      <c r="L724" s="12"/>
      <c r="M724" s="12"/>
      <c r="N724" s="12"/>
      <c r="O724" s="12"/>
    </row>
    <row r="725" spans="2:15" x14ac:dyDescent="0.3">
      <c r="B725" s="10"/>
      <c r="I725" s="11"/>
      <c r="K725" s="12"/>
      <c r="L725" s="12"/>
      <c r="M725" s="12"/>
      <c r="N725" s="12"/>
      <c r="O725" s="12"/>
    </row>
    <row r="726" spans="2:15" x14ac:dyDescent="0.3">
      <c r="B726" s="10"/>
      <c r="I726" s="11"/>
      <c r="K726" s="12"/>
      <c r="L726" s="12"/>
      <c r="M726" s="12"/>
      <c r="N726" s="12"/>
      <c r="O726" s="12"/>
    </row>
    <row r="727" spans="2:15" x14ac:dyDescent="0.3">
      <c r="B727" s="10"/>
      <c r="I727" s="11"/>
      <c r="K727" s="12"/>
      <c r="L727" s="12"/>
      <c r="M727" s="12"/>
      <c r="N727" s="12"/>
      <c r="O727" s="12"/>
    </row>
    <row r="728" spans="2:15" x14ac:dyDescent="0.3">
      <c r="B728" s="10"/>
      <c r="I728" s="11"/>
      <c r="K728" s="12"/>
      <c r="L728" s="12"/>
      <c r="M728" s="12"/>
      <c r="N728" s="12"/>
      <c r="O728" s="12"/>
    </row>
    <row r="729" spans="2:15" x14ac:dyDescent="0.3">
      <c r="B729" s="10"/>
      <c r="I729" s="11"/>
      <c r="K729" s="12"/>
      <c r="L729" s="12"/>
      <c r="M729" s="12"/>
      <c r="N729" s="12"/>
      <c r="O729" s="12"/>
    </row>
    <row r="730" spans="2:15" x14ac:dyDescent="0.3">
      <c r="B730" s="10"/>
      <c r="I730" s="11"/>
      <c r="K730" s="12"/>
      <c r="L730" s="12"/>
      <c r="M730" s="12"/>
      <c r="N730" s="12"/>
      <c r="O730" s="12"/>
    </row>
    <row r="731" spans="2:15" x14ac:dyDescent="0.3">
      <c r="B731" s="10"/>
      <c r="I731" s="11"/>
      <c r="K731" s="12"/>
      <c r="L731" s="12"/>
      <c r="M731" s="12"/>
      <c r="N731" s="12"/>
      <c r="O731" s="12"/>
    </row>
    <row r="732" spans="2:15" x14ac:dyDescent="0.3">
      <c r="B732" s="10"/>
      <c r="I732" s="11"/>
      <c r="K732" s="12"/>
      <c r="L732" s="12"/>
      <c r="M732" s="12"/>
      <c r="N732" s="12"/>
      <c r="O732" s="12"/>
    </row>
    <row r="733" spans="2:15" x14ac:dyDescent="0.3">
      <c r="B733" s="10"/>
      <c r="I733" s="11"/>
      <c r="K733" s="12"/>
      <c r="L733" s="12"/>
      <c r="M733" s="12"/>
      <c r="N733" s="12"/>
      <c r="O733" s="12"/>
    </row>
    <row r="734" spans="2:15" x14ac:dyDescent="0.3">
      <c r="B734" s="10"/>
      <c r="I734" s="11"/>
      <c r="K734" s="12"/>
      <c r="L734" s="12"/>
      <c r="M734" s="12"/>
      <c r="N734" s="12"/>
      <c r="O734" s="12"/>
    </row>
    <row r="735" spans="2:15" x14ac:dyDescent="0.3">
      <c r="B735" s="10"/>
      <c r="I735" s="11"/>
      <c r="K735" s="12"/>
      <c r="L735" s="12"/>
      <c r="M735" s="12"/>
      <c r="N735" s="12"/>
      <c r="O735" s="12"/>
    </row>
    <row r="736" spans="2:15" x14ac:dyDescent="0.3">
      <c r="B736" s="10"/>
      <c r="I736" s="11"/>
      <c r="K736" s="12"/>
      <c r="L736" s="12"/>
      <c r="M736" s="12"/>
      <c r="N736" s="12"/>
      <c r="O736" s="12"/>
    </row>
    <row r="737" spans="2:15" x14ac:dyDescent="0.3">
      <c r="B737" s="10"/>
      <c r="I737" s="11"/>
      <c r="K737" s="12"/>
      <c r="L737" s="12"/>
      <c r="M737" s="12"/>
      <c r="N737" s="12"/>
      <c r="O737" s="12"/>
    </row>
    <row r="738" spans="2:15" x14ac:dyDescent="0.3">
      <c r="B738" s="10"/>
      <c r="I738" s="11"/>
      <c r="K738" s="12"/>
      <c r="L738" s="12"/>
      <c r="M738" s="12"/>
      <c r="N738" s="12"/>
      <c r="O738" s="12"/>
    </row>
    <row r="739" spans="2:15" x14ac:dyDescent="0.3">
      <c r="B739" s="10"/>
      <c r="I739" s="11"/>
      <c r="K739" s="12"/>
      <c r="L739" s="12"/>
      <c r="M739" s="12"/>
      <c r="N739" s="12"/>
      <c r="O739" s="12"/>
    </row>
    <row r="740" spans="2:15" x14ac:dyDescent="0.3">
      <c r="B740" s="10"/>
      <c r="I740" s="11"/>
      <c r="K740" s="12"/>
      <c r="L740" s="12"/>
      <c r="M740" s="12"/>
      <c r="N740" s="12"/>
      <c r="O740" s="12"/>
    </row>
    <row r="741" spans="2:15" x14ac:dyDescent="0.3">
      <c r="B741" s="10"/>
      <c r="I741" s="11"/>
      <c r="K741" s="12"/>
      <c r="L741" s="12"/>
      <c r="M741" s="12"/>
      <c r="N741" s="12"/>
      <c r="O741" s="12"/>
    </row>
    <row r="742" spans="2:15" x14ac:dyDescent="0.3">
      <c r="B742" s="10"/>
      <c r="I742" s="11"/>
      <c r="K742" s="12"/>
      <c r="L742" s="12"/>
      <c r="M742" s="12"/>
      <c r="N742" s="12"/>
      <c r="O742" s="12"/>
    </row>
    <row r="743" spans="2:15" x14ac:dyDescent="0.3">
      <c r="B743" s="10"/>
      <c r="I743" s="11"/>
      <c r="K743" s="12"/>
      <c r="L743" s="12"/>
      <c r="M743" s="12"/>
      <c r="N743" s="12"/>
      <c r="O743" s="12"/>
    </row>
    <row r="744" spans="2:15" x14ac:dyDescent="0.3">
      <c r="B744" s="10"/>
      <c r="I744" s="11"/>
      <c r="K744" s="12"/>
      <c r="L744" s="12"/>
      <c r="M744" s="12"/>
      <c r="N744" s="12"/>
      <c r="O744" s="12"/>
    </row>
    <row r="745" spans="2:15" x14ac:dyDescent="0.3">
      <c r="B745" s="10"/>
      <c r="I745" s="11"/>
      <c r="K745" s="12"/>
      <c r="L745" s="12"/>
      <c r="M745" s="12"/>
      <c r="N745" s="12"/>
      <c r="O745" s="12"/>
    </row>
    <row r="746" spans="2:15" x14ac:dyDescent="0.3">
      <c r="B746" s="10"/>
      <c r="I746" s="11"/>
      <c r="K746" s="12"/>
      <c r="L746" s="12"/>
      <c r="M746" s="12"/>
      <c r="N746" s="12"/>
      <c r="O746" s="12"/>
    </row>
    <row r="747" spans="2:15" x14ac:dyDescent="0.3">
      <c r="B747" s="10"/>
      <c r="I747" s="11"/>
      <c r="K747" s="12"/>
      <c r="L747" s="12"/>
      <c r="M747" s="12"/>
      <c r="N747" s="12"/>
      <c r="O747" s="12"/>
    </row>
    <row r="748" spans="2:15" x14ac:dyDescent="0.3">
      <c r="B748" s="10"/>
      <c r="I748" s="11"/>
      <c r="K748" s="12"/>
      <c r="L748" s="12"/>
      <c r="M748" s="12"/>
      <c r="N748" s="12"/>
      <c r="O748" s="12"/>
    </row>
    <row r="749" spans="2:15" x14ac:dyDescent="0.3">
      <c r="B749" s="10"/>
      <c r="I749" s="11"/>
      <c r="K749" s="12"/>
      <c r="L749" s="12"/>
      <c r="M749" s="12"/>
      <c r="N749" s="12"/>
      <c r="O749" s="12"/>
    </row>
    <row r="750" spans="2:15" x14ac:dyDescent="0.3">
      <c r="B750" s="10"/>
      <c r="I750" s="11"/>
      <c r="K750" s="12"/>
      <c r="L750" s="12"/>
      <c r="M750" s="12"/>
      <c r="N750" s="12"/>
      <c r="O750" s="12"/>
    </row>
    <row r="751" spans="2:15" x14ac:dyDescent="0.3">
      <c r="B751" s="10"/>
      <c r="I751" s="11"/>
      <c r="K751" s="12"/>
      <c r="L751" s="12"/>
      <c r="M751" s="12"/>
      <c r="N751" s="12"/>
      <c r="O751" s="12"/>
    </row>
    <row r="752" spans="2:15" x14ac:dyDescent="0.3">
      <c r="B752" s="10"/>
      <c r="I752" s="11"/>
      <c r="K752" s="12"/>
      <c r="L752" s="12"/>
      <c r="M752" s="12"/>
      <c r="N752" s="12"/>
      <c r="O752" s="12"/>
    </row>
    <row r="753" spans="2:15" x14ac:dyDescent="0.3">
      <c r="B753" s="10"/>
      <c r="I753" s="11"/>
      <c r="K753" s="12"/>
      <c r="L753" s="12"/>
      <c r="M753" s="12"/>
      <c r="N753" s="12"/>
      <c r="O753" s="12"/>
    </row>
    <row r="754" spans="2:15" x14ac:dyDescent="0.3">
      <c r="B754" s="10"/>
      <c r="I754" s="11"/>
      <c r="K754" s="12"/>
      <c r="L754" s="12"/>
      <c r="M754" s="12"/>
      <c r="N754" s="12"/>
      <c r="O754" s="12"/>
    </row>
    <row r="755" spans="2:15" x14ac:dyDescent="0.3">
      <c r="B755" s="10"/>
      <c r="I755" s="11"/>
      <c r="K755" s="12"/>
      <c r="L755" s="12"/>
      <c r="M755" s="12"/>
      <c r="N755" s="12"/>
      <c r="O755" s="12"/>
    </row>
    <row r="756" spans="2:15" x14ac:dyDescent="0.3">
      <c r="B756" s="10"/>
      <c r="I756" s="11"/>
      <c r="K756" s="12"/>
      <c r="L756" s="12"/>
      <c r="M756" s="12"/>
      <c r="N756" s="12"/>
      <c r="O756" s="12"/>
    </row>
    <row r="757" spans="2:15" x14ac:dyDescent="0.3">
      <c r="B757" s="10"/>
      <c r="I757" s="11"/>
      <c r="K757" s="12"/>
      <c r="L757" s="12"/>
      <c r="M757" s="12"/>
      <c r="N757" s="12"/>
      <c r="O757" s="12"/>
    </row>
    <row r="758" spans="2:15" x14ac:dyDescent="0.3">
      <c r="B758" s="10"/>
      <c r="I758" s="11"/>
      <c r="K758" s="12"/>
      <c r="L758" s="12"/>
      <c r="M758" s="12"/>
      <c r="N758" s="12"/>
      <c r="O758" s="12"/>
    </row>
    <row r="759" spans="2:15" x14ac:dyDescent="0.3">
      <c r="B759" s="10"/>
      <c r="I759" s="11"/>
      <c r="K759" s="12"/>
      <c r="L759" s="12"/>
      <c r="M759" s="12"/>
      <c r="N759" s="12"/>
      <c r="O759" s="12"/>
    </row>
    <row r="760" spans="2:15" x14ac:dyDescent="0.3">
      <c r="B760" s="10"/>
      <c r="I760" s="11"/>
      <c r="K760" s="12"/>
      <c r="L760" s="12"/>
      <c r="M760" s="12"/>
      <c r="N760" s="12"/>
      <c r="O760" s="12"/>
    </row>
    <row r="761" spans="2:15" x14ac:dyDescent="0.3">
      <c r="B761" s="10"/>
      <c r="I761" s="11"/>
      <c r="K761" s="12"/>
      <c r="L761" s="12"/>
      <c r="M761" s="12"/>
      <c r="N761" s="12"/>
      <c r="O761" s="12"/>
    </row>
    <row r="762" spans="2:15" x14ac:dyDescent="0.3">
      <c r="B762" s="10"/>
      <c r="I762" s="11"/>
      <c r="K762" s="12"/>
      <c r="L762" s="12"/>
      <c r="M762" s="12"/>
      <c r="N762" s="12"/>
      <c r="O762" s="12"/>
    </row>
    <row r="763" spans="2:15" x14ac:dyDescent="0.3">
      <c r="B763" s="10"/>
      <c r="I763" s="11"/>
      <c r="K763" s="12"/>
      <c r="L763" s="12"/>
      <c r="M763" s="12"/>
      <c r="N763" s="12"/>
      <c r="O763" s="12"/>
    </row>
    <row r="764" spans="2:15" x14ac:dyDescent="0.3">
      <c r="B764" s="10"/>
      <c r="I764" s="11"/>
      <c r="K764" s="12"/>
      <c r="L764" s="12"/>
      <c r="M764" s="12"/>
      <c r="N764" s="12"/>
      <c r="O764" s="12"/>
    </row>
    <row r="765" spans="2:15" x14ac:dyDescent="0.3">
      <c r="B765" s="10"/>
      <c r="I765" s="11"/>
      <c r="K765" s="12"/>
      <c r="L765" s="12"/>
      <c r="M765" s="12"/>
      <c r="N765" s="12"/>
      <c r="O765" s="12"/>
    </row>
    <row r="766" spans="2:15" x14ac:dyDescent="0.3">
      <c r="B766" s="10"/>
      <c r="I766" s="11"/>
      <c r="K766" s="12"/>
      <c r="L766" s="12"/>
      <c r="M766" s="12"/>
      <c r="N766" s="12"/>
      <c r="O766" s="12"/>
    </row>
    <row r="767" spans="2:15" x14ac:dyDescent="0.3">
      <c r="B767" s="10"/>
      <c r="I767" s="11"/>
      <c r="K767" s="12"/>
      <c r="L767" s="12"/>
      <c r="M767" s="12"/>
      <c r="N767" s="12"/>
      <c r="O767" s="12"/>
    </row>
    <row r="768" spans="2:15" x14ac:dyDescent="0.3">
      <c r="B768" s="10"/>
      <c r="I768" s="11"/>
      <c r="K768" s="12"/>
      <c r="L768" s="12"/>
      <c r="M768" s="12"/>
      <c r="N768" s="12"/>
      <c r="O768" s="12"/>
    </row>
    <row r="769" spans="2:15" x14ac:dyDescent="0.3">
      <c r="B769" s="10"/>
      <c r="I769" s="11"/>
      <c r="K769" s="12"/>
      <c r="L769" s="12"/>
      <c r="M769" s="12"/>
      <c r="N769" s="12"/>
      <c r="O769" s="12"/>
    </row>
    <row r="770" spans="2:15" x14ac:dyDescent="0.3">
      <c r="B770" s="10"/>
      <c r="I770" s="11"/>
      <c r="K770" s="12"/>
      <c r="L770" s="12"/>
      <c r="M770" s="12"/>
      <c r="N770" s="12"/>
      <c r="O770" s="12"/>
    </row>
    <row r="771" spans="2:15" x14ac:dyDescent="0.3">
      <c r="B771" s="10"/>
      <c r="I771" s="11"/>
      <c r="K771" s="12"/>
      <c r="L771" s="12"/>
      <c r="M771" s="12"/>
      <c r="N771" s="12"/>
      <c r="O771" s="12"/>
    </row>
    <row r="772" spans="2:15" x14ac:dyDescent="0.3">
      <c r="B772" s="10"/>
      <c r="I772" s="11"/>
      <c r="K772" s="12"/>
      <c r="L772" s="12"/>
      <c r="M772" s="12"/>
      <c r="N772" s="12"/>
      <c r="O772" s="12"/>
    </row>
    <row r="773" spans="2:15" x14ac:dyDescent="0.3">
      <c r="B773" s="10"/>
      <c r="I773" s="11"/>
      <c r="K773" s="12"/>
      <c r="L773" s="12"/>
      <c r="M773" s="12"/>
      <c r="N773" s="12"/>
      <c r="O773" s="12"/>
    </row>
    <row r="774" spans="2:15" x14ac:dyDescent="0.3">
      <c r="B774" s="10"/>
      <c r="I774" s="11"/>
      <c r="K774" s="12"/>
      <c r="L774" s="12"/>
      <c r="M774" s="12"/>
      <c r="N774" s="12"/>
      <c r="O774" s="12"/>
    </row>
    <row r="775" spans="2:15" x14ac:dyDescent="0.3">
      <c r="B775" s="10"/>
      <c r="I775" s="11"/>
      <c r="K775" s="12"/>
      <c r="L775" s="12"/>
      <c r="M775" s="12"/>
      <c r="N775" s="12"/>
      <c r="O775" s="12"/>
    </row>
    <row r="776" spans="2:15" x14ac:dyDescent="0.3">
      <c r="B776" s="10"/>
      <c r="I776" s="11"/>
      <c r="K776" s="12"/>
      <c r="L776" s="12"/>
      <c r="M776" s="12"/>
      <c r="N776" s="12"/>
      <c r="O776" s="12"/>
    </row>
    <row r="777" spans="2:15" x14ac:dyDescent="0.3">
      <c r="B777" s="10"/>
      <c r="I777" s="11"/>
      <c r="K777" s="12"/>
      <c r="L777" s="12"/>
      <c r="M777" s="12"/>
      <c r="N777" s="12"/>
      <c r="O777" s="12"/>
    </row>
    <row r="778" spans="2:15" x14ac:dyDescent="0.3">
      <c r="B778" s="10"/>
      <c r="I778" s="11"/>
      <c r="K778" s="12"/>
      <c r="L778" s="12"/>
      <c r="M778" s="12"/>
      <c r="N778" s="12"/>
      <c r="O778" s="12"/>
    </row>
    <row r="779" spans="2:15" x14ac:dyDescent="0.3">
      <c r="B779" s="10"/>
      <c r="I779" s="11"/>
      <c r="K779" s="12"/>
      <c r="L779" s="12"/>
      <c r="M779" s="12"/>
      <c r="N779" s="12"/>
      <c r="O779" s="12"/>
    </row>
    <row r="780" spans="2:15" x14ac:dyDescent="0.3">
      <c r="B780" s="10"/>
      <c r="I780" s="11"/>
      <c r="K780" s="12"/>
      <c r="L780" s="12"/>
      <c r="M780" s="12"/>
      <c r="N780" s="12"/>
      <c r="O780" s="12"/>
    </row>
    <row r="781" spans="2:15" x14ac:dyDescent="0.3">
      <c r="B781" s="10"/>
      <c r="I781" s="11"/>
      <c r="K781" s="12"/>
      <c r="L781" s="12"/>
      <c r="M781" s="12"/>
      <c r="N781" s="12"/>
      <c r="O781" s="12"/>
    </row>
    <row r="782" spans="2:15" x14ac:dyDescent="0.3">
      <c r="B782" s="10"/>
      <c r="I782" s="11"/>
      <c r="K782" s="12"/>
      <c r="L782" s="12"/>
      <c r="M782" s="12"/>
      <c r="N782" s="12"/>
      <c r="O782" s="12"/>
    </row>
    <row r="783" spans="2:15" x14ac:dyDescent="0.3">
      <c r="B783" s="10"/>
      <c r="I783" s="11"/>
      <c r="K783" s="12"/>
      <c r="L783" s="12"/>
      <c r="M783" s="12"/>
      <c r="N783" s="12"/>
      <c r="O783" s="12"/>
    </row>
    <row r="784" spans="2:15" x14ac:dyDescent="0.3">
      <c r="B784" s="10"/>
      <c r="I784" s="11"/>
      <c r="K784" s="12"/>
      <c r="L784" s="12"/>
      <c r="M784" s="12"/>
      <c r="N784" s="12"/>
      <c r="O784" s="12"/>
    </row>
    <row r="785" spans="2:15" x14ac:dyDescent="0.3">
      <c r="B785" s="10"/>
      <c r="I785" s="11"/>
      <c r="K785" s="12"/>
      <c r="L785" s="12"/>
      <c r="M785" s="12"/>
      <c r="N785" s="12"/>
      <c r="O785" s="12"/>
    </row>
    <row r="786" spans="2:15" x14ac:dyDescent="0.3">
      <c r="B786" s="10"/>
      <c r="I786" s="11"/>
      <c r="K786" s="12"/>
      <c r="L786" s="12"/>
      <c r="M786" s="12"/>
      <c r="N786" s="12"/>
      <c r="O786" s="12"/>
    </row>
    <row r="787" spans="2:15" x14ac:dyDescent="0.3">
      <c r="B787" s="10"/>
      <c r="I787" s="11"/>
      <c r="K787" s="12"/>
      <c r="L787" s="12"/>
      <c r="M787" s="12"/>
      <c r="N787" s="12"/>
      <c r="O787" s="12"/>
    </row>
    <row r="788" spans="2:15" x14ac:dyDescent="0.3">
      <c r="B788" s="10"/>
      <c r="I788" s="11"/>
      <c r="K788" s="12"/>
      <c r="L788" s="12"/>
      <c r="M788" s="12"/>
      <c r="N788" s="12"/>
      <c r="O788" s="12"/>
    </row>
    <row r="789" spans="2:15" x14ac:dyDescent="0.3">
      <c r="B789" s="10"/>
      <c r="I789" s="11"/>
      <c r="K789" s="12"/>
      <c r="L789" s="12"/>
      <c r="M789" s="12"/>
      <c r="N789" s="12"/>
      <c r="O789" s="12"/>
    </row>
    <row r="790" spans="2:15" x14ac:dyDescent="0.3">
      <c r="B790" s="10"/>
      <c r="I790" s="11"/>
      <c r="K790" s="12"/>
      <c r="L790" s="12"/>
      <c r="M790" s="12"/>
      <c r="N790" s="12"/>
      <c r="O790" s="12"/>
    </row>
    <row r="791" spans="2:15" x14ac:dyDescent="0.3">
      <c r="B791" s="10"/>
      <c r="I791" s="11"/>
      <c r="K791" s="12"/>
      <c r="L791" s="12"/>
      <c r="M791" s="12"/>
      <c r="N791" s="12"/>
      <c r="O791" s="12"/>
    </row>
    <row r="792" spans="2:15" x14ac:dyDescent="0.3">
      <c r="B792" s="10"/>
      <c r="I792" s="11"/>
      <c r="K792" s="12"/>
      <c r="L792" s="12"/>
      <c r="M792" s="12"/>
      <c r="N792" s="12"/>
      <c r="O792" s="12"/>
    </row>
    <row r="793" spans="2:15" x14ac:dyDescent="0.3">
      <c r="B793" s="10"/>
      <c r="I793" s="11"/>
      <c r="K793" s="12"/>
      <c r="L793" s="12"/>
      <c r="M793" s="12"/>
      <c r="N793" s="12"/>
      <c r="O793" s="12"/>
    </row>
    <row r="794" spans="2:15" x14ac:dyDescent="0.3">
      <c r="B794" s="10"/>
      <c r="I794" s="11"/>
      <c r="K794" s="12"/>
      <c r="L794" s="12"/>
      <c r="M794" s="12"/>
      <c r="N794" s="12"/>
      <c r="O794" s="12"/>
    </row>
    <row r="795" spans="2:15" x14ac:dyDescent="0.3">
      <c r="B795" s="10"/>
      <c r="I795" s="11"/>
      <c r="K795" s="12"/>
      <c r="L795" s="12"/>
      <c r="M795" s="12"/>
      <c r="N795" s="12"/>
      <c r="O795" s="12"/>
    </row>
    <row r="796" spans="2:15" x14ac:dyDescent="0.3">
      <c r="B796" s="10"/>
      <c r="I796" s="11"/>
      <c r="K796" s="12"/>
      <c r="L796" s="12"/>
      <c r="M796" s="12"/>
      <c r="N796" s="12"/>
      <c r="O796" s="12"/>
    </row>
    <row r="797" spans="2:15" x14ac:dyDescent="0.3">
      <c r="B797" s="10"/>
      <c r="I797" s="11"/>
      <c r="K797" s="12"/>
      <c r="L797" s="12"/>
      <c r="M797" s="12"/>
      <c r="N797" s="12"/>
      <c r="O797" s="12"/>
    </row>
    <row r="798" spans="2:15" x14ac:dyDescent="0.3">
      <c r="B798" s="10"/>
      <c r="I798" s="11"/>
      <c r="K798" s="12"/>
      <c r="L798" s="12"/>
      <c r="M798" s="12"/>
      <c r="N798" s="12"/>
      <c r="O798" s="12"/>
    </row>
    <row r="799" spans="2:15" x14ac:dyDescent="0.3">
      <c r="B799" s="10"/>
      <c r="I799" s="11"/>
      <c r="K799" s="12"/>
      <c r="L799" s="12"/>
      <c r="M799" s="12"/>
      <c r="N799" s="12"/>
      <c r="O799" s="12"/>
    </row>
    <row r="800" spans="2:15" x14ac:dyDescent="0.3">
      <c r="B800" s="10"/>
      <c r="I800" s="11"/>
      <c r="K800" s="12"/>
      <c r="L800" s="12"/>
      <c r="M800" s="12"/>
      <c r="N800" s="12"/>
      <c r="O800" s="12"/>
    </row>
    <row r="801" spans="2:15" x14ac:dyDescent="0.3">
      <c r="B801" s="10"/>
      <c r="I801" s="11"/>
      <c r="K801" s="12"/>
      <c r="L801" s="12"/>
      <c r="M801" s="12"/>
      <c r="N801" s="12"/>
      <c r="O801" s="12"/>
    </row>
    <row r="802" spans="2:15" x14ac:dyDescent="0.3">
      <c r="B802" s="10"/>
      <c r="I802" s="11"/>
      <c r="K802" s="12"/>
      <c r="L802" s="12"/>
      <c r="M802" s="12"/>
      <c r="N802" s="12"/>
      <c r="O802" s="12"/>
    </row>
    <row r="803" spans="2:15" x14ac:dyDescent="0.3">
      <c r="B803" s="10"/>
      <c r="I803" s="11"/>
      <c r="K803" s="12"/>
      <c r="L803" s="12"/>
      <c r="M803" s="12"/>
      <c r="N803" s="12"/>
      <c r="O803" s="12"/>
    </row>
    <row r="804" spans="2:15" x14ac:dyDescent="0.3">
      <c r="B804" s="10"/>
      <c r="I804" s="11"/>
      <c r="K804" s="12"/>
      <c r="L804" s="12"/>
      <c r="M804" s="12"/>
      <c r="N804" s="12"/>
      <c r="O804" s="12"/>
    </row>
    <row r="805" spans="2:15" x14ac:dyDescent="0.3">
      <c r="B805" s="10"/>
      <c r="I805" s="11"/>
      <c r="K805" s="12"/>
      <c r="L805" s="12"/>
      <c r="M805" s="12"/>
      <c r="N805" s="12"/>
      <c r="O805" s="12"/>
    </row>
    <row r="806" spans="2:15" x14ac:dyDescent="0.3">
      <c r="B806" s="10"/>
      <c r="I806" s="11"/>
      <c r="K806" s="12"/>
      <c r="L806" s="12"/>
      <c r="M806" s="12"/>
      <c r="N806" s="12"/>
      <c r="O806" s="12"/>
    </row>
    <row r="807" spans="2:15" x14ac:dyDescent="0.3">
      <c r="B807" s="10"/>
      <c r="I807" s="11"/>
      <c r="K807" s="12"/>
      <c r="L807" s="12"/>
      <c r="M807" s="12"/>
      <c r="N807" s="12"/>
      <c r="O807" s="12"/>
    </row>
    <row r="808" spans="2:15" x14ac:dyDescent="0.3">
      <c r="B808" s="10"/>
      <c r="I808" s="11"/>
      <c r="K808" s="12"/>
      <c r="L808" s="12"/>
      <c r="M808" s="12"/>
      <c r="N808" s="12"/>
      <c r="O808" s="12"/>
    </row>
    <row r="809" spans="2:15" x14ac:dyDescent="0.3">
      <c r="B809" s="10"/>
      <c r="I809" s="11"/>
      <c r="K809" s="12"/>
      <c r="L809" s="12"/>
      <c r="M809" s="12"/>
      <c r="N809" s="12"/>
      <c r="O809" s="12"/>
    </row>
    <row r="810" spans="2:15" x14ac:dyDescent="0.3">
      <c r="B810" s="10"/>
      <c r="I810" s="11"/>
      <c r="K810" s="12"/>
      <c r="L810" s="12"/>
      <c r="M810" s="12"/>
      <c r="N810" s="12"/>
      <c r="O810" s="12"/>
    </row>
    <row r="811" spans="2:15" x14ac:dyDescent="0.3">
      <c r="B811" s="10"/>
      <c r="I811" s="11"/>
      <c r="K811" s="12"/>
      <c r="L811" s="12"/>
      <c r="M811" s="12"/>
      <c r="N811" s="12"/>
      <c r="O811" s="12"/>
    </row>
    <row r="812" spans="2:15" x14ac:dyDescent="0.3">
      <c r="B812" s="10"/>
      <c r="I812" s="11"/>
      <c r="K812" s="12"/>
      <c r="L812" s="12"/>
      <c r="M812" s="12"/>
      <c r="N812" s="12"/>
      <c r="O812" s="12"/>
    </row>
    <row r="813" spans="2:15" x14ac:dyDescent="0.3">
      <c r="B813" s="10"/>
      <c r="I813" s="11"/>
      <c r="K813" s="12"/>
      <c r="L813" s="12"/>
      <c r="M813" s="12"/>
      <c r="N813" s="12"/>
      <c r="O813" s="12"/>
    </row>
    <row r="814" spans="2:15" x14ac:dyDescent="0.3">
      <c r="B814" s="10"/>
      <c r="I814" s="11"/>
      <c r="K814" s="12"/>
      <c r="L814" s="12"/>
      <c r="M814" s="12"/>
      <c r="N814" s="12"/>
      <c r="O814" s="12"/>
    </row>
    <row r="815" spans="2:15" x14ac:dyDescent="0.3">
      <c r="B815" s="10"/>
      <c r="I815" s="11"/>
      <c r="K815" s="12"/>
      <c r="L815" s="12"/>
      <c r="M815" s="12"/>
      <c r="N815" s="12"/>
      <c r="O815" s="12"/>
    </row>
    <row r="816" spans="2:15" x14ac:dyDescent="0.3">
      <c r="B816" s="10"/>
      <c r="I816" s="11"/>
      <c r="K816" s="12"/>
      <c r="L816" s="12"/>
      <c r="M816" s="12"/>
      <c r="N816" s="12"/>
      <c r="O816" s="12"/>
    </row>
    <row r="817" spans="2:15" x14ac:dyDescent="0.3">
      <c r="B817" s="10"/>
      <c r="I817" s="11"/>
      <c r="K817" s="12"/>
      <c r="L817" s="12"/>
      <c r="M817" s="12"/>
      <c r="N817" s="12"/>
      <c r="O817" s="12"/>
    </row>
    <row r="818" spans="2:15" x14ac:dyDescent="0.3">
      <c r="B818" s="10"/>
      <c r="I818" s="11"/>
      <c r="K818" s="12"/>
      <c r="L818" s="12"/>
      <c r="M818" s="12"/>
      <c r="N818" s="12"/>
      <c r="O818" s="12"/>
    </row>
    <row r="819" spans="2:15" x14ac:dyDescent="0.3">
      <c r="B819" s="10"/>
      <c r="I819" s="11"/>
      <c r="K819" s="12"/>
      <c r="L819" s="12"/>
      <c r="M819" s="12"/>
      <c r="N819" s="12"/>
      <c r="O819" s="12"/>
    </row>
    <row r="820" spans="2:15" x14ac:dyDescent="0.3">
      <c r="B820" s="10"/>
      <c r="I820" s="11"/>
      <c r="K820" s="12"/>
      <c r="L820" s="12"/>
      <c r="M820" s="12"/>
      <c r="N820" s="12"/>
      <c r="O820" s="12"/>
    </row>
    <row r="821" spans="2:15" x14ac:dyDescent="0.3">
      <c r="B821" s="10"/>
      <c r="I821" s="11"/>
      <c r="K821" s="12"/>
      <c r="L821" s="12"/>
      <c r="M821" s="12"/>
      <c r="N821" s="12"/>
      <c r="O821" s="12"/>
    </row>
    <row r="822" spans="2:15" x14ac:dyDescent="0.3">
      <c r="B822" s="10"/>
      <c r="I822" s="11"/>
      <c r="K822" s="12"/>
      <c r="L822" s="12"/>
      <c r="M822" s="12"/>
      <c r="N822" s="12"/>
      <c r="O822" s="12"/>
    </row>
    <row r="823" spans="2:15" x14ac:dyDescent="0.3">
      <c r="B823" s="10"/>
      <c r="I823" s="11"/>
      <c r="K823" s="12"/>
      <c r="L823" s="12"/>
      <c r="M823" s="12"/>
      <c r="N823" s="12"/>
      <c r="O823" s="12"/>
    </row>
    <row r="824" spans="2:15" x14ac:dyDescent="0.3">
      <c r="B824" s="10"/>
      <c r="I824" s="11"/>
      <c r="K824" s="12"/>
      <c r="L824" s="12"/>
      <c r="M824" s="12"/>
      <c r="N824" s="12"/>
      <c r="O824" s="12"/>
    </row>
    <row r="825" spans="2:15" x14ac:dyDescent="0.3">
      <c r="B825" s="10"/>
      <c r="I825" s="11"/>
      <c r="K825" s="12"/>
      <c r="L825" s="12"/>
      <c r="M825" s="12"/>
      <c r="N825" s="12"/>
      <c r="O825" s="12"/>
    </row>
    <row r="826" spans="2:15" x14ac:dyDescent="0.3">
      <c r="B826" s="10"/>
      <c r="I826" s="11"/>
      <c r="K826" s="12"/>
      <c r="L826" s="12"/>
      <c r="M826" s="12"/>
      <c r="N826" s="12"/>
      <c r="O826" s="12"/>
    </row>
    <row r="827" spans="2:15" x14ac:dyDescent="0.3">
      <c r="B827" s="10"/>
      <c r="I827" s="11"/>
      <c r="K827" s="12"/>
      <c r="L827" s="12"/>
      <c r="M827" s="12"/>
      <c r="N827" s="12"/>
      <c r="O827" s="12"/>
    </row>
    <row r="828" spans="2:15" x14ac:dyDescent="0.3">
      <c r="B828" s="10"/>
      <c r="I828" s="11"/>
      <c r="K828" s="12"/>
      <c r="L828" s="12"/>
      <c r="M828" s="12"/>
      <c r="N828" s="12"/>
      <c r="O828" s="12"/>
    </row>
    <row r="829" spans="2:15" x14ac:dyDescent="0.3">
      <c r="B829" s="10"/>
      <c r="I829" s="11"/>
      <c r="K829" s="12"/>
      <c r="L829" s="12"/>
      <c r="M829" s="12"/>
      <c r="N829" s="12"/>
      <c r="O829" s="12"/>
    </row>
    <row r="830" spans="2:15" x14ac:dyDescent="0.3">
      <c r="B830" s="10"/>
      <c r="I830" s="11"/>
      <c r="K830" s="12"/>
      <c r="L830" s="12"/>
      <c r="M830" s="12"/>
      <c r="N830" s="12"/>
      <c r="O830" s="12"/>
    </row>
    <row r="831" spans="2:15" x14ac:dyDescent="0.3">
      <c r="B831" s="10"/>
      <c r="I831" s="11"/>
      <c r="K831" s="12"/>
      <c r="L831" s="12"/>
      <c r="M831" s="12"/>
      <c r="N831" s="12"/>
      <c r="O831" s="12"/>
    </row>
    <row r="832" spans="2:15" x14ac:dyDescent="0.3">
      <c r="B832" s="10"/>
      <c r="I832" s="11"/>
      <c r="K832" s="12"/>
      <c r="L832" s="12"/>
      <c r="M832" s="12"/>
      <c r="N832" s="12"/>
      <c r="O832" s="12"/>
    </row>
    <row r="833" spans="2:15" x14ac:dyDescent="0.3">
      <c r="B833" s="10"/>
      <c r="I833" s="11"/>
      <c r="K833" s="12"/>
      <c r="L833" s="12"/>
      <c r="M833" s="12"/>
      <c r="N833" s="12"/>
      <c r="O833" s="12"/>
    </row>
    <row r="834" spans="2:15" x14ac:dyDescent="0.3">
      <c r="B834" s="10"/>
      <c r="I834" s="11"/>
      <c r="K834" s="12"/>
      <c r="L834" s="12"/>
      <c r="M834" s="12"/>
      <c r="N834" s="12"/>
      <c r="O834" s="12"/>
    </row>
    <row r="835" spans="2:15" x14ac:dyDescent="0.3">
      <c r="B835" s="10"/>
      <c r="I835" s="11"/>
      <c r="K835" s="12"/>
      <c r="L835" s="12"/>
      <c r="M835" s="12"/>
      <c r="N835" s="12"/>
      <c r="O835" s="12"/>
    </row>
    <row r="836" spans="2:15" x14ac:dyDescent="0.3">
      <c r="B836" s="10"/>
      <c r="I836" s="11"/>
      <c r="K836" s="12"/>
      <c r="L836" s="12"/>
      <c r="M836" s="12"/>
      <c r="N836" s="12"/>
      <c r="O836" s="12"/>
    </row>
    <row r="837" spans="2:15" x14ac:dyDescent="0.3">
      <c r="B837" s="10"/>
      <c r="I837" s="11"/>
      <c r="K837" s="12"/>
      <c r="L837" s="12"/>
      <c r="M837" s="12"/>
      <c r="N837" s="12"/>
      <c r="O837" s="12"/>
    </row>
    <row r="838" spans="2:15" x14ac:dyDescent="0.3">
      <c r="B838" s="10"/>
      <c r="I838" s="11"/>
      <c r="K838" s="12"/>
      <c r="L838" s="12"/>
      <c r="M838" s="12"/>
      <c r="N838" s="12"/>
      <c r="O838" s="12"/>
    </row>
    <row r="839" spans="2:15" x14ac:dyDescent="0.3">
      <c r="B839" s="10"/>
      <c r="I839" s="11"/>
      <c r="K839" s="12"/>
      <c r="L839" s="12"/>
      <c r="M839" s="12"/>
      <c r="N839" s="12"/>
      <c r="O839" s="12"/>
    </row>
    <row r="840" spans="2:15" x14ac:dyDescent="0.3">
      <c r="B840" s="10"/>
      <c r="I840" s="11"/>
      <c r="K840" s="12"/>
      <c r="L840" s="12"/>
      <c r="M840" s="12"/>
      <c r="N840" s="12"/>
      <c r="O840" s="12"/>
    </row>
    <row r="841" spans="2:15" x14ac:dyDescent="0.3">
      <c r="B841" s="10"/>
      <c r="I841" s="11"/>
      <c r="K841" s="12"/>
      <c r="L841" s="12"/>
      <c r="M841" s="12"/>
      <c r="N841" s="12"/>
      <c r="O841" s="12"/>
    </row>
    <row r="842" spans="2:15" x14ac:dyDescent="0.3">
      <c r="B842" s="10"/>
      <c r="I842" s="11"/>
      <c r="K842" s="12"/>
      <c r="L842" s="12"/>
      <c r="M842" s="12"/>
      <c r="N842" s="12"/>
      <c r="O842" s="12"/>
    </row>
    <row r="843" spans="2:15" x14ac:dyDescent="0.3">
      <c r="B843" s="10"/>
      <c r="I843" s="11"/>
      <c r="K843" s="12"/>
      <c r="L843" s="12"/>
      <c r="M843" s="12"/>
      <c r="N843" s="12"/>
      <c r="O843" s="12"/>
    </row>
    <row r="844" spans="2:15" x14ac:dyDescent="0.3">
      <c r="B844" s="10"/>
      <c r="I844" s="11"/>
      <c r="K844" s="12"/>
      <c r="L844" s="12"/>
      <c r="M844" s="12"/>
      <c r="N844" s="12"/>
      <c r="O844" s="12"/>
    </row>
    <row r="845" spans="2:15" x14ac:dyDescent="0.3">
      <c r="B845" s="10"/>
      <c r="I845" s="11"/>
      <c r="K845" s="12"/>
      <c r="L845" s="12"/>
      <c r="M845" s="12"/>
      <c r="N845" s="12"/>
      <c r="O845" s="12"/>
    </row>
    <row r="846" spans="2:15" x14ac:dyDescent="0.3">
      <c r="B846" s="10"/>
      <c r="I846" s="11"/>
      <c r="K846" s="12"/>
      <c r="L846" s="12"/>
      <c r="M846" s="12"/>
      <c r="N846" s="12"/>
      <c r="O846" s="12"/>
    </row>
    <row r="847" spans="2:15" x14ac:dyDescent="0.3">
      <c r="B847" s="10"/>
      <c r="I847" s="11"/>
      <c r="K847" s="12"/>
      <c r="L847" s="12"/>
      <c r="M847" s="12"/>
      <c r="N847" s="12"/>
      <c r="O847" s="12"/>
    </row>
    <row r="848" spans="2:15" x14ac:dyDescent="0.3">
      <c r="B848" s="10"/>
      <c r="I848" s="11"/>
      <c r="K848" s="12"/>
      <c r="L848" s="12"/>
      <c r="M848" s="12"/>
      <c r="N848" s="12"/>
      <c r="O848" s="12"/>
    </row>
    <row r="849" spans="2:15" x14ac:dyDescent="0.3">
      <c r="B849" s="10"/>
      <c r="I849" s="11"/>
      <c r="K849" s="12"/>
      <c r="L849" s="12"/>
      <c r="M849" s="12"/>
      <c r="N849" s="12"/>
      <c r="O849" s="12"/>
    </row>
    <row r="850" spans="2:15" x14ac:dyDescent="0.3">
      <c r="B850" s="10"/>
      <c r="I850" s="11"/>
      <c r="K850" s="12"/>
      <c r="L850" s="12"/>
      <c r="M850" s="12"/>
      <c r="N850" s="12"/>
      <c r="O850" s="12"/>
    </row>
    <row r="851" spans="2:15" x14ac:dyDescent="0.3">
      <c r="B851" s="10"/>
      <c r="I851" s="11"/>
      <c r="K851" s="12"/>
      <c r="L851" s="12"/>
      <c r="M851" s="12"/>
      <c r="N851" s="12"/>
      <c r="O851" s="12"/>
    </row>
    <row r="852" spans="2:15" x14ac:dyDescent="0.3">
      <c r="B852" s="10"/>
      <c r="I852" s="11"/>
      <c r="K852" s="12"/>
      <c r="L852" s="12"/>
      <c r="M852" s="12"/>
      <c r="N852" s="12"/>
      <c r="O852" s="12"/>
    </row>
    <row r="853" spans="2:15" x14ac:dyDescent="0.3">
      <c r="B853" s="10"/>
      <c r="I853" s="11"/>
      <c r="K853" s="12"/>
      <c r="L853" s="12"/>
      <c r="M853" s="12"/>
      <c r="N853" s="12"/>
      <c r="O853" s="12"/>
    </row>
    <row r="854" spans="2:15" x14ac:dyDescent="0.3">
      <c r="B854" s="10"/>
      <c r="I854" s="11"/>
      <c r="K854" s="12"/>
      <c r="L854" s="12"/>
      <c r="M854" s="12"/>
      <c r="N854" s="12"/>
      <c r="O854" s="12"/>
    </row>
    <row r="855" spans="2:15" x14ac:dyDescent="0.3">
      <c r="B855" s="10"/>
      <c r="I855" s="11"/>
      <c r="K855" s="12"/>
      <c r="L855" s="12"/>
      <c r="M855" s="12"/>
      <c r="N855" s="12"/>
      <c r="O855" s="12"/>
    </row>
    <row r="856" spans="2:15" x14ac:dyDescent="0.3">
      <c r="B856" s="10"/>
      <c r="I856" s="11"/>
      <c r="K856" s="12"/>
      <c r="L856" s="12"/>
      <c r="M856" s="12"/>
      <c r="N856" s="12"/>
      <c r="O856" s="12"/>
    </row>
    <row r="857" spans="2:15" x14ac:dyDescent="0.3">
      <c r="B857" s="10"/>
      <c r="I857" s="11"/>
      <c r="K857" s="12"/>
      <c r="L857" s="12"/>
      <c r="M857" s="12"/>
      <c r="N857" s="12"/>
      <c r="O857" s="12"/>
    </row>
    <row r="858" spans="2:15" x14ac:dyDescent="0.3">
      <c r="B858" s="10"/>
      <c r="I858" s="11"/>
      <c r="K858" s="12"/>
      <c r="L858" s="12"/>
      <c r="M858" s="12"/>
      <c r="N858" s="12"/>
      <c r="O858" s="12"/>
    </row>
    <row r="859" spans="2:15" x14ac:dyDescent="0.3">
      <c r="B859" s="10"/>
      <c r="I859" s="11"/>
      <c r="K859" s="12"/>
      <c r="L859" s="12"/>
      <c r="M859" s="12"/>
      <c r="N859" s="12"/>
      <c r="O859" s="12"/>
    </row>
    <row r="860" spans="2:15" x14ac:dyDescent="0.3">
      <c r="B860" s="10"/>
      <c r="I860" s="11"/>
      <c r="K860" s="12"/>
      <c r="L860" s="12"/>
      <c r="M860" s="12"/>
      <c r="N860" s="12"/>
      <c r="O860" s="12"/>
    </row>
    <row r="861" spans="2:15" x14ac:dyDescent="0.3">
      <c r="B861" s="10"/>
      <c r="I861" s="11"/>
      <c r="K861" s="12"/>
      <c r="L861" s="12"/>
      <c r="M861" s="12"/>
      <c r="N861" s="12"/>
      <c r="O861" s="12"/>
    </row>
    <row r="862" spans="2:15" x14ac:dyDescent="0.3">
      <c r="B862" s="10"/>
      <c r="I862" s="11"/>
      <c r="K862" s="12"/>
      <c r="L862" s="12"/>
      <c r="M862" s="12"/>
      <c r="N862" s="12"/>
      <c r="O862" s="12"/>
    </row>
    <row r="863" spans="2:15" x14ac:dyDescent="0.3">
      <c r="B863" s="10"/>
      <c r="I863" s="11"/>
      <c r="K863" s="12"/>
      <c r="L863" s="12"/>
      <c r="M863" s="12"/>
      <c r="N863" s="12"/>
      <c r="O863" s="12"/>
    </row>
    <row r="864" spans="2:15" x14ac:dyDescent="0.3">
      <c r="B864" s="10"/>
      <c r="I864" s="11"/>
      <c r="K864" s="12"/>
      <c r="L864" s="12"/>
      <c r="M864" s="12"/>
      <c r="N864" s="12"/>
      <c r="O864" s="12"/>
    </row>
    <row r="865" spans="2:15" x14ac:dyDescent="0.3">
      <c r="B865" s="10"/>
      <c r="I865" s="11"/>
      <c r="K865" s="12"/>
      <c r="L865" s="12"/>
      <c r="M865" s="12"/>
      <c r="N865" s="12"/>
      <c r="O865" s="12"/>
    </row>
    <row r="866" spans="2:15" x14ac:dyDescent="0.3">
      <c r="B866" s="10"/>
      <c r="I866" s="11"/>
      <c r="K866" s="12"/>
      <c r="L866" s="12"/>
      <c r="M866" s="12"/>
      <c r="N866" s="12"/>
      <c r="O866" s="12"/>
    </row>
    <row r="867" spans="2:15" x14ac:dyDescent="0.3">
      <c r="B867" s="10"/>
      <c r="I867" s="11"/>
      <c r="K867" s="12"/>
      <c r="L867" s="12"/>
      <c r="M867" s="12"/>
      <c r="N867" s="12"/>
      <c r="O867" s="12"/>
    </row>
    <row r="868" spans="2:15" x14ac:dyDescent="0.3">
      <c r="B868" s="10"/>
      <c r="I868" s="11"/>
      <c r="K868" s="12"/>
      <c r="L868" s="12"/>
      <c r="M868" s="12"/>
      <c r="N868" s="12"/>
      <c r="O868" s="12"/>
    </row>
    <row r="869" spans="2:15" x14ac:dyDescent="0.3">
      <c r="B869" s="10"/>
      <c r="I869" s="11"/>
      <c r="K869" s="12"/>
      <c r="L869" s="12"/>
      <c r="M869" s="12"/>
      <c r="N869" s="12"/>
      <c r="O869" s="12"/>
    </row>
    <row r="870" spans="2:15" x14ac:dyDescent="0.3">
      <c r="B870" s="10"/>
      <c r="I870" s="11"/>
      <c r="K870" s="12"/>
      <c r="L870" s="12"/>
      <c r="M870" s="12"/>
      <c r="N870" s="12"/>
      <c r="O870" s="12"/>
    </row>
    <row r="871" spans="2:15" x14ac:dyDescent="0.3">
      <c r="B871" s="10"/>
      <c r="I871" s="11"/>
      <c r="K871" s="12"/>
      <c r="L871" s="12"/>
      <c r="M871" s="12"/>
      <c r="N871" s="12"/>
      <c r="O871" s="12"/>
    </row>
    <row r="872" spans="2:15" x14ac:dyDescent="0.3">
      <c r="B872" s="10"/>
      <c r="I872" s="11"/>
      <c r="K872" s="12"/>
      <c r="L872" s="12"/>
      <c r="M872" s="12"/>
      <c r="N872" s="12"/>
      <c r="O872" s="12"/>
    </row>
    <row r="873" spans="2:15" x14ac:dyDescent="0.3">
      <c r="B873" s="10"/>
      <c r="I873" s="11"/>
      <c r="K873" s="12"/>
      <c r="L873" s="12"/>
      <c r="M873" s="12"/>
      <c r="N873" s="12"/>
      <c r="O873" s="12"/>
    </row>
    <row r="874" spans="2:15" x14ac:dyDescent="0.3">
      <c r="B874" s="10"/>
      <c r="I874" s="11"/>
      <c r="K874" s="12"/>
      <c r="L874" s="12"/>
      <c r="M874" s="12"/>
      <c r="N874" s="12"/>
      <c r="O874" s="12"/>
    </row>
    <row r="875" spans="2:15" x14ac:dyDescent="0.3">
      <c r="B875" s="10"/>
      <c r="I875" s="11"/>
      <c r="K875" s="12"/>
      <c r="L875" s="12"/>
      <c r="M875" s="12"/>
      <c r="N875" s="12"/>
      <c r="O875" s="12"/>
    </row>
    <row r="876" spans="2:15" x14ac:dyDescent="0.3">
      <c r="B876" s="10"/>
      <c r="I876" s="11"/>
      <c r="K876" s="12"/>
      <c r="L876" s="12"/>
      <c r="M876" s="12"/>
      <c r="N876" s="12"/>
      <c r="O876" s="12"/>
    </row>
    <row r="877" spans="2:15" x14ac:dyDescent="0.3">
      <c r="B877" s="10"/>
      <c r="I877" s="11"/>
      <c r="K877" s="12"/>
      <c r="L877" s="12"/>
      <c r="M877" s="12"/>
      <c r="N877" s="12"/>
      <c r="O877" s="12"/>
    </row>
    <row r="878" spans="2:15" x14ac:dyDescent="0.3">
      <c r="B878" s="10"/>
      <c r="I878" s="11"/>
      <c r="K878" s="12"/>
      <c r="L878" s="12"/>
      <c r="M878" s="12"/>
      <c r="N878" s="12"/>
      <c r="O878" s="12"/>
    </row>
    <row r="879" spans="2:15" x14ac:dyDescent="0.3">
      <c r="B879" s="10"/>
      <c r="I879" s="11"/>
      <c r="K879" s="12"/>
      <c r="L879" s="12"/>
      <c r="M879" s="12"/>
      <c r="N879" s="12"/>
      <c r="O879" s="12"/>
    </row>
    <row r="880" spans="2:15" x14ac:dyDescent="0.3">
      <c r="B880" s="10"/>
      <c r="I880" s="11"/>
      <c r="K880" s="12"/>
      <c r="L880" s="12"/>
      <c r="M880" s="12"/>
      <c r="N880" s="12"/>
      <c r="O880" s="12"/>
    </row>
    <row r="881" spans="2:15" x14ac:dyDescent="0.3">
      <c r="B881" s="10"/>
      <c r="I881" s="11"/>
      <c r="K881" s="12"/>
      <c r="L881" s="12"/>
      <c r="M881" s="12"/>
      <c r="N881" s="12"/>
      <c r="O881" s="12"/>
    </row>
    <row r="882" spans="2:15" x14ac:dyDescent="0.3">
      <c r="B882" s="10"/>
      <c r="I882" s="11"/>
      <c r="K882" s="12"/>
      <c r="L882" s="12"/>
      <c r="M882" s="12"/>
      <c r="N882" s="12"/>
      <c r="O882" s="12"/>
    </row>
    <row r="883" spans="2:15" x14ac:dyDescent="0.3">
      <c r="B883" s="10"/>
      <c r="I883" s="11"/>
      <c r="K883" s="12"/>
      <c r="L883" s="12"/>
      <c r="M883" s="12"/>
      <c r="N883" s="12"/>
      <c r="O883" s="12"/>
    </row>
    <row r="884" spans="2:15" x14ac:dyDescent="0.3">
      <c r="B884" s="10"/>
      <c r="I884" s="11"/>
      <c r="K884" s="12"/>
      <c r="L884" s="12"/>
      <c r="M884" s="12"/>
      <c r="N884" s="12"/>
      <c r="O884" s="12"/>
    </row>
    <row r="885" spans="2:15" x14ac:dyDescent="0.3">
      <c r="B885" s="10"/>
      <c r="I885" s="11"/>
      <c r="K885" s="12"/>
      <c r="L885" s="12"/>
      <c r="M885" s="12"/>
      <c r="N885" s="12"/>
      <c r="O885" s="12"/>
    </row>
    <row r="886" spans="2:15" x14ac:dyDescent="0.3">
      <c r="B886" s="10"/>
      <c r="I886" s="11"/>
      <c r="K886" s="12"/>
      <c r="L886" s="12"/>
      <c r="M886" s="12"/>
      <c r="N886" s="12"/>
      <c r="O886" s="12"/>
    </row>
    <row r="887" spans="2:15" x14ac:dyDescent="0.3">
      <c r="B887" s="10"/>
      <c r="I887" s="11"/>
      <c r="K887" s="12"/>
      <c r="L887" s="12"/>
      <c r="M887" s="12"/>
      <c r="N887" s="12"/>
      <c r="O887" s="12"/>
    </row>
    <row r="888" spans="2:15" x14ac:dyDescent="0.3">
      <c r="B888" s="10"/>
      <c r="I888" s="11"/>
      <c r="K888" s="12"/>
      <c r="L888" s="12"/>
      <c r="M888" s="12"/>
      <c r="N888" s="12"/>
      <c r="O888" s="12"/>
    </row>
    <row r="889" spans="2:15" x14ac:dyDescent="0.3">
      <c r="B889" s="10"/>
      <c r="I889" s="11"/>
      <c r="K889" s="12"/>
      <c r="L889" s="12"/>
      <c r="M889" s="12"/>
      <c r="N889" s="12"/>
      <c r="O889" s="12"/>
    </row>
    <row r="890" spans="2:15" x14ac:dyDescent="0.3">
      <c r="B890" s="10"/>
      <c r="I890" s="11"/>
      <c r="K890" s="12"/>
      <c r="L890" s="12"/>
      <c r="M890" s="12"/>
      <c r="N890" s="12"/>
      <c r="O890" s="12"/>
    </row>
    <row r="891" spans="2:15" x14ac:dyDescent="0.3">
      <c r="B891" s="10"/>
      <c r="I891" s="11"/>
      <c r="K891" s="12"/>
      <c r="L891" s="12"/>
      <c r="M891" s="12"/>
      <c r="N891" s="12"/>
      <c r="O891" s="12"/>
    </row>
    <row r="892" spans="2:15" x14ac:dyDescent="0.3">
      <c r="B892" s="10"/>
      <c r="I892" s="11"/>
      <c r="K892" s="12"/>
      <c r="L892" s="12"/>
      <c r="M892" s="12"/>
      <c r="N892" s="12"/>
      <c r="O892" s="12"/>
    </row>
    <row r="893" spans="2:15" x14ac:dyDescent="0.3">
      <c r="B893" s="10"/>
      <c r="I893" s="11"/>
      <c r="K893" s="12"/>
      <c r="L893" s="12"/>
      <c r="M893" s="12"/>
      <c r="N893" s="12"/>
      <c r="O893" s="12"/>
    </row>
    <row r="894" spans="2:15" x14ac:dyDescent="0.3">
      <c r="B894" s="10"/>
      <c r="I894" s="11"/>
      <c r="K894" s="12"/>
      <c r="L894" s="12"/>
      <c r="M894" s="12"/>
      <c r="N894" s="12"/>
      <c r="O894" s="12"/>
    </row>
    <row r="895" spans="2:15" x14ac:dyDescent="0.3">
      <c r="B895" s="10"/>
      <c r="I895" s="11"/>
      <c r="K895" s="12"/>
      <c r="L895" s="12"/>
      <c r="M895" s="12"/>
      <c r="N895" s="12"/>
      <c r="O895" s="12"/>
    </row>
    <row r="896" spans="2:15" x14ac:dyDescent="0.3">
      <c r="B896" s="10"/>
      <c r="I896" s="11"/>
      <c r="K896" s="12"/>
      <c r="L896" s="12"/>
      <c r="M896" s="12"/>
      <c r="N896" s="12"/>
      <c r="O896" s="12"/>
    </row>
    <row r="897" spans="2:15" x14ac:dyDescent="0.3">
      <c r="B897" s="10"/>
      <c r="I897" s="11"/>
      <c r="K897" s="12"/>
      <c r="L897" s="12"/>
      <c r="M897" s="12"/>
      <c r="N897" s="12"/>
      <c r="O897" s="12"/>
    </row>
    <row r="898" spans="2:15" x14ac:dyDescent="0.3">
      <c r="B898" s="10"/>
      <c r="I898" s="11"/>
      <c r="K898" s="12"/>
      <c r="L898" s="12"/>
      <c r="M898" s="12"/>
      <c r="N898" s="12"/>
      <c r="O898" s="12"/>
    </row>
    <row r="899" spans="2:15" x14ac:dyDescent="0.3">
      <c r="B899" s="10"/>
      <c r="I899" s="11"/>
      <c r="K899" s="12"/>
      <c r="L899" s="12"/>
      <c r="M899" s="12"/>
      <c r="N899" s="12"/>
      <c r="O899" s="12"/>
    </row>
    <row r="900" spans="2:15" x14ac:dyDescent="0.3">
      <c r="B900" s="10"/>
      <c r="I900" s="11"/>
      <c r="K900" s="12"/>
      <c r="L900" s="12"/>
      <c r="M900" s="12"/>
      <c r="N900" s="12"/>
      <c r="O900" s="12"/>
    </row>
    <row r="901" spans="2:15" x14ac:dyDescent="0.3">
      <c r="B901" s="10"/>
      <c r="I901" s="11"/>
      <c r="K901" s="12"/>
      <c r="L901" s="12"/>
      <c r="M901" s="12"/>
      <c r="N901" s="12"/>
      <c r="O901" s="12"/>
    </row>
    <row r="902" spans="2:15" x14ac:dyDescent="0.3">
      <c r="B902" s="10"/>
      <c r="I902" s="11"/>
      <c r="K902" s="12"/>
      <c r="L902" s="12"/>
      <c r="M902" s="12"/>
      <c r="N902" s="12"/>
      <c r="O902" s="12"/>
    </row>
    <row r="903" spans="2:15" x14ac:dyDescent="0.3">
      <c r="B903" s="10"/>
      <c r="I903" s="11"/>
      <c r="K903" s="12"/>
      <c r="L903" s="12"/>
      <c r="M903" s="12"/>
      <c r="N903" s="12"/>
      <c r="O903" s="12"/>
    </row>
    <row r="904" spans="2:15" x14ac:dyDescent="0.3">
      <c r="B904" s="10"/>
      <c r="I904" s="11"/>
      <c r="K904" s="12"/>
      <c r="L904" s="12"/>
      <c r="M904" s="12"/>
      <c r="N904" s="12"/>
      <c r="O904" s="12"/>
    </row>
    <row r="905" spans="2:15" x14ac:dyDescent="0.3">
      <c r="B905" s="10"/>
      <c r="I905" s="11"/>
      <c r="K905" s="12"/>
      <c r="L905" s="12"/>
      <c r="M905" s="12"/>
      <c r="N905" s="12"/>
      <c r="O905" s="12"/>
    </row>
    <row r="906" spans="2:15" x14ac:dyDescent="0.3">
      <c r="B906" s="10"/>
      <c r="I906" s="11"/>
      <c r="K906" s="12"/>
      <c r="L906" s="12"/>
      <c r="M906" s="12"/>
      <c r="N906" s="12"/>
      <c r="O906" s="12"/>
    </row>
    <row r="907" spans="2:15" x14ac:dyDescent="0.3">
      <c r="B907" s="10"/>
      <c r="I907" s="11"/>
      <c r="K907" s="12"/>
      <c r="L907" s="12"/>
      <c r="M907" s="12"/>
      <c r="N907" s="12"/>
      <c r="O907" s="12"/>
    </row>
    <row r="908" spans="2:15" x14ac:dyDescent="0.3">
      <c r="B908" s="10"/>
      <c r="I908" s="11"/>
      <c r="K908" s="12"/>
      <c r="L908" s="12"/>
      <c r="M908" s="12"/>
      <c r="N908" s="12"/>
      <c r="O908" s="12"/>
    </row>
    <row r="909" spans="2:15" x14ac:dyDescent="0.3">
      <c r="B909" s="10"/>
      <c r="I909" s="11"/>
      <c r="K909" s="12"/>
      <c r="L909" s="12"/>
      <c r="M909" s="12"/>
      <c r="N909" s="12"/>
      <c r="O909" s="12"/>
    </row>
    <row r="910" spans="2:15" x14ac:dyDescent="0.3">
      <c r="B910" s="10"/>
      <c r="I910" s="11"/>
      <c r="K910" s="12"/>
      <c r="L910" s="12"/>
      <c r="M910" s="12"/>
      <c r="N910" s="12"/>
      <c r="O910" s="12"/>
    </row>
    <row r="911" spans="2:15" x14ac:dyDescent="0.3">
      <c r="B911" s="10"/>
      <c r="I911" s="11"/>
      <c r="K911" s="12"/>
      <c r="L911" s="12"/>
      <c r="M911" s="12"/>
      <c r="N911" s="12"/>
      <c r="O911" s="12"/>
    </row>
    <row r="912" spans="2:15" x14ac:dyDescent="0.3">
      <c r="B912" s="10"/>
      <c r="I912" s="11"/>
      <c r="K912" s="12"/>
      <c r="L912" s="12"/>
      <c r="M912" s="12"/>
      <c r="N912" s="12"/>
      <c r="O912" s="12"/>
    </row>
    <row r="913" spans="2:15" x14ac:dyDescent="0.3">
      <c r="B913" s="10"/>
      <c r="I913" s="11"/>
      <c r="K913" s="12"/>
      <c r="L913" s="12"/>
      <c r="M913" s="12"/>
      <c r="N913" s="12"/>
      <c r="O913" s="12"/>
    </row>
    <row r="914" spans="2:15" x14ac:dyDescent="0.3">
      <c r="B914" s="10"/>
      <c r="I914" s="11"/>
      <c r="K914" s="12"/>
      <c r="L914" s="12"/>
      <c r="M914" s="12"/>
      <c r="N914" s="12"/>
      <c r="O914" s="12"/>
    </row>
    <row r="915" spans="2:15" x14ac:dyDescent="0.3">
      <c r="B915" s="10"/>
      <c r="I915" s="11"/>
      <c r="K915" s="12"/>
      <c r="L915" s="12"/>
      <c r="M915" s="12"/>
      <c r="N915" s="12"/>
      <c r="O915" s="12"/>
    </row>
    <row r="916" spans="2:15" x14ac:dyDescent="0.3">
      <c r="B916" s="10"/>
      <c r="I916" s="11"/>
      <c r="K916" s="12"/>
      <c r="L916" s="12"/>
      <c r="M916" s="12"/>
      <c r="N916" s="12"/>
      <c r="O916" s="12"/>
    </row>
    <row r="917" spans="2:15" x14ac:dyDescent="0.3">
      <c r="B917" s="10"/>
      <c r="I917" s="11"/>
      <c r="K917" s="12"/>
      <c r="L917" s="12"/>
      <c r="M917" s="12"/>
      <c r="N917" s="12"/>
      <c r="O917" s="12"/>
    </row>
    <row r="918" spans="2:15" x14ac:dyDescent="0.3">
      <c r="B918" s="10"/>
      <c r="I918" s="11"/>
      <c r="K918" s="12"/>
      <c r="L918" s="12"/>
      <c r="M918" s="12"/>
      <c r="N918" s="12"/>
      <c r="O918" s="12"/>
    </row>
    <row r="919" spans="2:15" x14ac:dyDescent="0.3">
      <c r="B919" s="10"/>
      <c r="I919" s="11"/>
      <c r="K919" s="12"/>
      <c r="L919" s="12"/>
      <c r="M919" s="12"/>
      <c r="N919" s="12"/>
      <c r="O919" s="12"/>
    </row>
    <row r="920" spans="2:15" x14ac:dyDescent="0.3">
      <c r="B920" s="10"/>
      <c r="I920" s="11"/>
      <c r="K920" s="12"/>
      <c r="L920" s="12"/>
      <c r="M920" s="12"/>
      <c r="N920" s="12"/>
      <c r="O920" s="12"/>
    </row>
    <row r="921" spans="2:15" x14ac:dyDescent="0.3">
      <c r="B921" s="10"/>
      <c r="I921" s="11"/>
      <c r="K921" s="12"/>
      <c r="L921" s="12"/>
      <c r="M921" s="12"/>
      <c r="N921" s="12"/>
      <c r="O921" s="12"/>
    </row>
    <row r="922" spans="2:15" x14ac:dyDescent="0.3">
      <c r="B922" s="10"/>
      <c r="I922" s="11"/>
      <c r="K922" s="12"/>
      <c r="L922" s="12"/>
      <c r="M922" s="12"/>
      <c r="N922" s="12"/>
      <c r="O922" s="12"/>
    </row>
    <row r="923" spans="2:15" x14ac:dyDescent="0.3">
      <c r="B923" s="10"/>
      <c r="I923" s="11"/>
      <c r="K923" s="12"/>
      <c r="L923" s="12"/>
      <c r="M923" s="12"/>
      <c r="N923" s="12"/>
      <c r="O923" s="12"/>
    </row>
    <row r="924" spans="2:15" x14ac:dyDescent="0.3">
      <c r="B924" s="10"/>
      <c r="I924" s="11"/>
      <c r="K924" s="12"/>
      <c r="L924" s="12"/>
      <c r="M924" s="12"/>
      <c r="N924" s="12"/>
      <c r="O924" s="12"/>
    </row>
    <row r="925" spans="2:15" x14ac:dyDescent="0.3">
      <c r="B925" s="10"/>
      <c r="I925" s="11"/>
      <c r="K925" s="12"/>
      <c r="L925" s="12"/>
      <c r="M925" s="12"/>
      <c r="N925" s="12"/>
      <c r="O925" s="12"/>
    </row>
    <row r="926" spans="2:15" x14ac:dyDescent="0.3">
      <c r="B926" s="10"/>
      <c r="I926" s="11"/>
      <c r="K926" s="12"/>
      <c r="L926" s="12"/>
      <c r="M926" s="12"/>
      <c r="N926" s="12"/>
      <c r="O926" s="12"/>
    </row>
    <row r="927" spans="2:15" x14ac:dyDescent="0.3">
      <c r="B927" s="10"/>
      <c r="I927" s="11"/>
      <c r="K927" s="12"/>
      <c r="L927" s="12"/>
      <c r="M927" s="12"/>
      <c r="N927" s="12"/>
      <c r="O927" s="12"/>
    </row>
    <row r="928" spans="2:15" x14ac:dyDescent="0.3">
      <c r="B928" s="10"/>
      <c r="I928" s="11"/>
      <c r="K928" s="12"/>
      <c r="L928" s="12"/>
      <c r="M928" s="12"/>
      <c r="N928" s="12"/>
      <c r="O928" s="12"/>
    </row>
    <row r="929" spans="2:15" x14ac:dyDescent="0.3">
      <c r="B929" s="10"/>
      <c r="I929" s="11"/>
      <c r="K929" s="12"/>
      <c r="L929" s="12"/>
      <c r="M929" s="12"/>
      <c r="N929" s="12"/>
      <c r="O929" s="12"/>
    </row>
    <row r="930" spans="2:15" x14ac:dyDescent="0.3">
      <c r="B930" s="10"/>
      <c r="I930" s="11"/>
      <c r="K930" s="12"/>
      <c r="L930" s="12"/>
      <c r="M930" s="12"/>
      <c r="N930" s="12"/>
      <c r="O930" s="12"/>
    </row>
    <row r="931" spans="2:15" x14ac:dyDescent="0.3">
      <c r="B931" s="10"/>
      <c r="I931" s="11"/>
      <c r="K931" s="12"/>
      <c r="L931" s="12"/>
      <c r="M931" s="12"/>
      <c r="N931" s="12"/>
      <c r="O931" s="12"/>
    </row>
    <row r="932" spans="2:15" x14ac:dyDescent="0.3">
      <c r="B932" s="10"/>
      <c r="I932" s="11"/>
      <c r="K932" s="12"/>
      <c r="L932" s="12"/>
      <c r="M932" s="12"/>
      <c r="N932" s="12"/>
      <c r="O932" s="12"/>
    </row>
    <row r="933" spans="2:15" x14ac:dyDescent="0.3">
      <c r="B933" s="10"/>
      <c r="I933" s="11"/>
      <c r="K933" s="12"/>
      <c r="L933" s="12"/>
      <c r="M933" s="12"/>
      <c r="N933" s="12"/>
      <c r="O933" s="12"/>
    </row>
    <row r="934" spans="2:15" x14ac:dyDescent="0.3">
      <c r="B934" s="10"/>
      <c r="I934" s="11"/>
      <c r="K934" s="12"/>
      <c r="L934" s="12"/>
      <c r="M934" s="12"/>
      <c r="N934" s="12"/>
      <c r="O934" s="12"/>
    </row>
    <row r="935" spans="2:15" x14ac:dyDescent="0.3">
      <c r="B935" s="10"/>
      <c r="I935" s="11"/>
      <c r="K935" s="12"/>
      <c r="L935" s="12"/>
      <c r="M935" s="12"/>
      <c r="N935" s="12"/>
      <c r="O935" s="12"/>
    </row>
    <row r="936" spans="2:15" x14ac:dyDescent="0.3">
      <c r="B936" s="10"/>
      <c r="I936" s="11"/>
      <c r="K936" s="12"/>
      <c r="L936" s="12"/>
      <c r="M936" s="12"/>
      <c r="N936" s="12"/>
      <c r="O936" s="12"/>
    </row>
    <row r="937" spans="2:15" x14ac:dyDescent="0.3">
      <c r="B937" s="10"/>
      <c r="I937" s="11"/>
      <c r="K937" s="12"/>
      <c r="L937" s="12"/>
      <c r="M937" s="12"/>
      <c r="N937" s="12"/>
      <c r="O937" s="12"/>
    </row>
    <row r="938" spans="2:15" x14ac:dyDescent="0.3">
      <c r="B938" s="10"/>
      <c r="I938" s="11"/>
      <c r="K938" s="12"/>
      <c r="L938" s="12"/>
      <c r="M938" s="12"/>
      <c r="N938" s="12"/>
      <c r="O938" s="12"/>
    </row>
    <row r="939" spans="2:15" x14ac:dyDescent="0.3">
      <c r="B939" s="10"/>
      <c r="I939" s="11"/>
      <c r="K939" s="12"/>
      <c r="L939" s="12"/>
      <c r="M939" s="12"/>
      <c r="N939" s="12"/>
      <c r="O939" s="12"/>
    </row>
    <row r="940" spans="2:15" x14ac:dyDescent="0.3">
      <c r="B940" s="10"/>
      <c r="I940" s="11"/>
      <c r="K940" s="12"/>
      <c r="L940" s="12"/>
      <c r="M940" s="12"/>
      <c r="N940" s="12"/>
      <c r="O940" s="12"/>
    </row>
    <row r="941" spans="2:15" x14ac:dyDescent="0.3">
      <c r="B941" s="10"/>
      <c r="I941" s="11"/>
      <c r="K941" s="12"/>
      <c r="L941" s="12"/>
      <c r="M941" s="12"/>
      <c r="N941" s="12"/>
      <c r="O941" s="12"/>
    </row>
    <row r="942" spans="2:15" x14ac:dyDescent="0.3">
      <c r="B942" s="10"/>
      <c r="I942" s="11"/>
      <c r="K942" s="12"/>
      <c r="L942" s="12"/>
      <c r="M942" s="12"/>
      <c r="N942" s="12"/>
      <c r="O942" s="12"/>
    </row>
    <row r="943" spans="2:15" x14ac:dyDescent="0.3">
      <c r="B943" s="10"/>
      <c r="I943" s="11"/>
      <c r="K943" s="12"/>
      <c r="L943" s="12"/>
      <c r="M943" s="12"/>
      <c r="N943" s="12"/>
      <c r="O943" s="12"/>
    </row>
    <row r="944" spans="2:15" x14ac:dyDescent="0.3">
      <c r="B944" s="10"/>
      <c r="I944" s="11"/>
      <c r="K944" s="12"/>
      <c r="L944" s="12"/>
      <c r="M944" s="12"/>
      <c r="N944" s="12"/>
      <c r="O944" s="12"/>
    </row>
    <row r="945" spans="2:15" x14ac:dyDescent="0.3">
      <c r="B945" s="10"/>
      <c r="I945" s="11"/>
      <c r="K945" s="12"/>
      <c r="L945" s="12"/>
      <c r="M945" s="12"/>
      <c r="N945" s="12"/>
      <c r="O945" s="12"/>
    </row>
    <row r="946" spans="2:15" x14ac:dyDescent="0.3">
      <c r="B946" s="10"/>
      <c r="I946" s="11"/>
      <c r="K946" s="12"/>
      <c r="L946" s="12"/>
      <c r="M946" s="12"/>
      <c r="N946" s="12"/>
      <c r="O946" s="12"/>
    </row>
    <row r="947" spans="2:15" x14ac:dyDescent="0.3">
      <c r="B947" s="10"/>
      <c r="I947" s="11"/>
      <c r="K947" s="12"/>
      <c r="L947" s="12"/>
      <c r="M947" s="12"/>
      <c r="N947" s="12"/>
      <c r="O947" s="12"/>
    </row>
    <row r="948" spans="2:15" x14ac:dyDescent="0.3">
      <c r="B948" s="10"/>
      <c r="I948" s="11"/>
      <c r="K948" s="12"/>
      <c r="L948" s="12"/>
      <c r="M948" s="12"/>
      <c r="N948" s="12"/>
      <c r="O948" s="12"/>
    </row>
    <row r="949" spans="2:15" x14ac:dyDescent="0.3">
      <c r="B949" s="10"/>
      <c r="I949" s="11"/>
      <c r="K949" s="12"/>
      <c r="L949" s="12"/>
      <c r="M949" s="12"/>
      <c r="N949" s="12"/>
      <c r="O949" s="12"/>
    </row>
    <row r="950" spans="2:15" x14ac:dyDescent="0.3">
      <c r="B950" s="10"/>
      <c r="I950" s="11"/>
      <c r="K950" s="12"/>
      <c r="L950" s="12"/>
      <c r="M950" s="12"/>
      <c r="N950" s="12"/>
      <c r="O950" s="12"/>
    </row>
    <row r="951" spans="2:15" x14ac:dyDescent="0.3">
      <c r="B951" s="10"/>
      <c r="I951" s="11"/>
      <c r="K951" s="12"/>
      <c r="L951" s="12"/>
      <c r="M951" s="12"/>
      <c r="N951" s="12"/>
      <c r="O951" s="12"/>
    </row>
    <row r="952" spans="2:15" x14ac:dyDescent="0.3">
      <c r="B952" s="10"/>
      <c r="I952" s="11"/>
      <c r="K952" s="12"/>
      <c r="L952" s="12"/>
      <c r="M952" s="12"/>
      <c r="N952" s="12"/>
      <c r="O952" s="12"/>
    </row>
    <row r="953" spans="2:15" x14ac:dyDescent="0.3">
      <c r="B953" s="10"/>
      <c r="I953" s="11"/>
      <c r="K953" s="12"/>
      <c r="L953" s="12"/>
      <c r="M953" s="12"/>
      <c r="N953" s="12"/>
      <c r="O953" s="12"/>
    </row>
    <row r="954" spans="2:15" x14ac:dyDescent="0.3">
      <c r="B954" s="10"/>
      <c r="I954" s="11"/>
      <c r="K954" s="12"/>
      <c r="L954" s="12"/>
      <c r="M954" s="12"/>
      <c r="N954" s="12"/>
      <c r="O954" s="12"/>
    </row>
    <row r="955" spans="2:15" x14ac:dyDescent="0.3">
      <c r="B955" s="10"/>
      <c r="I955" s="11"/>
      <c r="K955" s="12"/>
      <c r="L955" s="12"/>
      <c r="M955" s="12"/>
      <c r="N955" s="12"/>
      <c r="O955" s="12"/>
    </row>
    <row r="956" spans="2:15" x14ac:dyDescent="0.3">
      <c r="B956" s="10"/>
      <c r="I956" s="11"/>
      <c r="K956" s="12"/>
      <c r="L956" s="12"/>
      <c r="M956" s="12"/>
      <c r="N956" s="12"/>
      <c r="O956" s="12"/>
    </row>
    <row r="957" spans="2:15" x14ac:dyDescent="0.3">
      <c r="B957" s="10"/>
      <c r="I957" s="11"/>
      <c r="K957" s="12"/>
      <c r="L957" s="12"/>
      <c r="M957" s="12"/>
      <c r="N957" s="12"/>
      <c r="O957" s="12"/>
    </row>
    <row r="958" spans="2:15" x14ac:dyDescent="0.3">
      <c r="B958" s="10"/>
      <c r="I958" s="11"/>
      <c r="K958" s="12"/>
      <c r="L958" s="12"/>
      <c r="M958" s="12"/>
      <c r="N958" s="12"/>
      <c r="O958" s="12"/>
    </row>
    <row r="959" spans="2:15" x14ac:dyDescent="0.3">
      <c r="B959" s="10"/>
      <c r="I959" s="11"/>
      <c r="K959" s="12"/>
      <c r="L959" s="12"/>
      <c r="M959" s="12"/>
      <c r="N959" s="12"/>
      <c r="O959" s="12"/>
    </row>
    <row r="960" spans="2:15" x14ac:dyDescent="0.3">
      <c r="B960" s="10"/>
      <c r="I960" s="11"/>
      <c r="K960" s="12"/>
      <c r="L960" s="12"/>
      <c r="M960" s="12"/>
      <c r="N960" s="12"/>
      <c r="O960" s="12"/>
    </row>
    <row r="961" spans="2:15" x14ac:dyDescent="0.3">
      <c r="B961" s="10"/>
      <c r="I961" s="11"/>
      <c r="K961" s="12"/>
      <c r="L961" s="12"/>
      <c r="M961" s="12"/>
      <c r="N961" s="12"/>
      <c r="O961" s="12"/>
    </row>
    <row r="962" spans="2:15" x14ac:dyDescent="0.3">
      <c r="B962" s="10"/>
      <c r="I962" s="11"/>
      <c r="K962" s="12"/>
      <c r="L962" s="12"/>
      <c r="M962" s="12"/>
      <c r="N962" s="12"/>
      <c r="O962" s="12"/>
    </row>
    <row r="963" spans="2:15" x14ac:dyDescent="0.3">
      <c r="B963" s="10"/>
      <c r="I963" s="11"/>
      <c r="K963" s="12"/>
      <c r="L963" s="12"/>
      <c r="M963" s="12"/>
      <c r="N963" s="12"/>
      <c r="O963" s="12"/>
    </row>
    <row r="964" spans="2:15" x14ac:dyDescent="0.3">
      <c r="B964" s="10"/>
      <c r="I964" s="11"/>
      <c r="K964" s="12"/>
      <c r="L964" s="12"/>
      <c r="M964" s="12"/>
      <c r="N964" s="12"/>
      <c r="O964" s="12"/>
    </row>
    <row r="965" spans="2:15" x14ac:dyDescent="0.3">
      <c r="B965" s="10"/>
      <c r="I965" s="11"/>
      <c r="K965" s="12"/>
      <c r="L965" s="12"/>
      <c r="M965" s="12"/>
      <c r="N965" s="12"/>
      <c r="O965" s="12"/>
    </row>
    <row r="966" spans="2:15" x14ac:dyDescent="0.3">
      <c r="B966" s="10"/>
      <c r="I966" s="11"/>
      <c r="K966" s="12"/>
      <c r="L966" s="12"/>
      <c r="M966" s="12"/>
      <c r="N966" s="12"/>
      <c r="O966" s="12"/>
    </row>
    <row r="967" spans="2:15" x14ac:dyDescent="0.3">
      <c r="B967" s="10"/>
      <c r="I967" s="11"/>
      <c r="K967" s="12"/>
      <c r="L967" s="12"/>
      <c r="M967" s="12"/>
      <c r="N967" s="12"/>
      <c r="O967" s="12"/>
    </row>
    <row r="968" spans="2:15" x14ac:dyDescent="0.3">
      <c r="B968" s="10"/>
      <c r="I968" s="11"/>
      <c r="K968" s="12"/>
      <c r="L968" s="12"/>
      <c r="M968" s="12"/>
      <c r="N968" s="12"/>
      <c r="O968" s="12"/>
    </row>
    <row r="969" spans="2:15" x14ac:dyDescent="0.3">
      <c r="B969" s="10"/>
      <c r="I969" s="11"/>
      <c r="K969" s="12"/>
      <c r="L969" s="12"/>
      <c r="M969" s="12"/>
      <c r="N969" s="12"/>
      <c r="O969" s="12"/>
    </row>
    <row r="970" spans="2:15" x14ac:dyDescent="0.3">
      <c r="B970" s="10"/>
      <c r="I970" s="11"/>
      <c r="K970" s="12"/>
      <c r="L970" s="12"/>
      <c r="M970" s="12"/>
      <c r="N970" s="12"/>
      <c r="O970" s="12"/>
    </row>
    <row r="971" spans="2:15" x14ac:dyDescent="0.3">
      <c r="B971" s="10"/>
      <c r="I971" s="11"/>
      <c r="K971" s="12"/>
      <c r="L971" s="12"/>
      <c r="M971" s="12"/>
      <c r="N971" s="12"/>
      <c r="O971" s="12"/>
    </row>
    <row r="972" spans="2:15" x14ac:dyDescent="0.3">
      <c r="B972" s="10"/>
      <c r="I972" s="11"/>
      <c r="K972" s="12"/>
      <c r="L972" s="12"/>
      <c r="M972" s="12"/>
      <c r="N972" s="12"/>
      <c r="O972" s="12"/>
    </row>
    <row r="973" spans="2:15" x14ac:dyDescent="0.3">
      <c r="B973" s="10"/>
      <c r="I973" s="11"/>
      <c r="K973" s="12"/>
      <c r="L973" s="12"/>
      <c r="M973" s="12"/>
      <c r="N973" s="12"/>
      <c r="O973" s="12"/>
    </row>
    <row r="974" spans="2:15" x14ac:dyDescent="0.3">
      <c r="B974" s="10"/>
      <c r="I974" s="11"/>
      <c r="K974" s="12"/>
      <c r="L974" s="12"/>
      <c r="M974" s="12"/>
      <c r="N974" s="12"/>
      <c r="O974" s="12"/>
    </row>
    <row r="975" spans="2:15" x14ac:dyDescent="0.3">
      <c r="B975" s="10"/>
      <c r="I975" s="11"/>
      <c r="K975" s="12"/>
      <c r="L975" s="12"/>
      <c r="M975" s="12"/>
      <c r="N975" s="12"/>
      <c r="O975" s="12"/>
    </row>
    <row r="976" spans="2:15" x14ac:dyDescent="0.3">
      <c r="B976" s="10"/>
      <c r="I976" s="11"/>
      <c r="K976" s="12"/>
      <c r="L976" s="12"/>
      <c r="M976" s="12"/>
      <c r="N976" s="12"/>
      <c r="O976" s="12"/>
    </row>
    <row r="977" spans="2:15" x14ac:dyDescent="0.3">
      <c r="B977" s="10"/>
      <c r="I977" s="11"/>
      <c r="K977" s="12"/>
      <c r="L977" s="12"/>
      <c r="M977" s="12"/>
      <c r="N977" s="12"/>
      <c r="O977" s="12"/>
    </row>
    <row r="978" spans="2:15" x14ac:dyDescent="0.3">
      <c r="B978" s="10"/>
      <c r="I978" s="11"/>
      <c r="K978" s="12"/>
      <c r="L978" s="12"/>
      <c r="M978" s="12"/>
      <c r="N978" s="12"/>
      <c r="O978" s="12"/>
    </row>
    <row r="979" spans="2:15" x14ac:dyDescent="0.3">
      <c r="B979" s="10"/>
      <c r="I979" s="11"/>
      <c r="K979" s="12"/>
      <c r="L979" s="12"/>
      <c r="M979" s="12"/>
      <c r="N979" s="12"/>
      <c r="O979" s="12"/>
    </row>
    <row r="980" spans="2:15" x14ac:dyDescent="0.3">
      <c r="B980" s="10"/>
      <c r="I980" s="11"/>
      <c r="K980" s="12"/>
      <c r="L980" s="12"/>
      <c r="M980" s="12"/>
      <c r="N980" s="12"/>
      <c r="O980" s="12"/>
    </row>
    <row r="981" spans="2:15" x14ac:dyDescent="0.3">
      <c r="B981" s="10"/>
      <c r="I981" s="11"/>
      <c r="K981" s="12"/>
      <c r="L981" s="12"/>
      <c r="M981" s="12"/>
      <c r="N981" s="12"/>
      <c r="O981" s="12"/>
    </row>
    <row r="982" spans="2:15" x14ac:dyDescent="0.3">
      <c r="B982" s="10"/>
      <c r="I982" s="11"/>
      <c r="K982" s="12"/>
      <c r="L982" s="12"/>
      <c r="M982" s="12"/>
      <c r="N982" s="12"/>
      <c r="O982" s="12"/>
    </row>
    <row r="983" spans="2:15" x14ac:dyDescent="0.3">
      <c r="B983" s="10"/>
      <c r="I983" s="11"/>
      <c r="K983" s="12"/>
      <c r="L983" s="12"/>
      <c r="M983" s="12"/>
      <c r="N983" s="12"/>
      <c r="O983" s="12"/>
    </row>
    <row r="984" spans="2:15" x14ac:dyDescent="0.3">
      <c r="B984" s="10"/>
      <c r="I984" s="11"/>
      <c r="K984" s="12"/>
      <c r="L984" s="12"/>
      <c r="M984" s="12"/>
      <c r="N984" s="12"/>
      <c r="O984" s="12"/>
    </row>
    <row r="985" spans="2:15" x14ac:dyDescent="0.3">
      <c r="B985" s="10"/>
      <c r="I985" s="11"/>
      <c r="K985" s="12"/>
      <c r="L985" s="12"/>
      <c r="M985" s="12"/>
      <c r="N985" s="12"/>
      <c r="O985" s="12"/>
    </row>
    <row r="986" spans="2:15" x14ac:dyDescent="0.3">
      <c r="B986" s="10"/>
      <c r="I986" s="11"/>
      <c r="K986" s="12"/>
      <c r="L986" s="12"/>
      <c r="M986" s="12"/>
      <c r="N986" s="12"/>
      <c r="O986" s="12"/>
    </row>
    <row r="987" spans="2:15" x14ac:dyDescent="0.3">
      <c r="B987" s="10"/>
      <c r="I987" s="11"/>
      <c r="K987" s="12"/>
      <c r="L987" s="12"/>
      <c r="M987" s="12"/>
      <c r="N987" s="12"/>
      <c r="O987" s="12"/>
    </row>
    <row r="988" spans="2:15" x14ac:dyDescent="0.3">
      <c r="B988" s="10"/>
      <c r="I988" s="11"/>
      <c r="K988" s="12"/>
      <c r="L988" s="12"/>
      <c r="M988" s="12"/>
      <c r="N988" s="12"/>
      <c r="O988" s="12"/>
    </row>
    <row r="989" spans="2:15" x14ac:dyDescent="0.3">
      <c r="B989" s="10"/>
      <c r="I989" s="11"/>
      <c r="K989" s="12"/>
      <c r="L989" s="12"/>
      <c r="M989" s="12"/>
      <c r="N989" s="12"/>
      <c r="O989" s="12"/>
    </row>
    <row r="990" spans="2:15" x14ac:dyDescent="0.3">
      <c r="B990" s="10"/>
      <c r="I990" s="11"/>
      <c r="K990" s="12"/>
      <c r="L990" s="12"/>
      <c r="M990" s="12"/>
      <c r="N990" s="12"/>
      <c r="O990" s="12"/>
    </row>
    <row r="991" spans="2:15" x14ac:dyDescent="0.3">
      <c r="B991" s="10"/>
      <c r="I991" s="11"/>
      <c r="K991" s="12"/>
      <c r="L991" s="12"/>
      <c r="M991" s="12"/>
      <c r="N991" s="12"/>
      <c r="O991" s="12"/>
    </row>
    <row r="992" spans="2:15" x14ac:dyDescent="0.3">
      <c r="B992" s="10"/>
      <c r="I992" s="11"/>
      <c r="K992" s="12"/>
      <c r="L992" s="12"/>
      <c r="M992" s="12"/>
      <c r="N992" s="12"/>
      <c r="O992" s="12"/>
    </row>
    <row r="993" spans="2:15" x14ac:dyDescent="0.3">
      <c r="B993" s="10"/>
      <c r="I993" s="11"/>
      <c r="K993" s="12"/>
      <c r="L993" s="12"/>
      <c r="M993" s="12"/>
      <c r="N993" s="12"/>
      <c r="O993" s="12"/>
    </row>
    <row r="994" spans="2:15" x14ac:dyDescent="0.3">
      <c r="B994" s="10"/>
      <c r="I994" s="11"/>
      <c r="K994" s="12"/>
      <c r="L994" s="12"/>
      <c r="M994" s="12"/>
      <c r="N994" s="12"/>
      <c r="O994" s="12"/>
    </row>
    <row r="995" spans="2:15" x14ac:dyDescent="0.3">
      <c r="B995" s="10"/>
      <c r="I995" s="11"/>
      <c r="K995" s="12"/>
      <c r="L995" s="12"/>
      <c r="M995" s="12"/>
      <c r="N995" s="12"/>
      <c r="O995" s="12"/>
    </row>
    <row r="996" spans="2:15" x14ac:dyDescent="0.3">
      <c r="B996" s="10"/>
      <c r="I996" s="11"/>
      <c r="K996" s="12"/>
      <c r="L996" s="12"/>
      <c r="M996" s="12"/>
      <c r="N996" s="12"/>
      <c r="O996" s="12"/>
    </row>
    <row r="997" spans="2:15" x14ac:dyDescent="0.3">
      <c r="B997" s="10"/>
      <c r="I997" s="11"/>
      <c r="K997" s="12"/>
      <c r="L997" s="12"/>
      <c r="M997" s="12"/>
      <c r="N997" s="12"/>
      <c r="O997" s="12"/>
    </row>
    <row r="998" spans="2:15" x14ac:dyDescent="0.3">
      <c r="B998" s="10"/>
      <c r="I998" s="11"/>
      <c r="K998" s="12"/>
      <c r="L998" s="12"/>
      <c r="M998" s="12"/>
      <c r="N998" s="12"/>
      <c r="O998" s="12"/>
    </row>
    <row r="999" spans="2:15" x14ac:dyDescent="0.3">
      <c r="B999" s="10"/>
      <c r="I999" s="11"/>
      <c r="K999" s="12"/>
      <c r="L999" s="12"/>
      <c r="M999" s="12"/>
      <c r="N999" s="12"/>
      <c r="O999" s="12"/>
    </row>
    <row r="1000" spans="2:15" x14ac:dyDescent="0.3">
      <c r="B1000" s="10"/>
      <c r="I1000" s="11"/>
      <c r="K1000" s="12"/>
      <c r="L1000" s="12"/>
      <c r="M1000" s="12"/>
      <c r="N1000" s="12"/>
      <c r="O1000" s="12"/>
    </row>
    <row r="1001" spans="2:15" x14ac:dyDescent="0.3">
      <c r="B1001" s="10"/>
      <c r="I1001" s="11"/>
      <c r="K1001" s="12"/>
      <c r="L1001" s="12"/>
      <c r="M1001" s="12"/>
      <c r="N1001" s="12"/>
      <c r="O1001" s="12"/>
    </row>
    <row r="1002" spans="2:15" x14ac:dyDescent="0.3">
      <c r="B1002" s="10"/>
      <c r="I1002" s="11"/>
      <c r="K1002" s="12"/>
      <c r="L1002" s="12"/>
      <c r="M1002" s="12"/>
      <c r="N1002" s="12"/>
      <c r="O1002" s="12"/>
    </row>
    <row r="1003" spans="2:15" x14ac:dyDescent="0.3">
      <c r="B1003" s="10"/>
      <c r="I1003" s="11"/>
      <c r="K1003" s="12"/>
      <c r="L1003" s="12"/>
      <c r="M1003" s="12"/>
      <c r="N1003" s="12"/>
      <c r="O1003" s="12"/>
    </row>
    <row r="1004" spans="2:15" x14ac:dyDescent="0.3">
      <c r="B1004" s="10"/>
      <c r="I1004" s="11"/>
      <c r="K1004" s="12"/>
      <c r="L1004" s="12"/>
      <c r="M1004" s="12"/>
      <c r="N1004" s="12"/>
      <c r="O1004" s="12"/>
    </row>
    <row r="1005" spans="2:15" x14ac:dyDescent="0.3">
      <c r="B1005" s="10"/>
      <c r="I1005" s="11"/>
      <c r="K1005" s="12"/>
      <c r="L1005" s="12"/>
      <c r="M1005" s="12"/>
      <c r="N1005" s="12"/>
      <c r="O1005" s="12"/>
    </row>
    <row r="1006" spans="2:15" x14ac:dyDescent="0.3">
      <c r="B1006" s="10"/>
      <c r="I1006" s="11"/>
      <c r="K1006" s="12"/>
      <c r="L1006" s="12"/>
      <c r="M1006" s="12"/>
      <c r="N1006" s="12"/>
      <c r="O1006" s="12"/>
    </row>
    <row r="1007" spans="2:15" x14ac:dyDescent="0.3">
      <c r="B1007" s="10"/>
      <c r="I1007" s="11"/>
      <c r="K1007" s="12"/>
      <c r="L1007" s="12"/>
      <c r="M1007" s="12"/>
      <c r="N1007" s="12"/>
      <c r="O1007" s="12"/>
    </row>
    <row r="1008" spans="2:15" x14ac:dyDescent="0.3">
      <c r="B1008" s="10"/>
      <c r="I1008" s="11"/>
      <c r="K1008" s="12"/>
      <c r="L1008" s="12"/>
      <c r="M1008" s="12"/>
      <c r="N1008" s="12"/>
      <c r="O1008" s="12"/>
    </row>
    <row r="1009" spans="2:15" x14ac:dyDescent="0.3">
      <c r="B1009" s="10"/>
      <c r="I1009" s="11"/>
      <c r="K1009" s="12"/>
      <c r="L1009" s="12"/>
      <c r="M1009" s="12"/>
      <c r="N1009" s="12"/>
      <c r="O1009" s="12"/>
    </row>
    <row r="1010" spans="2:15" x14ac:dyDescent="0.3">
      <c r="B1010" s="10"/>
      <c r="I1010" s="11"/>
      <c r="K1010" s="12"/>
      <c r="L1010" s="12"/>
      <c r="M1010" s="12"/>
      <c r="N1010" s="12"/>
      <c r="O1010" s="12"/>
    </row>
    <row r="1011" spans="2:15" x14ac:dyDescent="0.3">
      <c r="B1011" s="10"/>
      <c r="I1011" s="11"/>
      <c r="K1011" s="12"/>
      <c r="L1011" s="12"/>
      <c r="M1011" s="12"/>
      <c r="N1011" s="12"/>
      <c r="O1011" s="12"/>
    </row>
    <row r="1012" spans="2:15" x14ac:dyDescent="0.3">
      <c r="B1012" s="10"/>
      <c r="I1012" s="11"/>
      <c r="K1012" s="12"/>
      <c r="L1012" s="12"/>
      <c r="M1012" s="12"/>
      <c r="N1012" s="12"/>
      <c r="O1012" s="12"/>
    </row>
    <row r="1013" spans="2:15" x14ac:dyDescent="0.3">
      <c r="B1013" s="10"/>
      <c r="I1013" s="11"/>
      <c r="K1013" s="12"/>
      <c r="L1013" s="12"/>
      <c r="M1013" s="12"/>
      <c r="N1013" s="12"/>
      <c r="O1013" s="12"/>
    </row>
    <row r="1014" spans="2:15" x14ac:dyDescent="0.3">
      <c r="B1014" s="10"/>
      <c r="I1014" s="11"/>
      <c r="K1014" s="12"/>
      <c r="L1014" s="12"/>
      <c r="M1014" s="12"/>
      <c r="N1014" s="12"/>
      <c r="O1014" s="12"/>
    </row>
    <row r="1015" spans="2:15" x14ac:dyDescent="0.3">
      <c r="B1015" s="10"/>
      <c r="I1015" s="11"/>
      <c r="K1015" s="12"/>
      <c r="L1015" s="12"/>
      <c r="M1015" s="12"/>
      <c r="N1015" s="12"/>
      <c r="O1015" s="12"/>
    </row>
    <row r="1016" spans="2:15" x14ac:dyDescent="0.3">
      <c r="B1016" s="10"/>
      <c r="I1016" s="11"/>
      <c r="K1016" s="12"/>
      <c r="L1016" s="12"/>
      <c r="M1016" s="12"/>
      <c r="N1016" s="12"/>
      <c r="O1016" s="12"/>
    </row>
    <row r="1017" spans="2:15" x14ac:dyDescent="0.3">
      <c r="B1017" s="10"/>
      <c r="I1017" s="11"/>
      <c r="K1017" s="12"/>
      <c r="L1017" s="12"/>
      <c r="M1017" s="12"/>
      <c r="N1017" s="12"/>
      <c r="O1017" s="12"/>
    </row>
    <row r="1018" spans="2:15" x14ac:dyDescent="0.3">
      <c r="B1018" s="10"/>
      <c r="I1018" s="11"/>
      <c r="K1018" s="12"/>
      <c r="L1018" s="12"/>
      <c r="M1018" s="12"/>
      <c r="N1018" s="12"/>
      <c r="O1018" s="12"/>
    </row>
    <row r="1019" spans="2:15" x14ac:dyDescent="0.3">
      <c r="B1019" s="10"/>
      <c r="I1019" s="11"/>
      <c r="K1019" s="12"/>
      <c r="L1019" s="12"/>
      <c r="M1019" s="12"/>
      <c r="N1019" s="12"/>
      <c r="O1019" s="12"/>
    </row>
    <row r="1020" spans="2:15" x14ac:dyDescent="0.3">
      <c r="B1020" s="10"/>
      <c r="I1020" s="11"/>
      <c r="K1020" s="12"/>
      <c r="L1020" s="12"/>
      <c r="M1020" s="12"/>
      <c r="N1020" s="12"/>
      <c r="O1020" s="12"/>
    </row>
    <row r="1021" spans="2:15" x14ac:dyDescent="0.3">
      <c r="B1021" s="10"/>
      <c r="I1021" s="11"/>
      <c r="K1021" s="12"/>
      <c r="L1021" s="12"/>
      <c r="M1021" s="12"/>
      <c r="N1021" s="12"/>
      <c r="O1021" s="12"/>
    </row>
    <row r="1022" spans="2:15" x14ac:dyDescent="0.3">
      <c r="B1022" s="10"/>
      <c r="I1022" s="11"/>
      <c r="K1022" s="12"/>
      <c r="L1022" s="12"/>
      <c r="M1022" s="12"/>
      <c r="N1022" s="12"/>
      <c r="O1022" s="12"/>
    </row>
    <row r="1023" spans="2:15" x14ac:dyDescent="0.3">
      <c r="B1023" s="10"/>
      <c r="I1023" s="11"/>
      <c r="K1023" s="12"/>
      <c r="L1023" s="12"/>
      <c r="M1023" s="12"/>
      <c r="N1023" s="12"/>
      <c r="O1023" s="12"/>
    </row>
    <row r="1024" spans="2:15" x14ac:dyDescent="0.3">
      <c r="B1024" s="10"/>
      <c r="I1024" s="11"/>
      <c r="K1024" s="12"/>
      <c r="L1024" s="12"/>
      <c r="M1024" s="12"/>
      <c r="N1024" s="12"/>
      <c r="O1024" s="12"/>
    </row>
    <row r="1025" spans="2:15" x14ac:dyDescent="0.3">
      <c r="B1025" s="10"/>
      <c r="I1025" s="11"/>
      <c r="K1025" s="12"/>
      <c r="L1025" s="12"/>
      <c r="M1025" s="12"/>
      <c r="N1025" s="12"/>
      <c r="O1025" s="12"/>
    </row>
    <row r="1026" spans="2:15" x14ac:dyDescent="0.3">
      <c r="B1026" s="10"/>
      <c r="I1026" s="11"/>
      <c r="K1026" s="12"/>
      <c r="L1026" s="12"/>
      <c r="M1026" s="12"/>
      <c r="N1026" s="12"/>
      <c r="O1026" s="12"/>
    </row>
    <row r="1027" spans="2:15" x14ac:dyDescent="0.3">
      <c r="B1027" s="10"/>
      <c r="I1027" s="11"/>
      <c r="K1027" s="12"/>
      <c r="L1027" s="12"/>
      <c r="M1027" s="12"/>
      <c r="N1027" s="12"/>
      <c r="O1027" s="12"/>
    </row>
    <row r="1028" spans="2:15" x14ac:dyDescent="0.3">
      <c r="B1028" s="10"/>
      <c r="I1028" s="11"/>
      <c r="K1028" s="12"/>
      <c r="L1028" s="12"/>
      <c r="M1028" s="12"/>
      <c r="N1028" s="12"/>
      <c r="O1028" s="12"/>
    </row>
    <row r="1029" spans="2:15" x14ac:dyDescent="0.3">
      <c r="B1029" s="10"/>
      <c r="I1029" s="11"/>
      <c r="K1029" s="12"/>
      <c r="L1029" s="12"/>
      <c r="M1029" s="12"/>
      <c r="N1029" s="12"/>
      <c r="O1029" s="12"/>
    </row>
    <row r="1030" spans="2:15" x14ac:dyDescent="0.3">
      <c r="B1030" s="10"/>
      <c r="I1030" s="11"/>
      <c r="K1030" s="12"/>
      <c r="L1030" s="12"/>
      <c r="M1030" s="12"/>
      <c r="N1030" s="12"/>
      <c r="O1030" s="12"/>
    </row>
    <row r="1031" spans="2:15" x14ac:dyDescent="0.3">
      <c r="B1031" s="10"/>
      <c r="I1031" s="11"/>
      <c r="K1031" s="12"/>
      <c r="L1031" s="12"/>
      <c r="M1031" s="12"/>
      <c r="N1031" s="12"/>
      <c r="O1031" s="12"/>
    </row>
    <row r="1032" spans="2:15" x14ac:dyDescent="0.3">
      <c r="B1032" s="10"/>
      <c r="I1032" s="11"/>
      <c r="K1032" s="12"/>
      <c r="L1032" s="12"/>
      <c r="M1032" s="12"/>
      <c r="N1032" s="12"/>
      <c r="O1032" s="12"/>
    </row>
    <row r="1033" spans="2:15" x14ac:dyDescent="0.3">
      <c r="B1033" s="10"/>
      <c r="I1033" s="11"/>
      <c r="K1033" s="12"/>
      <c r="L1033" s="12"/>
      <c r="M1033" s="12"/>
      <c r="N1033" s="12"/>
      <c r="O1033" s="12"/>
    </row>
    <row r="1034" spans="2:15" x14ac:dyDescent="0.3">
      <c r="B1034" s="10"/>
      <c r="I1034" s="11"/>
      <c r="K1034" s="12"/>
      <c r="L1034" s="12"/>
      <c r="M1034" s="12"/>
      <c r="N1034" s="12"/>
      <c r="O1034" s="12"/>
    </row>
    <row r="1035" spans="2:15" x14ac:dyDescent="0.3">
      <c r="B1035" s="10"/>
      <c r="I1035" s="11"/>
      <c r="K1035" s="12"/>
      <c r="L1035" s="12"/>
      <c r="M1035" s="12"/>
      <c r="N1035" s="12"/>
      <c r="O1035" s="12"/>
    </row>
    <row r="1036" spans="2:15" x14ac:dyDescent="0.3">
      <c r="B1036" s="10"/>
      <c r="I1036" s="11"/>
      <c r="K1036" s="12"/>
      <c r="L1036" s="12"/>
      <c r="M1036" s="12"/>
      <c r="N1036" s="12"/>
      <c r="O1036" s="12"/>
    </row>
    <row r="1037" spans="2:15" x14ac:dyDescent="0.3">
      <c r="B1037" s="10"/>
      <c r="I1037" s="11"/>
      <c r="K1037" s="12"/>
      <c r="L1037" s="12"/>
      <c r="M1037" s="12"/>
      <c r="N1037" s="12"/>
      <c r="O1037" s="12"/>
    </row>
    <row r="1038" spans="2:15" x14ac:dyDescent="0.3">
      <c r="B1038" s="10"/>
      <c r="I1038" s="11"/>
      <c r="K1038" s="12"/>
      <c r="L1038" s="12"/>
      <c r="M1038" s="12"/>
      <c r="N1038" s="12"/>
      <c r="O1038" s="12"/>
    </row>
    <row r="1039" spans="2:15" x14ac:dyDescent="0.3">
      <c r="B1039" s="10"/>
      <c r="I1039" s="11"/>
      <c r="K1039" s="12"/>
      <c r="L1039" s="12"/>
      <c r="M1039" s="12"/>
      <c r="N1039" s="12"/>
      <c r="O1039" s="12"/>
    </row>
    <row r="1040" spans="2:15" x14ac:dyDescent="0.3">
      <c r="B1040" s="10"/>
      <c r="I1040" s="11"/>
      <c r="K1040" s="12"/>
      <c r="L1040" s="12"/>
      <c r="M1040" s="12"/>
      <c r="N1040" s="12"/>
      <c r="O1040" s="12"/>
    </row>
    <row r="1041" spans="2:15" x14ac:dyDescent="0.3">
      <c r="B1041" s="10"/>
      <c r="I1041" s="11"/>
      <c r="K1041" s="12"/>
      <c r="L1041" s="12"/>
      <c r="M1041" s="12"/>
      <c r="N1041" s="12"/>
      <c r="O1041" s="12"/>
    </row>
    <row r="1042" spans="2:15" x14ac:dyDescent="0.3">
      <c r="B1042" s="10"/>
      <c r="I1042" s="11"/>
      <c r="K1042" s="12"/>
      <c r="L1042" s="12"/>
      <c r="M1042" s="12"/>
      <c r="N1042" s="12"/>
      <c r="O1042" s="12"/>
    </row>
    <row r="1043" spans="2:15" x14ac:dyDescent="0.3">
      <c r="B1043" s="10"/>
      <c r="I1043" s="11"/>
      <c r="K1043" s="12"/>
      <c r="L1043" s="12"/>
      <c r="M1043" s="12"/>
      <c r="N1043" s="12"/>
      <c r="O1043" s="12"/>
    </row>
    <row r="1044" spans="2:15" x14ac:dyDescent="0.3">
      <c r="B1044" s="10"/>
      <c r="I1044" s="11"/>
      <c r="K1044" s="12"/>
      <c r="L1044" s="12"/>
      <c r="M1044" s="12"/>
      <c r="N1044" s="12"/>
      <c r="O1044" s="12"/>
    </row>
    <row r="1045" spans="2:15" x14ac:dyDescent="0.3">
      <c r="B1045" s="10"/>
      <c r="I1045" s="11"/>
      <c r="K1045" s="12"/>
      <c r="L1045" s="12"/>
      <c r="M1045" s="12"/>
      <c r="N1045" s="12"/>
      <c r="O1045" s="12"/>
    </row>
    <row r="1046" spans="2:15" x14ac:dyDescent="0.3">
      <c r="B1046" s="10"/>
      <c r="I1046" s="11"/>
      <c r="K1046" s="12"/>
      <c r="L1046" s="12"/>
      <c r="M1046" s="12"/>
      <c r="N1046" s="12"/>
      <c r="O1046" s="12"/>
    </row>
    <row r="1047" spans="2:15" x14ac:dyDescent="0.3">
      <c r="B1047" s="10"/>
      <c r="I1047" s="11"/>
      <c r="K1047" s="12"/>
      <c r="L1047" s="12"/>
      <c r="M1047" s="12"/>
      <c r="N1047" s="12"/>
      <c r="O1047" s="12"/>
    </row>
    <row r="1048" spans="2:15" x14ac:dyDescent="0.3">
      <c r="B1048" s="10"/>
      <c r="I1048" s="11"/>
      <c r="K1048" s="12"/>
      <c r="L1048" s="12"/>
      <c r="M1048" s="12"/>
      <c r="N1048" s="12"/>
      <c r="O1048" s="12"/>
    </row>
    <row r="1049" spans="2:15" x14ac:dyDescent="0.3">
      <c r="B1049" s="10"/>
      <c r="I1049" s="11"/>
      <c r="K1049" s="12"/>
      <c r="L1049" s="12"/>
      <c r="M1049" s="12"/>
      <c r="N1049" s="12"/>
      <c r="O1049" s="12"/>
    </row>
    <row r="1050" spans="2:15" x14ac:dyDescent="0.3">
      <c r="B1050" s="10"/>
      <c r="I1050" s="11"/>
      <c r="K1050" s="12"/>
      <c r="L1050" s="12"/>
      <c r="M1050" s="12"/>
      <c r="N1050" s="12"/>
      <c r="O1050" s="12"/>
    </row>
    <row r="1051" spans="2:15" x14ac:dyDescent="0.3">
      <c r="B1051" s="10"/>
      <c r="I1051" s="11"/>
      <c r="K1051" s="12"/>
      <c r="L1051" s="12"/>
      <c r="M1051" s="12"/>
      <c r="N1051" s="12"/>
      <c r="O1051" s="12"/>
    </row>
    <row r="1052" spans="2:15" x14ac:dyDescent="0.3">
      <c r="B1052" s="10"/>
      <c r="I1052" s="11"/>
      <c r="K1052" s="12"/>
      <c r="L1052" s="12"/>
      <c r="M1052" s="12"/>
      <c r="N1052" s="12"/>
      <c r="O1052" s="12"/>
    </row>
    <row r="1053" spans="2:15" x14ac:dyDescent="0.3">
      <c r="B1053" s="10"/>
      <c r="I1053" s="11"/>
      <c r="K1053" s="12"/>
      <c r="L1053" s="12"/>
      <c r="M1053" s="12"/>
      <c r="N1053" s="12"/>
      <c r="O1053" s="12"/>
    </row>
    <row r="1054" spans="2:15" x14ac:dyDescent="0.3">
      <c r="B1054" s="10"/>
      <c r="I1054" s="11"/>
      <c r="K1054" s="12"/>
      <c r="L1054" s="12"/>
      <c r="M1054" s="12"/>
      <c r="N1054" s="12"/>
      <c r="O1054" s="12"/>
    </row>
    <row r="1055" spans="2:15" x14ac:dyDescent="0.3">
      <c r="B1055" s="10"/>
      <c r="I1055" s="11"/>
      <c r="K1055" s="12"/>
      <c r="L1055" s="12"/>
      <c r="M1055" s="12"/>
      <c r="N1055" s="12"/>
      <c r="O1055" s="12"/>
    </row>
    <row r="1056" spans="2:15" x14ac:dyDescent="0.3">
      <c r="B1056" s="10"/>
      <c r="I1056" s="11"/>
      <c r="K1056" s="12"/>
      <c r="L1056" s="12"/>
      <c r="M1056" s="12"/>
      <c r="N1056" s="12"/>
      <c r="O1056" s="12"/>
    </row>
    <row r="1057" spans="2:15" x14ac:dyDescent="0.3">
      <c r="B1057" s="10"/>
      <c r="I1057" s="11"/>
      <c r="K1057" s="12"/>
      <c r="L1057" s="12"/>
      <c r="M1057" s="12"/>
      <c r="N1057" s="12"/>
      <c r="O1057" s="12"/>
    </row>
    <row r="1058" spans="2:15" x14ac:dyDescent="0.3">
      <c r="B1058" s="10"/>
      <c r="I1058" s="11"/>
      <c r="K1058" s="12"/>
      <c r="L1058" s="12"/>
      <c r="M1058" s="12"/>
      <c r="N1058" s="12"/>
      <c r="O1058" s="12"/>
    </row>
    <row r="1059" spans="2:15" x14ac:dyDescent="0.3">
      <c r="B1059" s="10"/>
      <c r="I1059" s="11"/>
      <c r="K1059" s="12"/>
      <c r="L1059" s="12"/>
      <c r="M1059" s="12"/>
      <c r="N1059" s="12"/>
      <c r="O1059" s="12"/>
    </row>
    <row r="1060" spans="2:15" x14ac:dyDescent="0.3">
      <c r="B1060" s="10"/>
      <c r="I1060" s="11"/>
      <c r="K1060" s="12"/>
      <c r="L1060" s="12"/>
      <c r="M1060" s="12"/>
      <c r="N1060" s="12"/>
      <c r="O1060" s="12"/>
    </row>
    <row r="1061" spans="2:15" x14ac:dyDescent="0.3">
      <c r="B1061" s="10"/>
      <c r="I1061" s="11"/>
      <c r="K1061" s="12"/>
      <c r="L1061" s="12"/>
      <c r="M1061" s="12"/>
      <c r="N1061" s="12"/>
      <c r="O1061" s="12"/>
    </row>
    <row r="1062" spans="2:15" x14ac:dyDescent="0.3">
      <c r="B1062" s="10"/>
      <c r="I1062" s="11"/>
      <c r="K1062" s="12"/>
      <c r="L1062" s="12"/>
      <c r="M1062" s="12"/>
      <c r="N1062" s="12"/>
      <c r="O1062" s="12"/>
    </row>
    <row r="1063" spans="2:15" x14ac:dyDescent="0.3">
      <c r="B1063" s="10"/>
      <c r="I1063" s="11"/>
      <c r="K1063" s="12"/>
      <c r="L1063" s="12"/>
      <c r="M1063" s="12"/>
      <c r="N1063" s="12"/>
      <c r="O1063" s="12"/>
    </row>
    <row r="1064" spans="2:15" x14ac:dyDescent="0.3">
      <c r="B1064" s="10"/>
      <c r="I1064" s="11"/>
      <c r="K1064" s="12"/>
      <c r="L1064" s="12"/>
      <c r="M1064" s="12"/>
      <c r="N1064" s="12"/>
      <c r="O1064" s="12"/>
    </row>
    <row r="1065" spans="2:15" x14ac:dyDescent="0.3">
      <c r="B1065" s="10"/>
      <c r="I1065" s="11"/>
      <c r="K1065" s="12"/>
      <c r="L1065" s="12"/>
      <c r="M1065" s="12"/>
      <c r="N1065" s="12"/>
      <c r="O1065" s="12"/>
    </row>
    <row r="1066" spans="2:15" x14ac:dyDescent="0.3">
      <c r="B1066" s="10"/>
      <c r="I1066" s="11"/>
      <c r="K1066" s="12"/>
      <c r="L1066" s="12"/>
      <c r="M1066" s="12"/>
      <c r="N1066" s="12"/>
      <c r="O1066" s="12"/>
    </row>
    <row r="1067" spans="2:15" x14ac:dyDescent="0.3">
      <c r="B1067" s="10"/>
      <c r="I1067" s="11"/>
      <c r="K1067" s="12"/>
      <c r="L1067" s="12"/>
      <c r="M1067" s="12"/>
      <c r="N1067" s="12"/>
      <c r="O1067" s="12"/>
    </row>
    <row r="1068" spans="2:15" x14ac:dyDescent="0.3">
      <c r="B1068" s="10"/>
      <c r="I1068" s="11"/>
      <c r="K1068" s="12"/>
      <c r="L1068" s="12"/>
      <c r="M1068" s="12"/>
      <c r="N1068" s="12"/>
      <c r="O1068" s="12"/>
    </row>
    <row r="1069" spans="2:15" x14ac:dyDescent="0.3">
      <c r="B1069" s="10"/>
      <c r="I1069" s="11"/>
      <c r="K1069" s="12"/>
      <c r="L1069" s="12"/>
      <c r="M1069" s="12"/>
      <c r="N1069" s="12"/>
      <c r="O1069" s="12"/>
    </row>
    <row r="1070" spans="2:15" x14ac:dyDescent="0.3">
      <c r="B1070" s="10"/>
      <c r="I1070" s="11"/>
      <c r="K1070" s="12"/>
      <c r="L1070" s="12"/>
      <c r="M1070" s="12"/>
      <c r="N1070" s="12"/>
      <c r="O1070" s="12"/>
    </row>
    <row r="1071" spans="2:15" x14ac:dyDescent="0.3">
      <c r="B1071" s="10"/>
      <c r="I1071" s="11"/>
      <c r="K1071" s="12"/>
      <c r="L1071" s="12"/>
      <c r="M1071" s="12"/>
      <c r="N1071" s="12"/>
      <c r="O1071" s="12"/>
    </row>
    <row r="1072" spans="2:15" x14ac:dyDescent="0.3">
      <c r="B1072" s="10"/>
      <c r="I1072" s="11"/>
      <c r="K1072" s="12"/>
      <c r="L1072" s="12"/>
      <c r="M1072" s="12"/>
      <c r="N1072" s="12"/>
      <c r="O1072" s="12"/>
    </row>
    <row r="1073" spans="2:15" x14ac:dyDescent="0.3">
      <c r="B1073" s="10"/>
      <c r="I1073" s="11"/>
      <c r="K1073" s="12"/>
      <c r="L1073" s="12"/>
      <c r="M1073" s="12"/>
      <c r="N1073" s="12"/>
      <c r="O1073" s="12"/>
    </row>
    <row r="1074" spans="2:15" x14ac:dyDescent="0.3">
      <c r="B1074" s="10"/>
      <c r="I1074" s="11"/>
      <c r="K1074" s="12"/>
      <c r="L1074" s="12"/>
      <c r="M1074" s="12"/>
      <c r="N1074" s="12"/>
      <c r="O1074" s="12"/>
    </row>
    <row r="1075" spans="2:15" x14ac:dyDescent="0.3">
      <c r="B1075" s="10"/>
      <c r="I1075" s="11"/>
      <c r="K1075" s="12"/>
      <c r="L1075" s="12"/>
      <c r="M1075" s="12"/>
      <c r="N1075" s="12"/>
      <c r="O1075" s="12"/>
    </row>
    <row r="1076" spans="2:15" x14ac:dyDescent="0.3">
      <c r="B1076" s="10"/>
      <c r="I1076" s="11"/>
      <c r="K1076" s="12"/>
      <c r="L1076" s="12"/>
      <c r="M1076" s="12"/>
      <c r="N1076" s="12"/>
      <c r="O1076" s="12"/>
    </row>
    <row r="1077" spans="2:15" x14ac:dyDescent="0.3">
      <c r="B1077" s="10"/>
      <c r="I1077" s="11"/>
      <c r="K1077" s="12"/>
      <c r="L1077" s="12"/>
      <c r="M1077" s="12"/>
      <c r="N1077" s="12"/>
      <c r="O1077" s="12"/>
    </row>
    <row r="1078" spans="2:15" x14ac:dyDescent="0.3">
      <c r="B1078" s="10"/>
      <c r="I1078" s="11"/>
      <c r="K1078" s="12"/>
      <c r="L1078" s="12"/>
      <c r="M1078" s="12"/>
      <c r="N1078" s="12"/>
      <c r="O1078" s="12"/>
    </row>
    <row r="1079" spans="2:15" x14ac:dyDescent="0.3">
      <c r="B1079" s="10"/>
      <c r="I1079" s="11"/>
      <c r="K1079" s="12"/>
      <c r="L1079" s="12"/>
      <c r="M1079" s="12"/>
      <c r="N1079" s="12"/>
      <c r="O1079" s="12"/>
    </row>
    <row r="1080" spans="2:15" x14ac:dyDescent="0.3">
      <c r="B1080" s="10"/>
      <c r="I1080" s="11"/>
      <c r="K1080" s="12"/>
      <c r="L1080" s="12"/>
      <c r="M1080" s="12"/>
      <c r="N1080" s="12"/>
      <c r="O1080" s="12"/>
    </row>
    <row r="1081" spans="2:15" x14ac:dyDescent="0.3">
      <c r="B1081" s="10"/>
      <c r="I1081" s="11"/>
      <c r="K1081" s="12"/>
      <c r="L1081" s="12"/>
      <c r="M1081" s="12"/>
      <c r="N1081" s="12"/>
      <c r="O1081" s="12"/>
    </row>
    <row r="1082" spans="2:15" x14ac:dyDescent="0.3">
      <c r="B1082" s="10"/>
      <c r="I1082" s="11"/>
      <c r="K1082" s="12"/>
      <c r="L1082" s="12"/>
      <c r="M1082" s="12"/>
      <c r="N1082" s="12"/>
      <c r="O1082" s="12"/>
    </row>
    <row r="1083" spans="2:15" x14ac:dyDescent="0.3">
      <c r="B1083" s="10"/>
      <c r="I1083" s="11"/>
      <c r="K1083" s="12"/>
      <c r="L1083" s="12"/>
      <c r="M1083" s="12"/>
      <c r="N1083" s="12"/>
      <c r="O1083" s="12"/>
    </row>
    <row r="1084" spans="2:15" x14ac:dyDescent="0.3">
      <c r="B1084" s="10"/>
      <c r="I1084" s="11"/>
      <c r="K1084" s="12"/>
      <c r="L1084" s="12"/>
      <c r="M1084" s="12"/>
      <c r="N1084" s="12"/>
      <c r="O1084" s="12"/>
    </row>
    <row r="1085" spans="2:15" x14ac:dyDescent="0.3">
      <c r="B1085" s="10"/>
      <c r="I1085" s="11"/>
      <c r="K1085" s="12"/>
      <c r="L1085" s="12"/>
      <c r="M1085" s="12"/>
      <c r="N1085" s="12"/>
      <c r="O1085" s="12"/>
    </row>
    <row r="1086" spans="2:15" x14ac:dyDescent="0.3">
      <c r="B1086" s="10"/>
      <c r="I1086" s="11"/>
      <c r="K1086" s="12"/>
      <c r="L1086" s="12"/>
      <c r="M1086" s="12"/>
      <c r="N1086" s="12"/>
      <c r="O1086" s="12"/>
    </row>
    <row r="1087" spans="2:15" x14ac:dyDescent="0.3">
      <c r="B1087" s="10"/>
      <c r="I1087" s="11"/>
      <c r="K1087" s="12"/>
      <c r="L1087" s="12"/>
      <c r="M1087" s="12"/>
      <c r="N1087" s="12"/>
      <c r="O1087" s="12"/>
    </row>
    <row r="1088" spans="2:15" x14ac:dyDescent="0.3">
      <c r="B1088" s="10"/>
      <c r="I1088" s="11"/>
      <c r="K1088" s="12"/>
      <c r="L1088" s="12"/>
      <c r="M1088" s="12"/>
      <c r="N1088" s="12"/>
      <c r="O1088" s="12"/>
    </row>
    <row r="1089" spans="2:15" x14ac:dyDescent="0.3">
      <c r="B1089" s="10"/>
      <c r="I1089" s="11"/>
      <c r="K1089" s="12"/>
      <c r="L1089" s="12"/>
      <c r="M1089" s="12"/>
      <c r="N1089" s="12"/>
      <c r="O1089" s="12"/>
    </row>
    <row r="1090" spans="2:15" x14ac:dyDescent="0.3">
      <c r="B1090" s="10"/>
      <c r="I1090" s="11"/>
      <c r="K1090" s="12"/>
      <c r="L1090" s="12"/>
      <c r="M1090" s="12"/>
      <c r="N1090" s="12"/>
      <c r="O1090" s="12"/>
    </row>
    <row r="1091" spans="2:15" x14ac:dyDescent="0.3">
      <c r="B1091" s="10"/>
      <c r="I1091" s="11"/>
      <c r="K1091" s="12"/>
      <c r="L1091" s="12"/>
      <c r="M1091" s="12"/>
      <c r="N1091" s="12"/>
      <c r="O1091" s="12"/>
    </row>
    <row r="1092" spans="2:15" x14ac:dyDescent="0.3">
      <c r="B1092" s="10"/>
      <c r="I1092" s="11"/>
      <c r="K1092" s="12"/>
      <c r="L1092" s="12"/>
      <c r="M1092" s="12"/>
      <c r="N1092" s="12"/>
      <c r="O1092" s="12"/>
    </row>
    <row r="1093" spans="2:15" x14ac:dyDescent="0.3">
      <c r="B1093" s="10"/>
      <c r="I1093" s="11"/>
      <c r="K1093" s="12"/>
      <c r="L1093" s="12"/>
      <c r="M1093" s="12"/>
      <c r="N1093" s="12"/>
      <c r="O1093" s="12"/>
    </row>
    <row r="1094" spans="2:15" x14ac:dyDescent="0.3">
      <c r="B1094" s="10"/>
      <c r="I1094" s="11"/>
      <c r="K1094" s="12"/>
      <c r="L1094" s="12"/>
      <c r="M1094" s="12"/>
      <c r="N1094" s="12"/>
      <c r="O1094" s="12"/>
    </row>
    <row r="1095" spans="2:15" x14ac:dyDescent="0.3">
      <c r="B1095" s="10"/>
      <c r="I1095" s="11"/>
      <c r="K1095" s="12"/>
      <c r="L1095" s="12"/>
      <c r="M1095" s="12"/>
      <c r="N1095" s="12"/>
      <c r="O1095" s="12"/>
    </row>
    <row r="1096" spans="2:15" x14ac:dyDescent="0.3">
      <c r="B1096" s="10"/>
      <c r="I1096" s="11"/>
      <c r="K1096" s="12"/>
      <c r="L1096" s="12"/>
      <c r="M1096" s="12"/>
      <c r="N1096" s="12"/>
      <c r="O1096" s="12"/>
    </row>
    <row r="1097" spans="2:15" x14ac:dyDescent="0.3">
      <c r="B1097" s="10"/>
      <c r="I1097" s="11"/>
      <c r="K1097" s="12"/>
      <c r="L1097" s="12"/>
      <c r="M1097" s="12"/>
      <c r="N1097" s="12"/>
      <c r="O1097" s="12"/>
    </row>
    <row r="1098" spans="2:15" x14ac:dyDescent="0.3">
      <c r="B1098" s="10"/>
      <c r="I1098" s="11"/>
      <c r="K1098" s="12"/>
      <c r="L1098" s="12"/>
      <c r="M1098" s="12"/>
      <c r="N1098" s="12"/>
      <c r="O1098" s="12"/>
    </row>
    <row r="1099" spans="2:15" x14ac:dyDescent="0.3">
      <c r="B1099" s="10"/>
      <c r="I1099" s="11"/>
      <c r="K1099" s="12"/>
      <c r="L1099" s="12"/>
      <c r="M1099" s="12"/>
      <c r="N1099" s="12"/>
      <c r="O1099" s="12"/>
    </row>
    <row r="1100" spans="2:15" x14ac:dyDescent="0.3">
      <c r="B1100" s="10"/>
      <c r="I1100" s="11"/>
      <c r="K1100" s="12"/>
      <c r="L1100" s="12"/>
      <c r="M1100" s="12"/>
      <c r="N1100" s="12"/>
      <c r="O1100" s="12"/>
    </row>
    <row r="1101" spans="2:15" x14ac:dyDescent="0.3">
      <c r="B1101" s="10"/>
      <c r="I1101" s="11"/>
      <c r="K1101" s="12"/>
      <c r="L1101" s="12"/>
      <c r="M1101" s="12"/>
      <c r="N1101" s="12"/>
      <c r="O1101" s="12"/>
    </row>
    <row r="1102" spans="2:15" x14ac:dyDescent="0.3">
      <c r="B1102" s="10"/>
      <c r="I1102" s="11"/>
      <c r="K1102" s="12"/>
      <c r="L1102" s="12"/>
      <c r="M1102" s="12"/>
      <c r="N1102" s="12"/>
      <c r="O1102" s="12"/>
    </row>
    <row r="1103" spans="2:15" x14ac:dyDescent="0.3">
      <c r="B1103" s="10"/>
      <c r="I1103" s="11"/>
      <c r="K1103" s="12"/>
      <c r="L1103" s="12"/>
      <c r="M1103" s="12"/>
      <c r="N1103" s="12"/>
      <c r="O1103" s="12"/>
    </row>
    <row r="1104" spans="2:15" x14ac:dyDescent="0.3">
      <c r="B1104" s="10"/>
      <c r="I1104" s="11"/>
      <c r="K1104" s="12"/>
      <c r="L1104" s="12"/>
      <c r="M1104" s="12"/>
      <c r="N1104" s="12"/>
      <c r="O1104" s="12"/>
    </row>
    <row r="1105" spans="2:15" x14ac:dyDescent="0.3">
      <c r="B1105" s="10"/>
      <c r="I1105" s="11"/>
      <c r="K1105" s="12"/>
      <c r="L1105" s="12"/>
      <c r="M1105" s="12"/>
      <c r="N1105" s="12"/>
      <c r="O1105" s="12"/>
    </row>
    <row r="1106" spans="2:15" x14ac:dyDescent="0.3">
      <c r="B1106" s="10"/>
      <c r="I1106" s="11"/>
      <c r="K1106" s="12"/>
      <c r="L1106" s="12"/>
      <c r="M1106" s="12"/>
      <c r="N1106" s="12"/>
      <c r="O1106" s="12"/>
    </row>
    <row r="1107" spans="2:15" x14ac:dyDescent="0.3">
      <c r="B1107" s="10"/>
      <c r="I1107" s="11"/>
      <c r="K1107" s="12"/>
      <c r="L1107" s="12"/>
      <c r="M1107" s="12"/>
      <c r="N1107" s="12"/>
      <c r="O1107" s="12"/>
    </row>
    <row r="1108" spans="2:15" x14ac:dyDescent="0.3">
      <c r="B1108" s="10"/>
      <c r="I1108" s="11"/>
      <c r="K1108" s="12"/>
      <c r="L1108" s="12"/>
      <c r="M1108" s="12"/>
      <c r="N1108" s="12"/>
      <c r="O1108" s="12"/>
    </row>
    <row r="1109" spans="2:15" x14ac:dyDescent="0.3">
      <c r="B1109" s="10"/>
      <c r="I1109" s="11"/>
      <c r="K1109" s="12"/>
      <c r="L1109" s="12"/>
      <c r="M1109" s="12"/>
      <c r="N1109" s="12"/>
      <c r="O1109" s="12"/>
    </row>
    <row r="1110" spans="2:15" x14ac:dyDescent="0.3">
      <c r="B1110" s="10"/>
      <c r="I1110" s="11"/>
      <c r="K1110" s="12"/>
      <c r="L1110" s="12"/>
      <c r="M1110" s="12"/>
      <c r="N1110" s="12"/>
      <c r="O1110" s="12"/>
    </row>
    <row r="1111" spans="2:15" x14ac:dyDescent="0.3">
      <c r="B1111" s="10"/>
      <c r="I1111" s="11"/>
      <c r="K1111" s="12"/>
      <c r="L1111" s="12"/>
      <c r="M1111" s="12"/>
      <c r="N1111" s="12"/>
      <c r="O1111" s="12"/>
    </row>
    <row r="1112" spans="2:15" x14ac:dyDescent="0.3">
      <c r="B1112" s="10"/>
      <c r="I1112" s="11"/>
      <c r="K1112" s="12"/>
      <c r="L1112" s="12"/>
      <c r="M1112" s="12"/>
      <c r="N1112" s="12"/>
      <c r="O1112" s="12"/>
    </row>
    <row r="1113" spans="2:15" x14ac:dyDescent="0.3">
      <c r="B1113" s="10"/>
      <c r="I1113" s="11"/>
      <c r="K1113" s="12"/>
      <c r="L1113" s="12"/>
      <c r="M1113" s="12"/>
      <c r="N1113" s="12"/>
      <c r="O1113" s="12"/>
    </row>
    <row r="1114" spans="2:15" x14ac:dyDescent="0.3">
      <c r="B1114" s="10"/>
      <c r="I1114" s="11"/>
      <c r="K1114" s="12"/>
      <c r="L1114" s="12"/>
      <c r="M1114" s="12"/>
      <c r="N1114" s="12"/>
      <c r="O1114" s="12"/>
    </row>
    <row r="1115" spans="2:15" x14ac:dyDescent="0.3">
      <c r="B1115" s="10"/>
      <c r="I1115" s="11"/>
      <c r="K1115" s="12"/>
      <c r="L1115" s="12"/>
      <c r="M1115" s="12"/>
      <c r="N1115" s="12"/>
      <c r="O1115" s="12"/>
    </row>
    <row r="1116" spans="2:15" x14ac:dyDescent="0.3">
      <c r="B1116" s="10"/>
      <c r="I1116" s="11"/>
      <c r="K1116" s="12"/>
      <c r="L1116" s="12"/>
      <c r="M1116" s="12"/>
      <c r="N1116" s="12"/>
      <c r="O1116" s="12"/>
    </row>
    <row r="1117" spans="2:15" x14ac:dyDescent="0.3">
      <c r="B1117" s="10"/>
      <c r="I1117" s="11"/>
      <c r="K1117" s="12"/>
      <c r="L1117" s="12"/>
      <c r="M1117" s="12"/>
      <c r="N1117" s="12"/>
      <c r="O1117" s="12"/>
    </row>
    <row r="1118" spans="2:15" x14ac:dyDescent="0.3">
      <c r="B1118" s="10"/>
      <c r="I1118" s="11"/>
      <c r="K1118" s="12"/>
      <c r="L1118" s="12"/>
      <c r="M1118" s="12"/>
      <c r="N1118" s="12"/>
      <c r="O1118" s="12"/>
    </row>
    <row r="1119" spans="2:15" x14ac:dyDescent="0.3">
      <c r="B1119" s="10"/>
      <c r="I1119" s="11"/>
      <c r="K1119" s="12"/>
      <c r="L1119" s="12"/>
      <c r="M1119" s="12"/>
      <c r="N1119" s="12"/>
      <c r="O1119" s="12"/>
    </row>
    <row r="1120" spans="2:15" x14ac:dyDescent="0.3">
      <c r="B1120" s="10"/>
      <c r="I1120" s="11"/>
      <c r="K1120" s="12"/>
      <c r="L1120" s="12"/>
      <c r="M1120" s="12"/>
      <c r="N1120" s="12"/>
      <c r="O1120" s="12"/>
    </row>
    <row r="1121" spans="2:15" x14ac:dyDescent="0.3">
      <c r="B1121" s="10"/>
      <c r="I1121" s="11"/>
      <c r="K1121" s="12"/>
      <c r="L1121" s="12"/>
      <c r="M1121" s="12"/>
      <c r="N1121" s="12"/>
      <c r="O1121" s="12"/>
    </row>
    <row r="1122" spans="2:15" x14ac:dyDescent="0.3">
      <c r="B1122" s="10"/>
      <c r="I1122" s="11"/>
      <c r="K1122" s="12"/>
      <c r="L1122" s="12"/>
      <c r="M1122" s="12"/>
      <c r="N1122" s="12"/>
      <c r="O1122" s="12"/>
    </row>
    <row r="1123" spans="2:15" x14ac:dyDescent="0.3">
      <c r="B1123" s="10"/>
      <c r="I1123" s="11"/>
      <c r="K1123" s="12"/>
      <c r="L1123" s="12"/>
      <c r="M1123" s="12"/>
      <c r="N1123" s="12"/>
      <c r="O1123" s="12"/>
    </row>
    <row r="1124" spans="2:15" x14ac:dyDescent="0.3">
      <c r="B1124" s="10"/>
      <c r="I1124" s="11"/>
      <c r="K1124" s="12"/>
      <c r="L1124" s="12"/>
      <c r="M1124" s="12"/>
      <c r="N1124" s="12"/>
      <c r="O1124" s="12"/>
    </row>
    <row r="1125" spans="2:15" x14ac:dyDescent="0.3">
      <c r="B1125" s="10"/>
      <c r="I1125" s="11"/>
      <c r="K1125" s="12"/>
      <c r="L1125" s="12"/>
      <c r="M1125" s="12"/>
      <c r="N1125" s="12"/>
      <c r="O1125" s="12"/>
    </row>
    <row r="1126" spans="2:15" x14ac:dyDescent="0.3">
      <c r="B1126" s="10"/>
      <c r="I1126" s="11"/>
      <c r="K1126" s="12"/>
      <c r="L1126" s="12"/>
      <c r="M1126" s="12"/>
      <c r="N1126" s="12"/>
      <c r="O1126" s="12"/>
    </row>
    <row r="1127" spans="2:15" x14ac:dyDescent="0.3">
      <c r="B1127" s="10"/>
      <c r="I1127" s="11"/>
      <c r="K1127" s="12"/>
      <c r="L1127" s="12"/>
      <c r="M1127" s="12"/>
      <c r="N1127" s="12"/>
      <c r="O1127" s="12"/>
    </row>
    <row r="1128" spans="2:15" x14ac:dyDescent="0.3">
      <c r="B1128" s="10"/>
      <c r="I1128" s="11"/>
      <c r="K1128" s="12"/>
      <c r="L1128" s="12"/>
      <c r="M1128" s="12"/>
      <c r="N1128" s="12"/>
      <c r="O1128" s="12"/>
    </row>
    <row r="1129" spans="2:15" x14ac:dyDescent="0.3">
      <c r="B1129" s="10"/>
      <c r="I1129" s="11"/>
      <c r="K1129" s="12"/>
      <c r="L1129" s="12"/>
      <c r="M1129" s="12"/>
      <c r="N1129" s="12"/>
      <c r="O1129" s="12"/>
    </row>
    <row r="1130" spans="2:15" x14ac:dyDescent="0.3">
      <c r="B1130" s="10"/>
      <c r="I1130" s="11"/>
      <c r="K1130" s="12"/>
      <c r="L1130" s="12"/>
      <c r="M1130" s="12"/>
      <c r="N1130" s="12"/>
      <c r="O1130" s="12"/>
    </row>
    <row r="1131" spans="2:15" x14ac:dyDescent="0.3">
      <c r="B1131" s="10"/>
      <c r="I1131" s="11"/>
      <c r="K1131" s="12"/>
      <c r="L1131" s="12"/>
      <c r="M1131" s="12"/>
      <c r="N1131" s="12"/>
      <c r="O1131" s="12"/>
    </row>
    <row r="1132" spans="2:15" x14ac:dyDescent="0.3">
      <c r="B1132" s="10"/>
      <c r="I1132" s="11"/>
      <c r="K1132" s="12"/>
      <c r="L1132" s="12"/>
      <c r="M1132" s="12"/>
      <c r="N1132" s="12"/>
      <c r="O1132" s="12"/>
    </row>
    <row r="1133" spans="2:15" x14ac:dyDescent="0.3">
      <c r="B1133" s="10"/>
      <c r="I1133" s="11"/>
      <c r="K1133" s="12"/>
      <c r="L1133" s="12"/>
      <c r="M1133" s="12"/>
      <c r="N1133" s="12"/>
      <c r="O1133" s="12"/>
    </row>
    <row r="1134" spans="2:15" x14ac:dyDescent="0.3">
      <c r="B1134" s="10"/>
      <c r="I1134" s="11"/>
      <c r="K1134" s="12"/>
      <c r="L1134" s="12"/>
      <c r="M1134" s="12"/>
      <c r="N1134" s="12"/>
      <c r="O1134" s="12"/>
    </row>
    <row r="1135" spans="2:15" x14ac:dyDescent="0.3">
      <c r="B1135" s="10"/>
      <c r="I1135" s="11"/>
      <c r="K1135" s="12"/>
      <c r="L1135" s="12"/>
      <c r="M1135" s="12"/>
      <c r="N1135" s="12"/>
      <c r="O1135" s="12"/>
    </row>
    <row r="1136" spans="2:15" x14ac:dyDescent="0.3">
      <c r="B1136" s="10"/>
      <c r="I1136" s="11"/>
      <c r="K1136" s="12"/>
      <c r="L1136" s="12"/>
      <c r="M1136" s="12"/>
      <c r="N1136" s="12"/>
      <c r="O1136" s="12"/>
    </row>
    <row r="1137" spans="2:15" x14ac:dyDescent="0.3">
      <c r="B1137" s="10"/>
      <c r="I1137" s="11"/>
      <c r="K1137" s="12"/>
      <c r="L1137" s="12"/>
      <c r="M1137" s="12"/>
      <c r="N1137" s="12"/>
      <c r="O1137" s="12"/>
    </row>
    <row r="1138" spans="2:15" x14ac:dyDescent="0.3">
      <c r="B1138" s="10"/>
      <c r="I1138" s="11"/>
      <c r="K1138" s="12"/>
      <c r="L1138" s="12"/>
      <c r="M1138" s="12"/>
      <c r="N1138" s="12"/>
      <c r="O1138" s="12"/>
    </row>
    <row r="1139" spans="2:15" x14ac:dyDescent="0.3">
      <c r="B1139" s="10"/>
      <c r="I1139" s="11"/>
      <c r="K1139" s="12"/>
      <c r="L1139" s="12"/>
      <c r="M1139" s="12"/>
      <c r="N1139" s="12"/>
      <c r="O1139" s="12"/>
    </row>
    <row r="1140" spans="2:15" x14ac:dyDescent="0.3">
      <c r="B1140" s="10"/>
      <c r="I1140" s="11"/>
      <c r="K1140" s="12"/>
      <c r="L1140" s="12"/>
      <c r="M1140" s="12"/>
      <c r="N1140" s="12"/>
      <c r="O1140" s="12"/>
    </row>
    <row r="1141" spans="2:15" x14ac:dyDescent="0.3">
      <c r="B1141" s="10"/>
      <c r="I1141" s="11"/>
      <c r="K1141" s="12"/>
      <c r="L1141" s="12"/>
      <c r="M1141" s="12"/>
      <c r="N1141" s="12"/>
      <c r="O1141" s="12"/>
    </row>
    <row r="1142" spans="2:15" x14ac:dyDescent="0.3">
      <c r="B1142" s="10"/>
      <c r="I1142" s="11"/>
      <c r="K1142" s="12"/>
      <c r="L1142" s="12"/>
      <c r="M1142" s="12"/>
      <c r="N1142" s="12"/>
      <c r="O1142" s="12"/>
    </row>
    <row r="1143" spans="2:15" x14ac:dyDescent="0.3">
      <c r="B1143" s="10"/>
      <c r="I1143" s="11"/>
      <c r="K1143" s="12"/>
      <c r="L1143" s="12"/>
      <c r="M1143" s="12"/>
      <c r="N1143" s="12"/>
      <c r="O1143" s="12"/>
    </row>
    <row r="1144" spans="2:15" x14ac:dyDescent="0.3">
      <c r="B1144" s="10"/>
      <c r="I1144" s="11"/>
      <c r="K1144" s="12"/>
      <c r="L1144" s="12"/>
      <c r="M1144" s="12"/>
      <c r="N1144" s="12"/>
      <c r="O1144" s="12"/>
    </row>
    <row r="1145" spans="2:15" x14ac:dyDescent="0.3">
      <c r="B1145" s="10"/>
      <c r="I1145" s="11"/>
      <c r="K1145" s="12"/>
      <c r="L1145" s="12"/>
      <c r="M1145" s="12"/>
      <c r="N1145" s="12"/>
      <c r="O1145" s="12"/>
    </row>
    <row r="1146" spans="2:15" x14ac:dyDescent="0.3">
      <c r="B1146" s="10"/>
      <c r="I1146" s="11"/>
      <c r="K1146" s="12"/>
      <c r="L1146" s="12"/>
      <c r="M1146" s="12"/>
      <c r="N1146" s="12"/>
      <c r="O1146" s="12"/>
    </row>
    <row r="1147" spans="2:15" x14ac:dyDescent="0.3">
      <c r="B1147" s="10"/>
      <c r="I1147" s="11"/>
      <c r="K1147" s="12"/>
      <c r="L1147" s="12"/>
      <c r="M1147" s="12"/>
      <c r="N1147" s="12"/>
      <c r="O1147" s="12"/>
    </row>
    <row r="1148" spans="2:15" x14ac:dyDescent="0.3">
      <c r="B1148" s="10"/>
      <c r="I1148" s="11"/>
      <c r="K1148" s="12"/>
      <c r="L1148" s="12"/>
      <c r="M1148" s="12"/>
      <c r="N1148" s="12"/>
      <c r="O1148" s="12"/>
    </row>
    <row r="1149" spans="2:15" x14ac:dyDescent="0.3">
      <c r="B1149" s="10"/>
      <c r="I1149" s="11"/>
      <c r="K1149" s="12"/>
      <c r="L1149" s="12"/>
      <c r="M1149" s="12"/>
      <c r="N1149" s="12"/>
      <c r="O1149" s="12"/>
    </row>
    <row r="1150" spans="2:15" x14ac:dyDescent="0.3">
      <c r="B1150" s="10"/>
      <c r="I1150" s="11"/>
      <c r="K1150" s="12"/>
      <c r="L1150" s="12"/>
      <c r="M1150" s="12"/>
      <c r="N1150" s="12"/>
      <c r="O1150" s="12"/>
    </row>
    <row r="1151" spans="2:15" x14ac:dyDescent="0.3">
      <c r="B1151" s="10"/>
      <c r="I1151" s="11"/>
      <c r="K1151" s="12"/>
      <c r="L1151" s="12"/>
      <c r="M1151" s="12"/>
      <c r="N1151" s="12"/>
      <c r="O1151" s="12"/>
    </row>
    <row r="1152" spans="2:15" x14ac:dyDescent="0.3">
      <c r="B1152" s="10"/>
      <c r="I1152" s="11"/>
      <c r="K1152" s="12"/>
      <c r="L1152" s="12"/>
      <c r="M1152" s="12"/>
      <c r="N1152" s="12"/>
      <c r="O1152" s="12"/>
    </row>
    <row r="1153" spans="2:15" x14ac:dyDescent="0.3">
      <c r="B1153" s="10"/>
      <c r="I1153" s="11"/>
      <c r="K1153" s="12"/>
      <c r="L1153" s="12"/>
      <c r="M1153" s="12"/>
      <c r="N1153" s="12"/>
      <c r="O1153" s="12"/>
    </row>
    <row r="1154" spans="2:15" x14ac:dyDescent="0.3">
      <c r="B1154" s="10"/>
      <c r="I1154" s="11"/>
      <c r="K1154" s="12"/>
      <c r="L1154" s="12"/>
      <c r="M1154" s="12"/>
      <c r="N1154" s="12"/>
      <c r="O1154" s="12"/>
    </row>
    <row r="1155" spans="2:15" x14ac:dyDescent="0.3">
      <c r="B1155" s="10"/>
      <c r="I1155" s="11"/>
      <c r="K1155" s="12"/>
      <c r="L1155" s="12"/>
      <c r="M1155" s="12"/>
      <c r="N1155" s="12"/>
      <c r="O1155" s="12"/>
    </row>
    <row r="1156" spans="2:15" x14ac:dyDescent="0.3">
      <c r="B1156" s="10"/>
      <c r="I1156" s="11"/>
      <c r="K1156" s="12"/>
      <c r="L1156" s="12"/>
      <c r="M1156" s="12"/>
      <c r="N1156" s="12"/>
      <c r="O1156" s="12"/>
    </row>
    <row r="1157" spans="2:15" x14ac:dyDescent="0.3">
      <c r="B1157" s="10"/>
      <c r="I1157" s="11"/>
      <c r="K1157" s="12"/>
      <c r="L1157" s="12"/>
      <c r="M1157" s="12"/>
      <c r="N1157" s="12"/>
      <c r="O1157" s="12"/>
    </row>
    <row r="1158" spans="2:15" x14ac:dyDescent="0.3">
      <c r="B1158" s="10"/>
      <c r="I1158" s="11"/>
      <c r="K1158" s="12"/>
      <c r="L1158" s="12"/>
      <c r="M1158" s="12"/>
      <c r="N1158" s="12"/>
      <c r="O1158" s="12"/>
    </row>
    <row r="1159" spans="2:15" x14ac:dyDescent="0.3">
      <c r="B1159" s="10"/>
      <c r="I1159" s="11"/>
      <c r="K1159" s="12"/>
      <c r="L1159" s="12"/>
      <c r="M1159" s="12"/>
      <c r="N1159" s="12"/>
      <c r="O1159" s="12"/>
    </row>
    <row r="1160" spans="2:15" x14ac:dyDescent="0.3">
      <c r="B1160" s="10"/>
      <c r="I1160" s="11"/>
      <c r="K1160" s="12"/>
      <c r="L1160" s="12"/>
      <c r="M1160" s="12"/>
      <c r="N1160" s="12"/>
      <c r="O1160" s="12"/>
    </row>
    <row r="1161" spans="2:15" x14ac:dyDescent="0.3">
      <c r="B1161" s="10"/>
      <c r="I1161" s="11"/>
      <c r="K1161" s="12"/>
      <c r="L1161" s="12"/>
      <c r="M1161" s="12"/>
      <c r="N1161" s="12"/>
      <c r="O1161" s="12"/>
    </row>
    <row r="1162" spans="2:15" x14ac:dyDescent="0.3">
      <c r="B1162" s="10"/>
      <c r="I1162" s="11"/>
      <c r="K1162" s="12"/>
      <c r="L1162" s="12"/>
      <c r="M1162" s="12"/>
      <c r="N1162" s="12"/>
      <c r="O1162" s="12"/>
    </row>
    <row r="1163" spans="2:15" x14ac:dyDescent="0.3">
      <c r="B1163" s="10"/>
      <c r="I1163" s="11"/>
      <c r="K1163" s="12"/>
      <c r="L1163" s="12"/>
      <c r="M1163" s="12"/>
      <c r="N1163" s="12"/>
      <c r="O1163" s="12"/>
    </row>
    <row r="1164" spans="2:15" x14ac:dyDescent="0.3">
      <c r="B1164" s="10"/>
      <c r="I1164" s="11"/>
      <c r="K1164" s="12"/>
      <c r="L1164" s="12"/>
      <c r="M1164" s="12"/>
      <c r="N1164" s="12"/>
      <c r="O1164" s="12"/>
    </row>
    <row r="1165" spans="2:15" x14ac:dyDescent="0.3">
      <c r="B1165" s="10"/>
      <c r="I1165" s="11"/>
      <c r="K1165" s="12"/>
      <c r="L1165" s="12"/>
      <c r="M1165" s="12"/>
      <c r="N1165" s="12"/>
      <c r="O1165" s="12"/>
    </row>
    <row r="1166" spans="2:15" x14ac:dyDescent="0.3">
      <c r="B1166" s="10"/>
      <c r="I1166" s="11"/>
      <c r="K1166" s="12"/>
      <c r="L1166" s="12"/>
      <c r="M1166" s="12"/>
      <c r="N1166" s="12"/>
      <c r="O1166" s="12"/>
    </row>
    <row r="1167" spans="2:15" x14ac:dyDescent="0.3">
      <c r="B1167" s="10"/>
      <c r="I1167" s="11"/>
      <c r="K1167" s="12"/>
      <c r="L1167" s="12"/>
      <c r="M1167" s="12"/>
      <c r="N1167" s="12"/>
      <c r="O1167" s="12"/>
    </row>
    <row r="1168" spans="2:15" x14ac:dyDescent="0.3">
      <c r="B1168" s="10"/>
      <c r="I1168" s="11"/>
      <c r="K1168" s="12"/>
      <c r="L1168" s="12"/>
      <c r="M1168" s="12"/>
      <c r="N1168" s="12"/>
      <c r="O1168" s="12"/>
    </row>
    <row r="1169" spans="2:15" x14ac:dyDescent="0.3">
      <c r="B1169" s="10"/>
      <c r="I1169" s="11"/>
      <c r="K1169" s="12"/>
      <c r="L1169" s="12"/>
      <c r="M1169" s="12"/>
      <c r="N1169" s="12"/>
      <c r="O1169" s="12"/>
    </row>
    <row r="1170" spans="2:15" x14ac:dyDescent="0.3">
      <c r="B1170" s="10"/>
      <c r="I1170" s="11"/>
      <c r="K1170" s="12"/>
      <c r="L1170" s="12"/>
      <c r="M1170" s="12"/>
      <c r="N1170" s="12"/>
      <c r="O1170" s="12"/>
    </row>
    <row r="1171" spans="2:15" x14ac:dyDescent="0.3">
      <c r="B1171" s="10"/>
      <c r="I1171" s="11"/>
      <c r="K1171" s="12"/>
      <c r="L1171" s="12"/>
      <c r="M1171" s="12"/>
      <c r="N1171" s="12"/>
      <c r="O1171" s="12"/>
    </row>
    <row r="1172" spans="2:15" x14ac:dyDescent="0.3">
      <c r="B1172" s="10"/>
      <c r="I1172" s="11"/>
      <c r="K1172" s="12"/>
      <c r="L1172" s="12"/>
      <c r="M1172" s="12"/>
      <c r="N1172" s="12"/>
      <c r="O1172" s="12"/>
    </row>
    <row r="1173" spans="2:15" x14ac:dyDescent="0.3">
      <c r="B1173" s="10"/>
      <c r="I1173" s="11"/>
      <c r="K1173" s="12"/>
      <c r="L1173" s="12"/>
      <c r="M1173" s="12"/>
      <c r="N1173" s="12"/>
      <c r="O1173" s="12"/>
    </row>
    <row r="1174" spans="2:15" x14ac:dyDescent="0.3">
      <c r="B1174" s="10"/>
      <c r="I1174" s="11"/>
      <c r="K1174" s="12"/>
      <c r="L1174" s="12"/>
      <c r="M1174" s="12"/>
      <c r="N1174" s="12"/>
      <c r="O1174" s="12"/>
    </row>
    <row r="1175" spans="2:15" x14ac:dyDescent="0.3">
      <c r="B1175" s="10"/>
      <c r="I1175" s="11"/>
      <c r="K1175" s="12"/>
      <c r="L1175" s="12"/>
      <c r="M1175" s="12"/>
      <c r="N1175" s="12"/>
      <c r="O1175" s="12"/>
    </row>
    <row r="1176" spans="2:15" x14ac:dyDescent="0.3">
      <c r="B1176" s="10"/>
      <c r="I1176" s="11"/>
      <c r="K1176" s="12"/>
      <c r="L1176" s="12"/>
      <c r="M1176" s="12"/>
      <c r="N1176" s="12"/>
      <c r="O1176" s="12"/>
    </row>
    <row r="1177" spans="2:15" x14ac:dyDescent="0.3">
      <c r="B1177" s="10"/>
      <c r="I1177" s="11"/>
      <c r="K1177" s="12"/>
      <c r="L1177" s="12"/>
      <c r="M1177" s="12"/>
      <c r="N1177" s="12"/>
      <c r="O1177" s="12"/>
    </row>
    <row r="1178" spans="2:15" x14ac:dyDescent="0.3">
      <c r="B1178" s="10"/>
      <c r="I1178" s="11"/>
      <c r="K1178" s="12"/>
      <c r="L1178" s="12"/>
      <c r="M1178" s="12"/>
      <c r="N1178" s="12"/>
      <c r="O1178" s="12"/>
    </row>
    <row r="1179" spans="2:15" x14ac:dyDescent="0.3">
      <c r="B1179" s="10"/>
      <c r="I1179" s="11"/>
      <c r="K1179" s="12"/>
      <c r="L1179" s="12"/>
      <c r="M1179" s="12"/>
      <c r="N1179" s="12"/>
      <c r="O1179" s="12"/>
    </row>
    <row r="1180" spans="2:15" x14ac:dyDescent="0.3">
      <c r="B1180" s="10"/>
      <c r="I1180" s="11"/>
      <c r="K1180" s="12"/>
      <c r="L1180" s="12"/>
      <c r="M1180" s="12"/>
      <c r="N1180" s="12"/>
      <c r="O1180" s="12"/>
    </row>
    <row r="1181" spans="2:15" x14ac:dyDescent="0.3">
      <c r="B1181" s="10"/>
      <c r="I1181" s="11"/>
      <c r="K1181" s="12"/>
      <c r="L1181" s="12"/>
      <c r="M1181" s="12"/>
      <c r="N1181" s="12"/>
      <c r="O1181" s="12"/>
    </row>
    <row r="1182" spans="2:15" x14ac:dyDescent="0.3">
      <c r="B1182" s="10"/>
      <c r="I1182" s="11"/>
      <c r="K1182" s="12"/>
      <c r="L1182" s="12"/>
      <c r="M1182" s="12"/>
      <c r="N1182" s="12"/>
      <c r="O1182" s="12"/>
    </row>
    <row r="1183" spans="2:15" x14ac:dyDescent="0.3">
      <c r="B1183" s="10"/>
      <c r="I1183" s="11"/>
      <c r="K1183" s="12"/>
      <c r="L1183" s="12"/>
      <c r="M1183" s="12"/>
      <c r="N1183" s="12"/>
      <c r="O1183" s="12"/>
    </row>
    <row r="1184" spans="2:15" x14ac:dyDescent="0.3">
      <c r="B1184" s="10"/>
      <c r="I1184" s="11"/>
      <c r="K1184" s="12"/>
      <c r="L1184" s="12"/>
      <c r="M1184" s="12"/>
      <c r="N1184" s="12"/>
      <c r="O1184" s="12"/>
    </row>
    <row r="1185" spans="2:15" x14ac:dyDescent="0.3">
      <c r="B1185" s="10"/>
      <c r="I1185" s="11"/>
      <c r="K1185" s="12"/>
      <c r="L1185" s="12"/>
      <c r="M1185" s="12"/>
      <c r="N1185" s="12"/>
      <c r="O1185" s="12"/>
    </row>
    <row r="1186" spans="2:15" x14ac:dyDescent="0.3">
      <c r="B1186" s="10"/>
      <c r="I1186" s="11"/>
      <c r="K1186" s="12"/>
      <c r="L1186" s="12"/>
      <c r="M1186" s="12"/>
      <c r="N1186" s="12"/>
      <c r="O1186" s="12"/>
    </row>
    <row r="1187" spans="2:15" x14ac:dyDescent="0.3">
      <c r="B1187" s="10"/>
      <c r="I1187" s="11"/>
      <c r="K1187" s="12"/>
      <c r="L1187" s="12"/>
      <c r="M1187" s="12"/>
      <c r="N1187" s="12"/>
      <c r="O1187" s="12"/>
    </row>
    <row r="1188" spans="2:15" x14ac:dyDescent="0.3">
      <c r="B1188" s="10"/>
      <c r="I1188" s="11"/>
      <c r="K1188" s="12"/>
      <c r="L1188" s="12"/>
      <c r="M1188" s="12"/>
      <c r="N1188" s="12"/>
      <c r="O1188" s="12"/>
    </row>
    <row r="1189" spans="2:15" x14ac:dyDescent="0.3">
      <c r="B1189" s="10"/>
      <c r="I1189" s="11"/>
      <c r="K1189" s="12"/>
      <c r="L1189" s="12"/>
      <c r="M1189" s="12"/>
      <c r="N1189" s="12"/>
      <c r="O1189" s="12"/>
    </row>
    <row r="1190" spans="2:15" x14ac:dyDescent="0.3">
      <c r="B1190" s="10"/>
      <c r="I1190" s="11"/>
      <c r="K1190" s="12"/>
      <c r="L1190" s="12"/>
      <c r="M1190" s="12"/>
      <c r="N1190" s="12"/>
      <c r="O1190" s="12"/>
    </row>
    <row r="1191" spans="2:15" x14ac:dyDescent="0.3">
      <c r="B1191" s="10"/>
      <c r="I1191" s="11"/>
      <c r="K1191" s="12"/>
      <c r="L1191" s="12"/>
      <c r="M1191" s="12"/>
      <c r="N1191" s="12"/>
      <c r="O1191" s="12"/>
    </row>
    <row r="1192" spans="2:15" x14ac:dyDescent="0.3">
      <c r="B1192" s="10"/>
      <c r="I1192" s="11"/>
      <c r="K1192" s="12"/>
      <c r="L1192" s="12"/>
      <c r="M1192" s="12"/>
      <c r="N1192" s="12"/>
      <c r="O1192" s="12"/>
    </row>
    <row r="1193" spans="2:15" x14ac:dyDescent="0.3">
      <c r="B1193" s="10"/>
      <c r="I1193" s="11"/>
      <c r="K1193" s="12"/>
      <c r="L1193" s="12"/>
      <c r="M1193" s="12"/>
      <c r="N1193" s="12"/>
      <c r="O1193" s="12"/>
    </row>
    <row r="1194" spans="2:15" x14ac:dyDescent="0.3">
      <c r="B1194" s="10"/>
      <c r="I1194" s="11"/>
      <c r="K1194" s="12"/>
      <c r="L1194" s="12"/>
      <c r="M1194" s="12"/>
      <c r="N1194" s="12"/>
      <c r="O1194" s="12"/>
    </row>
    <row r="1195" spans="2:15" x14ac:dyDescent="0.3">
      <c r="B1195" s="10"/>
      <c r="I1195" s="11"/>
      <c r="K1195" s="12"/>
      <c r="L1195" s="12"/>
      <c r="M1195" s="12"/>
      <c r="N1195" s="12"/>
      <c r="O1195" s="12"/>
    </row>
    <row r="1196" spans="2:15" x14ac:dyDescent="0.3">
      <c r="B1196" s="10"/>
      <c r="I1196" s="11"/>
      <c r="K1196" s="12"/>
      <c r="L1196" s="12"/>
      <c r="M1196" s="12"/>
      <c r="N1196" s="12"/>
      <c r="O1196" s="12"/>
    </row>
    <row r="1197" spans="2:15" x14ac:dyDescent="0.3">
      <c r="B1197" s="10"/>
      <c r="I1197" s="11"/>
      <c r="K1197" s="12"/>
      <c r="L1197" s="12"/>
      <c r="M1197" s="12"/>
      <c r="N1197" s="12"/>
      <c r="O1197" s="12"/>
    </row>
    <row r="1198" spans="2:15" x14ac:dyDescent="0.3">
      <c r="B1198" s="10"/>
      <c r="I1198" s="11"/>
      <c r="K1198" s="12"/>
      <c r="L1198" s="12"/>
      <c r="M1198" s="12"/>
      <c r="N1198" s="12"/>
      <c r="O1198" s="12"/>
    </row>
    <row r="1199" spans="2:15" x14ac:dyDescent="0.3">
      <c r="B1199" s="10"/>
      <c r="I1199" s="11"/>
      <c r="K1199" s="12"/>
      <c r="L1199" s="12"/>
      <c r="M1199" s="12"/>
      <c r="N1199" s="12"/>
      <c r="O1199" s="12"/>
    </row>
    <row r="1200" spans="2:15" x14ac:dyDescent="0.3">
      <c r="B1200" s="10"/>
      <c r="I1200" s="11"/>
      <c r="K1200" s="12"/>
      <c r="L1200" s="12"/>
      <c r="M1200" s="12"/>
      <c r="N1200" s="12"/>
      <c r="O1200" s="12"/>
    </row>
    <row r="1201" spans="2:15" x14ac:dyDescent="0.3">
      <c r="B1201" s="10"/>
      <c r="I1201" s="11"/>
      <c r="K1201" s="12"/>
      <c r="L1201" s="12"/>
      <c r="M1201" s="12"/>
      <c r="N1201" s="12"/>
      <c r="O1201" s="12"/>
    </row>
    <row r="1202" spans="2:15" x14ac:dyDescent="0.3">
      <c r="B1202" s="10"/>
      <c r="I1202" s="11"/>
      <c r="K1202" s="12"/>
      <c r="L1202" s="12"/>
      <c r="M1202" s="12"/>
      <c r="N1202" s="12"/>
      <c r="O1202" s="12"/>
    </row>
    <row r="1203" spans="2:15" x14ac:dyDescent="0.3">
      <c r="B1203" s="10"/>
      <c r="I1203" s="11"/>
      <c r="K1203" s="12"/>
      <c r="L1203" s="12"/>
      <c r="M1203" s="12"/>
      <c r="N1203" s="12"/>
      <c r="O1203" s="12"/>
    </row>
    <row r="1204" spans="2:15" x14ac:dyDescent="0.3">
      <c r="B1204" s="10"/>
      <c r="I1204" s="11"/>
      <c r="K1204" s="12"/>
      <c r="L1204" s="12"/>
      <c r="M1204" s="12"/>
      <c r="N1204" s="12"/>
      <c r="O1204" s="12"/>
    </row>
    <row r="1205" spans="2:15" x14ac:dyDescent="0.3">
      <c r="B1205" s="10"/>
      <c r="I1205" s="11"/>
      <c r="K1205" s="12"/>
      <c r="L1205" s="12"/>
      <c r="M1205" s="12"/>
      <c r="N1205" s="12"/>
      <c r="O1205" s="12"/>
    </row>
    <row r="1206" spans="2:15" x14ac:dyDescent="0.3">
      <c r="B1206" s="10"/>
      <c r="I1206" s="11"/>
      <c r="K1206" s="12"/>
      <c r="L1206" s="12"/>
      <c r="M1206" s="12"/>
      <c r="N1206" s="12"/>
      <c r="O1206" s="12"/>
    </row>
    <row r="1207" spans="2:15" x14ac:dyDescent="0.3">
      <c r="B1207" s="10"/>
      <c r="I1207" s="11"/>
      <c r="K1207" s="12"/>
      <c r="L1207" s="12"/>
      <c r="M1207" s="12"/>
      <c r="N1207" s="12"/>
      <c r="O1207" s="12"/>
    </row>
    <row r="1208" spans="2:15" x14ac:dyDescent="0.3">
      <c r="B1208" s="10"/>
      <c r="I1208" s="11"/>
      <c r="K1208" s="12"/>
      <c r="L1208" s="12"/>
      <c r="M1208" s="12"/>
      <c r="N1208" s="12"/>
      <c r="O1208" s="12"/>
    </row>
    <row r="1209" spans="2:15" x14ac:dyDescent="0.3">
      <c r="B1209" s="10"/>
      <c r="I1209" s="11"/>
      <c r="K1209" s="12"/>
      <c r="L1209" s="12"/>
      <c r="M1209" s="12"/>
      <c r="N1209" s="12"/>
      <c r="O1209" s="12"/>
    </row>
    <row r="1210" spans="2:15" x14ac:dyDescent="0.3">
      <c r="B1210" s="10"/>
      <c r="I1210" s="11"/>
      <c r="K1210" s="12"/>
      <c r="L1210" s="12"/>
      <c r="M1210" s="12"/>
      <c r="N1210" s="12"/>
      <c r="O1210" s="12"/>
    </row>
    <row r="1211" spans="2:15" x14ac:dyDescent="0.3">
      <c r="B1211" s="10"/>
      <c r="I1211" s="11"/>
      <c r="K1211" s="12"/>
      <c r="L1211" s="12"/>
      <c r="M1211" s="12"/>
      <c r="N1211" s="12"/>
      <c r="O1211" s="12"/>
    </row>
    <row r="1212" spans="2:15" x14ac:dyDescent="0.3">
      <c r="B1212" s="10"/>
      <c r="I1212" s="11"/>
      <c r="K1212" s="12"/>
      <c r="L1212" s="12"/>
      <c r="M1212" s="12"/>
      <c r="N1212" s="12"/>
      <c r="O1212" s="12"/>
    </row>
    <row r="1213" spans="2:15" x14ac:dyDescent="0.3">
      <c r="B1213" s="10"/>
      <c r="I1213" s="11"/>
      <c r="K1213" s="12"/>
      <c r="L1213" s="12"/>
      <c r="M1213" s="12"/>
      <c r="N1213" s="12"/>
      <c r="O1213" s="12"/>
    </row>
    <row r="1214" spans="2:15" x14ac:dyDescent="0.3">
      <c r="B1214" s="10"/>
      <c r="I1214" s="11"/>
      <c r="K1214" s="12"/>
      <c r="L1214" s="12"/>
      <c r="M1214" s="12"/>
      <c r="N1214" s="12"/>
      <c r="O1214" s="12"/>
    </row>
    <row r="1215" spans="2:15" x14ac:dyDescent="0.3">
      <c r="B1215" s="10"/>
      <c r="I1215" s="11"/>
      <c r="K1215" s="12"/>
      <c r="L1215" s="12"/>
      <c r="M1215" s="12"/>
      <c r="N1215" s="12"/>
      <c r="O1215" s="12"/>
    </row>
    <row r="1216" spans="2:15" x14ac:dyDescent="0.3">
      <c r="B1216" s="10"/>
      <c r="I1216" s="11"/>
      <c r="K1216" s="12"/>
      <c r="L1216" s="12"/>
      <c r="M1216" s="12"/>
      <c r="N1216" s="12"/>
      <c r="O1216" s="12"/>
    </row>
    <row r="1217" spans="2:15" x14ac:dyDescent="0.3">
      <c r="B1217" s="10"/>
      <c r="I1217" s="11"/>
      <c r="K1217" s="12"/>
      <c r="L1217" s="12"/>
      <c r="M1217" s="12"/>
      <c r="N1217" s="12"/>
      <c r="O1217" s="12"/>
    </row>
    <row r="1218" spans="2:15" x14ac:dyDescent="0.3">
      <c r="B1218" s="10"/>
      <c r="I1218" s="11"/>
      <c r="K1218" s="12"/>
      <c r="L1218" s="12"/>
      <c r="M1218" s="12"/>
      <c r="N1218" s="12"/>
      <c r="O1218" s="12"/>
    </row>
    <row r="1219" spans="2:15" x14ac:dyDescent="0.3">
      <c r="B1219" s="10"/>
      <c r="I1219" s="11"/>
      <c r="K1219" s="12"/>
      <c r="L1219" s="12"/>
      <c r="M1219" s="12"/>
      <c r="N1219" s="12"/>
      <c r="O1219" s="12"/>
    </row>
    <row r="1220" spans="2:15" x14ac:dyDescent="0.3">
      <c r="B1220" s="10"/>
      <c r="I1220" s="11"/>
      <c r="K1220" s="12"/>
      <c r="L1220" s="12"/>
      <c r="M1220" s="12"/>
      <c r="N1220" s="12"/>
      <c r="O1220" s="12"/>
    </row>
    <row r="1221" spans="2:15" x14ac:dyDescent="0.3">
      <c r="B1221" s="10"/>
      <c r="I1221" s="11"/>
      <c r="K1221" s="12"/>
      <c r="L1221" s="12"/>
      <c r="M1221" s="12"/>
      <c r="N1221" s="12"/>
      <c r="O1221" s="12"/>
    </row>
    <row r="1222" spans="2:15" x14ac:dyDescent="0.3">
      <c r="B1222" s="10"/>
      <c r="I1222" s="11"/>
      <c r="K1222" s="12"/>
      <c r="L1222" s="12"/>
      <c r="M1222" s="12"/>
      <c r="N1222" s="12"/>
      <c r="O1222" s="12"/>
    </row>
    <row r="1223" spans="2:15" x14ac:dyDescent="0.3">
      <c r="B1223" s="10"/>
      <c r="I1223" s="11"/>
      <c r="K1223" s="12"/>
      <c r="L1223" s="12"/>
      <c r="M1223" s="12"/>
      <c r="N1223" s="12"/>
      <c r="O1223" s="12"/>
    </row>
    <row r="1224" spans="2:15" x14ac:dyDescent="0.3">
      <c r="B1224" s="10"/>
      <c r="I1224" s="11"/>
      <c r="K1224" s="12"/>
      <c r="L1224" s="12"/>
      <c r="M1224" s="12"/>
      <c r="N1224" s="12"/>
      <c r="O1224" s="12"/>
    </row>
    <row r="1225" spans="2:15" x14ac:dyDescent="0.3">
      <c r="B1225" s="10"/>
      <c r="I1225" s="11"/>
      <c r="K1225" s="12"/>
      <c r="L1225" s="12"/>
      <c r="M1225" s="12"/>
      <c r="N1225" s="12"/>
      <c r="O1225" s="12"/>
    </row>
    <row r="1226" spans="2:15" x14ac:dyDescent="0.3">
      <c r="B1226" s="10"/>
      <c r="I1226" s="11"/>
      <c r="K1226" s="12"/>
      <c r="L1226" s="12"/>
      <c r="M1226" s="12"/>
      <c r="N1226" s="12"/>
      <c r="O1226" s="12"/>
    </row>
    <row r="1227" spans="2:15" x14ac:dyDescent="0.3">
      <c r="B1227" s="10"/>
      <c r="I1227" s="11"/>
      <c r="K1227" s="12"/>
      <c r="L1227" s="12"/>
      <c r="M1227" s="12"/>
      <c r="N1227" s="12"/>
      <c r="O1227" s="12"/>
    </row>
    <row r="1228" spans="2:15" x14ac:dyDescent="0.3">
      <c r="B1228" s="10"/>
      <c r="I1228" s="11"/>
      <c r="K1228" s="12"/>
      <c r="L1228" s="12"/>
      <c r="M1228" s="12"/>
      <c r="N1228" s="12"/>
      <c r="O1228" s="12"/>
    </row>
    <row r="1229" spans="2:15" x14ac:dyDescent="0.3">
      <c r="B1229" s="10"/>
      <c r="I1229" s="11"/>
      <c r="K1229" s="12"/>
      <c r="L1229" s="12"/>
      <c r="M1229" s="12"/>
      <c r="N1229" s="12"/>
      <c r="O1229" s="12"/>
    </row>
    <row r="1230" spans="2:15" x14ac:dyDescent="0.3">
      <c r="B1230" s="10"/>
      <c r="I1230" s="11"/>
      <c r="K1230" s="12"/>
      <c r="L1230" s="12"/>
      <c r="M1230" s="12"/>
      <c r="N1230" s="12"/>
      <c r="O1230" s="12"/>
    </row>
    <row r="1231" spans="2:15" x14ac:dyDescent="0.3">
      <c r="B1231" s="10"/>
      <c r="I1231" s="11"/>
      <c r="K1231" s="12"/>
      <c r="L1231" s="12"/>
      <c r="M1231" s="12"/>
      <c r="N1231" s="12"/>
      <c r="O1231" s="12"/>
    </row>
    <row r="1232" spans="2:15" x14ac:dyDescent="0.3">
      <c r="B1232" s="10"/>
      <c r="I1232" s="11"/>
      <c r="K1232" s="12"/>
      <c r="L1232" s="12"/>
      <c r="M1232" s="12"/>
      <c r="N1232" s="12"/>
      <c r="O1232" s="12"/>
    </row>
    <row r="1233" spans="2:15" x14ac:dyDescent="0.3">
      <c r="B1233" s="10"/>
      <c r="I1233" s="11"/>
      <c r="K1233" s="12"/>
      <c r="L1233" s="12"/>
      <c r="M1233" s="12"/>
      <c r="N1233" s="12"/>
      <c r="O1233" s="12"/>
    </row>
    <row r="1234" spans="2:15" x14ac:dyDescent="0.3">
      <c r="B1234" s="10"/>
      <c r="I1234" s="11"/>
      <c r="K1234" s="12"/>
      <c r="L1234" s="12"/>
      <c r="M1234" s="12"/>
      <c r="N1234" s="12"/>
      <c r="O1234" s="12"/>
    </row>
    <row r="1235" spans="2:15" x14ac:dyDescent="0.3">
      <c r="B1235" s="10"/>
      <c r="I1235" s="11"/>
      <c r="K1235" s="12"/>
      <c r="L1235" s="12"/>
      <c r="M1235" s="12"/>
      <c r="N1235" s="12"/>
      <c r="O1235" s="12"/>
    </row>
    <row r="1236" spans="2:15" x14ac:dyDescent="0.3">
      <c r="B1236" s="10"/>
      <c r="I1236" s="11"/>
      <c r="K1236" s="12"/>
      <c r="L1236" s="12"/>
      <c r="M1236" s="12"/>
      <c r="N1236" s="12"/>
      <c r="O1236" s="12"/>
    </row>
    <row r="1237" spans="2:15" x14ac:dyDescent="0.3">
      <c r="B1237" s="10"/>
      <c r="I1237" s="11"/>
      <c r="K1237" s="12"/>
      <c r="L1237" s="12"/>
      <c r="M1237" s="12"/>
      <c r="N1237" s="12"/>
      <c r="O1237" s="12"/>
    </row>
    <row r="1238" spans="2:15" x14ac:dyDescent="0.3">
      <c r="B1238" s="10"/>
      <c r="I1238" s="11"/>
      <c r="K1238" s="12"/>
      <c r="L1238" s="12"/>
      <c r="M1238" s="12"/>
      <c r="N1238" s="12"/>
      <c r="O1238" s="12"/>
    </row>
    <row r="1239" spans="2:15" x14ac:dyDescent="0.3">
      <c r="B1239" s="10"/>
      <c r="I1239" s="11"/>
      <c r="K1239" s="12"/>
      <c r="L1239" s="12"/>
      <c r="M1239" s="12"/>
      <c r="N1239" s="12"/>
      <c r="O1239" s="12"/>
    </row>
    <row r="1240" spans="2:15" x14ac:dyDescent="0.3">
      <c r="B1240" s="10"/>
      <c r="I1240" s="11"/>
      <c r="K1240" s="12"/>
      <c r="L1240" s="12"/>
      <c r="M1240" s="12"/>
      <c r="N1240" s="12"/>
      <c r="O1240" s="12"/>
    </row>
    <row r="1241" spans="2:15" x14ac:dyDescent="0.3">
      <c r="B1241" s="10"/>
      <c r="I1241" s="11"/>
      <c r="K1241" s="12"/>
      <c r="L1241" s="12"/>
      <c r="M1241" s="12"/>
      <c r="N1241" s="12"/>
      <c r="O1241" s="12"/>
    </row>
    <row r="1242" spans="2:15" x14ac:dyDescent="0.3">
      <c r="B1242" s="10"/>
      <c r="I1242" s="11"/>
      <c r="K1242" s="12"/>
      <c r="L1242" s="12"/>
      <c r="M1242" s="12"/>
      <c r="N1242" s="12"/>
      <c r="O1242" s="12"/>
    </row>
    <row r="1243" spans="2:15" x14ac:dyDescent="0.3">
      <c r="B1243" s="10"/>
      <c r="I1243" s="11"/>
      <c r="K1243" s="12"/>
      <c r="L1243" s="12"/>
      <c r="M1243" s="12"/>
      <c r="N1243" s="12"/>
      <c r="O1243" s="12"/>
    </row>
    <row r="1244" spans="2:15" x14ac:dyDescent="0.3">
      <c r="B1244" s="10"/>
      <c r="I1244" s="11"/>
      <c r="K1244" s="12"/>
      <c r="L1244" s="12"/>
      <c r="M1244" s="12"/>
      <c r="N1244" s="12"/>
      <c r="O1244" s="12"/>
    </row>
    <row r="1245" spans="2:15" x14ac:dyDescent="0.3">
      <c r="B1245" s="10"/>
      <c r="I1245" s="11"/>
      <c r="K1245" s="12"/>
      <c r="L1245" s="12"/>
      <c r="M1245" s="12"/>
      <c r="N1245" s="12"/>
      <c r="O1245" s="12"/>
    </row>
    <row r="1246" spans="2:15" x14ac:dyDescent="0.3">
      <c r="B1246" s="10"/>
      <c r="I1246" s="11"/>
      <c r="K1246" s="12"/>
      <c r="L1246" s="12"/>
      <c r="M1246" s="12"/>
      <c r="N1246" s="12"/>
      <c r="O1246" s="12"/>
    </row>
    <row r="1247" spans="2:15" x14ac:dyDescent="0.3">
      <c r="B1247" s="10"/>
      <c r="I1247" s="11"/>
      <c r="K1247" s="12"/>
      <c r="L1247" s="12"/>
      <c r="M1247" s="12"/>
      <c r="N1247" s="12"/>
      <c r="O1247" s="12"/>
    </row>
    <row r="1248" spans="2:15" x14ac:dyDescent="0.3">
      <c r="B1248" s="10"/>
      <c r="I1248" s="11"/>
      <c r="K1248" s="12"/>
      <c r="L1248" s="12"/>
      <c r="M1248" s="12"/>
      <c r="N1248" s="12"/>
      <c r="O1248" s="12"/>
    </row>
    <row r="1249" spans="2:15" x14ac:dyDescent="0.3">
      <c r="B1249" s="10"/>
      <c r="I1249" s="11"/>
      <c r="K1249" s="12"/>
      <c r="L1249" s="12"/>
      <c r="M1249" s="12"/>
      <c r="N1249" s="12"/>
      <c r="O1249" s="12"/>
    </row>
    <row r="1250" spans="2:15" x14ac:dyDescent="0.3">
      <c r="B1250" s="10"/>
      <c r="I1250" s="11"/>
      <c r="K1250" s="12"/>
      <c r="L1250" s="12"/>
      <c r="M1250" s="12"/>
      <c r="N1250" s="12"/>
      <c r="O1250" s="12"/>
    </row>
    <row r="1251" spans="2:15" x14ac:dyDescent="0.3">
      <c r="B1251" s="10"/>
      <c r="I1251" s="11"/>
      <c r="K1251" s="12"/>
      <c r="L1251" s="12"/>
      <c r="M1251" s="12"/>
      <c r="N1251" s="12"/>
      <c r="O1251" s="12"/>
    </row>
    <row r="1252" spans="2:15" x14ac:dyDescent="0.3">
      <c r="B1252" s="10"/>
      <c r="I1252" s="11"/>
      <c r="K1252" s="12"/>
      <c r="L1252" s="12"/>
      <c r="M1252" s="12"/>
      <c r="N1252" s="12"/>
      <c r="O1252" s="12"/>
    </row>
    <row r="1253" spans="2:15" x14ac:dyDescent="0.3">
      <c r="B1253" s="10"/>
      <c r="I1253" s="11"/>
      <c r="K1253" s="12"/>
      <c r="L1253" s="12"/>
      <c r="M1253" s="12"/>
      <c r="N1253" s="12"/>
      <c r="O1253" s="12"/>
    </row>
    <row r="1254" spans="2:15" x14ac:dyDescent="0.3">
      <c r="B1254" s="10"/>
      <c r="I1254" s="11"/>
      <c r="K1254" s="12"/>
      <c r="L1254" s="12"/>
      <c r="M1254" s="12"/>
      <c r="N1254" s="12"/>
      <c r="O1254" s="12"/>
    </row>
    <row r="1255" spans="2:15" x14ac:dyDescent="0.3">
      <c r="B1255" s="10"/>
      <c r="I1255" s="11"/>
      <c r="K1255" s="12"/>
      <c r="L1255" s="12"/>
      <c r="M1255" s="12"/>
      <c r="N1255" s="12"/>
      <c r="O1255" s="12"/>
    </row>
    <row r="1256" spans="2:15" x14ac:dyDescent="0.3">
      <c r="B1256" s="10"/>
      <c r="I1256" s="11"/>
      <c r="K1256" s="12"/>
      <c r="L1256" s="12"/>
      <c r="M1256" s="12"/>
      <c r="N1256" s="12"/>
      <c r="O1256" s="12"/>
    </row>
    <row r="1257" spans="2:15" x14ac:dyDescent="0.3">
      <c r="B1257" s="10"/>
      <c r="I1257" s="11"/>
      <c r="K1257" s="12"/>
      <c r="L1257" s="12"/>
      <c r="M1257" s="12"/>
      <c r="N1257" s="12"/>
      <c r="O1257" s="12"/>
    </row>
    <row r="1258" spans="2:15" x14ac:dyDescent="0.3">
      <c r="B1258" s="10"/>
      <c r="I1258" s="11"/>
      <c r="K1258" s="12"/>
      <c r="L1258" s="12"/>
      <c r="M1258" s="12"/>
      <c r="N1258" s="12"/>
      <c r="O1258" s="12"/>
    </row>
    <row r="1259" spans="2:15" x14ac:dyDescent="0.3">
      <c r="B1259" s="10"/>
      <c r="I1259" s="11"/>
      <c r="K1259" s="12"/>
      <c r="L1259" s="12"/>
      <c r="M1259" s="12"/>
      <c r="N1259" s="12"/>
      <c r="O1259" s="12"/>
    </row>
    <row r="1260" spans="2:15" x14ac:dyDescent="0.3">
      <c r="B1260" s="10"/>
      <c r="I1260" s="11"/>
      <c r="K1260" s="12"/>
      <c r="L1260" s="12"/>
      <c r="M1260" s="12"/>
      <c r="N1260" s="12"/>
      <c r="O1260" s="12"/>
    </row>
    <row r="1261" spans="2:15" x14ac:dyDescent="0.3">
      <c r="B1261" s="10"/>
      <c r="I1261" s="11"/>
      <c r="K1261" s="12"/>
      <c r="L1261" s="12"/>
      <c r="M1261" s="12"/>
      <c r="N1261" s="12"/>
      <c r="O1261" s="12"/>
    </row>
    <row r="1262" spans="2:15" x14ac:dyDescent="0.3">
      <c r="B1262" s="10"/>
      <c r="I1262" s="11"/>
      <c r="K1262" s="12"/>
      <c r="L1262" s="12"/>
      <c r="M1262" s="12"/>
      <c r="N1262" s="12"/>
      <c r="O1262" s="12"/>
    </row>
    <row r="1263" spans="2:15" x14ac:dyDescent="0.3">
      <c r="B1263" s="10"/>
      <c r="I1263" s="11"/>
      <c r="K1263" s="12"/>
      <c r="L1263" s="12"/>
      <c r="M1263" s="12"/>
      <c r="N1263" s="12"/>
      <c r="O1263" s="12"/>
    </row>
    <row r="1264" spans="2:15" x14ac:dyDescent="0.3">
      <c r="B1264" s="10"/>
      <c r="I1264" s="11"/>
      <c r="K1264" s="12"/>
      <c r="L1264" s="12"/>
      <c r="M1264" s="12"/>
      <c r="N1264" s="12"/>
      <c r="O1264" s="12"/>
    </row>
    <row r="1265" spans="2:15" x14ac:dyDescent="0.3">
      <c r="B1265" s="10"/>
      <c r="I1265" s="11"/>
      <c r="K1265" s="12"/>
      <c r="L1265" s="12"/>
      <c r="M1265" s="12"/>
      <c r="N1265" s="12"/>
      <c r="O1265" s="12"/>
    </row>
    <row r="1266" spans="2:15" x14ac:dyDescent="0.3">
      <c r="B1266" s="10"/>
      <c r="I1266" s="11"/>
      <c r="K1266" s="12"/>
      <c r="L1266" s="12"/>
      <c r="M1266" s="12"/>
      <c r="N1266" s="12"/>
      <c r="O1266" s="12"/>
    </row>
    <row r="1267" spans="2:15" x14ac:dyDescent="0.3">
      <c r="B1267" s="10"/>
      <c r="I1267" s="11"/>
      <c r="K1267" s="12"/>
      <c r="L1267" s="12"/>
      <c r="M1267" s="12"/>
      <c r="N1267" s="12"/>
      <c r="O1267" s="12"/>
    </row>
    <row r="1268" spans="2:15" x14ac:dyDescent="0.3">
      <c r="B1268" s="10"/>
      <c r="I1268" s="11"/>
      <c r="K1268" s="12"/>
      <c r="L1268" s="12"/>
      <c r="M1268" s="12"/>
      <c r="N1268" s="12"/>
      <c r="O1268" s="12"/>
    </row>
    <row r="1269" spans="2:15" x14ac:dyDescent="0.3">
      <c r="B1269" s="10"/>
      <c r="I1269" s="11"/>
      <c r="K1269" s="12"/>
      <c r="L1269" s="12"/>
      <c r="M1269" s="12"/>
      <c r="N1269" s="12"/>
      <c r="O1269" s="12"/>
    </row>
    <row r="1270" spans="2:15" x14ac:dyDescent="0.3">
      <c r="B1270" s="10"/>
      <c r="I1270" s="11"/>
      <c r="K1270" s="12"/>
      <c r="L1270" s="12"/>
      <c r="M1270" s="12"/>
      <c r="N1270" s="12"/>
      <c r="O1270" s="12"/>
    </row>
    <row r="1271" spans="2:15" x14ac:dyDescent="0.3">
      <c r="B1271" s="10"/>
      <c r="I1271" s="11"/>
      <c r="K1271" s="12"/>
      <c r="L1271" s="12"/>
      <c r="M1271" s="12"/>
      <c r="N1271" s="12"/>
      <c r="O1271" s="12"/>
    </row>
    <row r="1272" spans="2:15" x14ac:dyDescent="0.3">
      <c r="B1272" s="10"/>
      <c r="I1272" s="11"/>
      <c r="K1272" s="12"/>
      <c r="L1272" s="12"/>
      <c r="M1272" s="12"/>
      <c r="N1272" s="12"/>
      <c r="O1272" s="12"/>
    </row>
    <row r="1273" spans="2:15" x14ac:dyDescent="0.3">
      <c r="B1273" s="10"/>
      <c r="I1273" s="11"/>
      <c r="K1273" s="12"/>
      <c r="L1273" s="12"/>
      <c r="M1273" s="12"/>
      <c r="N1273" s="12"/>
      <c r="O1273" s="12"/>
    </row>
    <row r="1274" spans="2:15" x14ac:dyDescent="0.3">
      <c r="B1274" s="10"/>
      <c r="I1274" s="11"/>
      <c r="K1274" s="12"/>
      <c r="L1274" s="12"/>
      <c r="M1274" s="12"/>
      <c r="N1274" s="12"/>
      <c r="O1274" s="12"/>
    </row>
    <row r="1275" spans="2:15" x14ac:dyDescent="0.3">
      <c r="B1275" s="10"/>
      <c r="I1275" s="11"/>
      <c r="K1275" s="12"/>
      <c r="L1275" s="12"/>
      <c r="M1275" s="12"/>
      <c r="N1275" s="12"/>
      <c r="O1275" s="12"/>
    </row>
    <row r="1276" spans="2:15" x14ac:dyDescent="0.3">
      <c r="B1276" s="10"/>
      <c r="I1276" s="11"/>
      <c r="K1276" s="12"/>
      <c r="L1276" s="12"/>
      <c r="M1276" s="12"/>
      <c r="N1276" s="12"/>
      <c r="O1276" s="12"/>
    </row>
    <row r="1277" spans="2:15" x14ac:dyDescent="0.3">
      <c r="B1277" s="10"/>
      <c r="I1277" s="11"/>
      <c r="K1277" s="12"/>
      <c r="L1277" s="12"/>
      <c r="M1277" s="12"/>
      <c r="N1277" s="12"/>
      <c r="O1277" s="12"/>
    </row>
    <row r="1278" spans="2:15" x14ac:dyDescent="0.3">
      <c r="B1278" s="10"/>
      <c r="I1278" s="11"/>
      <c r="K1278" s="12"/>
      <c r="L1278" s="12"/>
      <c r="M1278" s="12"/>
      <c r="N1278" s="12"/>
      <c r="O1278" s="12"/>
    </row>
    <row r="1279" spans="2:15" x14ac:dyDescent="0.3">
      <c r="B1279" s="10"/>
      <c r="I1279" s="11"/>
      <c r="K1279" s="12"/>
      <c r="L1279" s="12"/>
      <c r="M1279" s="12"/>
      <c r="N1279" s="12"/>
      <c r="O1279" s="12"/>
    </row>
    <row r="1280" spans="2:15" x14ac:dyDescent="0.3">
      <c r="B1280" s="10"/>
      <c r="I1280" s="11"/>
      <c r="K1280" s="12"/>
      <c r="L1280" s="12"/>
      <c r="M1280" s="12"/>
      <c r="N1280" s="12"/>
      <c r="O1280" s="12"/>
    </row>
    <row r="1281" spans="2:15" x14ac:dyDescent="0.3">
      <c r="B1281" s="10"/>
      <c r="I1281" s="11"/>
      <c r="K1281" s="12"/>
      <c r="L1281" s="12"/>
      <c r="M1281" s="12"/>
      <c r="N1281" s="12"/>
      <c r="O1281" s="12"/>
    </row>
    <row r="1282" spans="2:15" x14ac:dyDescent="0.3">
      <c r="B1282" s="10"/>
      <c r="I1282" s="11"/>
      <c r="K1282" s="12"/>
      <c r="L1282" s="12"/>
      <c r="M1282" s="12"/>
      <c r="N1282" s="12"/>
      <c r="O1282" s="12"/>
    </row>
    <row r="1283" spans="2:15" x14ac:dyDescent="0.3">
      <c r="B1283" s="10"/>
      <c r="I1283" s="11"/>
      <c r="K1283" s="12"/>
      <c r="L1283" s="12"/>
      <c r="M1283" s="12"/>
      <c r="N1283" s="12"/>
      <c r="O1283" s="12"/>
    </row>
    <row r="1284" spans="2:15" x14ac:dyDescent="0.3">
      <c r="B1284" s="10"/>
      <c r="I1284" s="11"/>
      <c r="K1284" s="12"/>
      <c r="L1284" s="12"/>
      <c r="M1284" s="12"/>
      <c r="N1284" s="12"/>
      <c r="O1284" s="12"/>
    </row>
    <row r="1285" spans="2:15" x14ac:dyDescent="0.3">
      <c r="B1285" s="10"/>
      <c r="I1285" s="11"/>
      <c r="K1285" s="12"/>
      <c r="L1285" s="12"/>
      <c r="M1285" s="12"/>
      <c r="N1285" s="12"/>
      <c r="O1285" s="12"/>
    </row>
    <row r="1286" spans="2:15" x14ac:dyDescent="0.3">
      <c r="B1286" s="10"/>
      <c r="I1286" s="11"/>
      <c r="K1286" s="12"/>
      <c r="L1286" s="12"/>
      <c r="M1286" s="12"/>
      <c r="N1286" s="12"/>
      <c r="O1286" s="12"/>
    </row>
    <row r="1287" spans="2:15" x14ac:dyDescent="0.3">
      <c r="B1287" s="10"/>
      <c r="I1287" s="11"/>
      <c r="K1287" s="12"/>
      <c r="L1287" s="12"/>
      <c r="M1287" s="12"/>
      <c r="N1287" s="12"/>
      <c r="O1287" s="12"/>
    </row>
    <row r="1288" spans="2:15" x14ac:dyDescent="0.3">
      <c r="B1288" s="10"/>
      <c r="I1288" s="11"/>
      <c r="K1288" s="12"/>
      <c r="L1288" s="12"/>
      <c r="M1288" s="12"/>
      <c r="N1288" s="12"/>
      <c r="O1288" s="12"/>
    </row>
    <row r="1289" spans="2:15" x14ac:dyDescent="0.3">
      <c r="B1289" s="10"/>
      <c r="I1289" s="11"/>
      <c r="K1289" s="12"/>
      <c r="L1289" s="12"/>
      <c r="M1289" s="12"/>
      <c r="N1289" s="12"/>
      <c r="O1289" s="12"/>
    </row>
    <row r="1290" spans="2:15" x14ac:dyDescent="0.3">
      <c r="B1290" s="10"/>
      <c r="I1290" s="11"/>
      <c r="K1290" s="12"/>
      <c r="L1290" s="12"/>
      <c r="M1290" s="12"/>
      <c r="N1290" s="12"/>
      <c r="O1290" s="12"/>
    </row>
    <row r="1291" spans="2:15" x14ac:dyDescent="0.3">
      <c r="B1291" s="10"/>
      <c r="I1291" s="11"/>
      <c r="K1291" s="12"/>
      <c r="L1291" s="12"/>
      <c r="M1291" s="12"/>
      <c r="N1291" s="12"/>
      <c r="O1291" s="12"/>
    </row>
    <row r="1292" spans="2:15" x14ac:dyDescent="0.3">
      <c r="B1292" s="10"/>
      <c r="I1292" s="11"/>
      <c r="K1292" s="12"/>
      <c r="L1292" s="12"/>
      <c r="M1292" s="12"/>
      <c r="N1292" s="12"/>
      <c r="O1292" s="12"/>
    </row>
    <row r="1293" spans="2:15" x14ac:dyDescent="0.3">
      <c r="B1293" s="10"/>
      <c r="I1293" s="11"/>
      <c r="K1293" s="12"/>
      <c r="L1293" s="12"/>
      <c r="M1293" s="12"/>
      <c r="N1293" s="12"/>
      <c r="O1293" s="12"/>
    </row>
    <row r="1294" spans="2:15" x14ac:dyDescent="0.3">
      <c r="B1294" s="10"/>
      <c r="I1294" s="11"/>
      <c r="K1294" s="12"/>
      <c r="L1294" s="12"/>
      <c r="M1294" s="12"/>
      <c r="N1294" s="12"/>
      <c r="O1294" s="12"/>
    </row>
    <row r="1295" spans="2:15" x14ac:dyDescent="0.3">
      <c r="B1295" s="10"/>
      <c r="I1295" s="11"/>
      <c r="K1295" s="12"/>
      <c r="L1295" s="12"/>
      <c r="M1295" s="12"/>
      <c r="N1295" s="12"/>
      <c r="O1295" s="12"/>
    </row>
    <row r="1296" spans="2:15" x14ac:dyDescent="0.3">
      <c r="B1296" s="10"/>
      <c r="I1296" s="11"/>
      <c r="K1296" s="12"/>
      <c r="L1296" s="12"/>
      <c r="M1296" s="12"/>
      <c r="N1296" s="12"/>
      <c r="O1296" s="12"/>
    </row>
    <row r="1297" spans="2:15" x14ac:dyDescent="0.3">
      <c r="B1297" s="10"/>
      <c r="I1297" s="11"/>
      <c r="K1297" s="12"/>
      <c r="L1297" s="12"/>
      <c r="M1297" s="12"/>
      <c r="N1297" s="12"/>
      <c r="O1297" s="12"/>
    </row>
    <row r="1298" spans="2:15" x14ac:dyDescent="0.3">
      <c r="B1298" s="10"/>
      <c r="I1298" s="11"/>
      <c r="K1298" s="12"/>
      <c r="L1298" s="12"/>
      <c r="M1298" s="12"/>
      <c r="N1298" s="12"/>
      <c r="O1298" s="12"/>
    </row>
    <row r="1299" spans="2:15" x14ac:dyDescent="0.3">
      <c r="B1299" s="10"/>
      <c r="I1299" s="11"/>
      <c r="K1299" s="12"/>
      <c r="L1299" s="12"/>
      <c r="M1299" s="12"/>
      <c r="N1299" s="12"/>
      <c r="O1299" s="12"/>
    </row>
    <row r="1300" spans="2:15" x14ac:dyDescent="0.3">
      <c r="B1300" s="10"/>
      <c r="I1300" s="11"/>
      <c r="K1300" s="12"/>
      <c r="L1300" s="12"/>
      <c r="M1300" s="12"/>
      <c r="N1300" s="12"/>
      <c r="O1300" s="12"/>
    </row>
    <row r="1301" spans="2:15" x14ac:dyDescent="0.3">
      <c r="B1301" s="10"/>
      <c r="I1301" s="11"/>
      <c r="K1301" s="12"/>
      <c r="L1301" s="12"/>
      <c r="M1301" s="12"/>
      <c r="N1301" s="12"/>
      <c r="O1301" s="12"/>
    </row>
    <row r="1302" spans="2:15" x14ac:dyDescent="0.3">
      <c r="B1302" s="10"/>
      <c r="I1302" s="11"/>
      <c r="K1302" s="12"/>
      <c r="L1302" s="12"/>
      <c r="M1302" s="12"/>
      <c r="N1302" s="12"/>
      <c r="O1302" s="12"/>
    </row>
    <row r="1303" spans="2:15" x14ac:dyDescent="0.3">
      <c r="B1303" s="10"/>
      <c r="I1303" s="11"/>
      <c r="K1303" s="12"/>
      <c r="L1303" s="12"/>
      <c r="M1303" s="12"/>
      <c r="N1303" s="12"/>
      <c r="O1303" s="12"/>
    </row>
    <row r="1304" spans="2:15" x14ac:dyDescent="0.3">
      <c r="B1304" s="10"/>
      <c r="I1304" s="11"/>
      <c r="K1304" s="12"/>
      <c r="L1304" s="12"/>
      <c r="M1304" s="12"/>
      <c r="N1304" s="12"/>
      <c r="O1304" s="12"/>
    </row>
    <row r="1305" spans="2:15" x14ac:dyDescent="0.3">
      <c r="B1305" s="10"/>
      <c r="I1305" s="11"/>
      <c r="K1305" s="12"/>
      <c r="L1305" s="12"/>
      <c r="M1305" s="12"/>
      <c r="N1305" s="12"/>
      <c r="O1305" s="12"/>
    </row>
    <row r="1306" spans="2:15" x14ac:dyDescent="0.3">
      <c r="B1306" s="10"/>
      <c r="I1306" s="11"/>
      <c r="K1306" s="12"/>
      <c r="L1306" s="12"/>
      <c r="M1306" s="12"/>
      <c r="N1306" s="12"/>
      <c r="O1306" s="12"/>
    </row>
    <row r="1307" spans="2:15" x14ac:dyDescent="0.3">
      <c r="B1307" s="10"/>
      <c r="I1307" s="11"/>
      <c r="K1307" s="12"/>
      <c r="L1307" s="12"/>
      <c r="M1307" s="12"/>
      <c r="N1307" s="12"/>
      <c r="O1307" s="12"/>
    </row>
    <row r="1308" spans="2:15" x14ac:dyDescent="0.3">
      <c r="B1308" s="10"/>
      <c r="I1308" s="11"/>
      <c r="K1308" s="12"/>
      <c r="L1308" s="12"/>
      <c r="M1308" s="12"/>
      <c r="N1308" s="12"/>
      <c r="O1308" s="12"/>
    </row>
    <row r="1309" spans="2:15" x14ac:dyDescent="0.3">
      <c r="B1309" s="10"/>
      <c r="I1309" s="11"/>
      <c r="K1309" s="12"/>
      <c r="L1309" s="12"/>
      <c r="M1309" s="12"/>
      <c r="N1309" s="12"/>
      <c r="O1309" s="12"/>
    </row>
    <row r="1310" spans="2:15" x14ac:dyDescent="0.3">
      <c r="B1310" s="10"/>
      <c r="I1310" s="11"/>
      <c r="K1310" s="12"/>
      <c r="L1310" s="12"/>
      <c r="M1310" s="12"/>
      <c r="N1310" s="12"/>
      <c r="O1310" s="12"/>
    </row>
    <row r="1311" spans="2:15" x14ac:dyDescent="0.3">
      <c r="B1311" s="10"/>
      <c r="I1311" s="11"/>
      <c r="K1311" s="12"/>
      <c r="L1311" s="12"/>
      <c r="M1311" s="12"/>
      <c r="N1311" s="12"/>
      <c r="O1311" s="12"/>
    </row>
    <row r="1312" spans="2:15" x14ac:dyDescent="0.3">
      <c r="B1312" s="10"/>
      <c r="I1312" s="11"/>
      <c r="K1312" s="12"/>
      <c r="L1312" s="12"/>
      <c r="M1312" s="12"/>
      <c r="N1312" s="12"/>
      <c r="O1312" s="12"/>
    </row>
    <row r="1313" spans="2:15" x14ac:dyDescent="0.3">
      <c r="B1313" s="10"/>
      <c r="I1313" s="11"/>
      <c r="K1313" s="12"/>
      <c r="L1313" s="12"/>
      <c r="M1313" s="12"/>
      <c r="N1313" s="12"/>
      <c r="O1313" s="12"/>
    </row>
    <row r="1314" spans="2:15" x14ac:dyDescent="0.3">
      <c r="B1314" s="10"/>
      <c r="I1314" s="11"/>
      <c r="K1314" s="12"/>
      <c r="L1314" s="12"/>
      <c r="M1314" s="12"/>
      <c r="N1314" s="12"/>
      <c r="O1314" s="12"/>
    </row>
    <row r="1315" spans="2:15" x14ac:dyDescent="0.3">
      <c r="B1315" s="10"/>
      <c r="I1315" s="11"/>
      <c r="K1315" s="12"/>
      <c r="L1315" s="12"/>
      <c r="M1315" s="12"/>
      <c r="N1315" s="12"/>
      <c r="O1315" s="12"/>
    </row>
    <row r="1316" spans="2:15" x14ac:dyDescent="0.3">
      <c r="B1316" s="10"/>
      <c r="I1316" s="11"/>
      <c r="K1316" s="12"/>
      <c r="L1316" s="12"/>
      <c r="M1316" s="12"/>
      <c r="N1316" s="12"/>
      <c r="O1316" s="12"/>
    </row>
    <row r="1317" spans="2:15" x14ac:dyDescent="0.3">
      <c r="B1317" s="10"/>
      <c r="I1317" s="11"/>
      <c r="K1317" s="12"/>
      <c r="L1317" s="12"/>
      <c r="M1317" s="12"/>
      <c r="N1317" s="12"/>
      <c r="O1317" s="12"/>
    </row>
    <row r="1318" spans="2:15" x14ac:dyDescent="0.3">
      <c r="B1318" s="10"/>
      <c r="I1318" s="11"/>
      <c r="K1318" s="12"/>
      <c r="L1318" s="12"/>
      <c r="M1318" s="12"/>
      <c r="N1318" s="12"/>
      <c r="O1318" s="12"/>
    </row>
    <row r="1319" spans="2:15" x14ac:dyDescent="0.3">
      <c r="B1319" s="10"/>
      <c r="I1319" s="11"/>
      <c r="K1319" s="12"/>
      <c r="L1319" s="12"/>
      <c r="M1319" s="12"/>
      <c r="N1319" s="12"/>
      <c r="O1319" s="12"/>
    </row>
    <row r="1320" spans="2:15" x14ac:dyDescent="0.3">
      <c r="B1320" s="10"/>
      <c r="I1320" s="11"/>
      <c r="K1320" s="12"/>
      <c r="L1320" s="12"/>
      <c r="M1320" s="12"/>
      <c r="N1320" s="12"/>
      <c r="O1320" s="12"/>
    </row>
    <row r="1321" spans="2:15" x14ac:dyDescent="0.3">
      <c r="B1321" s="10"/>
      <c r="I1321" s="11"/>
      <c r="K1321" s="12"/>
      <c r="L1321" s="12"/>
      <c r="M1321" s="12"/>
      <c r="N1321" s="12"/>
      <c r="O1321" s="12"/>
    </row>
    <row r="1322" spans="2:15" x14ac:dyDescent="0.3">
      <c r="B1322" s="10"/>
      <c r="I1322" s="11"/>
      <c r="K1322" s="12"/>
      <c r="L1322" s="12"/>
      <c r="M1322" s="12"/>
      <c r="N1322" s="12"/>
      <c r="O1322" s="12"/>
    </row>
    <row r="1323" spans="2:15" x14ac:dyDescent="0.3">
      <c r="B1323" s="10"/>
      <c r="I1323" s="11"/>
      <c r="K1323" s="12"/>
      <c r="L1323" s="12"/>
      <c r="M1323" s="12"/>
      <c r="N1323" s="12"/>
      <c r="O1323" s="12"/>
    </row>
    <row r="1324" spans="2:15" x14ac:dyDescent="0.3">
      <c r="B1324" s="10"/>
      <c r="I1324" s="11"/>
      <c r="K1324" s="12"/>
      <c r="L1324" s="12"/>
      <c r="M1324" s="12"/>
      <c r="N1324" s="12"/>
      <c r="O1324" s="12"/>
    </row>
    <row r="1325" spans="2:15" x14ac:dyDescent="0.3">
      <c r="B1325" s="10"/>
      <c r="I1325" s="11"/>
      <c r="K1325" s="12"/>
      <c r="L1325" s="12"/>
      <c r="M1325" s="12"/>
      <c r="N1325" s="12"/>
      <c r="O1325" s="12"/>
    </row>
    <row r="1326" spans="2:15" x14ac:dyDescent="0.3">
      <c r="B1326" s="10"/>
      <c r="I1326" s="11"/>
      <c r="K1326" s="12"/>
      <c r="L1326" s="12"/>
      <c r="M1326" s="12"/>
      <c r="N1326" s="12"/>
      <c r="O1326" s="12"/>
    </row>
    <row r="1327" spans="2:15" x14ac:dyDescent="0.3">
      <c r="B1327" s="10"/>
      <c r="I1327" s="11"/>
      <c r="K1327" s="12"/>
      <c r="L1327" s="12"/>
      <c r="M1327" s="12"/>
      <c r="N1327" s="12"/>
      <c r="O1327" s="12"/>
    </row>
    <row r="1328" spans="2:15" x14ac:dyDescent="0.3">
      <c r="B1328" s="10"/>
      <c r="I1328" s="11"/>
      <c r="K1328" s="12"/>
      <c r="L1328" s="12"/>
      <c r="M1328" s="12"/>
      <c r="N1328" s="12"/>
      <c r="O1328" s="12"/>
    </row>
    <row r="1329" spans="2:15" x14ac:dyDescent="0.3">
      <c r="B1329" s="10"/>
      <c r="I1329" s="11"/>
      <c r="K1329" s="12"/>
      <c r="L1329" s="12"/>
      <c r="M1329" s="12"/>
      <c r="N1329" s="12"/>
      <c r="O1329" s="12"/>
    </row>
    <row r="1330" spans="2:15" x14ac:dyDescent="0.3">
      <c r="B1330" s="10"/>
      <c r="I1330" s="11"/>
      <c r="K1330" s="12"/>
      <c r="L1330" s="12"/>
      <c r="M1330" s="12"/>
      <c r="N1330" s="12"/>
      <c r="O1330" s="12"/>
    </row>
    <row r="1331" spans="2:15" x14ac:dyDescent="0.3">
      <c r="B1331" s="10"/>
      <c r="I1331" s="11"/>
      <c r="K1331" s="12"/>
      <c r="L1331" s="12"/>
      <c r="M1331" s="12"/>
      <c r="N1331" s="12"/>
      <c r="O1331" s="12"/>
    </row>
    <row r="1332" spans="2:15" x14ac:dyDescent="0.3">
      <c r="B1332" s="10"/>
      <c r="I1332" s="11"/>
      <c r="K1332" s="12"/>
      <c r="L1332" s="12"/>
      <c r="M1332" s="12"/>
      <c r="N1332" s="12"/>
      <c r="O1332" s="12"/>
    </row>
    <row r="1333" spans="2:15" x14ac:dyDescent="0.3">
      <c r="B1333" s="10"/>
      <c r="I1333" s="11"/>
      <c r="K1333" s="12"/>
      <c r="L1333" s="12"/>
      <c r="M1333" s="12"/>
      <c r="N1333" s="12"/>
      <c r="O1333" s="12"/>
    </row>
    <row r="1334" spans="2:15" x14ac:dyDescent="0.3">
      <c r="B1334" s="10"/>
      <c r="I1334" s="11"/>
      <c r="K1334" s="12"/>
      <c r="L1334" s="12"/>
      <c r="M1334" s="12"/>
      <c r="N1334" s="12"/>
      <c r="O1334" s="12"/>
    </row>
    <row r="1335" spans="2:15" x14ac:dyDescent="0.3">
      <c r="B1335" s="10"/>
      <c r="I1335" s="11"/>
      <c r="K1335" s="12"/>
      <c r="L1335" s="12"/>
      <c r="M1335" s="12"/>
      <c r="N1335" s="12"/>
      <c r="O1335" s="12"/>
    </row>
    <row r="1336" spans="2:15" x14ac:dyDescent="0.3">
      <c r="B1336" s="10"/>
      <c r="I1336" s="11"/>
      <c r="K1336" s="12"/>
      <c r="L1336" s="12"/>
      <c r="M1336" s="12"/>
      <c r="N1336" s="12"/>
      <c r="O1336" s="12"/>
    </row>
    <row r="1337" spans="2:15" x14ac:dyDescent="0.3">
      <c r="B1337" s="10"/>
      <c r="I1337" s="11"/>
      <c r="K1337" s="12"/>
      <c r="L1337" s="12"/>
      <c r="M1337" s="12"/>
      <c r="N1337" s="12"/>
      <c r="O1337" s="12"/>
    </row>
    <row r="1338" spans="2:15" x14ac:dyDescent="0.3">
      <c r="B1338" s="10"/>
      <c r="I1338" s="11"/>
      <c r="K1338" s="12"/>
      <c r="L1338" s="12"/>
      <c r="M1338" s="12"/>
      <c r="N1338" s="12"/>
      <c r="O1338" s="12"/>
    </row>
    <row r="1339" spans="2:15" x14ac:dyDescent="0.3">
      <c r="B1339" s="10"/>
      <c r="I1339" s="11"/>
      <c r="K1339" s="12"/>
      <c r="L1339" s="12"/>
      <c r="M1339" s="12"/>
      <c r="N1339" s="12"/>
      <c r="O1339" s="12"/>
    </row>
    <row r="1340" spans="2:15" x14ac:dyDescent="0.3">
      <c r="B1340" s="10"/>
      <c r="I1340" s="11"/>
      <c r="K1340" s="12"/>
      <c r="L1340" s="12"/>
      <c r="M1340" s="12"/>
      <c r="N1340" s="12"/>
      <c r="O1340" s="12"/>
    </row>
    <row r="1341" spans="2:15" x14ac:dyDescent="0.3">
      <c r="B1341" s="10"/>
      <c r="I1341" s="11"/>
      <c r="K1341" s="12"/>
      <c r="L1341" s="12"/>
      <c r="M1341" s="12"/>
      <c r="N1341" s="12"/>
      <c r="O1341" s="12"/>
    </row>
    <row r="1342" spans="2:15" x14ac:dyDescent="0.3">
      <c r="B1342" s="10"/>
      <c r="I1342" s="11"/>
      <c r="K1342" s="12"/>
      <c r="L1342" s="12"/>
      <c r="M1342" s="12"/>
      <c r="N1342" s="12"/>
      <c r="O1342" s="12"/>
    </row>
    <row r="1343" spans="2:15" x14ac:dyDescent="0.3">
      <c r="B1343" s="10"/>
      <c r="I1343" s="11"/>
      <c r="K1343" s="12"/>
      <c r="L1343" s="12"/>
      <c r="M1343" s="12"/>
      <c r="N1343" s="12"/>
      <c r="O1343" s="12"/>
    </row>
    <row r="1344" spans="2:15" x14ac:dyDescent="0.3">
      <c r="B1344" s="10"/>
      <c r="I1344" s="11"/>
      <c r="K1344" s="12"/>
      <c r="L1344" s="12"/>
      <c r="M1344" s="12"/>
      <c r="N1344" s="12"/>
      <c r="O1344" s="12"/>
    </row>
    <row r="1345" spans="2:15" x14ac:dyDescent="0.3">
      <c r="B1345" s="10"/>
      <c r="I1345" s="11"/>
      <c r="K1345" s="12"/>
      <c r="L1345" s="12"/>
      <c r="M1345" s="12"/>
      <c r="N1345" s="12"/>
      <c r="O1345" s="12"/>
    </row>
    <row r="1346" spans="2:15" x14ac:dyDescent="0.3">
      <c r="B1346" s="10"/>
      <c r="I1346" s="11"/>
      <c r="K1346" s="12"/>
      <c r="L1346" s="12"/>
      <c r="M1346" s="12"/>
      <c r="N1346" s="12"/>
      <c r="O1346" s="12"/>
    </row>
    <row r="1347" spans="2:15" x14ac:dyDescent="0.3">
      <c r="B1347" s="10"/>
      <c r="I1347" s="11"/>
      <c r="K1347" s="12"/>
      <c r="L1347" s="12"/>
      <c r="M1347" s="12"/>
      <c r="N1347" s="12"/>
      <c r="O1347" s="12"/>
    </row>
    <row r="1348" spans="2:15" x14ac:dyDescent="0.3">
      <c r="B1348" s="10"/>
      <c r="I1348" s="11"/>
      <c r="K1348" s="12"/>
      <c r="L1348" s="12"/>
      <c r="M1348" s="12"/>
      <c r="N1348" s="12"/>
      <c r="O1348" s="12"/>
    </row>
    <row r="1349" spans="2:15" x14ac:dyDescent="0.3">
      <c r="B1349" s="10"/>
      <c r="I1349" s="11"/>
      <c r="K1349" s="12"/>
      <c r="L1349" s="12"/>
      <c r="M1349" s="12"/>
      <c r="N1349" s="12"/>
      <c r="O1349" s="12"/>
    </row>
    <row r="1350" spans="2:15" x14ac:dyDescent="0.3">
      <c r="B1350" s="10"/>
      <c r="I1350" s="11"/>
      <c r="K1350" s="12"/>
      <c r="L1350" s="12"/>
      <c r="M1350" s="12"/>
      <c r="N1350" s="12"/>
      <c r="O1350" s="12"/>
    </row>
    <row r="1351" spans="2:15" x14ac:dyDescent="0.3">
      <c r="B1351" s="10"/>
      <c r="I1351" s="11"/>
      <c r="K1351" s="12"/>
      <c r="L1351" s="12"/>
      <c r="M1351" s="12"/>
      <c r="N1351" s="12"/>
      <c r="O1351" s="12"/>
    </row>
    <row r="1352" spans="2:15" x14ac:dyDescent="0.3">
      <c r="B1352" s="10"/>
      <c r="I1352" s="11"/>
      <c r="K1352" s="12"/>
      <c r="L1352" s="12"/>
      <c r="M1352" s="12"/>
      <c r="N1352" s="12"/>
      <c r="O1352" s="12"/>
    </row>
    <row r="1353" spans="2:15" x14ac:dyDescent="0.3">
      <c r="B1353" s="10"/>
      <c r="I1353" s="11"/>
      <c r="K1353" s="12"/>
      <c r="L1353" s="12"/>
      <c r="M1353" s="12"/>
      <c r="N1353" s="12"/>
      <c r="O1353" s="12"/>
    </row>
    <row r="1354" spans="2:15" x14ac:dyDescent="0.3">
      <c r="B1354" s="10"/>
      <c r="I1354" s="11"/>
      <c r="K1354" s="12"/>
      <c r="L1354" s="12"/>
      <c r="M1354" s="12"/>
      <c r="N1354" s="12"/>
      <c r="O1354" s="12"/>
    </row>
    <row r="1355" spans="2:15" x14ac:dyDescent="0.3">
      <c r="B1355" s="10"/>
      <c r="I1355" s="11"/>
      <c r="K1355" s="12"/>
      <c r="L1355" s="12"/>
      <c r="M1355" s="12"/>
      <c r="N1355" s="12"/>
      <c r="O1355" s="12"/>
    </row>
    <row r="1356" spans="2:15" x14ac:dyDescent="0.3">
      <c r="B1356" s="10"/>
      <c r="I1356" s="11"/>
      <c r="K1356" s="12"/>
      <c r="L1356" s="12"/>
      <c r="M1356" s="12"/>
      <c r="N1356" s="12"/>
      <c r="O1356" s="12"/>
    </row>
    <row r="1357" spans="2:15" x14ac:dyDescent="0.3">
      <c r="B1357" s="10"/>
      <c r="I1357" s="11"/>
      <c r="K1357" s="12"/>
      <c r="L1357" s="12"/>
      <c r="M1357" s="12"/>
      <c r="N1357" s="12"/>
      <c r="O1357" s="12"/>
    </row>
    <row r="1358" spans="2:15" x14ac:dyDescent="0.3">
      <c r="B1358" s="10"/>
      <c r="I1358" s="11"/>
      <c r="K1358" s="12"/>
      <c r="L1358" s="12"/>
      <c r="M1358" s="12"/>
      <c r="N1358" s="12"/>
      <c r="O1358" s="12"/>
    </row>
    <row r="1359" spans="2:15" x14ac:dyDescent="0.3">
      <c r="B1359" s="10"/>
      <c r="I1359" s="11"/>
      <c r="K1359" s="12"/>
      <c r="L1359" s="12"/>
      <c r="M1359" s="12"/>
      <c r="N1359" s="12"/>
      <c r="O1359" s="12"/>
    </row>
    <row r="1360" spans="2:15" x14ac:dyDescent="0.3">
      <c r="B1360" s="10"/>
      <c r="I1360" s="11"/>
      <c r="K1360" s="12"/>
      <c r="L1360" s="12"/>
      <c r="M1360" s="12"/>
      <c r="N1360" s="12"/>
      <c r="O1360" s="12"/>
    </row>
    <row r="1361" spans="2:15" x14ac:dyDescent="0.3">
      <c r="B1361" s="10"/>
      <c r="I1361" s="11"/>
      <c r="K1361" s="12"/>
      <c r="L1361" s="12"/>
      <c r="M1361" s="12"/>
      <c r="N1361" s="12"/>
      <c r="O1361" s="12"/>
    </row>
    <row r="1362" spans="2:15" x14ac:dyDescent="0.3">
      <c r="B1362" s="10"/>
      <c r="I1362" s="11"/>
      <c r="K1362" s="12"/>
      <c r="L1362" s="12"/>
      <c r="M1362" s="12"/>
      <c r="N1362" s="12"/>
      <c r="O1362" s="12"/>
    </row>
    <row r="1363" spans="2:15" x14ac:dyDescent="0.3">
      <c r="B1363" s="10"/>
      <c r="I1363" s="11"/>
      <c r="K1363" s="12"/>
      <c r="L1363" s="12"/>
      <c r="M1363" s="12"/>
      <c r="N1363" s="12"/>
      <c r="O1363" s="12"/>
    </row>
    <row r="1364" spans="2:15" x14ac:dyDescent="0.3">
      <c r="B1364" s="10"/>
      <c r="I1364" s="11"/>
      <c r="K1364" s="12"/>
      <c r="L1364" s="12"/>
      <c r="M1364" s="12"/>
      <c r="N1364" s="12"/>
      <c r="O1364" s="12"/>
    </row>
    <row r="1365" spans="2:15" x14ac:dyDescent="0.3">
      <c r="B1365" s="10"/>
      <c r="I1365" s="11"/>
      <c r="K1365" s="12"/>
      <c r="L1365" s="12"/>
      <c r="M1365" s="12"/>
      <c r="N1365" s="12"/>
      <c r="O1365" s="12"/>
    </row>
    <row r="1366" spans="2:15" x14ac:dyDescent="0.3">
      <c r="B1366" s="10"/>
      <c r="I1366" s="11"/>
      <c r="K1366" s="12"/>
      <c r="L1366" s="12"/>
      <c r="M1366" s="12"/>
      <c r="N1366" s="12"/>
      <c r="O1366" s="12"/>
    </row>
    <row r="1367" spans="2:15" x14ac:dyDescent="0.3">
      <c r="B1367" s="10"/>
      <c r="I1367" s="11"/>
      <c r="K1367" s="12"/>
      <c r="L1367" s="12"/>
      <c r="M1367" s="12"/>
      <c r="N1367" s="12"/>
      <c r="O1367" s="12"/>
    </row>
    <row r="1368" spans="2:15" x14ac:dyDescent="0.3">
      <c r="B1368" s="10"/>
      <c r="I1368" s="11"/>
      <c r="K1368" s="12"/>
      <c r="L1368" s="12"/>
      <c r="M1368" s="12"/>
      <c r="N1368" s="12"/>
      <c r="O1368" s="12"/>
    </row>
    <row r="1369" spans="2:15" x14ac:dyDescent="0.3">
      <c r="B1369" s="10"/>
      <c r="I1369" s="11"/>
      <c r="K1369" s="12"/>
      <c r="L1369" s="12"/>
      <c r="M1369" s="12"/>
      <c r="N1369" s="12"/>
      <c r="O1369" s="12"/>
    </row>
    <row r="1370" spans="2:15" x14ac:dyDescent="0.3">
      <c r="B1370" s="10"/>
      <c r="I1370" s="11"/>
      <c r="K1370" s="12"/>
      <c r="L1370" s="12"/>
      <c r="M1370" s="12"/>
      <c r="N1370" s="12"/>
      <c r="O1370" s="12"/>
    </row>
    <row r="1371" spans="2:15" x14ac:dyDescent="0.3">
      <c r="B1371" s="10"/>
      <c r="I1371" s="11"/>
      <c r="K1371" s="12"/>
      <c r="L1371" s="12"/>
      <c r="M1371" s="12"/>
      <c r="N1371" s="12"/>
      <c r="O1371" s="12"/>
    </row>
    <row r="1372" spans="2:15" x14ac:dyDescent="0.3">
      <c r="B1372" s="10"/>
      <c r="I1372" s="11"/>
      <c r="K1372" s="12"/>
      <c r="L1372" s="12"/>
      <c r="M1372" s="12"/>
      <c r="N1372" s="12"/>
      <c r="O1372" s="12"/>
    </row>
    <row r="1373" spans="2:15" x14ac:dyDescent="0.3">
      <c r="B1373" s="10"/>
      <c r="I1373" s="11"/>
      <c r="K1373" s="12"/>
      <c r="L1373" s="12"/>
      <c r="M1373" s="12"/>
      <c r="N1373" s="12"/>
      <c r="O1373" s="12"/>
    </row>
    <row r="1374" spans="2:15" x14ac:dyDescent="0.3">
      <c r="B1374" s="10"/>
      <c r="I1374" s="11"/>
      <c r="K1374" s="12"/>
      <c r="L1374" s="12"/>
      <c r="M1374" s="12"/>
      <c r="N1374" s="12"/>
      <c r="O1374" s="12"/>
    </row>
    <row r="1375" spans="2:15" x14ac:dyDescent="0.3">
      <c r="B1375" s="10"/>
      <c r="I1375" s="11"/>
      <c r="K1375" s="12"/>
      <c r="L1375" s="12"/>
      <c r="M1375" s="12"/>
      <c r="N1375" s="12"/>
      <c r="O1375" s="12"/>
    </row>
    <row r="1376" spans="2:15" x14ac:dyDescent="0.3">
      <c r="B1376" s="10"/>
      <c r="I1376" s="11"/>
      <c r="K1376" s="12"/>
      <c r="L1376" s="12"/>
      <c r="M1376" s="12"/>
      <c r="N1376" s="12"/>
      <c r="O1376" s="12"/>
    </row>
    <row r="1377" spans="2:15" x14ac:dyDescent="0.3">
      <c r="B1377" s="10"/>
      <c r="I1377" s="11"/>
      <c r="K1377" s="12"/>
      <c r="L1377" s="12"/>
      <c r="M1377" s="12"/>
      <c r="N1377" s="12"/>
      <c r="O1377" s="12"/>
    </row>
    <row r="1378" spans="2:15" x14ac:dyDescent="0.3">
      <c r="B1378" s="10"/>
      <c r="I1378" s="11"/>
      <c r="K1378" s="12"/>
      <c r="L1378" s="12"/>
      <c r="M1378" s="12"/>
      <c r="N1378" s="12"/>
      <c r="O1378" s="12"/>
    </row>
    <row r="1379" spans="2:15" x14ac:dyDescent="0.3">
      <c r="B1379" s="10"/>
      <c r="I1379" s="11"/>
      <c r="K1379" s="12"/>
      <c r="L1379" s="12"/>
      <c r="M1379" s="12"/>
      <c r="N1379" s="12"/>
      <c r="O1379" s="12"/>
    </row>
    <row r="1380" spans="2:15" x14ac:dyDescent="0.3">
      <c r="B1380" s="10"/>
      <c r="I1380" s="11"/>
      <c r="K1380" s="12"/>
      <c r="L1380" s="12"/>
      <c r="M1380" s="12"/>
      <c r="N1380" s="12"/>
      <c r="O1380" s="12"/>
    </row>
    <row r="1381" spans="2:15" x14ac:dyDescent="0.3">
      <c r="B1381" s="10"/>
      <c r="I1381" s="11"/>
      <c r="K1381" s="12"/>
      <c r="L1381" s="12"/>
      <c r="M1381" s="12"/>
      <c r="N1381" s="12"/>
      <c r="O1381" s="12"/>
    </row>
    <row r="1382" spans="2:15" x14ac:dyDescent="0.3">
      <c r="B1382" s="10"/>
      <c r="I1382" s="11"/>
      <c r="K1382" s="12"/>
      <c r="L1382" s="12"/>
      <c r="M1382" s="12"/>
      <c r="N1382" s="12"/>
      <c r="O1382" s="12"/>
    </row>
    <row r="1383" spans="2:15" x14ac:dyDescent="0.3">
      <c r="B1383" s="10"/>
      <c r="I1383" s="11"/>
      <c r="K1383" s="12"/>
      <c r="L1383" s="12"/>
      <c r="M1383" s="12"/>
      <c r="N1383" s="12"/>
      <c r="O1383" s="12"/>
    </row>
    <row r="1384" spans="2:15" x14ac:dyDescent="0.3">
      <c r="B1384" s="10"/>
      <c r="I1384" s="11"/>
      <c r="K1384" s="12"/>
      <c r="L1384" s="12"/>
      <c r="M1384" s="12"/>
      <c r="N1384" s="12"/>
      <c r="O1384" s="12"/>
    </row>
    <row r="1385" spans="2:15" x14ac:dyDescent="0.3">
      <c r="B1385" s="10"/>
      <c r="I1385" s="11"/>
      <c r="K1385" s="12"/>
      <c r="L1385" s="12"/>
      <c r="M1385" s="12"/>
      <c r="N1385" s="12"/>
      <c r="O1385" s="12"/>
    </row>
    <row r="1386" spans="2:15" x14ac:dyDescent="0.3">
      <c r="B1386" s="10"/>
      <c r="I1386" s="11"/>
      <c r="K1386" s="12"/>
      <c r="L1386" s="12"/>
      <c r="M1386" s="12"/>
      <c r="N1386" s="12"/>
      <c r="O1386" s="12"/>
    </row>
    <row r="1387" spans="2:15" x14ac:dyDescent="0.3">
      <c r="B1387" s="10"/>
      <c r="I1387" s="11"/>
      <c r="K1387" s="12"/>
      <c r="L1387" s="12"/>
      <c r="M1387" s="12"/>
      <c r="N1387" s="12"/>
      <c r="O1387" s="12"/>
    </row>
    <row r="1388" spans="2:15" x14ac:dyDescent="0.3">
      <c r="B1388" s="10"/>
      <c r="I1388" s="11"/>
      <c r="K1388" s="12"/>
      <c r="L1388" s="12"/>
      <c r="M1388" s="12"/>
      <c r="N1388" s="12"/>
      <c r="O1388" s="12"/>
    </row>
    <row r="1389" spans="2:15" x14ac:dyDescent="0.3">
      <c r="B1389" s="10"/>
      <c r="I1389" s="11"/>
      <c r="K1389" s="12"/>
      <c r="L1389" s="12"/>
      <c r="M1389" s="12"/>
      <c r="N1389" s="12"/>
      <c r="O1389" s="12"/>
    </row>
    <row r="1390" spans="2:15" x14ac:dyDescent="0.3">
      <c r="B1390" s="10"/>
      <c r="I1390" s="11"/>
      <c r="K1390" s="12"/>
      <c r="L1390" s="12"/>
      <c r="M1390" s="12"/>
      <c r="N1390" s="12"/>
      <c r="O1390" s="12"/>
    </row>
    <row r="1391" spans="2:15" x14ac:dyDescent="0.3">
      <c r="B1391" s="10"/>
      <c r="I1391" s="11"/>
      <c r="K1391" s="12"/>
      <c r="L1391" s="12"/>
      <c r="M1391" s="12"/>
      <c r="N1391" s="12"/>
      <c r="O1391" s="12"/>
    </row>
    <row r="1392" spans="2:15" x14ac:dyDescent="0.3">
      <c r="B1392" s="10"/>
      <c r="I1392" s="11"/>
      <c r="K1392" s="12"/>
      <c r="L1392" s="12"/>
      <c r="M1392" s="12"/>
      <c r="N1392" s="12"/>
      <c r="O1392" s="12"/>
    </row>
    <row r="1393" spans="2:15" x14ac:dyDescent="0.3">
      <c r="B1393" s="10"/>
      <c r="I1393" s="11"/>
      <c r="K1393" s="12"/>
      <c r="L1393" s="12"/>
      <c r="M1393" s="12"/>
      <c r="N1393" s="12"/>
      <c r="O1393" s="12"/>
    </row>
    <row r="1394" spans="2:15" x14ac:dyDescent="0.3">
      <c r="B1394" s="10"/>
      <c r="I1394" s="11"/>
      <c r="K1394" s="12"/>
      <c r="L1394" s="12"/>
      <c r="M1394" s="12"/>
      <c r="N1394" s="12"/>
      <c r="O1394" s="12"/>
    </row>
    <row r="1395" spans="2:15" x14ac:dyDescent="0.3">
      <c r="B1395" s="10"/>
      <c r="I1395" s="11"/>
      <c r="K1395" s="12"/>
      <c r="L1395" s="12"/>
      <c r="M1395" s="12"/>
      <c r="N1395" s="12"/>
      <c r="O1395" s="12"/>
    </row>
    <row r="1396" spans="2:15" x14ac:dyDescent="0.3">
      <c r="B1396" s="10"/>
      <c r="I1396" s="11"/>
      <c r="K1396" s="12"/>
      <c r="L1396" s="12"/>
      <c r="M1396" s="12"/>
      <c r="N1396" s="12"/>
      <c r="O1396" s="12"/>
    </row>
    <row r="1397" spans="2:15" x14ac:dyDescent="0.3">
      <c r="B1397" s="10"/>
      <c r="I1397" s="11"/>
      <c r="K1397" s="12"/>
      <c r="L1397" s="12"/>
      <c r="M1397" s="12"/>
      <c r="N1397" s="12"/>
      <c r="O1397" s="12"/>
    </row>
    <row r="1398" spans="2:15" x14ac:dyDescent="0.3">
      <c r="B1398" s="10"/>
      <c r="I1398" s="11"/>
      <c r="K1398" s="12"/>
      <c r="L1398" s="12"/>
      <c r="M1398" s="12"/>
      <c r="N1398" s="12"/>
      <c r="O1398" s="12"/>
    </row>
    <row r="1399" spans="2:15" x14ac:dyDescent="0.3">
      <c r="B1399" s="10"/>
      <c r="I1399" s="11"/>
      <c r="K1399" s="12"/>
      <c r="L1399" s="12"/>
      <c r="M1399" s="12"/>
      <c r="N1399" s="12"/>
      <c r="O1399" s="12"/>
    </row>
    <row r="1400" spans="2:15" x14ac:dyDescent="0.3">
      <c r="B1400" s="10"/>
      <c r="I1400" s="11"/>
      <c r="K1400" s="12"/>
      <c r="L1400" s="12"/>
      <c r="M1400" s="12"/>
      <c r="N1400" s="12"/>
      <c r="O1400" s="12"/>
    </row>
    <row r="1401" spans="2:15" x14ac:dyDescent="0.3">
      <c r="B1401" s="10"/>
      <c r="I1401" s="11"/>
      <c r="K1401" s="12"/>
      <c r="L1401" s="12"/>
      <c r="M1401" s="12"/>
      <c r="N1401" s="12"/>
      <c r="O1401" s="12"/>
    </row>
    <row r="1402" spans="2:15" x14ac:dyDescent="0.3">
      <c r="B1402" s="10"/>
      <c r="I1402" s="11"/>
      <c r="K1402" s="12"/>
      <c r="L1402" s="12"/>
      <c r="M1402" s="12"/>
      <c r="N1402" s="12"/>
      <c r="O1402" s="12"/>
    </row>
    <row r="1403" spans="2:15" x14ac:dyDescent="0.3">
      <c r="B1403" s="10"/>
      <c r="I1403" s="11"/>
      <c r="K1403" s="12"/>
      <c r="L1403" s="12"/>
      <c r="M1403" s="12"/>
      <c r="N1403" s="12"/>
      <c r="O1403" s="12"/>
    </row>
    <row r="1404" spans="2:15" x14ac:dyDescent="0.3">
      <c r="B1404" s="10"/>
      <c r="I1404" s="11"/>
      <c r="K1404" s="12"/>
      <c r="L1404" s="12"/>
      <c r="M1404" s="12"/>
      <c r="N1404" s="12"/>
      <c r="O1404" s="12"/>
    </row>
    <row r="1405" spans="2:15" x14ac:dyDescent="0.3">
      <c r="B1405" s="10"/>
      <c r="I1405" s="11"/>
      <c r="K1405" s="12"/>
      <c r="L1405" s="12"/>
      <c r="M1405" s="12"/>
      <c r="N1405" s="12"/>
      <c r="O1405" s="12"/>
    </row>
    <row r="1406" spans="2:15" x14ac:dyDescent="0.3">
      <c r="B1406" s="10"/>
      <c r="I1406" s="11"/>
      <c r="K1406" s="12"/>
      <c r="L1406" s="12"/>
      <c r="M1406" s="12"/>
      <c r="N1406" s="12"/>
      <c r="O1406" s="12"/>
    </row>
    <row r="1407" spans="2:15" x14ac:dyDescent="0.3">
      <c r="B1407" s="10"/>
      <c r="I1407" s="11"/>
      <c r="K1407" s="12"/>
      <c r="L1407" s="12"/>
      <c r="M1407" s="12"/>
      <c r="N1407" s="12"/>
      <c r="O1407" s="12"/>
    </row>
    <row r="1408" spans="2:15" x14ac:dyDescent="0.3">
      <c r="B1408" s="10"/>
      <c r="I1408" s="11"/>
      <c r="K1408" s="12"/>
      <c r="L1408" s="12"/>
      <c r="M1408" s="12"/>
      <c r="N1408" s="12"/>
      <c r="O1408" s="12"/>
    </row>
    <row r="1409" spans="2:15" x14ac:dyDescent="0.3">
      <c r="B1409" s="10"/>
      <c r="I1409" s="11"/>
      <c r="K1409" s="12"/>
      <c r="L1409" s="12"/>
      <c r="M1409" s="12"/>
      <c r="N1409" s="12"/>
      <c r="O1409" s="12"/>
    </row>
    <row r="1410" spans="2:15" x14ac:dyDescent="0.3">
      <c r="B1410" s="10"/>
      <c r="I1410" s="11"/>
      <c r="K1410" s="12"/>
      <c r="L1410" s="12"/>
      <c r="M1410" s="12"/>
      <c r="N1410" s="12"/>
      <c r="O1410" s="12"/>
    </row>
    <row r="1411" spans="2:15" x14ac:dyDescent="0.3">
      <c r="B1411" s="10"/>
      <c r="I1411" s="11"/>
      <c r="K1411" s="12"/>
      <c r="L1411" s="12"/>
      <c r="M1411" s="12"/>
      <c r="N1411" s="12"/>
      <c r="O1411" s="12"/>
    </row>
    <row r="1412" spans="2:15" x14ac:dyDescent="0.3">
      <c r="B1412" s="10"/>
      <c r="I1412" s="11"/>
      <c r="K1412" s="12"/>
      <c r="L1412" s="12"/>
      <c r="M1412" s="12"/>
      <c r="N1412" s="12"/>
      <c r="O1412" s="12"/>
    </row>
    <row r="1413" spans="2:15" x14ac:dyDescent="0.3">
      <c r="B1413" s="10"/>
      <c r="I1413" s="11"/>
      <c r="K1413" s="12"/>
      <c r="L1413" s="12"/>
      <c r="M1413" s="12"/>
      <c r="N1413" s="12"/>
      <c r="O1413" s="12"/>
    </row>
    <row r="1414" spans="2:15" x14ac:dyDescent="0.3">
      <c r="B1414" s="10"/>
      <c r="I1414" s="11"/>
      <c r="K1414" s="12"/>
      <c r="L1414" s="12"/>
      <c r="M1414" s="12"/>
      <c r="N1414" s="12"/>
      <c r="O1414" s="12"/>
    </row>
    <row r="1415" spans="2:15" x14ac:dyDescent="0.3">
      <c r="B1415" s="10"/>
      <c r="I1415" s="11"/>
      <c r="K1415" s="12"/>
      <c r="L1415" s="12"/>
      <c r="M1415" s="12"/>
      <c r="N1415" s="12"/>
      <c r="O1415" s="12"/>
    </row>
    <row r="1416" spans="2:15" x14ac:dyDescent="0.3">
      <c r="B1416" s="10"/>
      <c r="I1416" s="11"/>
      <c r="K1416" s="12"/>
      <c r="L1416" s="12"/>
      <c r="M1416" s="12"/>
      <c r="N1416" s="12"/>
      <c r="O1416" s="12"/>
    </row>
    <row r="1417" spans="2:15" x14ac:dyDescent="0.3">
      <c r="B1417" s="10"/>
      <c r="I1417" s="11"/>
      <c r="K1417" s="12"/>
      <c r="L1417" s="12"/>
      <c r="M1417" s="12"/>
      <c r="N1417" s="12"/>
      <c r="O1417" s="12"/>
    </row>
    <row r="1418" spans="2:15" x14ac:dyDescent="0.3">
      <c r="B1418" s="10"/>
      <c r="I1418" s="11"/>
      <c r="K1418" s="12"/>
      <c r="L1418" s="12"/>
      <c r="M1418" s="12"/>
      <c r="N1418" s="12"/>
      <c r="O1418" s="12"/>
    </row>
    <row r="1419" spans="2:15" x14ac:dyDescent="0.3">
      <c r="B1419" s="10"/>
      <c r="I1419" s="11"/>
      <c r="K1419" s="12"/>
      <c r="L1419" s="12"/>
      <c r="M1419" s="12"/>
      <c r="N1419" s="12"/>
      <c r="O1419" s="12"/>
    </row>
    <row r="1420" spans="2:15" x14ac:dyDescent="0.3">
      <c r="B1420" s="10"/>
      <c r="I1420" s="11"/>
      <c r="K1420" s="12"/>
      <c r="L1420" s="12"/>
      <c r="M1420" s="12"/>
      <c r="N1420" s="12"/>
      <c r="O1420" s="12"/>
    </row>
    <row r="1421" spans="2:15" x14ac:dyDescent="0.3">
      <c r="B1421" s="10"/>
      <c r="I1421" s="11"/>
      <c r="K1421" s="12"/>
      <c r="L1421" s="12"/>
      <c r="M1421" s="12"/>
      <c r="N1421" s="12"/>
      <c r="O1421" s="12"/>
    </row>
    <row r="1422" spans="2:15" x14ac:dyDescent="0.3">
      <c r="B1422" s="10"/>
      <c r="I1422" s="11"/>
      <c r="K1422" s="12"/>
      <c r="L1422" s="12"/>
      <c r="M1422" s="12"/>
      <c r="N1422" s="12"/>
      <c r="O1422" s="12"/>
    </row>
    <row r="1423" spans="2:15" x14ac:dyDescent="0.3">
      <c r="B1423" s="10"/>
      <c r="I1423" s="11"/>
      <c r="K1423" s="12"/>
      <c r="L1423" s="12"/>
      <c r="M1423" s="12"/>
      <c r="N1423" s="12"/>
      <c r="O1423" s="12"/>
    </row>
    <row r="1424" spans="2:15" x14ac:dyDescent="0.3">
      <c r="B1424" s="10"/>
      <c r="I1424" s="11"/>
      <c r="K1424" s="12"/>
      <c r="L1424" s="12"/>
      <c r="M1424" s="12"/>
      <c r="N1424" s="12"/>
      <c r="O1424" s="12"/>
    </row>
    <row r="1425" spans="2:15" x14ac:dyDescent="0.3">
      <c r="B1425" s="10"/>
      <c r="I1425" s="11"/>
      <c r="K1425" s="12"/>
      <c r="L1425" s="12"/>
      <c r="M1425" s="12"/>
      <c r="N1425" s="12"/>
      <c r="O1425" s="12"/>
    </row>
    <row r="1426" spans="2:15" x14ac:dyDescent="0.3">
      <c r="B1426" s="10"/>
      <c r="I1426" s="11"/>
      <c r="K1426" s="12"/>
      <c r="L1426" s="12"/>
      <c r="M1426" s="12"/>
      <c r="N1426" s="12"/>
      <c r="O1426" s="12"/>
    </row>
    <row r="1427" spans="2:15" x14ac:dyDescent="0.3">
      <c r="B1427" s="10"/>
      <c r="I1427" s="11"/>
      <c r="K1427" s="12"/>
      <c r="L1427" s="12"/>
      <c r="M1427" s="12"/>
      <c r="N1427" s="12"/>
      <c r="O1427" s="12"/>
    </row>
    <row r="1428" spans="2:15" x14ac:dyDescent="0.3">
      <c r="B1428" s="10"/>
      <c r="I1428" s="11"/>
      <c r="K1428" s="12"/>
      <c r="L1428" s="12"/>
      <c r="M1428" s="12"/>
      <c r="N1428" s="12"/>
      <c r="O1428" s="12"/>
    </row>
    <row r="1429" spans="2:15" x14ac:dyDescent="0.3">
      <c r="B1429" s="10"/>
      <c r="I1429" s="11"/>
      <c r="K1429" s="12"/>
      <c r="L1429" s="12"/>
      <c r="M1429" s="12"/>
      <c r="N1429" s="12"/>
      <c r="O1429" s="12"/>
    </row>
    <row r="1430" spans="2:15" x14ac:dyDescent="0.3">
      <c r="B1430" s="10"/>
      <c r="I1430" s="11"/>
      <c r="K1430" s="12"/>
      <c r="L1430" s="12"/>
      <c r="M1430" s="12"/>
      <c r="N1430" s="12"/>
      <c r="O1430" s="12"/>
    </row>
    <row r="1431" spans="2:15" x14ac:dyDescent="0.3">
      <c r="B1431" s="10"/>
      <c r="I1431" s="11"/>
      <c r="K1431" s="12"/>
      <c r="L1431" s="12"/>
      <c r="M1431" s="12"/>
      <c r="N1431" s="12"/>
      <c r="O1431" s="12"/>
    </row>
    <row r="1432" spans="2:15" x14ac:dyDescent="0.3">
      <c r="B1432" s="10"/>
      <c r="I1432" s="11"/>
      <c r="K1432" s="12"/>
      <c r="L1432" s="12"/>
      <c r="M1432" s="12"/>
      <c r="N1432" s="12"/>
      <c r="O1432" s="12"/>
    </row>
    <row r="1433" spans="2:15" x14ac:dyDescent="0.3">
      <c r="B1433" s="10"/>
      <c r="I1433" s="11"/>
      <c r="K1433" s="12"/>
      <c r="L1433" s="12"/>
      <c r="M1433" s="12"/>
      <c r="N1433" s="12"/>
      <c r="O1433" s="12"/>
    </row>
    <row r="1434" spans="2:15" x14ac:dyDescent="0.3">
      <c r="B1434" s="10"/>
      <c r="I1434" s="11"/>
      <c r="K1434" s="12"/>
      <c r="L1434" s="12"/>
      <c r="M1434" s="12"/>
      <c r="N1434" s="12"/>
      <c r="O1434" s="12"/>
    </row>
    <row r="1435" spans="2:15" x14ac:dyDescent="0.3">
      <c r="B1435" s="10"/>
      <c r="I1435" s="11"/>
      <c r="K1435" s="12"/>
      <c r="L1435" s="12"/>
      <c r="M1435" s="12"/>
      <c r="N1435" s="12"/>
      <c r="O1435" s="12"/>
    </row>
    <row r="1436" spans="2:15" x14ac:dyDescent="0.3">
      <c r="B1436" s="10"/>
      <c r="I1436" s="11"/>
      <c r="K1436" s="12"/>
      <c r="L1436" s="12"/>
      <c r="M1436" s="12"/>
      <c r="N1436" s="12"/>
      <c r="O1436" s="12"/>
    </row>
    <row r="1437" spans="2:15" x14ac:dyDescent="0.3">
      <c r="B1437" s="10"/>
      <c r="I1437" s="11"/>
      <c r="K1437" s="12"/>
      <c r="L1437" s="12"/>
      <c r="M1437" s="12"/>
      <c r="N1437" s="12"/>
      <c r="O1437" s="12"/>
    </row>
    <row r="1438" spans="2:15" x14ac:dyDescent="0.3">
      <c r="B1438" s="10"/>
      <c r="I1438" s="11"/>
      <c r="K1438" s="12"/>
      <c r="L1438" s="12"/>
      <c r="M1438" s="12"/>
      <c r="N1438" s="12"/>
      <c r="O1438" s="12"/>
    </row>
    <row r="1439" spans="2:15" x14ac:dyDescent="0.3">
      <c r="B1439" s="10"/>
      <c r="I1439" s="11"/>
      <c r="K1439" s="12"/>
      <c r="L1439" s="12"/>
      <c r="M1439" s="12"/>
      <c r="N1439" s="12"/>
      <c r="O1439" s="12"/>
    </row>
    <row r="1440" spans="2:15" x14ac:dyDescent="0.3">
      <c r="B1440" s="10"/>
      <c r="I1440" s="11"/>
      <c r="K1440" s="12"/>
      <c r="L1440" s="12"/>
      <c r="M1440" s="12"/>
      <c r="N1440" s="12"/>
      <c r="O1440" s="12"/>
    </row>
    <row r="1441" spans="2:15" x14ac:dyDescent="0.3">
      <c r="B1441" s="10"/>
      <c r="I1441" s="11"/>
      <c r="K1441" s="12"/>
      <c r="L1441" s="12"/>
      <c r="M1441" s="12"/>
      <c r="N1441" s="12"/>
      <c r="O1441" s="12"/>
    </row>
    <row r="1442" spans="2:15" x14ac:dyDescent="0.3">
      <c r="B1442" s="10"/>
      <c r="I1442" s="11"/>
      <c r="K1442" s="12"/>
      <c r="L1442" s="12"/>
      <c r="M1442" s="12"/>
      <c r="N1442" s="12"/>
      <c r="O1442" s="12"/>
    </row>
    <row r="1443" spans="2:15" x14ac:dyDescent="0.3">
      <c r="B1443" s="10"/>
      <c r="I1443" s="11"/>
      <c r="K1443" s="12"/>
      <c r="L1443" s="12"/>
      <c r="M1443" s="12"/>
      <c r="N1443" s="12"/>
      <c r="O1443" s="12"/>
    </row>
    <row r="1444" spans="2:15" x14ac:dyDescent="0.3">
      <c r="B1444" s="10"/>
      <c r="I1444" s="11"/>
      <c r="K1444" s="12"/>
      <c r="L1444" s="12"/>
      <c r="M1444" s="12"/>
      <c r="N1444" s="12"/>
      <c r="O1444" s="12"/>
    </row>
    <row r="1445" spans="2:15" x14ac:dyDescent="0.3">
      <c r="B1445" s="10"/>
      <c r="I1445" s="11"/>
      <c r="K1445" s="12"/>
      <c r="L1445" s="12"/>
      <c r="M1445" s="12"/>
      <c r="N1445" s="12"/>
      <c r="O1445" s="12"/>
    </row>
    <row r="1446" spans="2:15" x14ac:dyDescent="0.3">
      <c r="B1446" s="10"/>
      <c r="I1446" s="11"/>
      <c r="K1446" s="12"/>
      <c r="L1446" s="12"/>
      <c r="M1446" s="12"/>
      <c r="N1446" s="12"/>
      <c r="O1446" s="12"/>
    </row>
    <row r="1447" spans="2:15" x14ac:dyDescent="0.3">
      <c r="B1447" s="10"/>
      <c r="I1447" s="11"/>
      <c r="K1447" s="12"/>
      <c r="L1447" s="12"/>
      <c r="M1447" s="12"/>
      <c r="N1447" s="12"/>
      <c r="O1447" s="12"/>
    </row>
    <row r="1448" spans="2:15" x14ac:dyDescent="0.3">
      <c r="B1448" s="10"/>
      <c r="I1448" s="11"/>
      <c r="K1448" s="12"/>
      <c r="L1448" s="12"/>
      <c r="M1448" s="12"/>
      <c r="N1448" s="12"/>
      <c r="O1448" s="12"/>
    </row>
    <row r="1449" spans="2:15" x14ac:dyDescent="0.3">
      <c r="B1449" s="10"/>
      <c r="I1449" s="11"/>
      <c r="K1449" s="12"/>
      <c r="L1449" s="12"/>
      <c r="M1449" s="12"/>
      <c r="N1449" s="12"/>
      <c r="O1449" s="12"/>
    </row>
    <row r="1450" spans="2:15" x14ac:dyDescent="0.3">
      <c r="B1450" s="10"/>
      <c r="I1450" s="11"/>
      <c r="K1450" s="12"/>
      <c r="L1450" s="12"/>
      <c r="M1450" s="12"/>
      <c r="N1450" s="12"/>
      <c r="O1450" s="12"/>
    </row>
    <row r="1451" spans="2:15" x14ac:dyDescent="0.3">
      <c r="B1451" s="10"/>
      <c r="I1451" s="11"/>
      <c r="K1451" s="12"/>
      <c r="L1451" s="12"/>
      <c r="M1451" s="12"/>
      <c r="N1451" s="12"/>
      <c r="O1451" s="12"/>
    </row>
    <row r="1452" spans="2:15" x14ac:dyDescent="0.3">
      <c r="B1452" s="10"/>
      <c r="I1452" s="11"/>
      <c r="K1452" s="12"/>
      <c r="L1452" s="12"/>
      <c r="M1452" s="12"/>
      <c r="N1452" s="12"/>
      <c r="O1452" s="12"/>
    </row>
    <row r="1453" spans="2:15" x14ac:dyDescent="0.3">
      <c r="B1453" s="10"/>
      <c r="I1453" s="11"/>
      <c r="K1453" s="12"/>
      <c r="L1453" s="12"/>
      <c r="M1453" s="12"/>
      <c r="N1453" s="12"/>
      <c r="O1453" s="12"/>
    </row>
    <row r="1454" spans="2:15" x14ac:dyDescent="0.3">
      <c r="B1454" s="10"/>
      <c r="I1454" s="11"/>
      <c r="K1454" s="12"/>
      <c r="L1454" s="12"/>
      <c r="M1454" s="12"/>
      <c r="N1454" s="12"/>
      <c r="O1454" s="12"/>
    </row>
    <row r="1455" spans="2:15" x14ac:dyDescent="0.3">
      <c r="B1455" s="10"/>
      <c r="I1455" s="11"/>
      <c r="K1455" s="12"/>
      <c r="L1455" s="12"/>
      <c r="M1455" s="12"/>
      <c r="N1455" s="12"/>
      <c r="O1455" s="12"/>
    </row>
    <row r="1456" spans="2:15" x14ac:dyDescent="0.3">
      <c r="B1456" s="10"/>
      <c r="I1456" s="11"/>
      <c r="K1456" s="12"/>
      <c r="L1456" s="12"/>
      <c r="M1456" s="12"/>
      <c r="N1456" s="12"/>
      <c r="O1456" s="12"/>
    </row>
    <row r="1457" spans="2:15" x14ac:dyDescent="0.3">
      <c r="B1457" s="10"/>
      <c r="I1457" s="11"/>
      <c r="K1457" s="12"/>
      <c r="L1457" s="12"/>
      <c r="M1457" s="12"/>
      <c r="N1457" s="12"/>
      <c r="O1457" s="12"/>
    </row>
    <row r="1458" spans="2:15" x14ac:dyDescent="0.3">
      <c r="B1458" s="10"/>
      <c r="I1458" s="11"/>
      <c r="K1458" s="12"/>
      <c r="L1458" s="12"/>
      <c r="M1458" s="12"/>
      <c r="N1458" s="12"/>
      <c r="O1458" s="12"/>
    </row>
    <row r="1459" spans="2:15" x14ac:dyDescent="0.3">
      <c r="B1459" s="10"/>
      <c r="I1459" s="11"/>
      <c r="K1459" s="12"/>
      <c r="L1459" s="12"/>
      <c r="M1459" s="12"/>
      <c r="N1459" s="12"/>
      <c r="O1459" s="12"/>
    </row>
    <row r="1460" spans="2:15" x14ac:dyDescent="0.3">
      <c r="B1460" s="10"/>
      <c r="I1460" s="11"/>
      <c r="K1460" s="12"/>
      <c r="L1460" s="12"/>
      <c r="M1460" s="12"/>
      <c r="N1460" s="12"/>
      <c r="O1460" s="12"/>
    </row>
    <row r="1461" spans="2:15" x14ac:dyDescent="0.3">
      <c r="B1461" s="10"/>
      <c r="I1461" s="11"/>
      <c r="K1461" s="12"/>
      <c r="L1461" s="12"/>
      <c r="M1461" s="12"/>
      <c r="N1461" s="12"/>
      <c r="O1461" s="12"/>
    </row>
    <row r="1462" spans="2:15" x14ac:dyDescent="0.3">
      <c r="B1462" s="10"/>
      <c r="I1462" s="11"/>
      <c r="K1462" s="12"/>
      <c r="L1462" s="12"/>
      <c r="M1462" s="12"/>
      <c r="N1462" s="12"/>
      <c r="O1462" s="12"/>
    </row>
    <row r="1463" spans="2:15" x14ac:dyDescent="0.3">
      <c r="B1463" s="10"/>
      <c r="I1463" s="11"/>
      <c r="K1463" s="12"/>
      <c r="L1463" s="12"/>
      <c r="M1463" s="12"/>
      <c r="N1463" s="12"/>
      <c r="O1463" s="12"/>
    </row>
    <row r="1464" spans="2:15" x14ac:dyDescent="0.3">
      <c r="B1464" s="10"/>
      <c r="I1464" s="11"/>
      <c r="K1464" s="12"/>
      <c r="L1464" s="12"/>
      <c r="M1464" s="12"/>
      <c r="N1464" s="12"/>
      <c r="O1464" s="12"/>
    </row>
    <row r="1465" spans="2:15" x14ac:dyDescent="0.3">
      <c r="B1465" s="10"/>
      <c r="I1465" s="11"/>
      <c r="K1465" s="12"/>
      <c r="L1465" s="12"/>
      <c r="M1465" s="12"/>
      <c r="N1465" s="12"/>
      <c r="O1465" s="12"/>
    </row>
    <row r="1466" spans="2:15" x14ac:dyDescent="0.3">
      <c r="B1466" s="10"/>
      <c r="I1466" s="11"/>
      <c r="K1466" s="12"/>
      <c r="L1466" s="12"/>
      <c r="M1466" s="12"/>
      <c r="N1466" s="12"/>
      <c r="O1466" s="12"/>
    </row>
    <row r="1467" spans="2:15" x14ac:dyDescent="0.3">
      <c r="B1467" s="10"/>
      <c r="I1467" s="11"/>
      <c r="K1467" s="12"/>
      <c r="L1467" s="12"/>
      <c r="M1467" s="12"/>
      <c r="N1467" s="12"/>
      <c r="O1467" s="12"/>
    </row>
    <row r="1468" spans="2:15" x14ac:dyDescent="0.3">
      <c r="B1468" s="10"/>
      <c r="I1468" s="11"/>
      <c r="K1468" s="12"/>
      <c r="L1468" s="12"/>
      <c r="M1468" s="12"/>
      <c r="N1468" s="12"/>
      <c r="O1468" s="12"/>
    </row>
    <row r="1469" spans="2:15" x14ac:dyDescent="0.3">
      <c r="B1469" s="10"/>
      <c r="I1469" s="11"/>
      <c r="K1469" s="12"/>
      <c r="L1469" s="12"/>
      <c r="M1469" s="12"/>
      <c r="N1469" s="12"/>
      <c r="O1469" s="12"/>
    </row>
    <row r="1470" spans="2:15" x14ac:dyDescent="0.3">
      <c r="B1470" s="10"/>
      <c r="I1470" s="11"/>
      <c r="K1470" s="12"/>
      <c r="L1470" s="12"/>
      <c r="M1470" s="12"/>
      <c r="N1470" s="12"/>
      <c r="O1470" s="12"/>
    </row>
    <row r="1471" spans="2:15" x14ac:dyDescent="0.3">
      <c r="B1471" s="10"/>
      <c r="I1471" s="11"/>
      <c r="K1471" s="12"/>
      <c r="L1471" s="12"/>
      <c r="M1471" s="12"/>
      <c r="N1471" s="12"/>
      <c r="O1471" s="12"/>
    </row>
    <row r="1472" spans="2:15" x14ac:dyDescent="0.3">
      <c r="B1472" s="10"/>
      <c r="I1472" s="11"/>
      <c r="K1472" s="12"/>
      <c r="L1472" s="12"/>
      <c r="M1472" s="12"/>
      <c r="N1472" s="12"/>
      <c r="O1472" s="12"/>
    </row>
    <row r="1473" spans="2:15" x14ac:dyDescent="0.3">
      <c r="B1473" s="10"/>
      <c r="I1473" s="11"/>
      <c r="K1473" s="12"/>
      <c r="L1473" s="12"/>
      <c r="M1473" s="12"/>
      <c r="N1473" s="12"/>
      <c r="O1473" s="12"/>
    </row>
    <row r="1474" spans="2:15" x14ac:dyDescent="0.3">
      <c r="B1474" s="10"/>
      <c r="I1474" s="11"/>
      <c r="K1474" s="12"/>
      <c r="L1474" s="12"/>
      <c r="M1474" s="12"/>
      <c r="N1474" s="12"/>
      <c r="O1474" s="12"/>
    </row>
    <row r="1475" spans="2:15" x14ac:dyDescent="0.3">
      <c r="B1475" s="10"/>
      <c r="I1475" s="11"/>
      <c r="K1475" s="12"/>
      <c r="L1475" s="12"/>
      <c r="M1475" s="12"/>
      <c r="N1475" s="12"/>
      <c r="O1475" s="12"/>
    </row>
    <row r="1476" spans="2:15" x14ac:dyDescent="0.3">
      <c r="B1476" s="10"/>
      <c r="I1476" s="11"/>
      <c r="K1476" s="12"/>
      <c r="L1476" s="12"/>
      <c r="M1476" s="12"/>
      <c r="N1476" s="12"/>
      <c r="O1476" s="12"/>
    </row>
    <row r="1477" spans="2:15" x14ac:dyDescent="0.3">
      <c r="B1477" s="10"/>
      <c r="I1477" s="11"/>
      <c r="K1477" s="12"/>
      <c r="L1477" s="12"/>
      <c r="M1477" s="12"/>
      <c r="N1477" s="12"/>
      <c r="O1477" s="12"/>
    </row>
    <row r="1478" spans="2:15" x14ac:dyDescent="0.3">
      <c r="B1478" s="10"/>
      <c r="I1478" s="11"/>
      <c r="K1478" s="12"/>
      <c r="L1478" s="12"/>
      <c r="M1478" s="12"/>
      <c r="N1478" s="12"/>
      <c r="O1478" s="12"/>
    </row>
    <row r="1479" spans="2:15" x14ac:dyDescent="0.3">
      <c r="B1479" s="10"/>
      <c r="I1479" s="11"/>
      <c r="K1479" s="12"/>
      <c r="L1479" s="12"/>
      <c r="M1479" s="12"/>
      <c r="N1479" s="12"/>
      <c r="O1479" s="12"/>
    </row>
    <row r="1480" spans="2:15" x14ac:dyDescent="0.3">
      <c r="B1480" s="10"/>
      <c r="I1480" s="11"/>
      <c r="K1480" s="12"/>
      <c r="L1480" s="12"/>
      <c r="M1480" s="12"/>
      <c r="N1480" s="12"/>
      <c r="O1480" s="12"/>
    </row>
    <row r="1481" spans="2:15" x14ac:dyDescent="0.3">
      <c r="B1481" s="10"/>
      <c r="I1481" s="11"/>
      <c r="K1481" s="12"/>
      <c r="L1481" s="12"/>
      <c r="M1481" s="12"/>
      <c r="N1481" s="12"/>
      <c r="O1481" s="12"/>
    </row>
    <row r="1482" spans="2:15" x14ac:dyDescent="0.3">
      <c r="B1482" s="10"/>
      <c r="I1482" s="11"/>
      <c r="K1482" s="12"/>
      <c r="L1482" s="12"/>
      <c r="M1482" s="12"/>
      <c r="N1482" s="12"/>
      <c r="O1482" s="12"/>
    </row>
    <row r="1483" spans="2:15" x14ac:dyDescent="0.3">
      <c r="B1483" s="10"/>
      <c r="I1483" s="11"/>
      <c r="K1483" s="12"/>
      <c r="L1483" s="12"/>
      <c r="M1483" s="12"/>
      <c r="N1483" s="12"/>
      <c r="O1483" s="12"/>
    </row>
    <row r="1484" spans="2:15" x14ac:dyDescent="0.3">
      <c r="B1484" s="10"/>
      <c r="I1484" s="11"/>
      <c r="K1484" s="12"/>
      <c r="L1484" s="12"/>
      <c r="M1484" s="12"/>
      <c r="N1484" s="12"/>
      <c r="O1484" s="12"/>
    </row>
    <row r="1485" spans="2:15" x14ac:dyDescent="0.3">
      <c r="B1485" s="10"/>
      <c r="I1485" s="11"/>
      <c r="K1485" s="12"/>
      <c r="L1485" s="12"/>
      <c r="M1485" s="12"/>
      <c r="N1485" s="12"/>
      <c r="O1485" s="12"/>
    </row>
    <row r="1486" spans="2:15" x14ac:dyDescent="0.3">
      <c r="B1486" s="10"/>
      <c r="I1486" s="11"/>
      <c r="K1486" s="12"/>
      <c r="L1486" s="12"/>
      <c r="M1486" s="12"/>
      <c r="N1486" s="12"/>
      <c r="O1486" s="12"/>
    </row>
    <row r="1487" spans="2:15" x14ac:dyDescent="0.3">
      <c r="B1487" s="10"/>
      <c r="I1487" s="11"/>
      <c r="K1487" s="12"/>
      <c r="L1487" s="12"/>
      <c r="M1487" s="12"/>
      <c r="N1487" s="12"/>
      <c r="O1487" s="12"/>
    </row>
    <row r="1488" spans="2:15" x14ac:dyDescent="0.3">
      <c r="B1488" s="10"/>
      <c r="I1488" s="11"/>
      <c r="K1488" s="12"/>
      <c r="L1488" s="12"/>
      <c r="M1488" s="12"/>
      <c r="N1488" s="12"/>
      <c r="O1488" s="12"/>
    </row>
    <row r="1489" spans="2:15" x14ac:dyDescent="0.3">
      <c r="B1489" s="10"/>
      <c r="I1489" s="11"/>
      <c r="K1489" s="12"/>
      <c r="L1489" s="12"/>
      <c r="M1489" s="12"/>
      <c r="N1489" s="12"/>
      <c r="O1489" s="12"/>
    </row>
    <row r="1490" spans="2:15" x14ac:dyDescent="0.3">
      <c r="B1490" s="10"/>
      <c r="I1490" s="11"/>
      <c r="K1490" s="12"/>
      <c r="L1490" s="12"/>
      <c r="M1490" s="12"/>
      <c r="N1490" s="12"/>
      <c r="O1490" s="12"/>
    </row>
    <row r="1491" spans="2:15" x14ac:dyDescent="0.3">
      <c r="B1491" s="10"/>
      <c r="I1491" s="11"/>
      <c r="K1491" s="12"/>
      <c r="L1491" s="12"/>
      <c r="M1491" s="12"/>
      <c r="N1491" s="12"/>
      <c r="O1491" s="12"/>
    </row>
    <row r="1492" spans="2:15" x14ac:dyDescent="0.3">
      <c r="B1492" s="10"/>
      <c r="I1492" s="11"/>
      <c r="K1492" s="12"/>
      <c r="L1492" s="12"/>
      <c r="M1492" s="12"/>
      <c r="N1492" s="12"/>
      <c r="O1492" s="12"/>
    </row>
    <row r="1493" spans="2:15" x14ac:dyDescent="0.3">
      <c r="B1493" s="10"/>
      <c r="I1493" s="11"/>
      <c r="K1493" s="12"/>
      <c r="L1493" s="12"/>
      <c r="M1493" s="12"/>
      <c r="N1493" s="12"/>
      <c r="O1493" s="12"/>
    </row>
    <row r="1494" spans="2:15" x14ac:dyDescent="0.3">
      <c r="B1494" s="10"/>
      <c r="I1494" s="11"/>
      <c r="K1494" s="12"/>
      <c r="L1494" s="12"/>
      <c r="M1494" s="12"/>
      <c r="N1494" s="12"/>
      <c r="O1494" s="12"/>
    </row>
    <row r="1495" spans="2:15" x14ac:dyDescent="0.3">
      <c r="B1495" s="10"/>
      <c r="I1495" s="11"/>
      <c r="K1495" s="12"/>
      <c r="L1495" s="12"/>
      <c r="M1495" s="12"/>
      <c r="N1495" s="12"/>
      <c r="O1495" s="12"/>
    </row>
    <row r="1496" spans="2:15" x14ac:dyDescent="0.3">
      <c r="B1496" s="10"/>
      <c r="I1496" s="11"/>
      <c r="K1496" s="12"/>
      <c r="L1496" s="12"/>
      <c r="M1496" s="12"/>
      <c r="N1496" s="12"/>
      <c r="O1496" s="12"/>
    </row>
    <row r="1497" spans="2:15" x14ac:dyDescent="0.3">
      <c r="B1497" s="10"/>
      <c r="I1497" s="11"/>
      <c r="K1497" s="12"/>
      <c r="L1497" s="12"/>
      <c r="M1497" s="12"/>
      <c r="N1497" s="12"/>
      <c r="O1497" s="12"/>
    </row>
    <row r="1498" spans="2:15" x14ac:dyDescent="0.3">
      <c r="B1498" s="10"/>
      <c r="I1498" s="11"/>
      <c r="K1498" s="12"/>
      <c r="L1498" s="12"/>
      <c r="M1498" s="12"/>
      <c r="N1498" s="12"/>
      <c r="O1498" s="12"/>
    </row>
    <row r="1499" spans="2:15" x14ac:dyDescent="0.3">
      <c r="B1499" s="10"/>
      <c r="I1499" s="11"/>
      <c r="K1499" s="12"/>
      <c r="L1499" s="12"/>
      <c r="M1499" s="12"/>
      <c r="N1499" s="12"/>
      <c r="O1499" s="12"/>
    </row>
    <row r="1500" spans="2:15" x14ac:dyDescent="0.3">
      <c r="B1500" s="10"/>
      <c r="I1500" s="11"/>
      <c r="K1500" s="12"/>
      <c r="L1500" s="12"/>
      <c r="M1500" s="12"/>
      <c r="N1500" s="12"/>
      <c r="O1500" s="12"/>
    </row>
    <row r="1501" spans="2:15" x14ac:dyDescent="0.3">
      <c r="B1501" s="10"/>
      <c r="I1501" s="11"/>
      <c r="K1501" s="12"/>
      <c r="L1501" s="12"/>
      <c r="M1501" s="12"/>
      <c r="N1501" s="12"/>
      <c r="O1501" s="12"/>
    </row>
    <row r="1502" spans="2:15" x14ac:dyDescent="0.3">
      <c r="B1502" s="10"/>
      <c r="I1502" s="11"/>
      <c r="K1502" s="12"/>
      <c r="L1502" s="12"/>
      <c r="M1502" s="12"/>
      <c r="N1502" s="12"/>
      <c r="O1502" s="12"/>
    </row>
    <row r="1503" spans="2:15" x14ac:dyDescent="0.3">
      <c r="B1503" s="10"/>
      <c r="I1503" s="11"/>
      <c r="K1503" s="12"/>
      <c r="L1503" s="12"/>
      <c r="M1503" s="12"/>
      <c r="N1503" s="12"/>
      <c r="O1503" s="12"/>
    </row>
    <row r="1504" spans="2:15" x14ac:dyDescent="0.3">
      <c r="B1504" s="10"/>
      <c r="I1504" s="11"/>
      <c r="K1504" s="12"/>
      <c r="L1504" s="12"/>
      <c r="M1504" s="12"/>
      <c r="N1504" s="12"/>
      <c r="O1504" s="12"/>
    </row>
    <row r="1505" spans="2:15" x14ac:dyDescent="0.3">
      <c r="B1505" s="10"/>
      <c r="I1505" s="11"/>
      <c r="K1505" s="12"/>
      <c r="L1505" s="12"/>
      <c r="M1505" s="12"/>
      <c r="N1505" s="12"/>
      <c r="O1505" s="12"/>
    </row>
    <row r="1506" spans="2:15" x14ac:dyDescent="0.3">
      <c r="B1506" s="10"/>
      <c r="I1506" s="11"/>
      <c r="K1506" s="12"/>
      <c r="L1506" s="12"/>
      <c r="M1506" s="12"/>
      <c r="N1506" s="12"/>
      <c r="O1506" s="12"/>
    </row>
    <row r="1507" spans="2:15" x14ac:dyDescent="0.3">
      <c r="B1507" s="10"/>
      <c r="I1507" s="11"/>
      <c r="K1507" s="12"/>
      <c r="L1507" s="12"/>
      <c r="M1507" s="12"/>
      <c r="N1507" s="12"/>
      <c r="O1507" s="12"/>
    </row>
    <row r="1508" spans="2:15" x14ac:dyDescent="0.3">
      <c r="B1508" s="10"/>
      <c r="I1508" s="11"/>
      <c r="K1508" s="12"/>
      <c r="L1508" s="12"/>
      <c r="M1508" s="12"/>
      <c r="N1508" s="12"/>
      <c r="O1508" s="12"/>
    </row>
    <row r="1509" spans="2:15" x14ac:dyDescent="0.3">
      <c r="B1509" s="10"/>
      <c r="I1509" s="11"/>
      <c r="K1509" s="12"/>
      <c r="L1509" s="12"/>
      <c r="M1509" s="12"/>
      <c r="N1509" s="12"/>
      <c r="O1509" s="12"/>
    </row>
    <row r="1510" spans="2:15" x14ac:dyDescent="0.3">
      <c r="B1510" s="10"/>
      <c r="I1510" s="11"/>
      <c r="K1510" s="12"/>
      <c r="L1510" s="12"/>
      <c r="M1510" s="12"/>
      <c r="N1510" s="12"/>
      <c r="O1510" s="12"/>
    </row>
    <row r="1511" spans="2:15" x14ac:dyDescent="0.3">
      <c r="B1511" s="10"/>
      <c r="I1511" s="11"/>
      <c r="K1511" s="12"/>
      <c r="L1511" s="12"/>
      <c r="M1511" s="12"/>
      <c r="N1511" s="12"/>
      <c r="O1511" s="12"/>
    </row>
    <row r="1512" spans="2:15" x14ac:dyDescent="0.3">
      <c r="B1512" s="10"/>
      <c r="I1512" s="11"/>
      <c r="K1512" s="12"/>
      <c r="L1512" s="12"/>
      <c r="M1512" s="12"/>
      <c r="N1512" s="12"/>
      <c r="O1512" s="12"/>
    </row>
    <row r="1513" spans="2:15" x14ac:dyDescent="0.3">
      <c r="B1513" s="10"/>
      <c r="I1513" s="11"/>
      <c r="K1513" s="12"/>
      <c r="L1513" s="12"/>
      <c r="M1513" s="12"/>
      <c r="N1513" s="12"/>
      <c r="O1513" s="12"/>
    </row>
    <row r="1514" spans="2:15" x14ac:dyDescent="0.3">
      <c r="B1514" s="10"/>
      <c r="I1514" s="11"/>
      <c r="K1514" s="12"/>
      <c r="L1514" s="12"/>
      <c r="M1514" s="12"/>
      <c r="N1514" s="12"/>
      <c r="O1514" s="12"/>
    </row>
    <row r="1515" spans="2:15" x14ac:dyDescent="0.3">
      <c r="B1515" s="10"/>
      <c r="I1515" s="11"/>
      <c r="K1515" s="12"/>
      <c r="L1515" s="12"/>
      <c r="M1515" s="12"/>
      <c r="N1515" s="12"/>
      <c r="O1515" s="12"/>
    </row>
    <row r="1516" spans="2:15" x14ac:dyDescent="0.3">
      <c r="B1516" s="10"/>
      <c r="I1516" s="11"/>
      <c r="K1516" s="12"/>
      <c r="L1516" s="12"/>
      <c r="M1516" s="12"/>
      <c r="N1516" s="12"/>
      <c r="O1516" s="12"/>
    </row>
    <row r="1517" spans="2:15" x14ac:dyDescent="0.3">
      <c r="B1517" s="10"/>
      <c r="I1517" s="11"/>
      <c r="K1517" s="12"/>
      <c r="L1517" s="12"/>
      <c r="M1517" s="12"/>
      <c r="N1517" s="12"/>
      <c r="O1517" s="12"/>
    </row>
    <row r="1518" spans="2:15" x14ac:dyDescent="0.3">
      <c r="B1518" s="10"/>
      <c r="I1518" s="11"/>
      <c r="K1518" s="12"/>
      <c r="L1518" s="12"/>
      <c r="M1518" s="12"/>
      <c r="N1518" s="12"/>
      <c r="O1518" s="12"/>
    </row>
    <row r="1519" spans="2:15" x14ac:dyDescent="0.3">
      <c r="B1519" s="10"/>
      <c r="I1519" s="11"/>
      <c r="K1519" s="12"/>
      <c r="L1519" s="12"/>
      <c r="M1519" s="12"/>
      <c r="N1519" s="12"/>
      <c r="O1519" s="12"/>
    </row>
    <row r="1520" spans="2:15" x14ac:dyDescent="0.3">
      <c r="B1520" s="10"/>
      <c r="I1520" s="11"/>
      <c r="K1520" s="12"/>
      <c r="L1520" s="12"/>
      <c r="M1520" s="12"/>
      <c r="N1520" s="12"/>
      <c r="O1520" s="12"/>
    </row>
    <row r="1521" spans="2:15" x14ac:dyDescent="0.3">
      <c r="B1521" s="10"/>
      <c r="I1521" s="11"/>
      <c r="K1521" s="12"/>
      <c r="L1521" s="12"/>
      <c r="M1521" s="12"/>
      <c r="N1521" s="12"/>
      <c r="O1521" s="12"/>
    </row>
    <row r="1522" spans="2:15" x14ac:dyDescent="0.3">
      <c r="B1522" s="10"/>
      <c r="I1522" s="11"/>
      <c r="K1522" s="12"/>
      <c r="L1522" s="12"/>
      <c r="M1522" s="12"/>
      <c r="N1522" s="12"/>
      <c r="O1522" s="12"/>
    </row>
    <row r="1523" spans="2:15" x14ac:dyDescent="0.3">
      <c r="B1523" s="10"/>
      <c r="I1523" s="11"/>
      <c r="K1523" s="12"/>
      <c r="L1523" s="12"/>
      <c r="M1523" s="12"/>
      <c r="N1523" s="12"/>
      <c r="O1523" s="12"/>
    </row>
    <row r="1524" spans="2:15" x14ac:dyDescent="0.3">
      <c r="B1524" s="10"/>
      <c r="I1524" s="11"/>
      <c r="K1524" s="12"/>
      <c r="L1524" s="12"/>
      <c r="M1524" s="12"/>
      <c r="N1524" s="12"/>
      <c r="O1524" s="12"/>
    </row>
    <row r="1525" spans="2:15" x14ac:dyDescent="0.3">
      <c r="B1525" s="10"/>
      <c r="I1525" s="11"/>
      <c r="K1525" s="12"/>
      <c r="L1525" s="12"/>
      <c r="M1525" s="12"/>
      <c r="N1525" s="12"/>
      <c r="O1525" s="12"/>
    </row>
    <row r="1526" spans="2:15" x14ac:dyDescent="0.3">
      <c r="B1526" s="10"/>
      <c r="I1526" s="11"/>
      <c r="K1526" s="12"/>
      <c r="L1526" s="12"/>
      <c r="M1526" s="12"/>
      <c r="N1526" s="12"/>
      <c r="O1526" s="12"/>
    </row>
    <row r="1527" spans="2:15" x14ac:dyDescent="0.3">
      <c r="B1527" s="10"/>
      <c r="I1527" s="11"/>
      <c r="K1527" s="12"/>
      <c r="L1527" s="12"/>
      <c r="M1527" s="12"/>
      <c r="N1527" s="12"/>
      <c r="O1527" s="12"/>
    </row>
    <row r="1528" spans="2:15" x14ac:dyDescent="0.3">
      <c r="B1528" s="10"/>
      <c r="I1528" s="11"/>
      <c r="K1528" s="12"/>
      <c r="L1528" s="12"/>
      <c r="M1528" s="12"/>
      <c r="N1528" s="12"/>
      <c r="O1528" s="12"/>
    </row>
    <row r="1529" spans="2:15" x14ac:dyDescent="0.3">
      <c r="B1529" s="10"/>
      <c r="I1529" s="11"/>
      <c r="K1529" s="12"/>
      <c r="L1529" s="12"/>
      <c r="M1529" s="12"/>
      <c r="N1529" s="12"/>
      <c r="O1529" s="12"/>
    </row>
    <row r="1530" spans="2:15" x14ac:dyDescent="0.3">
      <c r="B1530" s="10"/>
      <c r="I1530" s="11"/>
      <c r="K1530" s="12"/>
      <c r="L1530" s="12"/>
      <c r="M1530" s="12"/>
      <c r="N1530" s="12"/>
      <c r="O1530" s="12"/>
    </row>
    <row r="1531" spans="2:15" x14ac:dyDescent="0.3">
      <c r="B1531" s="10"/>
      <c r="I1531" s="11"/>
      <c r="K1531" s="12"/>
      <c r="L1531" s="12"/>
      <c r="M1531" s="12"/>
      <c r="N1531" s="12"/>
      <c r="O1531" s="12"/>
    </row>
    <row r="1532" spans="2:15" x14ac:dyDescent="0.3">
      <c r="B1532" s="10"/>
      <c r="I1532" s="11"/>
      <c r="K1532" s="12"/>
      <c r="L1532" s="12"/>
      <c r="M1532" s="12"/>
      <c r="N1532" s="12"/>
      <c r="O1532" s="12"/>
    </row>
    <row r="1533" spans="2:15" x14ac:dyDescent="0.3">
      <c r="B1533" s="10"/>
      <c r="I1533" s="11"/>
      <c r="K1533" s="12"/>
      <c r="L1533" s="12"/>
      <c r="M1533" s="12"/>
      <c r="N1533" s="12"/>
      <c r="O1533" s="12"/>
    </row>
    <row r="1534" spans="2:15" x14ac:dyDescent="0.3">
      <c r="B1534" s="10"/>
      <c r="I1534" s="11"/>
      <c r="K1534" s="12"/>
      <c r="L1534" s="12"/>
      <c r="M1534" s="12"/>
      <c r="N1534" s="12"/>
      <c r="O1534" s="12"/>
    </row>
    <row r="1535" spans="2:15" x14ac:dyDescent="0.3">
      <c r="B1535" s="10"/>
      <c r="I1535" s="11"/>
      <c r="K1535" s="12"/>
      <c r="L1535" s="12"/>
      <c r="M1535" s="12"/>
      <c r="N1535" s="12"/>
      <c r="O1535" s="12"/>
    </row>
    <row r="1536" spans="2:15" x14ac:dyDescent="0.3">
      <c r="B1536" s="10"/>
      <c r="I1536" s="11"/>
      <c r="K1536" s="12"/>
      <c r="L1536" s="12"/>
      <c r="M1536" s="12"/>
      <c r="N1536" s="12"/>
      <c r="O1536" s="12"/>
    </row>
    <row r="1537" spans="2:15" x14ac:dyDescent="0.3">
      <c r="B1537" s="10"/>
      <c r="I1537" s="11"/>
      <c r="K1537" s="12"/>
      <c r="L1537" s="12"/>
      <c r="M1537" s="12"/>
      <c r="N1537" s="12"/>
      <c r="O1537" s="12"/>
    </row>
    <row r="1538" spans="2:15" x14ac:dyDescent="0.3">
      <c r="B1538" s="10"/>
      <c r="I1538" s="11"/>
      <c r="K1538" s="12"/>
      <c r="L1538" s="12"/>
      <c r="M1538" s="12"/>
      <c r="N1538" s="12"/>
      <c r="O1538" s="12"/>
    </row>
    <row r="1539" spans="2:15" x14ac:dyDescent="0.3">
      <c r="B1539" s="10"/>
      <c r="I1539" s="11"/>
      <c r="K1539" s="12"/>
      <c r="L1539" s="12"/>
      <c r="M1539" s="12"/>
      <c r="N1539" s="12"/>
      <c r="O1539" s="12"/>
    </row>
    <row r="1540" spans="2:15" x14ac:dyDescent="0.3">
      <c r="B1540" s="10"/>
      <c r="I1540" s="11"/>
      <c r="K1540" s="12"/>
      <c r="L1540" s="12"/>
      <c r="M1540" s="12"/>
      <c r="N1540" s="12"/>
      <c r="O1540" s="12"/>
    </row>
    <row r="1541" spans="2:15" x14ac:dyDescent="0.3">
      <c r="B1541" s="10"/>
      <c r="I1541" s="11"/>
      <c r="K1541" s="12"/>
      <c r="L1541" s="12"/>
      <c r="M1541" s="12"/>
      <c r="N1541" s="12"/>
      <c r="O1541" s="12"/>
    </row>
    <row r="1542" spans="2:15" x14ac:dyDescent="0.3">
      <c r="B1542" s="10"/>
      <c r="I1542" s="11"/>
      <c r="K1542" s="12"/>
      <c r="L1542" s="12"/>
      <c r="M1542" s="12"/>
      <c r="N1542" s="12"/>
      <c r="O1542" s="12"/>
    </row>
    <row r="1543" spans="2:15" x14ac:dyDescent="0.3">
      <c r="B1543" s="10"/>
      <c r="I1543" s="11"/>
      <c r="K1543" s="12"/>
      <c r="L1543" s="12"/>
      <c r="M1543" s="12"/>
      <c r="N1543" s="12"/>
      <c r="O1543" s="12"/>
    </row>
    <row r="1544" spans="2:15" x14ac:dyDescent="0.3">
      <c r="B1544" s="10"/>
      <c r="I1544" s="11"/>
      <c r="K1544" s="12"/>
      <c r="L1544" s="12"/>
      <c r="M1544" s="12"/>
      <c r="N1544" s="12"/>
      <c r="O1544" s="12"/>
    </row>
    <row r="1545" spans="2:15" x14ac:dyDescent="0.3">
      <c r="B1545" s="10"/>
      <c r="I1545" s="11"/>
      <c r="K1545" s="12"/>
      <c r="L1545" s="12"/>
      <c r="M1545" s="12"/>
      <c r="N1545" s="12"/>
      <c r="O1545" s="12"/>
    </row>
    <row r="1546" spans="2:15" x14ac:dyDescent="0.3">
      <c r="B1546" s="10"/>
      <c r="I1546" s="11"/>
      <c r="K1546" s="12"/>
      <c r="L1546" s="12"/>
      <c r="M1546" s="12"/>
      <c r="N1546" s="12"/>
      <c r="O1546" s="12"/>
    </row>
    <row r="1547" spans="2:15" x14ac:dyDescent="0.3">
      <c r="B1547" s="10"/>
      <c r="I1547" s="11"/>
      <c r="K1547" s="12"/>
      <c r="L1547" s="12"/>
      <c r="M1547" s="12"/>
      <c r="N1547" s="12"/>
      <c r="O1547" s="12"/>
    </row>
    <row r="1548" spans="2:15" x14ac:dyDescent="0.3">
      <c r="B1548" s="10"/>
      <c r="I1548" s="11"/>
      <c r="K1548" s="12"/>
      <c r="L1548" s="12"/>
      <c r="M1548" s="12"/>
      <c r="N1548" s="12"/>
      <c r="O1548" s="12"/>
    </row>
    <row r="1549" spans="2:15" x14ac:dyDescent="0.3">
      <c r="B1549" s="10"/>
      <c r="I1549" s="11"/>
      <c r="K1549" s="12"/>
      <c r="L1549" s="12"/>
      <c r="M1549" s="12"/>
      <c r="N1549" s="12"/>
      <c r="O1549" s="12"/>
    </row>
    <row r="1550" spans="2:15" x14ac:dyDescent="0.3">
      <c r="B1550" s="10"/>
      <c r="I1550" s="11"/>
      <c r="K1550" s="12"/>
      <c r="L1550" s="12"/>
      <c r="M1550" s="12"/>
      <c r="N1550" s="12"/>
      <c r="O1550" s="12"/>
    </row>
    <row r="1551" spans="2:15" x14ac:dyDescent="0.3">
      <c r="B1551" s="10"/>
      <c r="I1551" s="11"/>
      <c r="K1551" s="12"/>
      <c r="L1551" s="12"/>
      <c r="M1551" s="12"/>
      <c r="N1551" s="12"/>
      <c r="O1551" s="12"/>
    </row>
    <row r="1552" spans="2:15" x14ac:dyDescent="0.3">
      <c r="B1552" s="10"/>
      <c r="I1552" s="11"/>
      <c r="K1552" s="12"/>
      <c r="L1552" s="12"/>
      <c r="M1552" s="12"/>
      <c r="N1552" s="12"/>
      <c r="O1552" s="12"/>
    </row>
    <row r="1553" spans="2:15" x14ac:dyDescent="0.3">
      <c r="B1553" s="10"/>
      <c r="I1553" s="11"/>
      <c r="K1553" s="12"/>
      <c r="L1553" s="12"/>
      <c r="M1553" s="12"/>
      <c r="N1553" s="12"/>
      <c r="O1553" s="12"/>
    </row>
    <row r="1554" spans="2:15" x14ac:dyDescent="0.3">
      <c r="B1554" s="10"/>
      <c r="I1554" s="11"/>
      <c r="K1554" s="12"/>
      <c r="L1554" s="12"/>
      <c r="M1554" s="12"/>
      <c r="N1554" s="12"/>
      <c r="O1554" s="12"/>
    </row>
    <row r="1555" spans="2:15" x14ac:dyDescent="0.3">
      <c r="B1555" s="10"/>
      <c r="I1555" s="11"/>
      <c r="K1555" s="12"/>
      <c r="L1555" s="12"/>
      <c r="M1555" s="12"/>
      <c r="N1555" s="12"/>
      <c r="O1555" s="12"/>
    </row>
    <row r="1556" spans="2:15" x14ac:dyDescent="0.3">
      <c r="B1556" s="10"/>
      <c r="I1556" s="11"/>
      <c r="K1556" s="12"/>
      <c r="L1556" s="12"/>
      <c r="M1556" s="12"/>
      <c r="N1556" s="12"/>
      <c r="O1556" s="12"/>
    </row>
    <row r="1557" spans="2:15" x14ac:dyDescent="0.3">
      <c r="B1557" s="10"/>
      <c r="I1557" s="11"/>
      <c r="K1557" s="12"/>
      <c r="L1557" s="12"/>
      <c r="M1557" s="12"/>
      <c r="N1557" s="12"/>
      <c r="O1557" s="12"/>
    </row>
    <row r="1558" spans="2:15" x14ac:dyDescent="0.3">
      <c r="B1558" s="10"/>
      <c r="I1558" s="11"/>
      <c r="K1558" s="12"/>
      <c r="L1558" s="12"/>
      <c r="M1558" s="12"/>
      <c r="N1558" s="12"/>
      <c r="O1558" s="12"/>
    </row>
    <row r="1559" spans="2:15" x14ac:dyDescent="0.3">
      <c r="B1559" s="10"/>
      <c r="I1559" s="11"/>
      <c r="K1559" s="12"/>
      <c r="L1559" s="12"/>
      <c r="M1559" s="12"/>
      <c r="N1559" s="12"/>
      <c r="O1559" s="12"/>
    </row>
    <row r="1560" spans="2:15" x14ac:dyDescent="0.3">
      <c r="B1560" s="10"/>
      <c r="I1560" s="11"/>
      <c r="K1560" s="12"/>
      <c r="L1560" s="12"/>
      <c r="M1560" s="12"/>
      <c r="N1560" s="12"/>
      <c r="O1560" s="12"/>
    </row>
    <row r="1561" spans="2:15" x14ac:dyDescent="0.3">
      <c r="B1561" s="10"/>
      <c r="I1561" s="11"/>
      <c r="K1561" s="12"/>
      <c r="L1561" s="12"/>
      <c r="M1561" s="12"/>
      <c r="N1561" s="12"/>
      <c r="O1561" s="12"/>
    </row>
    <row r="1562" spans="2:15" x14ac:dyDescent="0.3">
      <c r="B1562" s="10"/>
      <c r="I1562" s="11"/>
      <c r="K1562" s="12"/>
      <c r="L1562" s="12"/>
      <c r="M1562" s="12"/>
      <c r="N1562" s="12"/>
      <c r="O1562" s="12"/>
    </row>
    <row r="1563" spans="2:15" x14ac:dyDescent="0.3">
      <c r="B1563" s="10"/>
      <c r="I1563" s="11"/>
      <c r="K1563" s="12"/>
      <c r="L1563" s="12"/>
      <c r="M1563" s="12"/>
      <c r="N1563" s="12"/>
      <c r="O1563" s="12"/>
    </row>
    <row r="1564" spans="2:15" x14ac:dyDescent="0.3">
      <c r="B1564" s="10"/>
      <c r="I1564" s="11"/>
      <c r="K1564" s="12"/>
      <c r="L1564" s="12"/>
      <c r="M1564" s="12"/>
      <c r="N1564" s="12"/>
      <c r="O1564" s="12"/>
    </row>
    <row r="1565" spans="2:15" x14ac:dyDescent="0.3">
      <c r="B1565" s="10"/>
      <c r="I1565" s="11"/>
      <c r="K1565" s="12"/>
      <c r="L1565" s="12"/>
      <c r="M1565" s="12"/>
      <c r="N1565" s="12"/>
      <c r="O1565" s="12"/>
    </row>
    <row r="1566" spans="2:15" x14ac:dyDescent="0.3">
      <c r="B1566" s="10"/>
      <c r="I1566" s="11"/>
      <c r="K1566" s="12"/>
      <c r="L1566" s="12"/>
      <c r="M1566" s="12"/>
      <c r="N1566" s="12"/>
      <c r="O1566" s="12"/>
    </row>
    <row r="1567" spans="2:15" x14ac:dyDescent="0.3">
      <c r="B1567" s="10"/>
      <c r="I1567" s="11"/>
      <c r="K1567" s="12"/>
      <c r="L1567" s="12"/>
      <c r="M1567" s="12"/>
      <c r="N1567" s="12"/>
      <c r="O1567" s="12"/>
    </row>
    <row r="1568" spans="2:15" x14ac:dyDescent="0.3">
      <c r="B1568" s="10"/>
      <c r="I1568" s="11"/>
      <c r="K1568" s="12"/>
      <c r="L1568" s="12"/>
      <c r="M1568" s="12"/>
      <c r="N1568" s="12"/>
      <c r="O1568" s="12"/>
    </row>
    <row r="1569" spans="2:15" x14ac:dyDescent="0.3">
      <c r="B1569" s="10"/>
      <c r="I1569" s="11"/>
      <c r="K1569" s="12"/>
      <c r="L1569" s="12"/>
      <c r="M1569" s="12"/>
      <c r="N1569" s="12"/>
      <c r="O1569" s="12"/>
    </row>
    <row r="1570" spans="2:15" x14ac:dyDescent="0.3">
      <c r="B1570" s="10"/>
      <c r="I1570" s="11"/>
      <c r="K1570" s="12"/>
      <c r="L1570" s="12"/>
      <c r="M1570" s="12"/>
      <c r="N1570" s="12"/>
      <c r="O1570" s="12"/>
    </row>
    <row r="1571" spans="2:15" x14ac:dyDescent="0.3">
      <c r="B1571" s="10"/>
      <c r="I1571" s="11"/>
      <c r="K1571" s="12"/>
      <c r="L1571" s="12"/>
      <c r="M1571" s="12"/>
      <c r="N1571" s="12"/>
      <c r="O1571" s="12"/>
    </row>
    <row r="1572" spans="2:15" x14ac:dyDescent="0.3">
      <c r="B1572" s="10"/>
      <c r="I1572" s="11"/>
      <c r="K1572" s="12"/>
      <c r="L1572" s="12"/>
      <c r="M1572" s="12"/>
      <c r="N1572" s="12"/>
      <c r="O1572" s="12"/>
    </row>
    <row r="1573" spans="2:15" x14ac:dyDescent="0.3">
      <c r="B1573" s="10"/>
      <c r="I1573" s="11"/>
      <c r="K1573" s="12"/>
      <c r="L1573" s="12"/>
      <c r="M1573" s="12"/>
      <c r="N1573" s="12"/>
      <c r="O1573" s="12"/>
    </row>
    <row r="1574" spans="2:15" x14ac:dyDescent="0.3">
      <c r="B1574" s="10"/>
      <c r="I1574" s="11"/>
      <c r="K1574" s="12"/>
      <c r="L1574" s="12"/>
      <c r="M1574" s="12"/>
      <c r="N1574" s="12"/>
      <c r="O1574" s="12"/>
    </row>
    <row r="1575" spans="2:15" x14ac:dyDescent="0.3">
      <c r="B1575" s="10"/>
      <c r="I1575" s="11"/>
      <c r="K1575" s="12"/>
      <c r="L1575" s="12"/>
      <c r="M1575" s="12"/>
      <c r="N1575" s="12"/>
      <c r="O1575" s="12"/>
    </row>
    <row r="1576" spans="2:15" x14ac:dyDescent="0.3">
      <c r="B1576" s="10"/>
      <c r="I1576" s="11"/>
      <c r="K1576" s="12"/>
      <c r="L1576" s="12"/>
      <c r="M1576" s="12"/>
      <c r="N1576" s="12"/>
      <c r="O1576" s="12"/>
    </row>
    <row r="1577" spans="2:15" x14ac:dyDescent="0.3">
      <c r="B1577" s="10"/>
      <c r="I1577" s="11"/>
      <c r="K1577" s="12"/>
      <c r="L1577" s="12"/>
      <c r="M1577" s="12"/>
      <c r="N1577" s="12"/>
      <c r="O1577" s="12"/>
    </row>
    <row r="1578" spans="2:15" x14ac:dyDescent="0.3">
      <c r="B1578" s="10"/>
      <c r="I1578" s="11"/>
      <c r="K1578" s="12"/>
      <c r="L1578" s="12"/>
      <c r="M1578" s="12"/>
      <c r="N1578" s="12"/>
      <c r="O1578" s="12"/>
    </row>
    <row r="1579" spans="2:15" x14ac:dyDescent="0.3">
      <c r="B1579" s="10"/>
      <c r="I1579" s="11"/>
      <c r="K1579" s="12"/>
      <c r="L1579" s="12"/>
      <c r="M1579" s="12"/>
      <c r="N1579" s="12"/>
      <c r="O1579" s="12"/>
    </row>
    <row r="1580" spans="2:15" x14ac:dyDescent="0.3">
      <c r="B1580" s="10"/>
      <c r="I1580" s="11"/>
      <c r="K1580" s="12"/>
      <c r="L1580" s="12"/>
      <c r="M1580" s="12"/>
      <c r="N1580" s="12"/>
      <c r="O1580" s="12"/>
    </row>
    <row r="1581" spans="2:15" x14ac:dyDescent="0.3">
      <c r="B1581" s="10"/>
      <c r="I1581" s="11"/>
      <c r="K1581" s="12"/>
      <c r="L1581" s="12"/>
      <c r="M1581" s="12"/>
      <c r="N1581" s="12"/>
      <c r="O1581" s="12"/>
    </row>
    <row r="1582" spans="2:15" x14ac:dyDescent="0.3">
      <c r="B1582" s="10"/>
      <c r="I1582" s="11"/>
      <c r="K1582" s="12"/>
      <c r="L1582" s="12"/>
      <c r="M1582" s="12"/>
      <c r="N1582" s="12"/>
      <c r="O1582" s="12"/>
    </row>
    <row r="1583" spans="2:15" x14ac:dyDescent="0.3">
      <c r="B1583" s="10"/>
      <c r="I1583" s="11"/>
      <c r="K1583" s="12"/>
      <c r="L1583" s="12"/>
      <c r="M1583" s="12"/>
      <c r="N1583" s="12"/>
      <c r="O1583" s="12"/>
    </row>
    <row r="1584" spans="2:15" x14ac:dyDescent="0.3">
      <c r="B1584" s="10"/>
      <c r="I1584" s="11"/>
      <c r="K1584" s="12"/>
      <c r="L1584" s="12"/>
      <c r="M1584" s="12"/>
      <c r="N1584" s="12"/>
      <c r="O1584" s="12"/>
    </row>
    <row r="1585" spans="2:15" x14ac:dyDescent="0.3">
      <c r="B1585" s="10"/>
      <c r="I1585" s="11"/>
      <c r="K1585" s="12"/>
      <c r="L1585" s="12"/>
      <c r="M1585" s="12"/>
      <c r="N1585" s="12"/>
      <c r="O1585" s="12"/>
    </row>
    <row r="1586" spans="2:15" x14ac:dyDescent="0.3">
      <c r="B1586" s="10"/>
      <c r="I1586" s="11"/>
      <c r="K1586" s="12"/>
      <c r="L1586" s="12"/>
      <c r="M1586" s="12"/>
      <c r="N1586" s="12"/>
      <c r="O1586" s="12"/>
    </row>
    <row r="1587" spans="2:15" x14ac:dyDescent="0.3">
      <c r="B1587" s="10"/>
      <c r="I1587" s="11"/>
      <c r="K1587" s="12"/>
      <c r="L1587" s="12"/>
      <c r="M1587" s="12"/>
      <c r="N1587" s="12"/>
      <c r="O1587" s="12"/>
    </row>
    <row r="1588" spans="2:15" x14ac:dyDescent="0.3">
      <c r="B1588" s="10"/>
      <c r="I1588" s="11"/>
      <c r="K1588" s="12"/>
      <c r="L1588" s="12"/>
      <c r="M1588" s="12"/>
      <c r="N1588" s="12"/>
      <c r="O1588" s="12"/>
    </row>
    <row r="1589" spans="2:15" x14ac:dyDescent="0.3">
      <c r="B1589" s="10"/>
      <c r="I1589" s="11"/>
      <c r="K1589" s="12"/>
      <c r="L1589" s="12"/>
      <c r="M1589" s="12"/>
      <c r="N1589" s="12"/>
      <c r="O1589" s="12"/>
    </row>
    <row r="1590" spans="2:15" x14ac:dyDescent="0.3">
      <c r="B1590" s="10"/>
      <c r="I1590" s="11"/>
      <c r="K1590" s="12"/>
      <c r="L1590" s="12"/>
      <c r="M1590" s="12"/>
      <c r="N1590" s="12"/>
      <c r="O1590" s="12"/>
    </row>
    <row r="1591" spans="2:15" x14ac:dyDescent="0.3">
      <c r="B1591" s="10"/>
      <c r="I1591" s="11"/>
      <c r="K1591" s="12"/>
      <c r="L1591" s="12"/>
      <c r="M1591" s="12"/>
      <c r="N1591" s="12"/>
      <c r="O1591" s="12"/>
    </row>
    <row r="1592" spans="2:15" x14ac:dyDescent="0.3">
      <c r="B1592" s="10"/>
      <c r="I1592" s="11"/>
      <c r="K1592" s="12"/>
      <c r="L1592" s="12"/>
      <c r="M1592" s="12"/>
      <c r="N1592" s="12"/>
      <c r="O1592" s="12"/>
    </row>
    <row r="1593" spans="2:15" x14ac:dyDescent="0.3">
      <c r="B1593" s="10"/>
      <c r="I1593" s="11"/>
      <c r="K1593" s="12"/>
      <c r="L1593" s="12"/>
      <c r="M1593" s="12"/>
      <c r="N1593" s="12"/>
      <c r="O1593" s="12"/>
    </row>
    <row r="1594" spans="2:15" x14ac:dyDescent="0.3">
      <c r="B1594" s="10"/>
      <c r="I1594" s="11"/>
      <c r="K1594" s="12"/>
      <c r="L1594" s="12"/>
      <c r="M1594" s="12"/>
      <c r="N1594" s="12"/>
      <c r="O1594" s="12"/>
    </row>
    <row r="1595" spans="2:15" x14ac:dyDescent="0.3">
      <c r="B1595" s="10"/>
      <c r="I1595" s="11"/>
      <c r="K1595" s="12"/>
      <c r="L1595" s="12"/>
      <c r="M1595" s="12"/>
      <c r="N1595" s="12"/>
      <c r="O1595" s="12"/>
    </row>
    <row r="1596" spans="2:15" x14ac:dyDescent="0.3">
      <c r="B1596" s="10"/>
      <c r="I1596" s="11"/>
      <c r="K1596" s="12"/>
      <c r="L1596" s="12"/>
      <c r="M1596" s="12"/>
      <c r="N1596" s="12"/>
      <c r="O1596" s="12"/>
    </row>
    <row r="1597" spans="2:15" x14ac:dyDescent="0.3">
      <c r="B1597" s="10"/>
      <c r="I1597" s="11"/>
      <c r="K1597" s="12"/>
      <c r="L1597" s="12"/>
      <c r="M1597" s="12"/>
      <c r="N1597" s="12"/>
      <c r="O1597" s="12"/>
    </row>
    <row r="1598" spans="2:15" x14ac:dyDescent="0.3">
      <c r="B1598" s="10"/>
      <c r="I1598" s="11"/>
      <c r="K1598" s="12"/>
      <c r="L1598" s="12"/>
      <c r="M1598" s="12"/>
      <c r="N1598" s="12"/>
      <c r="O1598" s="12"/>
    </row>
    <row r="1599" spans="2:15" x14ac:dyDescent="0.3">
      <c r="B1599" s="10"/>
      <c r="I1599" s="11"/>
      <c r="K1599" s="12"/>
      <c r="L1599" s="12"/>
      <c r="M1599" s="12"/>
      <c r="N1599" s="12"/>
      <c r="O1599" s="12"/>
    </row>
    <row r="1600" spans="2:15" x14ac:dyDescent="0.3">
      <c r="B1600" s="10"/>
      <c r="I1600" s="11"/>
      <c r="K1600" s="12"/>
      <c r="L1600" s="12"/>
      <c r="M1600" s="12"/>
      <c r="N1600" s="12"/>
      <c r="O1600" s="12"/>
    </row>
    <row r="1601" spans="2:15" x14ac:dyDescent="0.3">
      <c r="B1601" s="10"/>
      <c r="I1601" s="11"/>
      <c r="K1601" s="12"/>
      <c r="L1601" s="12"/>
      <c r="M1601" s="12"/>
      <c r="N1601" s="12"/>
      <c r="O1601" s="12"/>
    </row>
    <row r="1602" spans="2:15" x14ac:dyDescent="0.3">
      <c r="B1602" s="10"/>
      <c r="I1602" s="11"/>
      <c r="K1602" s="12"/>
      <c r="L1602" s="12"/>
      <c r="M1602" s="12"/>
      <c r="N1602" s="12"/>
      <c r="O1602" s="12"/>
    </row>
    <row r="1603" spans="2:15" x14ac:dyDescent="0.3">
      <c r="B1603" s="10"/>
      <c r="I1603" s="11"/>
      <c r="K1603" s="12"/>
      <c r="L1603" s="12"/>
      <c r="M1603" s="12"/>
      <c r="N1603" s="12"/>
      <c r="O1603" s="12"/>
    </row>
    <row r="1604" spans="2:15" x14ac:dyDescent="0.3">
      <c r="B1604" s="10"/>
      <c r="I1604" s="11"/>
      <c r="K1604" s="12"/>
      <c r="L1604" s="12"/>
      <c r="M1604" s="12"/>
      <c r="N1604" s="12"/>
      <c r="O1604" s="12"/>
    </row>
    <row r="1605" spans="2:15" x14ac:dyDescent="0.3">
      <c r="B1605" s="10"/>
      <c r="I1605" s="11"/>
      <c r="K1605" s="12"/>
      <c r="L1605" s="12"/>
      <c r="M1605" s="12"/>
      <c r="N1605" s="12"/>
      <c r="O1605" s="12"/>
    </row>
    <row r="1606" spans="2:15" x14ac:dyDescent="0.3">
      <c r="B1606" s="10"/>
      <c r="I1606" s="11"/>
      <c r="K1606" s="12"/>
      <c r="L1606" s="12"/>
      <c r="M1606" s="12"/>
      <c r="N1606" s="12"/>
      <c r="O1606" s="12"/>
    </row>
    <row r="1607" spans="2:15" x14ac:dyDescent="0.3">
      <c r="B1607" s="10"/>
      <c r="I1607" s="11"/>
      <c r="K1607" s="12"/>
      <c r="L1607" s="12"/>
      <c r="M1607" s="12"/>
      <c r="N1607" s="12"/>
      <c r="O1607" s="12"/>
    </row>
    <row r="1608" spans="2:15" x14ac:dyDescent="0.3">
      <c r="B1608" s="10"/>
      <c r="I1608" s="11"/>
      <c r="K1608" s="12"/>
      <c r="L1608" s="12"/>
      <c r="M1608" s="12"/>
      <c r="N1608" s="12"/>
      <c r="O1608" s="12"/>
    </row>
    <row r="1609" spans="2:15" x14ac:dyDescent="0.3">
      <c r="B1609" s="10"/>
      <c r="I1609" s="11"/>
      <c r="K1609" s="12"/>
      <c r="L1609" s="12"/>
      <c r="M1609" s="12"/>
      <c r="N1609" s="12"/>
      <c r="O1609" s="12"/>
    </row>
    <row r="1610" spans="2:15" x14ac:dyDescent="0.3">
      <c r="B1610" s="10"/>
      <c r="I1610" s="11"/>
      <c r="K1610" s="12"/>
      <c r="L1610" s="12"/>
      <c r="M1610" s="12"/>
      <c r="N1610" s="12"/>
      <c r="O1610" s="12"/>
    </row>
    <row r="1611" spans="2:15" x14ac:dyDescent="0.3">
      <c r="B1611" s="10"/>
      <c r="I1611" s="11"/>
      <c r="K1611" s="12"/>
      <c r="L1611" s="12"/>
      <c r="M1611" s="12"/>
      <c r="N1611" s="12"/>
      <c r="O1611" s="12"/>
    </row>
    <row r="1612" spans="2:15" x14ac:dyDescent="0.3">
      <c r="B1612" s="10"/>
      <c r="I1612" s="11"/>
      <c r="K1612" s="12"/>
      <c r="L1612" s="12"/>
      <c r="M1612" s="12"/>
      <c r="N1612" s="12"/>
      <c r="O1612" s="12"/>
    </row>
    <row r="1613" spans="2:15" x14ac:dyDescent="0.3">
      <c r="B1613" s="10"/>
      <c r="I1613" s="11"/>
      <c r="K1613" s="12"/>
      <c r="L1613" s="12"/>
      <c r="M1613" s="12"/>
      <c r="N1613" s="12"/>
      <c r="O1613" s="12"/>
    </row>
    <row r="1614" spans="2:15" x14ac:dyDescent="0.3">
      <c r="B1614" s="10"/>
      <c r="I1614" s="11"/>
      <c r="K1614" s="12"/>
      <c r="L1614" s="12"/>
      <c r="M1614" s="12"/>
      <c r="N1614" s="12"/>
      <c r="O1614" s="12"/>
    </row>
    <row r="1615" spans="2:15" x14ac:dyDescent="0.3">
      <c r="B1615" s="10"/>
      <c r="I1615" s="11"/>
      <c r="K1615" s="12"/>
      <c r="L1615" s="12"/>
      <c r="M1615" s="12"/>
      <c r="N1615" s="12"/>
      <c r="O1615" s="12"/>
    </row>
    <row r="1616" spans="2:15" x14ac:dyDescent="0.3">
      <c r="B1616" s="10"/>
      <c r="I1616" s="11"/>
      <c r="K1616" s="12"/>
      <c r="L1616" s="12"/>
      <c r="M1616" s="12"/>
      <c r="N1616" s="12"/>
      <c r="O1616" s="12"/>
    </row>
    <row r="1617" spans="2:15" x14ac:dyDescent="0.3">
      <c r="B1617" s="10"/>
      <c r="I1617" s="11"/>
      <c r="K1617" s="12"/>
      <c r="L1617" s="12"/>
      <c r="M1617" s="12"/>
      <c r="N1617" s="12"/>
      <c r="O1617" s="12"/>
    </row>
    <row r="1618" spans="2:15" x14ac:dyDescent="0.3">
      <c r="B1618" s="10"/>
      <c r="I1618" s="11"/>
      <c r="K1618" s="12"/>
      <c r="L1618" s="12"/>
      <c r="M1618" s="12"/>
      <c r="N1618" s="12"/>
      <c r="O1618" s="12"/>
    </row>
    <row r="1619" spans="2:15" x14ac:dyDescent="0.3">
      <c r="B1619" s="10"/>
      <c r="I1619" s="11"/>
      <c r="K1619" s="12"/>
      <c r="L1619" s="12"/>
      <c r="M1619" s="12"/>
      <c r="N1619" s="12"/>
      <c r="O1619" s="12"/>
    </row>
    <row r="1620" spans="2:15" x14ac:dyDescent="0.3">
      <c r="B1620" s="10"/>
      <c r="I1620" s="11"/>
      <c r="K1620" s="12"/>
      <c r="L1620" s="12"/>
      <c r="M1620" s="12"/>
      <c r="N1620" s="12"/>
      <c r="O1620" s="12"/>
    </row>
    <row r="1621" spans="2:15" x14ac:dyDescent="0.3">
      <c r="B1621" s="10"/>
      <c r="I1621" s="11"/>
      <c r="K1621" s="12"/>
      <c r="L1621" s="12"/>
      <c r="M1621" s="12"/>
      <c r="N1621" s="12"/>
      <c r="O1621" s="12"/>
    </row>
    <row r="1622" spans="2:15" x14ac:dyDescent="0.3">
      <c r="B1622" s="10"/>
      <c r="I1622" s="11"/>
      <c r="K1622" s="12"/>
      <c r="L1622" s="12"/>
      <c r="M1622" s="12"/>
      <c r="N1622" s="12"/>
      <c r="O1622" s="12"/>
    </row>
    <row r="1623" spans="2:15" x14ac:dyDescent="0.3">
      <c r="B1623" s="10"/>
      <c r="I1623" s="11"/>
      <c r="K1623" s="12"/>
      <c r="L1623" s="12"/>
      <c r="M1623" s="12"/>
      <c r="N1623" s="12"/>
      <c r="O1623" s="12"/>
    </row>
    <row r="1624" spans="2:15" x14ac:dyDescent="0.3">
      <c r="B1624" s="10"/>
      <c r="I1624" s="11"/>
      <c r="K1624" s="12"/>
      <c r="L1624" s="12"/>
      <c r="M1624" s="12"/>
      <c r="N1624" s="12"/>
      <c r="O1624" s="12"/>
    </row>
    <row r="1625" spans="2:15" x14ac:dyDescent="0.3">
      <c r="B1625" s="10"/>
      <c r="I1625" s="11"/>
      <c r="K1625" s="12"/>
      <c r="L1625" s="12"/>
      <c r="M1625" s="12"/>
      <c r="N1625" s="12"/>
      <c r="O1625" s="12"/>
    </row>
    <row r="1626" spans="2:15" x14ac:dyDescent="0.3">
      <c r="B1626" s="10"/>
      <c r="I1626" s="11"/>
      <c r="K1626" s="12"/>
      <c r="L1626" s="12"/>
      <c r="M1626" s="12"/>
      <c r="N1626" s="12"/>
      <c r="O1626" s="12"/>
    </row>
    <row r="1627" spans="2:15" x14ac:dyDescent="0.3">
      <c r="B1627" s="10"/>
      <c r="I1627" s="11"/>
      <c r="K1627" s="12"/>
      <c r="L1627" s="12"/>
      <c r="M1627" s="12"/>
      <c r="N1627" s="12"/>
      <c r="O1627" s="12"/>
    </row>
    <row r="1628" spans="2:15" x14ac:dyDescent="0.3">
      <c r="B1628" s="10"/>
      <c r="I1628" s="11"/>
      <c r="K1628" s="12"/>
      <c r="L1628" s="12"/>
      <c r="M1628" s="12"/>
      <c r="N1628" s="12"/>
      <c r="O1628" s="12"/>
    </row>
    <row r="1629" spans="2:15" x14ac:dyDescent="0.3">
      <c r="B1629" s="10"/>
      <c r="I1629" s="11"/>
      <c r="K1629" s="12"/>
      <c r="L1629" s="12"/>
      <c r="M1629" s="12"/>
      <c r="N1629" s="12"/>
      <c r="O1629" s="12"/>
    </row>
    <row r="1630" spans="2:15" x14ac:dyDescent="0.3">
      <c r="B1630" s="10"/>
      <c r="I1630" s="11"/>
      <c r="K1630" s="12"/>
      <c r="L1630" s="12"/>
      <c r="M1630" s="12"/>
      <c r="N1630" s="12"/>
      <c r="O1630" s="12"/>
    </row>
    <row r="1631" spans="2:15" x14ac:dyDescent="0.3">
      <c r="B1631" s="10"/>
      <c r="I1631" s="11"/>
      <c r="K1631" s="12"/>
      <c r="L1631" s="12"/>
      <c r="M1631" s="12"/>
      <c r="N1631" s="12"/>
      <c r="O1631" s="12"/>
    </row>
    <row r="1632" spans="2:15" x14ac:dyDescent="0.3">
      <c r="B1632" s="10"/>
      <c r="I1632" s="11"/>
      <c r="K1632" s="12"/>
      <c r="L1632" s="12"/>
      <c r="M1632" s="12"/>
      <c r="N1632" s="12"/>
      <c r="O1632" s="12"/>
    </row>
    <row r="1633" spans="2:15" x14ac:dyDescent="0.3">
      <c r="B1633" s="10"/>
      <c r="I1633" s="11"/>
      <c r="K1633" s="12"/>
      <c r="L1633" s="12"/>
      <c r="M1633" s="12"/>
      <c r="N1633" s="12"/>
      <c r="O1633" s="12"/>
    </row>
    <row r="1634" spans="2:15" x14ac:dyDescent="0.3">
      <c r="B1634" s="10"/>
      <c r="I1634" s="11"/>
      <c r="K1634" s="12"/>
      <c r="L1634" s="12"/>
      <c r="M1634" s="12"/>
      <c r="N1634" s="12"/>
      <c r="O1634" s="12"/>
    </row>
    <row r="1635" spans="2:15" x14ac:dyDescent="0.3">
      <c r="B1635" s="10"/>
      <c r="I1635" s="11"/>
      <c r="K1635" s="12"/>
      <c r="L1635" s="12"/>
      <c r="M1635" s="12"/>
      <c r="N1635" s="12"/>
      <c r="O1635" s="12"/>
    </row>
    <row r="1636" spans="2:15" x14ac:dyDescent="0.3">
      <c r="B1636" s="10"/>
      <c r="I1636" s="11"/>
      <c r="K1636" s="12"/>
      <c r="L1636" s="12"/>
      <c r="M1636" s="12"/>
      <c r="N1636" s="12"/>
      <c r="O1636" s="12"/>
    </row>
    <row r="1637" spans="2:15" x14ac:dyDescent="0.3">
      <c r="B1637" s="10"/>
      <c r="I1637" s="11"/>
      <c r="K1637" s="12"/>
      <c r="L1637" s="12"/>
      <c r="M1637" s="12"/>
      <c r="N1637" s="12"/>
      <c r="O1637" s="12"/>
    </row>
    <row r="1638" spans="2:15" x14ac:dyDescent="0.3">
      <c r="B1638" s="10"/>
      <c r="I1638" s="11"/>
      <c r="K1638" s="12"/>
      <c r="L1638" s="12"/>
      <c r="M1638" s="12"/>
      <c r="N1638" s="12"/>
      <c r="O1638" s="12"/>
    </row>
    <row r="1639" spans="2:15" x14ac:dyDescent="0.3">
      <c r="B1639" s="10"/>
      <c r="I1639" s="11"/>
      <c r="K1639" s="12"/>
      <c r="L1639" s="12"/>
      <c r="M1639" s="12"/>
      <c r="N1639" s="12"/>
      <c r="O1639" s="12"/>
    </row>
    <row r="1640" spans="2:15" x14ac:dyDescent="0.3">
      <c r="B1640" s="10"/>
      <c r="I1640" s="11"/>
      <c r="K1640" s="12"/>
      <c r="L1640" s="12"/>
      <c r="M1640" s="12"/>
      <c r="N1640" s="12"/>
      <c r="O1640" s="12"/>
    </row>
    <row r="1641" spans="2:15" x14ac:dyDescent="0.3">
      <c r="B1641" s="10"/>
      <c r="I1641" s="11"/>
      <c r="K1641" s="12"/>
      <c r="L1641" s="12"/>
      <c r="M1641" s="12"/>
      <c r="N1641" s="12"/>
      <c r="O1641" s="12"/>
    </row>
    <row r="1642" spans="2:15" x14ac:dyDescent="0.3">
      <c r="B1642" s="10"/>
      <c r="I1642" s="11"/>
      <c r="K1642" s="12"/>
      <c r="L1642" s="12"/>
      <c r="M1642" s="12"/>
      <c r="N1642" s="12"/>
      <c r="O1642" s="12"/>
    </row>
    <row r="1643" spans="2:15" x14ac:dyDescent="0.3">
      <c r="B1643" s="10"/>
      <c r="I1643" s="11"/>
      <c r="K1643" s="12"/>
      <c r="L1643" s="12"/>
      <c r="M1643" s="12"/>
      <c r="N1643" s="12"/>
      <c r="O1643" s="12"/>
    </row>
    <row r="1644" spans="2:15" x14ac:dyDescent="0.3">
      <c r="B1644" s="10"/>
      <c r="I1644" s="11"/>
      <c r="K1644" s="12"/>
      <c r="L1644" s="12"/>
      <c r="M1644" s="12"/>
      <c r="N1644" s="12"/>
      <c r="O1644" s="12"/>
    </row>
    <row r="1645" spans="2:15" x14ac:dyDescent="0.3">
      <c r="B1645" s="10"/>
      <c r="I1645" s="11"/>
      <c r="K1645" s="12"/>
      <c r="L1645" s="12"/>
      <c r="M1645" s="12"/>
      <c r="N1645" s="12"/>
      <c r="O1645" s="12"/>
    </row>
    <row r="1646" spans="2:15" x14ac:dyDescent="0.3">
      <c r="B1646" s="10"/>
      <c r="I1646" s="11"/>
      <c r="K1646" s="12"/>
      <c r="L1646" s="12"/>
      <c r="M1646" s="12"/>
      <c r="N1646" s="12"/>
      <c r="O1646" s="12"/>
    </row>
    <row r="1647" spans="2:15" x14ac:dyDescent="0.3">
      <c r="B1647" s="10"/>
      <c r="I1647" s="11"/>
      <c r="K1647" s="12"/>
      <c r="L1647" s="12"/>
      <c r="M1647" s="12"/>
      <c r="N1647" s="12"/>
      <c r="O1647" s="12"/>
    </row>
    <row r="1648" spans="2:15" x14ac:dyDescent="0.3">
      <c r="B1648" s="10"/>
      <c r="I1648" s="11"/>
      <c r="K1648" s="12"/>
      <c r="L1648" s="12"/>
      <c r="M1648" s="12"/>
      <c r="N1648" s="12"/>
      <c r="O1648" s="12"/>
    </row>
    <row r="1649" spans="2:15" x14ac:dyDescent="0.3">
      <c r="B1649" s="10"/>
      <c r="I1649" s="11"/>
      <c r="K1649" s="12"/>
      <c r="L1649" s="12"/>
      <c r="M1649" s="12"/>
      <c r="N1649" s="12"/>
      <c r="O1649" s="12"/>
    </row>
    <row r="1650" spans="2:15" x14ac:dyDescent="0.3">
      <c r="B1650" s="10"/>
      <c r="I1650" s="11"/>
      <c r="K1650" s="12"/>
      <c r="L1650" s="12"/>
      <c r="M1650" s="12"/>
      <c r="N1650" s="12"/>
      <c r="O1650" s="12"/>
    </row>
    <row r="1651" spans="2:15" x14ac:dyDescent="0.3">
      <c r="B1651" s="10"/>
      <c r="I1651" s="11"/>
      <c r="K1651" s="12"/>
      <c r="L1651" s="12"/>
      <c r="M1651" s="12"/>
      <c r="N1651" s="12"/>
      <c r="O1651" s="12"/>
    </row>
    <row r="1652" spans="2:15" x14ac:dyDescent="0.3">
      <c r="B1652" s="10"/>
      <c r="I1652" s="11"/>
      <c r="K1652" s="12"/>
      <c r="L1652" s="12"/>
      <c r="M1652" s="12"/>
      <c r="N1652" s="12"/>
      <c r="O1652" s="12"/>
    </row>
    <row r="1653" spans="2:15" x14ac:dyDescent="0.3">
      <c r="B1653" s="10"/>
      <c r="I1653" s="11"/>
      <c r="K1653" s="12"/>
      <c r="L1653" s="12"/>
      <c r="M1653" s="12"/>
      <c r="N1653" s="12"/>
      <c r="O1653" s="12"/>
    </row>
    <row r="1654" spans="2:15" x14ac:dyDescent="0.3">
      <c r="B1654" s="10"/>
      <c r="I1654" s="11"/>
      <c r="K1654" s="12"/>
      <c r="L1654" s="12"/>
      <c r="M1654" s="12"/>
      <c r="N1654" s="12"/>
      <c r="O1654" s="12"/>
    </row>
    <row r="1655" spans="2:15" x14ac:dyDescent="0.3">
      <c r="B1655" s="10"/>
      <c r="I1655" s="11"/>
      <c r="K1655" s="12"/>
      <c r="L1655" s="12"/>
      <c r="M1655" s="12"/>
      <c r="N1655" s="12"/>
      <c r="O1655" s="12"/>
    </row>
    <row r="1656" spans="2:15" x14ac:dyDescent="0.3">
      <c r="B1656" s="10"/>
      <c r="I1656" s="11"/>
      <c r="K1656" s="12"/>
      <c r="L1656" s="12"/>
      <c r="M1656" s="12"/>
      <c r="N1656" s="12"/>
      <c r="O1656" s="12"/>
    </row>
    <row r="1657" spans="2:15" x14ac:dyDescent="0.3">
      <c r="B1657" s="10"/>
      <c r="I1657" s="11"/>
      <c r="K1657" s="12"/>
      <c r="L1657" s="12"/>
      <c r="M1657" s="12"/>
      <c r="N1657" s="12"/>
      <c r="O1657" s="12"/>
    </row>
    <row r="1658" spans="2:15" x14ac:dyDescent="0.3">
      <c r="B1658" s="10"/>
      <c r="I1658" s="11"/>
      <c r="K1658" s="12"/>
      <c r="L1658" s="12"/>
      <c r="M1658" s="12"/>
      <c r="N1658" s="12"/>
      <c r="O1658" s="12"/>
    </row>
    <row r="1659" spans="2:15" x14ac:dyDescent="0.3">
      <c r="B1659" s="10"/>
      <c r="I1659" s="11"/>
      <c r="K1659" s="12"/>
      <c r="L1659" s="12"/>
      <c r="M1659" s="12"/>
      <c r="N1659" s="12"/>
      <c r="O1659" s="12"/>
    </row>
    <row r="1660" spans="2:15" x14ac:dyDescent="0.3">
      <c r="B1660" s="10"/>
      <c r="I1660" s="11"/>
      <c r="K1660" s="12"/>
      <c r="L1660" s="12"/>
      <c r="M1660" s="12"/>
      <c r="N1660" s="12"/>
      <c r="O1660" s="12"/>
    </row>
    <row r="1661" spans="2:15" x14ac:dyDescent="0.3">
      <c r="B1661" s="10"/>
      <c r="I1661" s="11"/>
      <c r="K1661" s="12"/>
      <c r="L1661" s="12"/>
      <c r="M1661" s="12"/>
      <c r="N1661" s="12"/>
      <c r="O1661" s="12"/>
    </row>
    <row r="1662" spans="2:15" x14ac:dyDescent="0.3">
      <c r="B1662" s="10"/>
      <c r="I1662" s="11"/>
      <c r="K1662" s="12"/>
      <c r="L1662" s="12"/>
      <c r="M1662" s="12"/>
      <c r="N1662" s="12"/>
      <c r="O1662" s="12"/>
    </row>
    <row r="1663" spans="2:15" x14ac:dyDescent="0.3">
      <c r="B1663" s="10"/>
      <c r="I1663" s="11"/>
      <c r="K1663" s="12"/>
      <c r="L1663" s="12"/>
      <c r="M1663" s="12"/>
      <c r="N1663" s="12"/>
      <c r="O1663" s="12"/>
    </row>
    <row r="1664" spans="2:15" x14ac:dyDescent="0.3">
      <c r="B1664" s="10"/>
      <c r="I1664" s="11"/>
      <c r="K1664" s="12"/>
      <c r="L1664" s="12"/>
      <c r="M1664" s="12"/>
      <c r="N1664" s="12"/>
      <c r="O1664" s="12"/>
    </row>
    <row r="1665" spans="2:15" x14ac:dyDescent="0.3">
      <c r="B1665" s="10"/>
      <c r="I1665" s="11"/>
      <c r="K1665" s="12"/>
      <c r="L1665" s="12"/>
      <c r="M1665" s="12"/>
      <c r="N1665" s="12"/>
      <c r="O1665" s="12"/>
    </row>
    <row r="1666" spans="2:15" x14ac:dyDescent="0.3">
      <c r="B1666" s="10"/>
      <c r="I1666" s="11"/>
      <c r="K1666" s="12"/>
      <c r="L1666" s="12"/>
      <c r="M1666" s="12"/>
      <c r="N1666" s="12"/>
      <c r="O1666" s="12"/>
    </row>
    <row r="1667" spans="2:15" x14ac:dyDescent="0.3">
      <c r="B1667" s="10"/>
      <c r="I1667" s="11"/>
      <c r="K1667" s="12"/>
      <c r="L1667" s="12"/>
      <c r="M1667" s="12"/>
      <c r="N1667" s="12"/>
      <c r="O1667" s="12"/>
    </row>
    <row r="1668" spans="2:15" x14ac:dyDescent="0.3">
      <c r="B1668" s="10"/>
      <c r="I1668" s="11"/>
      <c r="K1668" s="12"/>
      <c r="L1668" s="12"/>
      <c r="M1668" s="12"/>
      <c r="N1668" s="12"/>
      <c r="O1668" s="12"/>
    </row>
    <row r="1669" spans="2:15" x14ac:dyDescent="0.3">
      <c r="B1669" s="10"/>
      <c r="I1669" s="11"/>
      <c r="K1669" s="12"/>
      <c r="L1669" s="12"/>
      <c r="M1669" s="12"/>
      <c r="N1669" s="12"/>
      <c r="O1669" s="12"/>
    </row>
    <row r="1670" spans="2:15" x14ac:dyDescent="0.3">
      <c r="B1670" s="10"/>
      <c r="I1670" s="11"/>
      <c r="K1670" s="12"/>
      <c r="L1670" s="12"/>
      <c r="M1670" s="12"/>
      <c r="N1670" s="12"/>
      <c r="O1670" s="12"/>
    </row>
    <row r="1671" spans="2:15" x14ac:dyDescent="0.3">
      <c r="B1671" s="10"/>
      <c r="I1671" s="11"/>
      <c r="K1671" s="12"/>
      <c r="L1671" s="12"/>
      <c r="M1671" s="12"/>
      <c r="N1671" s="12"/>
      <c r="O1671" s="12"/>
    </row>
    <row r="1672" spans="2:15" x14ac:dyDescent="0.3">
      <c r="B1672" s="10"/>
      <c r="I1672" s="11"/>
      <c r="K1672" s="12"/>
      <c r="L1672" s="12"/>
      <c r="M1672" s="12"/>
      <c r="N1672" s="12"/>
      <c r="O1672" s="12"/>
    </row>
    <row r="1673" spans="2:15" x14ac:dyDescent="0.3">
      <c r="B1673" s="10"/>
      <c r="I1673" s="11"/>
      <c r="K1673" s="12"/>
      <c r="L1673" s="12"/>
      <c r="M1673" s="12"/>
      <c r="N1673" s="12"/>
      <c r="O1673" s="12"/>
    </row>
    <row r="1674" spans="2:15" x14ac:dyDescent="0.3">
      <c r="B1674" s="10"/>
      <c r="I1674" s="11"/>
      <c r="K1674" s="12"/>
      <c r="L1674" s="12"/>
      <c r="M1674" s="12"/>
      <c r="N1674" s="12"/>
      <c r="O1674" s="12"/>
    </row>
    <row r="1675" spans="2:15" x14ac:dyDescent="0.3">
      <c r="B1675" s="10"/>
      <c r="I1675" s="11"/>
      <c r="K1675" s="12"/>
      <c r="L1675" s="12"/>
      <c r="M1675" s="12"/>
      <c r="N1675" s="12"/>
      <c r="O1675" s="12"/>
    </row>
    <row r="1676" spans="2:15" x14ac:dyDescent="0.3">
      <c r="B1676" s="10"/>
      <c r="I1676" s="11"/>
      <c r="K1676" s="12"/>
      <c r="L1676" s="12"/>
      <c r="M1676" s="12"/>
      <c r="N1676" s="12"/>
      <c r="O1676" s="12"/>
    </row>
    <row r="1677" spans="2:15" x14ac:dyDescent="0.3">
      <c r="B1677" s="10"/>
      <c r="I1677" s="11"/>
      <c r="K1677" s="12"/>
      <c r="L1677" s="12"/>
      <c r="M1677" s="12"/>
      <c r="N1677" s="12"/>
      <c r="O1677" s="12"/>
    </row>
    <row r="1678" spans="2:15" x14ac:dyDescent="0.3">
      <c r="B1678" s="10"/>
      <c r="I1678" s="11"/>
      <c r="K1678" s="12"/>
      <c r="L1678" s="12"/>
      <c r="M1678" s="12"/>
      <c r="N1678" s="12"/>
      <c r="O1678" s="12"/>
    </row>
    <row r="1679" spans="2:15" x14ac:dyDescent="0.3">
      <c r="B1679" s="10"/>
      <c r="I1679" s="11"/>
      <c r="K1679" s="12"/>
      <c r="L1679" s="12"/>
      <c r="M1679" s="12"/>
      <c r="N1679" s="12"/>
      <c r="O1679" s="12"/>
    </row>
    <row r="1680" spans="2:15" x14ac:dyDescent="0.3">
      <c r="B1680" s="10"/>
      <c r="I1680" s="11"/>
      <c r="K1680" s="12"/>
      <c r="L1680" s="12"/>
      <c r="M1680" s="12"/>
      <c r="N1680" s="12"/>
      <c r="O1680" s="12"/>
    </row>
    <row r="1681" spans="2:15" x14ac:dyDescent="0.3">
      <c r="B1681" s="10"/>
      <c r="I1681" s="11"/>
      <c r="K1681" s="12"/>
      <c r="L1681" s="12"/>
      <c r="M1681" s="12"/>
      <c r="N1681" s="12"/>
      <c r="O1681" s="12"/>
    </row>
    <row r="1682" spans="2:15" x14ac:dyDescent="0.3">
      <c r="B1682" s="10"/>
      <c r="I1682" s="11"/>
      <c r="K1682" s="12"/>
      <c r="L1682" s="12"/>
      <c r="M1682" s="12"/>
      <c r="N1682" s="12"/>
      <c r="O1682" s="12"/>
    </row>
    <row r="1683" spans="2:15" x14ac:dyDescent="0.3">
      <c r="B1683" s="10"/>
      <c r="I1683" s="11"/>
      <c r="K1683" s="12"/>
      <c r="L1683" s="12"/>
      <c r="M1683" s="12"/>
      <c r="N1683" s="12"/>
      <c r="O1683" s="12"/>
    </row>
    <row r="1684" spans="2:15" x14ac:dyDescent="0.3">
      <c r="B1684" s="10"/>
      <c r="I1684" s="11"/>
      <c r="K1684" s="12"/>
      <c r="L1684" s="12"/>
      <c r="M1684" s="12"/>
      <c r="N1684" s="12"/>
      <c r="O1684" s="12"/>
    </row>
    <row r="1685" spans="2:15" x14ac:dyDescent="0.3">
      <c r="B1685" s="10"/>
      <c r="I1685" s="11"/>
      <c r="K1685" s="12"/>
      <c r="L1685" s="12"/>
      <c r="M1685" s="12"/>
      <c r="N1685" s="12"/>
      <c r="O1685" s="12"/>
    </row>
    <row r="1686" spans="2:15" x14ac:dyDescent="0.3">
      <c r="B1686" s="10"/>
      <c r="I1686" s="11"/>
      <c r="K1686" s="12"/>
      <c r="L1686" s="12"/>
      <c r="M1686" s="12"/>
      <c r="N1686" s="12"/>
      <c r="O1686" s="12"/>
    </row>
    <row r="1687" spans="2:15" x14ac:dyDescent="0.3">
      <c r="B1687" s="10"/>
      <c r="I1687" s="11"/>
      <c r="K1687" s="12"/>
      <c r="L1687" s="12"/>
      <c r="M1687" s="12"/>
      <c r="N1687" s="12"/>
      <c r="O1687" s="12"/>
    </row>
    <row r="1688" spans="2:15" x14ac:dyDescent="0.3">
      <c r="B1688" s="10"/>
      <c r="I1688" s="11"/>
      <c r="K1688" s="12"/>
      <c r="L1688" s="12"/>
      <c r="M1688" s="12"/>
      <c r="N1688" s="12"/>
      <c r="O1688" s="12"/>
    </row>
    <row r="1689" spans="2:15" x14ac:dyDescent="0.3">
      <c r="B1689" s="10"/>
      <c r="I1689" s="11"/>
      <c r="K1689" s="12"/>
      <c r="L1689" s="12"/>
      <c r="M1689" s="12"/>
      <c r="N1689" s="12"/>
      <c r="O1689" s="12"/>
    </row>
    <row r="1690" spans="2:15" x14ac:dyDescent="0.3">
      <c r="B1690" s="10"/>
      <c r="I1690" s="11"/>
      <c r="K1690" s="12"/>
      <c r="L1690" s="12"/>
      <c r="M1690" s="12"/>
      <c r="N1690" s="12"/>
      <c r="O1690" s="12"/>
    </row>
    <row r="1691" spans="2:15" x14ac:dyDescent="0.3">
      <c r="B1691" s="10"/>
      <c r="I1691" s="11"/>
      <c r="K1691" s="12"/>
      <c r="L1691" s="12"/>
      <c r="M1691" s="12"/>
      <c r="N1691" s="12"/>
      <c r="O1691" s="12"/>
    </row>
    <row r="1692" spans="2:15" x14ac:dyDescent="0.3">
      <c r="B1692" s="10"/>
      <c r="I1692" s="11"/>
      <c r="K1692" s="12"/>
      <c r="L1692" s="12"/>
      <c r="M1692" s="12"/>
      <c r="N1692" s="12"/>
      <c r="O1692" s="12"/>
    </row>
    <row r="1693" spans="2:15" x14ac:dyDescent="0.3">
      <c r="B1693" s="10"/>
      <c r="I1693" s="11"/>
      <c r="K1693" s="12"/>
      <c r="L1693" s="12"/>
      <c r="M1693" s="12"/>
      <c r="N1693" s="12"/>
      <c r="O1693" s="12"/>
    </row>
    <row r="1694" spans="2:15" x14ac:dyDescent="0.3">
      <c r="B1694" s="10"/>
      <c r="I1694" s="11"/>
      <c r="K1694" s="12"/>
      <c r="L1694" s="12"/>
      <c r="M1694" s="12"/>
      <c r="N1694" s="12"/>
      <c r="O1694" s="12"/>
    </row>
    <row r="1695" spans="2:15" x14ac:dyDescent="0.3">
      <c r="B1695" s="10"/>
      <c r="I1695" s="11"/>
      <c r="K1695" s="12"/>
      <c r="L1695" s="12"/>
      <c r="M1695" s="12"/>
      <c r="N1695" s="12"/>
      <c r="O1695" s="12"/>
    </row>
    <row r="1696" spans="2:15" x14ac:dyDescent="0.3">
      <c r="B1696" s="10"/>
      <c r="I1696" s="11"/>
      <c r="K1696" s="12"/>
      <c r="L1696" s="12"/>
      <c r="M1696" s="12"/>
      <c r="N1696" s="12"/>
      <c r="O1696" s="12"/>
    </row>
    <row r="1697" spans="2:15" x14ac:dyDescent="0.3">
      <c r="B1697" s="10"/>
      <c r="I1697" s="11"/>
      <c r="K1697" s="12"/>
      <c r="L1697" s="12"/>
      <c r="M1697" s="12"/>
      <c r="N1697" s="12"/>
      <c r="O1697" s="12"/>
    </row>
    <row r="1698" spans="2:15" x14ac:dyDescent="0.3">
      <c r="B1698" s="10"/>
      <c r="I1698" s="11"/>
      <c r="K1698" s="12"/>
      <c r="L1698" s="12"/>
      <c r="M1698" s="12"/>
      <c r="N1698" s="12"/>
      <c r="O1698" s="12"/>
    </row>
    <row r="1699" spans="2:15" x14ac:dyDescent="0.3">
      <c r="B1699" s="10"/>
      <c r="I1699" s="11"/>
      <c r="K1699" s="12"/>
      <c r="L1699" s="12"/>
      <c r="M1699" s="12"/>
      <c r="N1699" s="12"/>
      <c r="O1699" s="12"/>
    </row>
    <row r="1700" spans="2:15" x14ac:dyDescent="0.3">
      <c r="B1700" s="10"/>
      <c r="I1700" s="11"/>
      <c r="K1700" s="12"/>
      <c r="L1700" s="12"/>
      <c r="M1700" s="12"/>
      <c r="N1700" s="12"/>
      <c r="O1700" s="12"/>
    </row>
    <row r="1701" spans="2:15" x14ac:dyDescent="0.3">
      <c r="B1701" s="10"/>
      <c r="I1701" s="11"/>
      <c r="K1701" s="12"/>
      <c r="L1701" s="12"/>
      <c r="M1701" s="12"/>
      <c r="N1701" s="12"/>
      <c r="O1701" s="12"/>
    </row>
    <row r="1702" spans="2:15" x14ac:dyDescent="0.3">
      <c r="B1702" s="10"/>
      <c r="I1702" s="11"/>
      <c r="K1702" s="12"/>
      <c r="L1702" s="12"/>
      <c r="M1702" s="12"/>
      <c r="N1702" s="12"/>
      <c r="O1702" s="12"/>
    </row>
    <row r="1703" spans="2:15" x14ac:dyDescent="0.3">
      <c r="B1703" s="10"/>
      <c r="I1703" s="11"/>
      <c r="K1703" s="12"/>
      <c r="L1703" s="12"/>
      <c r="M1703" s="12"/>
      <c r="N1703" s="12"/>
      <c r="O1703" s="12"/>
    </row>
    <row r="1704" spans="2:15" x14ac:dyDescent="0.3">
      <c r="B1704" s="10"/>
      <c r="I1704" s="11"/>
      <c r="K1704" s="12"/>
      <c r="L1704" s="12"/>
      <c r="M1704" s="12"/>
      <c r="N1704" s="12"/>
      <c r="O1704" s="12"/>
    </row>
    <row r="1705" spans="2:15" x14ac:dyDescent="0.3">
      <c r="B1705" s="10"/>
      <c r="I1705" s="11"/>
      <c r="K1705" s="12"/>
      <c r="L1705" s="12"/>
      <c r="M1705" s="12"/>
      <c r="N1705" s="12"/>
      <c r="O1705" s="12"/>
    </row>
    <row r="1706" spans="2:15" x14ac:dyDescent="0.3">
      <c r="B1706" s="10"/>
      <c r="I1706" s="11"/>
      <c r="K1706" s="12"/>
      <c r="L1706" s="12"/>
      <c r="M1706" s="12"/>
      <c r="N1706" s="12"/>
      <c r="O1706" s="12"/>
    </row>
    <row r="1707" spans="2:15" x14ac:dyDescent="0.3">
      <c r="B1707" s="10"/>
      <c r="I1707" s="11"/>
      <c r="K1707" s="12"/>
      <c r="L1707" s="12"/>
      <c r="M1707" s="12"/>
      <c r="N1707" s="12"/>
      <c r="O1707" s="12"/>
    </row>
    <row r="1708" spans="2:15" x14ac:dyDescent="0.3">
      <c r="B1708" s="10"/>
      <c r="I1708" s="11"/>
      <c r="K1708" s="12"/>
      <c r="L1708" s="12"/>
      <c r="M1708" s="12"/>
      <c r="N1708" s="12"/>
      <c r="O1708" s="12"/>
    </row>
    <row r="1709" spans="2:15" x14ac:dyDescent="0.3">
      <c r="B1709" s="10"/>
      <c r="I1709" s="11"/>
      <c r="K1709" s="12"/>
      <c r="L1709" s="12"/>
      <c r="M1709" s="12"/>
      <c r="N1709" s="12"/>
      <c r="O1709" s="12"/>
    </row>
    <row r="1710" spans="2:15" x14ac:dyDescent="0.3">
      <c r="B1710" s="10"/>
      <c r="I1710" s="11"/>
      <c r="K1710" s="12"/>
      <c r="L1710" s="12"/>
      <c r="M1710" s="12"/>
      <c r="N1710" s="12"/>
      <c r="O1710" s="12"/>
    </row>
    <row r="1711" spans="2:15" x14ac:dyDescent="0.3">
      <c r="B1711" s="10"/>
      <c r="I1711" s="11"/>
      <c r="K1711" s="12"/>
      <c r="L1711" s="12"/>
      <c r="M1711" s="12"/>
      <c r="N1711" s="12"/>
      <c r="O1711" s="12"/>
    </row>
    <row r="1712" spans="2:15" x14ac:dyDescent="0.3">
      <c r="B1712" s="10"/>
      <c r="I1712" s="11"/>
      <c r="K1712" s="12"/>
      <c r="L1712" s="12"/>
      <c r="M1712" s="12"/>
      <c r="N1712" s="12"/>
      <c r="O1712" s="12"/>
    </row>
    <row r="1713" spans="2:15" x14ac:dyDescent="0.3">
      <c r="B1713" s="10"/>
      <c r="I1713" s="11"/>
      <c r="K1713" s="12"/>
      <c r="L1713" s="12"/>
      <c r="M1713" s="12"/>
      <c r="N1713" s="12"/>
      <c r="O1713" s="12"/>
    </row>
    <row r="1714" spans="2:15" x14ac:dyDescent="0.3">
      <c r="B1714" s="10"/>
      <c r="I1714" s="11"/>
      <c r="K1714" s="12"/>
      <c r="L1714" s="12"/>
      <c r="M1714" s="12"/>
      <c r="N1714" s="12"/>
      <c r="O1714" s="12"/>
    </row>
    <row r="1715" spans="2:15" x14ac:dyDescent="0.3">
      <c r="B1715" s="10"/>
      <c r="I1715" s="11"/>
      <c r="K1715" s="12"/>
      <c r="L1715" s="12"/>
      <c r="M1715" s="12"/>
      <c r="N1715" s="12"/>
      <c r="O1715" s="12"/>
    </row>
    <row r="1716" spans="2:15" x14ac:dyDescent="0.3">
      <c r="B1716" s="10"/>
      <c r="I1716" s="11"/>
      <c r="K1716" s="12"/>
      <c r="L1716" s="12"/>
      <c r="M1716" s="12"/>
      <c r="N1716" s="12"/>
      <c r="O1716" s="12"/>
    </row>
    <row r="1717" spans="2:15" x14ac:dyDescent="0.3">
      <c r="B1717" s="10"/>
      <c r="I1717" s="11"/>
      <c r="K1717" s="12"/>
      <c r="L1717" s="12"/>
      <c r="M1717" s="12"/>
      <c r="N1717" s="12"/>
      <c r="O1717" s="12"/>
    </row>
    <row r="1718" spans="2:15" x14ac:dyDescent="0.3">
      <c r="B1718" s="10"/>
      <c r="I1718" s="11"/>
      <c r="K1718" s="12"/>
      <c r="L1718" s="12"/>
      <c r="M1718" s="12"/>
      <c r="N1718" s="12"/>
      <c r="O1718" s="12"/>
    </row>
    <row r="1719" spans="2:15" x14ac:dyDescent="0.3">
      <c r="B1719" s="10"/>
      <c r="I1719" s="11"/>
      <c r="K1719" s="12"/>
      <c r="L1719" s="12"/>
      <c r="M1719" s="12"/>
      <c r="N1719" s="12"/>
      <c r="O1719" s="12"/>
    </row>
    <row r="1720" spans="2:15" x14ac:dyDescent="0.3">
      <c r="B1720" s="10"/>
      <c r="I1720" s="11"/>
      <c r="K1720" s="12"/>
      <c r="L1720" s="12"/>
      <c r="M1720" s="12"/>
      <c r="N1720" s="12"/>
      <c r="O1720" s="12"/>
    </row>
    <row r="1721" spans="2:15" x14ac:dyDescent="0.3">
      <c r="B1721" s="10"/>
      <c r="I1721" s="11"/>
      <c r="K1721" s="12"/>
      <c r="L1721" s="12"/>
      <c r="M1721" s="12"/>
      <c r="N1721" s="12"/>
      <c r="O1721" s="12"/>
    </row>
    <row r="1722" spans="2:15" x14ac:dyDescent="0.3">
      <c r="B1722" s="10"/>
      <c r="I1722" s="11"/>
      <c r="K1722" s="12"/>
      <c r="L1722" s="12"/>
      <c r="M1722" s="12"/>
      <c r="N1722" s="12"/>
      <c r="O1722" s="12"/>
    </row>
    <row r="1723" spans="2:15" x14ac:dyDescent="0.3">
      <c r="B1723" s="10"/>
      <c r="I1723" s="11"/>
      <c r="K1723" s="12"/>
      <c r="L1723" s="12"/>
      <c r="M1723" s="12"/>
      <c r="N1723" s="12"/>
      <c r="O1723" s="12"/>
    </row>
    <row r="1724" spans="2:15" x14ac:dyDescent="0.3">
      <c r="B1724" s="10"/>
      <c r="I1724" s="11"/>
      <c r="K1724" s="12"/>
      <c r="L1724" s="12"/>
      <c r="M1724" s="12"/>
      <c r="N1724" s="12"/>
      <c r="O1724" s="12"/>
    </row>
    <row r="1725" spans="2:15" x14ac:dyDescent="0.3">
      <c r="B1725" s="10"/>
      <c r="I1725" s="11"/>
      <c r="K1725" s="12"/>
      <c r="L1725" s="12"/>
      <c r="M1725" s="12"/>
      <c r="N1725" s="12"/>
      <c r="O1725" s="12"/>
    </row>
    <row r="1726" spans="2:15" x14ac:dyDescent="0.3">
      <c r="B1726" s="10"/>
      <c r="I1726" s="11"/>
      <c r="K1726" s="12"/>
      <c r="L1726" s="12"/>
      <c r="M1726" s="12"/>
      <c r="N1726" s="12"/>
      <c r="O1726" s="12"/>
    </row>
    <row r="1727" spans="2:15" x14ac:dyDescent="0.3">
      <c r="B1727" s="10"/>
      <c r="I1727" s="11"/>
      <c r="K1727" s="12"/>
      <c r="L1727" s="12"/>
      <c r="M1727" s="12"/>
      <c r="N1727" s="12"/>
      <c r="O1727" s="12"/>
    </row>
    <row r="1728" spans="2:15" x14ac:dyDescent="0.3">
      <c r="B1728" s="10"/>
      <c r="I1728" s="11"/>
      <c r="K1728" s="12"/>
      <c r="L1728" s="12"/>
      <c r="M1728" s="12"/>
      <c r="N1728" s="12"/>
      <c r="O1728" s="12"/>
    </row>
    <row r="1729" spans="2:15" x14ac:dyDescent="0.3">
      <c r="B1729" s="10"/>
      <c r="I1729" s="11"/>
      <c r="K1729" s="12"/>
      <c r="L1729" s="12"/>
      <c r="M1729" s="12"/>
      <c r="N1729" s="12"/>
      <c r="O1729" s="12"/>
    </row>
    <row r="1730" spans="2:15" x14ac:dyDescent="0.3">
      <c r="B1730" s="10"/>
      <c r="I1730" s="11"/>
      <c r="K1730" s="12"/>
      <c r="L1730" s="12"/>
      <c r="M1730" s="12"/>
      <c r="N1730" s="12"/>
      <c r="O1730" s="12"/>
    </row>
    <row r="1731" spans="2:15" x14ac:dyDescent="0.3">
      <c r="B1731" s="10"/>
      <c r="I1731" s="11"/>
      <c r="K1731" s="12"/>
      <c r="L1731" s="12"/>
      <c r="M1731" s="12"/>
      <c r="N1731" s="12"/>
      <c r="O1731" s="12"/>
    </row>
    <row r="1732" spans="2:15" x14ac:dyDescent="0.3">
      <c r="B1732" s="10"/>
      <c r="I1732" s="11"/>
      <c r="K1732" s="12"/>
      <c r="L1732" s="12"/>
      <c r="M1732" s="12"/>
      <c r="N1732" s="12"/>
      <c r="O1732" s="12"/>
    </row>
    <row r="1733" spans="2:15" x14ac:dyDescent="0.3">
      <c r="B1733" s="10"/>
      <c r="I1733" s="11"/>
      <c r="K1733" s="12"/>
      <c r="L1733" s="12"/>
      <c r="M1733" s="12"/>
      <c r="N1733" s="12"/>
      <c r="O1733" s="12"/>
    </row>
    <row r="1734" spans="2:15" x14ac:dyDescent="0.3">
      <c r="B1734" s="10"/>
      <c r="I1734" s="11"/>
      <c r="K1734" s="12"/>
      <c r="L1734" s="12"/>
      <c r="M1734" s="12"/>
      <c r="N1734" s="12"/>
      <c r="O1734" s="12"/>
    </row>
    <row r="1735" spans="2:15" x14ac:dyDescent="0.3">
      <c r="B1735" s="10"/>
      <c r="I1735" s="11"/>
      <c r="K1735" s="12"/>
      <c r="L1735" s="12"/>
      <c r="M1735" s="12"/>
      <c r="N1735" s="12"/>
      <c r="O1735" s="12"/>
    </row>
    <row r="1736" spans="2:15" x14ac:dyDescent="0.3">
      <c r="B1736" s="10"/>
      <c r="I1736" s="11"/>
      <c r="K1736" s="12"/>
      <c r="L1736" s="12"/>
      <c r="M1736" s="12"/>
      <c r="N1736" s="12"/>
      <c r="O1736" s="12"/>
    </row>
    <row r="1737" spans="2:15" x14ac:dyDescent="0.3">
      <c r="B1737" s="10"/>
      <c r="I1737" s="11"/>
      <c r="K1737" s="12"/>
      <c r="L1737" s="12"/>
      <c r="M1737" s="12"/>
      <c r="N1737" s="12"/>
      <c r="O1737" s="12"/>
    </row>
    <row r="1738" spans="2:15" x14ac:dyDescent="0.3">
      <c r="B1738" s="10"/>
      <c r="I1738" s="11"/>
      <c r="K1738" s="12"/>
      <c r="L1738" s="12"/>
      <c r="M1738" s="12"/>
      <c r="N1738" s="12"/>
      <c r="O1738" s="12"/>
    </row>
    <row r="1739" spans="2:15" x14ac:dyDescent="0.3">
      <c r="B1739" s="10"/>
      <c r="I1739" s="11"/>
      <c r="K1739" s="12"/>
      <c r="L1739" s="12"/>
      <c r="M1739" s="12"/>
      <c r="N1739" s="12"/>
      <c r="O1739" s="12"/>
    </row>
    <row r="1740" spans="2:15" x14ac:dyDescent="0.3">
      <c r="B1740" s="10"/>
      <c r="I1740" s="11"/>
      <c r="K1740" s="12"/>
      <c r="L1740" s="12"/>
      <c r="M1740" s="12"/>
      <c r="N1740" s="12"/>
      <c r="O1740" s="12"/>
    </row>
    <row r="1741" spans="2:15" x14ac:dyDescent="0.3">
      <c r="B1741" s="10"/>
      <c r="I1741" s="11"/>
      <c r="K1741" s="12"/>
      <c r="L1741" s="12"/>
      <c r="M1741" s="12"/>
      <c r="N1741" s="12"/>
      <c r="O1741" s="12"/>
    </row>
    <row r="1742" spans="2:15" x14ac:dyDescent="0.3">
      <c r="B1742" s="10"/>
      <c r="I1742" s="11"/>
      <c r="K1742" s="12"/>
      <c r="L1742" s="12"/>
      <c r="M1742" s="12"/>
      <c r="N1742" s="12"/>
      <c r="O1742" s="12"/>
    </row>
    <row r="1743" spans="2:15" x14ac:dyDescent="0.3">
      <c r="B1743" s="10"/>
      <c r="I1743" s="11"/>
      <c r="K1743" s="12"/>
      <c r="L1743" s="12"/>
      <c r="M1743" s="12"/>
      <c r="N1743" s="12"/>
      <c r="O1743" s="12"/>
    </row>
    <row r="1744" spans="2:15" x14ac:dyDescent="0.3">
      <c r="B1744" s="10"/>
      <c r="I1744" s="11"/>
      <c r="K1744" s="12"/>
      <c r="L1744" s="12"/>
      <c r="M1744" s="12"/>
      <c r="N1744" s="12"/>
      <c r="O1744" s="12"/>
    </row>
    <row r="1745" spans="2:15" x14ac:dyDescent="0.3">
      <c r="B1745" s="10"/>
      <c r="I1745" s="11"/>
      <c r="K1745" s="12"/>
      <c r="L1745" s="12"/>
      <c r="M1745" s="12"/>
      <c r="N1745" s="12"/>
      <c r="O1745" s="12"/>
    </row>
    <row r="1746" spans="2:15" x14ac:dyDescent="0.3">
      <c r="B1746" s="10"/>
      <c r="I1746" s="11"/>
      <c r="K1746" s="12"/>
      <c r="L1746" s="12"/>
      <c r="M1746" s="12"/>
      <c r="N1746" s="12"/>
      <c r="O1746" s="12"/>
    </row>
    <row r="1747" spans="2:15" x14ac:dyDescent="0.3">
      <c r="B1747" s="10"/>
      <c r="I1747" s="11"/>
      <c r="K1747" s="12"/>
      <c r="L1747" s="12"/>
      <c r="M1747" s="12"/>
      <c r="N1747" s="12"/>
      <c r="O1747" s="12"/>
    </row>
    <row r="1748" spans="2:15" x14ac:dyDescent="0.3">
      <c r="B1748" s="10"/>
      <c r="I1748" s="11"/>
      <c r="K1748" s="12"/>
      <c r="L1748" s="12"/>
      <c r="M1748" s="12"/>
      <c r="N1748" s="12"/>
      <c r="O1748" s="12"/>
    </row>
    <row r="1749" spans="2:15" x14ac:dyDescent="0.3">
      <c r="B1749" s="10"/>
      <c r="I1749" s="11"/>
      <c r="K1749" s="12"/>
      <c r="L1749" s="12"/>
      <c r="M1749" s="12"/>
      <c r="N1749" s="12"/>
      <c r="O1749" s="12"/>
    </row>
    <row r="1750" spans="2:15" x14ac:dyDescent="0.3">
      <c r="B1750" s="10"/>
      <c r="I1750" s="11"/>
      <c r="K1750" s="12"/>
      <c r="L1750" s="12"/>
      <c r="M1750" s="12"/>
      <c r="N1750" s="12"/>
      <c r="O1750" s="12"/>
    </row>
    <row r="1751" spans="2:15" x14ac:dyDescent="0.3">
      <c r="B1751" s="10"/>
      <c r="I1751" s="11"/>
      <c r="K1751" s="12"/>
      <c r="L1751" s="12"/>
      <c r="M1751" s="12"/>
      <c r="N1751" s="12"/>
      <c r="O1751" s="12"/>
    </row>
    <row r="1752" spans="2:15" x14ac:dyDescent="0.3">
      <c r="B1752" s="10"/>
      <c r="I1752" s="11"/>
      <c r="K1752" s="12"/>
      <c r="L1752" s="12"/>
      <c r="M1752" s="12"/>
      <c r="N1752" s="12"/>
      <c r="O1752" s="12"/>
    </row>
    <row r="1753" spans="2:15" x14ac:dyDescent="0.3">
      <c r="B1753" s="10"/>
      <c r="I1753" s="11"/>
      <c r="K1753" s="12"/>
      <c r="L1753" s="12"/>
      <c r="M1753" s="12"/>
      <c r="N1753" s="12"/>
      <c r="O1753" s="12"/>
    </row>
    <row r="1754" spans="2:15" x14ac:dyDescent="0.3">
      <c r="B1754" s="10"/>
      <c r="I1754" s="11"/>
      <c r="K1754" s="12"/>
      <c r="L1754" s="12"/>
      <c r="M1754" s="12"/>
      <c r="N1754" s="12"/>
      <c r="O1754" s="12"/>
    </row>
    <row r="1755" spans="2:15" x14ac:dyDescent="0.3">
      <c r="B1755" s="10"/>
      <c r="I1755" s="11"/>
      <c r="K1755" s="12"/>
      <c r="L1755" s="12"/>
      <c r="M1755" s="12"/>
      <c r="N1755" s="12"/>
      <c r="O1755" s="12"/>
    </row>
    <row r="1756" spans="2:15" x14ac:dyDescent="0.3">
      <c r="B1756" s="10"/>
      <c r="I1756" s="11"/>
      <c r="K1756" s="12"/>
      <c r="L1756" s="12"/>
      <c r="M1756" s="12"/>
      <c r="N1756" s="12"/>
      <c r="O1756" s="12"/>
    </row>
    <row r="1757" spans="2:15" x14ac:dyDescent="0.3">
      <c r="B1757" s="10"/>
      <c r="I1757" s="11"/>
      <c r="K1757" s="12"/>
      <c r="L1757" s="12"/>
      <c r="M1757" s="12"/>
      <c r="N1757" s="12"/>
      <c r="O1757" s="12"/>
    </row>
    <row r="1758" spans="2:15" x14ac:dyDescent="0.3">
      <c r="B1758" s="10"/>
      <c r="I1758" s="11"/>
      <c r="K1758" s="12"/>
      <c r="L1758" s="12"/>
      <c r="M1758" s="12"/>
      <c r="N1758" s="12"/>
      <c r="O1758" s="12"/>
    </row>
    <row r="1759" spans="2:15" x14ac:dyDescent="0.3">
      <c r="B1759" s="10"/>
      <c r="I1759" s="11"/>
      <c r="K1759" s="12"/>
      <c r="L1759" s="12"/>
      <c r="M1759" s="12"/>
      <c r="N1759" s="12"/>
      <c r="O1759" s="12"/>
    </row>
    <row r="1760" spans="2:15" x14ac:dyDescent="0.3">
      <c r="B1760" s="10"/>
      <c r="I1760" s="11"/>
      <c r="K1760" s="12"/>
      <c r="L1760" s="12"/>
      <c r="M1760" s="12"/>
      <c r="N1760" s="12"/>
      <c r="O1760" s="12"/>
    </row>
    <row r="1761" spans="2:15" x14ac:dyDescent="0.3">
      <c r="B1761" s="10"/>
      <c r="I1761" s="11"/>
      <c r="K1761" s="12"/>
      <c r="L1761" s="12"/>
      <c r="M1761" s="12"/>
      <c r="N1761" s="12"/>
      <c r="O1761" s="12"/>
    </row>
    <row r="1762" spans="2:15" x14ac:dyDescent="0.3">
      <c r="B1762" s="10"/>
      <c r="I1762" s="11"/>
      <c r="K1762" s="12"/>
      <c r="L1762" s="12"/>
      <c r="M1762" s="12"/>
      <c r="N1762" s="12"/>
      <c r="O1762" s="12"/>
    </row>
    <row r="1763" spans="2:15" x14ac:dyDescent="0.3">
      <c r="B1763" s="10"/>
      <c r="I1763" s="11"/>
      <c r="K1763" s="12"/>
      <c r="L1763" s="12"/>
      <c r="M1763" s="12"/>
      <c r="N1763" s="12"/>
      <c r="O1763" s="12"/>
    </row>
    <row r="1764" spans="2:15" x14ac:dyDescent="0.3">
      <c r="B1764" s="10"/>
      <c r="I1764" s="11"/>
      <c r="K1764" s="12"/>
      <c r="L1764" s="12"/>
      <c r="M1764" s="12"/>
      <c r="N1764" s="12"/>
      <c r="O1764" s="12"/>
    </row>
    <row r="1765" spans="2:15" x14ac:dyDescent="0.3">
      <c r="B1765" s="10"/>
      <c r="I1765" s="11"/>
      <c r="K1765" s="12"/>
      <c r="L1765" s="12"/>
      <c r="M1765" s="12"/>
      <c r="N1765" s="12"/>
      <c r="O1765" s="12"/>
    </row>
    <row r="1766" spans="2:15" x14ac:dyDescent="0.3">
      <c r="B1766" s="10"/>
      <c r="I1766" s="11"/>
      <c r="K1766" s="12"/>
      <c r="L1766" s="12"/>
      <c r="M1766" s="12"/>
      <c r="N1766" s="12"/>
      <c r="O1766" s="12"/>
    </row>
    <row r="1767" spans="2:15" x14ac:dyDescent="0.3">
      <c r="B1767" s="10"/>
      <c r="I1767" s="11"/>
      <c r="K1767" s="12"/>
      <c r="L1767" s="12"/>
      <c r="M1767" s="12"/>
      <c r="N1767" s="12"/>
      <c r="O1767" s="12"/>
    </row>
    <row r="1768" spans="2:15" x14ac:dyDescent="0.3">
      <c r="B1768" s="10"/>
      <c r="I1768" s="11"/>
      <c r="K1768" s="12"/>
      <c r="L1768" s="12"/>
      <c r="M1768" s="12"/>
      <c r="N1768" s="12"/>
      <c r="O1768" s="12"/>
    </row>
    <row r="1769" spans="2:15" x14ac:dyDescent="0.3">
      <c r="B1769" s="10"/>
      <c r="I1769" s="11"/>
      <c r="K1769" s="12"/>
      <c r="L1769" s="12"/>
      <c r="M1769" s="12"/>
      <c r="N1769" s="12"/>
      <c r="O1769" s="12"/>
    </row>
    <row r="1770" spans="2:15" x14ac:dyDescent="0.3">
      <c r="B1770" s="10"/>
      <c r="I1770" s="11"/>
      <c r="K1770" s="12"/>
      <c r="L1770" s="12"/>
      <c r="M1770" s="12"/>
      <c r="N1770" s="12"/>
      <c r="O1770" s="12"/>
    </row>
    <row r="1771" spans="2:15" x14ac:dyDescent="0.3">
      <c r="B1771" s="10"/>
      <c r="I1771" s="11"/>
      <c r="K1771" s="12"/>
      <c r="L1771" s="12"/>
      <c r="M1771" s="12"/>
      <c r="N1771" s="12"/>
      <c r="O1771" s="12"/>
    </row>
    <row r="1772" spans="2:15" x14ac:dyDescent="0.3">
      <c r="B1772" s="10"/>
      <c r="I1772" s="11"/>
      <c r="K1772" s="12"/>
      <c r="L1772" s="12"/>
      <c r="M1772" s="12"/>
      <c r="N1772" s="12"/>
      <c r="O1772" s="12"/>
    </row>
    <row r="1773" spans="2:15" x14ac:dyDescent="0.3">
      <c r="B1773" s="10"/>
      <c r="I1773" s="11"/>
      <c r="K1773" s="12"/>
      <c r="L1773" s="12"/>
      <c r="M1773" s="12"/>
      <c r="N1773" s="12"/>
      <c r="O1773" s="12"/>
    </row>
    <row r="1774" spans="2:15" x14ac:dyDescent="0.3">
      <c r="B1774" s="10"/>
      <c r="I1774" s="11"/>
      <c r="K1774" s="12"/>
      <c r="L1774" s="12"/>
      <c r="M1774" s="12"/>
      <c r="N1774" s="12"/>
      <c r="O1774" s="12"/>
    </row>
    <row r="1775" spans="2:15" x14ac:dyDescent="0.3">
      <c r="B1775" s="10"/>
      <c r="I1775" s="11"/>
      <c r="K1775" s="12"/>
      <c r="L1775" s="12"/>
      <c r="M1775" s="12"/>
      <c r="N1775" s="12"/>
      <c r="O1775" s="12"/>
    </row>
    <row r="1776" spans="2:15" x14ac:dyDescent="0.3">
      <c r="B1776" s="10"/>
      <c r="I1776" s="11"/>
      <c r="K1776" s="12"/>
      <c r="L1776" s="12"/>
      <c r="M1776" s="12"/>
      <c r="N1776" s="12"/>
      <c r="O1776" s="12"/>
    </row>
    <row r="1777" spans="2:15" x14ac:dyDescent="0.3">
      <c r="B1777" s="10"/>
      <c r="I1777" s="11"/>
      <c r="K1777" s="12"/>
      <c r="L1777" s="12"/>
      <c r="M1777" s="12"/>
      <c r="N1777" s="12"/>
      <c r="O1777" s="12"/>
    </row>
    <row r="1778" spans="2:15" x14ac:dyDescent="0.3">
      <c r="B1778" s="10"/>
      <c r="I1778" s="11"/>
      <c r="K1778" s="12"/>
      <c r="L1778" s="12"/>
      <c r="M1778" s="12"/>
      <c r="N1778" s="12"/>
      <c r="O1778" s="12"/>
    </row>
    <row r="1779" spans="2:15" x14ac:dyDescent="0.3">
      <c r="B1779" s="10"/>
      <c r="I1779" s="11"/>
      <c r="K1779" s="12"/>
      <c r="L1779" s="12"/>
      <c r="M1779" s="12"/>
      <c r="N1779" s="12"/>
      <c r="O1779" s="12"/>
    </row>
    <row r="1780" spans="2:15" x14ac:dyDescent="0.3">
      <c r="B1780" s="10"/>
      <c r="I1780" s="11"/>
      <c r="K1780" s="12"/>
      <c r="L1780" s="12"/>
      <c r="M1780" s="12"/>
      <c r="N1780" s="12"/>
      <c r="O1780" s="12"/>
    </row>
    <row r="1781" spans="2:15" x14ac:dyDescent="0.3">
      <c r="B1781" s="10"/>
      <c r="I1781" s="11"/>
      <c r="K1781" s="12"/>
      <c r="L1781" s="12"/>
      <c r="M1781" s="12"/>
      <c r="N1781" s="12"/>
      <c r="O1781" s="12"/>
    </row>
    <row r="1782" spans="2:15" x14ac:dyDescent="0.3">
      <c r="B1782" s="10"/>
      <c r="I1782" s="11"/>
      <c r="K1782" s="12"/>
      <c r="L1782" s="12"/>
      <c r="M1782" s="12"/>
      <c r="N1782" s="12"/>
      <c r="O1782" s="12"/>
    </row>
    <row r="1783" spans="2:15" x14ac:dyDescent="0.3">
      <c r="B1783" s="10"/>
      <c r="I1783" s="11"/>
      <c r="K1783" s="12"/>
      <c r="L1783" s="12"/>
      <c r="M1783" s="12"/>
      <c r="N1783" s="12"/>
      <c r="O1783" s="12"/>
    </row>
    <row r="1784" spans="2:15" x14ac:dyDescent="0.3">
      <c r="B1784" s="10"/>
      <c r="I1784" s="11"/>
      <c r="K1784" s="12"/>
      <c r="L1784" s="12"/>
      <c r="M1784" s="12"/>
      <c r="N1784" s="12"/>
      <c r="O1784" s="12"/>
    </row>
    <row r="1785" spans="2:15" x14ac:dyDescent="0.3">
      <c r="B1785" s="10"/>
      <c r="I1785" s="11"/>
      <c r="K1785" s="12"/>
      <c r="L1785" s="12"/>
      <c r="M1785" s="12"/>
      <c r="N1785" s="12"/>
      <c r="O1785" s="12"/>
    </row>
    <row r="1786" spans="2:15" x14ac:dyDescent="0.3">
      <c r="B1786" s="10"/>
      <c r="I1786" s="11"/>
      <c r="K1786" s="12"/>
      <c r="L1786" s="12"/>
      <c r="M1786" s="12"/>
      <c r="N1786" s="12"/>
      <c r="O1786" s="12"/>
    </row>
    <row r="1787" spans="2:15" x14ac:dyDescent="0.3">
      <c r="B1787" s="10"/>
      <c r="I1787" s="11"/>
      <c r="K1787" s="12"/>
      <c r="L1787" s="12"/>
      <c r="M1787" s="12"/>
      <c r="N1787" s="12"/>
      <c r="O1787" s="12"/>
    </row>
    <row r="1788" spans="2:15" x14ac:dyDescent="0.3">
      <c r="B1788" s="10"/>
      <c r="I1788" s="11"/>
      <c r="K1788" s="12"/>
      <c r="L1788" s="12"/>
      <c r="M1788" s="12"/>
      <c r="N1788" s="12"/>
      <c r="O1788" s="12"/>
    </row>
    <row r="1789" spans="2:15" x14ac:dyDescent="0.3">
      <c r="B1789" s="10"/>
      <c r="I1789" s="11"/>
      <c r="K1789" s="12"/>
      <c r="L1789" s="12"/>
      <c r="M1789" s="12"/>
      <c r="N1789" s="12"/>
      <c r="O1789" s="12"/>
    </row>
    <row r="1790" spans="2:15" x14ac:dyDescent="0.3">
      <c r="B1790" s="10"/>
      <c r="I1790" s="11"/>
      <c r="K1790" s="12"/>
      <c r="L1790" s="12"/>
      <c r="M1790" s="12"/>
      <c r="N1790" s="12"/>
      <c r="O1790" s="12"/>
    </row>
    <row r="1791" spans="2:15" x14ac:dyDescent="0.3">
      <c r="B1791" s="10"/>
      <c r="I1791" s="11"/>
      <c r="K1791" s="12"/>
      <c r="L1791" s="12"/>
      <c r="M1791" s="12"/>
      <c r="N1791" s="12"/>
      <c r="O1791" s="12"/>
    </row>
    <row r="1792" spans="2:15" x14ac:dyDescent="0.3">
      <c r="B1792" s="10"/>
      <c r="I1792" s="11"/>
      <c r="K1792" s="12"/>
      <c r="L1792" s="12"/>
      <c r="M1792" s="12"/>
      <c r="N1792" s="12"/>
      <c r="O1792" s="12"/>
    </row>
    <row r="1793" spans="2:15" x14ac:dyDescent="0.3">
      <c r="B1793" s="10"/>
      <c r="I1793" s="11"/>
      <c r="K1793" s="12"/>
      <c r="L1793" s="12"/>
      <c r="M1793" s="12"/>
      <c r="N1793" s="12"/>
      <c r="O1793" s="12"/>
    </row>
    <row r="1794" spans="2:15" x14ac:dyDescent="0.3">
      <c r="B1794" s="10"/>
      <c r="I1794" s="11"/>
      <c r="K1794" s="12"/>
      <c r="L1794" s="12"/>
      <c r="M1794" s="12"/>
      <c r="N1794" s="12"/>
      <c r="O1794" s="12"/>
    </row>
    <row r="1795" spans="2:15" x14ac:dyDescent="0.3">
      <c r="B1795" s="10"/>
      <c r="I1795" s="11"/>
      <c r="K1795" s="12"/>
      <c r="L1795" s="12"/>
      <c r="M1795" s="12"/>
      <c r="N1795" s="12"/>
      <c r="O1795" s="12"/>
    </row>
    <row r="1796" spans="2:15" x14ac:dyDescent="0.3">
      <c r="B1796" s="10"/>
      <c r="I1796" s="11"/>
      <c r="K1796" s="12"/>
      <c r="L1796" s="12"/>
      <c r="M1796" s="12"/>
      <c r="N1796" s="12"/>
      <c r="O1796" s="12"/>
    </row>
    <row r="1797" spans="2:15" x14ac:dyDescent="0.3">
      <c r="B1797" s="10"/>
      <c r="I1797" s="11"/>
      <c r="K1797" s="12"/>
      <c r="L1797" s="12"/>
      <c r="M1797" s="12"/>
      <c r="N1797" s="12"/>
      <c r="O1797" s="12"/>
    </row>
    <row r="1798" spans="2:15" x14ac:dyDescent="0.3">
      <c r="B1798" s="10"/>
      <c r="I1798" s="11"/>
      <c r="K1798" s="12"/>
      <c r="L1798" s="12"/>
      <c r="M1798" s="12"/>
      <c r="N1798" s="12"/>
      <c r="O1798" s="12"/>
    </row>
    <row r="1799" spans="2:15" x14ac:dyDescent="0.3">
      <c r="B1799" s="10"/>
      <c r="I1799" s="11"/>
      <c r="K1799" s="12"/>
      <c r="L1799" s="12"/>
      <c r="M1799" s="12"/>
      <c r="N1799" s="12"/>
      <c r="O1799" s="12"/>
    </row>
    <row r="1800" spans="2:15" x14ac:dyDescent="0.3">
      <c r="B1800" s="10"/>
      <c r="I1800" s="11"/>
      <c r="K1800" s="12"/>
      <c r="L1800" s="12"/>
      <c r="M1800" s="12"/>
      <c r="N1800" s="12"/>
      <c r="O1800" s="12"/>
    </row>
    <row r="1801" spans="2:15" x14ac:dyDescent="0.3">
      <c r="B1801" s="10"/>
      <c r="I1801" s="11"/>
      <c r="K1801" s="12"/>
      <c r="L1801" s="12"/>
      <c r="M1801" s="12"/>
      <c r="N1801" s="12"/>
      <c r="O1801" s="12"/>
    </row>
    <row r="1802" spans="2:15" x14ac:dyDescent="0.3">
      <c r="B1802" s="10"/>
      <c r="I1802" s="11"/>
      <c r="K1802" s="12"/>
      <c r="L1802" s="12"/>
      <c r="M1802" s="12"/>
      <c r="N1802" s="12"/>
      <c r="O1802" s="12"/>
    </row>
    <row r="1803" spans="2:15" x14ac:dyDescent="0.3">
      <c r="B1803" s="10"/>
      <c r="I1803" s="11"/>
      <c r="K1803" s="12"/>
      <c r="L1803" s="12"/>
      <c r="M1803" s="12"/>
      <c r="N1803" s="12"/>
      <c r="O1803" s="12"/>
    </row>
    <row r="1804" spans="2:15" x14ac:dyDescent="0.3">
      <c r="B1804" s="10"/>
      <c r="I1804" s="11"/>
      <c r="K1804" s="12"/>
      <c r="L1804" s="12"/>
      <c r="M1804" s="12"/>
      <c r="N1804" s="12"/>
      <c r="O1804" s="12"/>
    </row>
    <row r="1805" spans="2:15" x14ac:dyDescent="0.3">
      <c r="B1805" s="10"/>
      <c r="I1805" s="11"/>
      <c r="K1805" s="12"/>
      <c r="L1805" s="12"/>
      <c r="M1805" s="12"/>
      <c r="N1805" s="12"/>
      <c r="O1805" s="12"/>
    </row>
    <row r="1806" spans="2:15" x14ac:dyDescent="0.3">
      <c r="B1806" s="10"/>
      <c r="I1806" s="11"/>
      <c r="K1806" s="12"/>
      <c r="L1806" s="12"/>
      <c r="M1806" s="12"/>
      <c r="N1806" s="12"/>
      <c r="O1806" s="12"/>
    </row>
    <row r="1807" spans="2:15" x14ac:dyDescent="0.3">
      <c r="B1807" s="10"/>
      <c r="I1807" s="11"/>
      <c r="K1807" s="12"/>
      <c r="L1807" s="12"/>
      <c r="M1807" s="12"/>
      <c r="N1807" s="12"/>
      <c r="O1807" s="12"/>
    </row>
    <row r="1808" spans="2:15" x14ac:dyDescent="0.3">
      <c r="B1808" s="10"/>
      <c r="I1808" s="11"/>
      <c r="K1808" s="12"/>
      <c r="L1808" s="12"/>
      <c r="M1808" s="12"/>
      <c r="N1808" s="12"/>
      <c r="O1808" s="12"/>
    </row>
    <row r="1809" spans="2:15" x14ac:dyDescent="0.3">
      <c r="B1809" s="10"/>
      <c r="I1809" s="11"/>
      <c r="K1809" s="12"/>
      <c r="L1809" s="12"/>
      <c r="M1809" s="12"/>
      <c r="N1809" s="12"/>
      <c r="O1809" s="12"/>
    </row>
    <row r="1810" spans="2:15" x14ac:dyDescent="0.3">
      <c r="B1810" s="10"/>
      <c r="I1810" s="11"/>
      <c r="K1810" s="12"/>
      <c r="L1810" s="12"/>
      <c r="M1810" s="12"/>
      <c r="N1810" s="12"/>
      <c r="O1810" s="12"/>
    </row>
    <row r="1811" spans="2:15" x14ac:dyDescent="0.3">
      <c r="B1811" s="10"/>
      <c r="I1811" s="11"/>
      <c r="K1811" s="12"/>
      <c r="L1811" s="12"/>
      <c r="M1811" s="12"/>
      <c r="N1811" s="12"/>
      <c r="O1811" s="12"/>
    </row>
    <row r="1812" spans="2:15" x14ac:dyDescent="0.3">
      <c r="B1812" s="10"/>
      <c r="I1812" s="11"/>
      <c r="K1812" s="12"/>
      <c r="L1812" s="12"/>
      <c r="M1812" s="12"/>
      <c r="N1812" s="12"/>
      <c r="O1812" s="12"/>
    </row>
    <row r="1813" spans="2:15" x14ac:dyDescent="0.3">
      <c r="B1813" s="10"/>
      <c r="I1813" s="11"/>
      <c r="K1813" s="12"/>
      <c r="L1813" s="12"/>
      <c r="M1813" s="12"/>
      <c r="N1813" s="12"/>
      <c r="O1813" s="12"/>
    </row>
    <row r="1814" spans="2:15" x14ac:dyDescent="0.3">
      <c r="B1814" s="10"/>
      <c r="I1814" s="11"/>
      <c r="K1814" s="12"/>
      <c r="L1814" s="12"/>
      <c r="M1814" s="12"/>
      <c r="N1814" s="12"/>
      <c r="O1814" s="12"/>
    </row>
    <row r="1815" spans="2:15" x14ac:dyDescent="0.3">
      <c r="B1815" s="10"/>
      <c r="I1815" s="11"/>
      <c r="K1815" s="12"/>
      <c r="L1815" s="12"/>
      <c r="M1815" s="12"/>
      <c r="N1815" s="12"/>
      <c r="O1815" s="12"/>
    </row>
    <row r="1816" spans="2:15" x14ac:dyDescent="0.3">
      <c r="B1816" s="10"/>
      <c r="I1816" s="11"/>
      <c r="K1816" s="12"/>
      <c r="L1816" s="12"/>
      <c r="M1816" s="12"/>
      <c r="N1816" s="12"/>
      <c r="O1816" s="12"/>
    </row>
    <row r="1817" spans="2:15" x14ac:dyDescent="0.3">
      <c r="B1817" s="10"/>
      <c r="I1817" s="11"/>
      <c r="K1817" s="12"/>
      <c r="L1817" s="12"/>
      <c r="M1817" s="12"/>
      <c r="N1817" s="12"/>
      <c r="O1817" s="12"/>
    </row>
    <row r="1818" spans="2:15" x14ac:dyDescent="0.3">
      <c r="B1818" s="10"/>
      <c r="I1818" s="11"/>
      <c r="K1818" s="12"/>
      <c r="L1818" s="12"/>
      <c r="M1818" s="12"/>
      <c r="N1818" s="12"/>
      <c r="O1818" s="12"/>
    </row>
    <row r="1819" spans="2:15" x14ac:dyDescent="0.3">
      <c r="B1819" s="10"/>
      <c r="I1819" s="11"/>
      <c r="K1819" s="12"/>
      <c r="L1819" s="12"/>
      <c r="M1819" s="12"/>
      <c r="N1819" s="12"/>
      <c r="O1819" s="12"/>
    </row>
    <row r="1820" spans="2:15" x14ac:dyDescent="0.3">
      <c r="B1820" s="10"/>
      <c r="I1820" s="11"/>
      <c r="K1820" s="12"/>
      <c r="L1820" s="12"/>
      <c r="M1820" s="12"/>
      <c r="N1820" s="12"/>
      <c r="O1820" s="12"/>
    </row>
    <row r="1821" spans="2:15" x14ac:dyDescent="0.3">
      <c r="B1821" s="10"/>
      <c r="I1821" s="11"/>
      <c r="K1821" s="12"/>
      <c r="L1821" s="12"/>
      <c r="M1821" s="12"/>
      <c r="N1821" s="12"/>
      <c r="O1821" s="12"/>
    </row>
    <row r="1822" spans="2:15" x14ac:dyDescent="0.3">
      <c r="B1822" s="10"/>
      <c r="I1822" s="11"/>
      <c r="K1822" s="12"/>
      <c r="L1822" s="12"/>
      <c r="M1822" s="12"/>
      <c r="N1822" s="12"/>
      <c r="O1822" s="12"/>
    </row>
    <row r="1823" spans="2:15" x14ac:dyDescent="0.3">
      <c r="B1823" s="10"/>
      <c r="I1823" s="11"/>
      <c r="K1823" s="12"/>
      <c r="L1823" s="12"/>
      <c r="M1823" s="12"/>
      <c r="N1823" s="12"/>
      <c r="O1823" s="12"/>
    </row>
    <row r="1824" spans="2:15" x14ac:dyDescent="0.3">
      <c r="B1824" s="10"/>
      <c r="I1824" s="11"/>
      <c r="K1824" s="12"/>
      <c r="L1824" s="12"/>
      <c r="M1824" s="12"/>
      <c r="N1824" s="12"/>
      <c r="O1824" s="12"/>
    </row>
    <row r="1825" spans="2:15" x14ac:dyDescent="0.3">
      <c r="B1825" s="10"/>
      <c r="I1825" s="11"/>
      <c r="K1825" s="12"/>
      <c r="L1825" s="12"/>
      <c r="M1825" s="12"/>
      <c r="N1825" s="12"/>
      <c r="O1825" s="12"/>
    </row>
    <row r="1826" spans="2:15" x14ac:dyDescent="0.3">
      <c r="B1826" s="10"/>
      <c r="I1826" s="11"/>
      <c r="K1826" s="12"/>
      <c r="L1826" s="12"/>
      <c r="M1826" s="12"/>
      <c r="N1826" s="12"/>
      <c r="O1826" s="12"/>
    </row>
    <row r="1827" spans="2:15" x14ac:dyDescent="0.3">
      <c r="B1827" s="10"/>
      <c r="I1827" s="11"/>
      <c r="K1827" s="12"/>
      <c r="L1827" s="12"/>
      <c r="M1827" s="12"/>
      <c r="N1827" s="12"/>
      <c r="O1827" s="12"/>
    </row>
    <row r="1828" spans="2:15" x14ac:dyDescent="0.3">
      <c r="B1828" s="10"/>
      <c r="I1828" s="11"/>
      <c r="K1828" s="12"/>
      <c r="L1828" s="12"/>
      <c r="M1828" s="12"/>
      <c r="N1828" s="12"/>
      <c r="O1828" s="12"/>
    </row>
    <row r="1829" spans="2:15" x14ac:dyDescent="0.3">
      <c r="B1829" s="10"/>
      <c r="I1829" s="11"/>
      <c r="K1829" s="12"/>
      <c r="L1829" s="12"/>
      <c r="M1829" s="12"/>
      <c r="N1829" s="12"/>
      <c r="O1829" s="12"/>
    </row>
    <row r="1830" spans="2:15" x14ac:dyDescent="0.3">
      <c r="B1830" s="10"/>
      <c r="I1830" s="11"/>
      <c r="K1830" s="12"/>
      <c r="L1830" s="12"/>
      <c r="M1830" s="12"/>
      <c r="N1830" s="12"/>
      <c r="O1830" s="12"/>
    </row>
    <row r="1831" spans="2:15" x14ac:dyDescent="0.3">
      <c r="B1831" s="10"/>
      <c r="I1831" s="11"/>
      <c r="K1831" s="12"/>
      <c r="L1831" s="12"/>
      <c r="M1831" s="12"/>
      <c r="N1831" s="12"/>
      <c r="O1831" s="12"/>
    </row>
    <row r="1832" spans="2:15" x14ac:dyDescent="0.3">
      <c r="B1832" s="10"/>
      <c r="I1832" s="11"/>
      <c r="K1832" s="12"/>
      <c r="L1832" s="12"/>
      <c r="M1832" s="12"/>
      <c r="N1832" s="12"/>
      <c r="O1832" s="12"/>
    </row>
    <row r="1833" spans="2:15" x14ac:dyDescent="0.3">
      <c r="B1833" s="10"/>
      <c r="I1833" s="11"/>
      <c r="K1833" s="12"/>
      <c r="L1833" s="12"/>
      <c r="M1833" s="12"/>
      <c r="N1833" s="12"/>
      <c r="O1833" s="12"/>
    </row>
    <row r="1834" spans="2:15" x14ac:dyDescent="0.3">
      <c r="B1834" s="10"/>
      <c r="I1834" s="11"/>
      <c r="K1834" s="12"/>
      <c r="L1834" s="12"/>
      <c r="M1834" s="12"/>
      <c r="N1834" s="12"/>
      <c r="O1834" s="12"/>
    </row>
    <row r="1835" spans="2:15" x14ac:dyDescent="0.3">
      <c r="B1835" s="10"/>
      <c r="I1835" s="11"/>
      <c r="K1835" s="12"/>
      <c r="L1835" s="12"/>
      <c r="M1835" s="12"/>
      <c r="N1835" s="12"/>
      <c r="O1835" s="12"/>
    </row>
    <row r="1836" spans="2:15" x14ac:dyDescent="0.3">
      <c r="B1836" s="10"/>
      <c r="I1836" s="11"/>
      <c r="K1836" s="12"/>
      <c r="L1836" s="12"/>
      <c r="M1836" s="12"/>
      <c r="N1836" s="12"/>
      <c r="O1836" s="12"/>
    </row>
    <row r="1837" spans="2:15" x14ac:dyDescent="0.3">
      <c r="B1837" s="10"/>
      <c r="I1837" s="11"/>
      <c r="K1837" s="12"/>
      <c r="L1837" s="12"/>
      <c r="M1837" s="12"/>
      <c r="N1837" s="12"/>
      <c r="O1837" s="12"/>
    </row>
    <row r="1838" spans="2:15" x14ac:dyDescent="0.3">
      <c r="B1838" s="10"/>
      <c r="I1838" s="11"/>
      <c r="K1838" s="12"/>
      <c r="L1838" s="12"/>
      <c r="M1838" s="12"/>
      <c r="N1838" s="12"/>
      <c r="O1838" s="12"/>
    </row>
    <row r="1839" spans="2:15" x14ac:dyDescent="0.3">
      <c r="B1839" s="10"/>
      <c r="I1839" s="11"/>
      <c r="K1839" s="12"/>
      <c r="L1839" s="12"/>
      <c r="M1839" s="12"/>
      <c r="N1839" s="12"/>
      <c r="O1839" s="12"/>
    </row>
    <row r="1840" spans="2:15" x14ac:dyDescent="0.3">
      <c r="B1840" s="10"/>
      <c r="I1840" s="11"/>
      <c r="K1840" s="12"/>
      <c r="L1840" s="12"/>
      <c r="M1840" s="12"/>
      <c r="N1840" s="12"/>
      <c r="O1840" s="12"/>
    </row>
    <row r="1841" spans="2:15" x14ac:dyDescent="0.3">
      <c r="B1841" s="10"/>
      <c r="I1841" s="11"/>
      <c r="K1841" s="12"/>
      <c r="L1841" s="12"/>
      <c r="M1841" s="12"/>
      <c r="N1841" s="12"/>
      <c r="O1841" s="12"/>
    </row>
    <row r="1842" spans="2:15" x14ac:dyDescent="0.3">
      <c r="B1842" s="10"/>
      <c r="I1842" s="11"/>
      <c r="K1842" s="12"/>
      <c r="L1842" s="12"/>
      <c r="M1842" s="12"/>
      <c r="N1842" s="12"/>
      <c r="O1842" s="12"/>
    </row>
    <row r="1843" spans="2:15" x14ac:dyDescent="0.3">
      <c r="B1843" s="10"/>
      <c r="I1843" s="11"/>
      <c r="K1843" s="12"/>
      <c r="L1843" s="12"/>
      <c r="M1843" s="12"/>
      <c r="N1843" s="12"/>
      <c r="O1843" s="12"/>
    </row>
    <row r="1844" spans="2:15" x14ac:dyDescent="0.3">
      <c r="B1844" s="10"/>
      <c r="I1844" s="11"/>
      <c r="K1844" s="12"/>
      <c r="L1844" s="12"/>
      <c r="M1844" s="12"/>
      <c r="N1844" s="12"/>
      <c r="O1844" s="12"/>
    </row>
    <row r="1845" spans="2:15" x14ac:dyDescent="0.3">
      <c r="B1845" s="10"/>
      <c r="I1845" s="11"/>
      <c r="K1845" s="12"/>
      <c r="L1845" s="12"/>
      <c r="M1845" s="12"/>
      <c r="N1845" s="12"/>
      <c r="O1845" s="12"/>
    </row>
    <row r="1846" spans="2:15" x14ac:dyDescent="0.3">
      <c r="B1846" s="10"/>
      <c r="I1846" s="11"/>
      <c r="K1846" s="12"/>
      <c r="L1846" s="12"/>
      <c r="M1846" s="12"/>
      <c r="N1846" s="12"/>
      <c r="O1846" s="12"/>
    </row>
    <row r="1847" spans="2:15" x14ac:dyDescent="0.3">
      <c r="B1847" s="10"/>
      <c r="I1847" s="11"/>
      <c r="K1847" s="12"/>
      <c r="L1847" s="12"/>
      <c r="M1847" s="12"/>
      <c r="N1847" s="12"/>
      <c r="O1847" s="12"/>
    </row>
    <row r="1848" spans="2:15" x14ac:dyDescent="0.3">
      <c r="B1848" s="10"/>
      <c r="I1848" s="11"/>
      <c r="K1848" s="12"/>
      <c r="L1848" s="12"/>
      <c r="M1848" s="12"/>
      <c r="N1848" s="12"/>
      <c r="O1848" s="12"/>
    </row>
    <row r="1849" spans="2:15" x14ac:dyDescent="0.3">
      <c r="B1849" s="10"/>
      <c r="I1849" s="11"/>
      <c r="K1849" s="12"/>
      <c r="L1849" s="12"/>
      <c r="M1849" s="12"/>
      <c r="N1849" s="12"/>
      <c r="O1849" s="12"/>
    </row>
    <row r="1850" spans="2:15" x14ac:dyDescent="0.3">
      <c r="B1850" s="10"/>
      <c r="I1850" s="11"/>
      <c r="K1850" s="12"/>
      <c r="L1850" s="12"/>
      <c r="M1850" s="12"/>
      <c r="N1850" s="12"/>
      <c r="O1850" s="12"/>
    </row>
    <row r="1851" spans="2:15" x14ac:dyDescent="0.3">
      <c r="B1851" s="10"/>
      <c r="I1851" s="11"/>
      <c r="K1851" s="12"/>
      <c r="L1851" s="12"/>
      <c r="M1851" s="12"/>
      <c r="N1851" s="12"/>
      <c r="O1851" s="12"/>
    </row>
    <row r="1852" spans="2:15" x14ac:dyDescent="0.3">
      <c r="B1852" s="10"/>
      <c r="I1852" s="11"/>
      <c r="K1852" s="12"/>
      <c r="L1852" s="12"/>
      <c r="M1852" s="12"/>
      <c r="N1852" s="12"/>
      <c r="O1852" s="12"/>
    </row>
    <row r="1853" spans="2:15" x14ac:dyDescent="0.3">
      <c r="B1853" s="10"/>
      <c r="I1853" s="11"/>
      <c r="K1853" s="12"/>
      <c r="L1853" s="12"/>
      <c r="M1853" s="12"/>
      <c r="N1853" s="12"/>
      <c r="O1853" s="12"/>
    </row>
    <row r="1854" spans="2:15" x14ac:dyDescent="0.3">
      <c r="B1854" s="10"/>
      <c r="I1854" s="11"/>
      <c r="K1854" s="12"/>
      <c r="L1854" s="12"/>
      <c r="M1854" s="12"/>
      <c r="N1854" s="12"/>
      <c r="O1854" s="12"/>
    </row>
    <row r="1855" spans="2:15" x14ac:dyDescent="0.3">
      <c r="B1855" s="10"/>
      <c r="I1855" s="11"/>
      <c r="K1855" s="12"/>
      <c r="L1855" s="12"/>
      <c r="M1855" s="12"/>
      <c r="N1855" s="12"/>
      <c r="O1855" s="12"/>
    </row>
    <row r="1856" spans="2:15" x14ac:dyDescent="0.3">
      <c r="B1856" s="10"/>
      <c r="I1856" s="11"/>
      <c r="K1856" s="12"/>
      <c r="L1856" s="12"/>
      <c r="M1856" s="12"/>
      <c r="N1856" s="12"/>
      <c r="O1856" s="12"/>
    </row>
    <row r="1857" spans="2:15" x14ac:dyDescent="0.3">
      <c r="B1857" s="10"/>
      <c r="I1857" s="11"/>
      <c r="K1857" s="12"/>
      <c r="L1857" s="12"/>
      <c r="M1857" s="12"/>
      <c r="N1857" s="12"/>
      <c r="O1857" s="12"/>
    </row>
    <row r="1858" spans="2:15" x14ac:dyDescent="0.3">
      <c r="B1858" s="10"/>
      <c r="I1858" s="11"/>
      <c r="K1858" s="12"/>
      <c r="L1858" s="12"/>
      <c r="M1858" s="12"/>
      <c r="N1858" s="12"/>
      <c r="O1858" s="12"/>
    </row>
    <row r="1859" spans="2:15" x14ac:dyDescent="0.3">
      <c r="B1859" s="10"/>
      <c r="I1859" s="11"/>
      <c r="K1859" s="12"/>
      <c r="L1859" s="12"/>
      <c r="M1859" s="12"/>
      <c r="N1859" s="12"/>
      <c r="O1859" s="12"/>
    </row>
    <row r="1860" spans="2:15" x14ac:dyDescent="0.3">
      <c r="B1860" s="10"/>
      <c r="I1860" s="11"/>
      <c r="K1860" s="12"/>
      <c r="L1860" s="12"/>
      <c r="M1860" s="12"/>
      <c r="N1860" s="12"/>
      <c r="O1860" s="12"/>
    </row>
    <row r="1861" spans="2:15" x14ac:dyDescent="0.3">
      <c r="B1861" s="10"/>
      <c r="I1861" s="11"/>
      <c r="K1861" s="12"/>
      <c r="L1861" s="12"/>
      <c r="M1861" s="12"/>
      <c r="N1861" s="12"/>
      <c r="O1861" s="12"/>
    </row>
    <row r="1862" spans="2:15" x14ac:dyDescent="0.3">
      <c r="B1862" s="10"/>
      <c r="I1862" s="11"/>
      <c r="K1862" s="12"/>
      <c r="L1862" s="12"/>
      <c r="M1862" s="12"/>
      <c r="N1862" s="12"/>
      <c r="O1862" s="12"/>
    </row>
    <row r="1863" spans="2:15" x14ac:dyDescent="0.3">
      <c r="B1863" s="10"/>
      <c r="I1863" s="11"/>
      <c r="K1863" s="12"/>
      <c r="L1863" s="12"/>
      <c r="M1863" s="12"/>
      <c r="N1863" s="12"/>
      <c r="O1863" s="12"/>
    </row>
    <row r="1864" spans="2:15" x14ac:dyDescent="0.3">
      <c r="B1864" s="10"/>
      <c r="I1864" s="11"/>
      <c r="K1864" s="12"/>
      <c r="L1864" s="12"/>
      <c r="M1864" s="12"/>
      <c r="N1864" s="12"/>
      <c r="O1864" s="12"/>
    </row>
    <row r="1865" spans="2:15" x14ac:dyDescent="0.3">
      <c r="B1865" s="10"/>
      <c r="I1865" s="11"/>
      <c r="K1865" s="12"/>
      <c r="L1865" s="12"/>
      <c r="M1865" s="12"/>
      <c r="N1865" s="12"/>
      <c r="O1865" s="12"/>
    </row>
    <row r="1866" spans="2:15" x14ac:dyDescent="0.3">
      <c r="B1866" s="10"/>
      <c r="I1866" s="11"/>
      <c r="K1866" s="12"/>
      <c r="L1866" s="12"/>
      <c r="M1866" s="12"/>
      <c r="N1866" s="12"/>
      <c r="O1866" s="12"/>
    </row>
    <row r="1867" spans="2:15" x14ac:dyDescent="0.3">
      <c r="B1867" s="10"/>
      <c r="I1867" s="11"/>
      <c r="K1867" s="12"/>
      <c r="L1867" s="12"/>
      <c r="M1867" s="12"/>
      <c r="N1867" s="12"/>
      <c r="O1867" s="12"/>
    </row>
    <row r="1868" spans="2:15" x14ac:dyDescent="0.3">
      <c r="B1868" s="10"/>
      <c r="I1868" s="11"/>
      <c r="K1868" s="12"/>
      <c r="L1868" s="12"/>
      <c r="M1868" s="12"/>
      <c r="N1868" s="12"/>
      <c r="O1868" s="12"/>
    </row>
    <row r="1869" spans="2:15" x14ac:dyDescent="0.3">
      <c r="B1869" s="10"/>
      <c r="I1869" s="11"/>
      <c r="K1869" s="12"/>
      <c r="L1869" s="12"/>
      <c r="M1869" s="12"/>
      <c r="N1869" s="12"/>
      <c r="O1869" s="12"/>
    </row>
    <row r="1870" spans="2:15" x14ac:dyDescent="0.3">
      <c r="B1870" s="10"/>
      <c r="I1870" s="11"/>
      <c r="K1870" s="12"/>
      <c r="L1870" s="12"/>
      <c r="M1870" s="12"/>
      <c r="N1870" s="12"/>
      <c r="O1870" s="12"/>
    </row>
    <row r="1871" spans="2:15" x14ac:dyDescent="0.3">
      <c r="B1871" s="10"/>
      <c r="I1871" s="11"/>
      <c r="K1871" s="12"/>
      <c r="L1871" s="12"/>
      <c r="M1871" s="12"/>
      <c r="N1871" s="12"/>
      <c r="O1871" s="12"/>
    </row>
    <row r="1872" spans="2:15" x14ac:dyDescent="0.3">
      <c r="B1872" s="10"/>
      <c r="I1872" s="11"/>
      <c r="K1872" s="12"/>
      <c r="L1872" s="12"/>
      <c r="M1872" s="12"/>
      <c r="N1872" s="12"/>
      <c r="O1872" s="12"/>
    </row>
    <row r="1873" spans="2:15" x14ac:dyDescent="0.3">
      <c r="B1873" s="10"/>
      <c r="I1873" s="11"/>
      <c r="K1873" s="12"/>
      <c r="L1873" s="12"/>
      <c r="M1873" s="12"/>
      <c r="N1873" s="12"/>
      <c r="O1873" s="12"/>
    </row>
    <row r="1874" spans="2:15" x14ac:dyDescent="0.3">
      <c r="B1874" s="10"/>
      <c r="I1874" s="11"/>
      <c r="K1874" s="12"/>
      <c r="L1874" s="12"/>
      <c r="M1874" s="12"/>
      <c r="N1874" s="12"/>
      <c r="O1874" s="12"/>
    </row>
    <row r="1875" spans="2:15" x14ac:dyDescent="0.3">
      <c r="B1875" s="10"/>
      <c r="I1875" s="11"/>
      <c r="K1875" s="12"/>
      <c r="L1875" s="12"/>
      <c r="M1875" s="12"/>
      <c r="N1875" s="12"/>
      <c r="O1875" s="12"/>
    </row>
    <row r="1876" spans="2:15" x14ac:dyDescent="0.3">
      <c r="B1876" s="10"/>
      <c r="I1876" s="11"/>
      <c r="K1876" s="12"/>
      <c r="L1876" s="12"/>
      <c r="M1876" s="12"/>
      <c r="N1876" s="12"/>
      <c r="O1876" s="12"/>
    </row>
    <row r="1877" spans="2:15" x14ac:dyDescent="0.3">
      <c r="B1877" s="10"/>
      <c r="I1877" s="11"/>
      <c r="K1877" s="12"/>
      <c r="L1877" s="12"/>
      <c r="M1877" s="12"/>
      <c r="N1877" s="12"/>
      <c r="O1877" s="12"/>
    </row>
    <row r="1878" spans="2:15" x14ac:dyDescent="0.3">
      <c r="B1878" s="10"/>
      <c r="I1878" s="11"/>
      <c r="K1878" s="12"/>
      <c r="L1878" s="12"/>
      <c r="M1878" s="12"/>
      <c r="N1878" s="12"/>
      <c r="O1878" s="12"/>
    </row>
    <row r="1879" spans="2:15" x14ac:dyDescent="0.3">
      <c r="B1879" s="10"/>
      <c r="I1879" s="11"/>
      <c r="K1879" s="12"/>
      <c r="L1879" s="12"/>
      <c r="M1879" s="12"/>
      <c r="N1879" s="12"/>
      <c r="O1879" s="12"/>
    </row>
    <row r="1880" spans="2:15" x14ac:dyDescent="0.3">
      <c r="B1880" s="10"/>
      <c r="I1880" s="11"/>
      <c r="K1880" s="12"/>
      <c r="L1880" s="12"/>
      <c r="M1880" s="12"/>
      <c r="N1880" s="12"/>
      <c r="O1880" s="12"/>
    </row>
    <row r="1881" spans="2:15" x14ac:dyDescent="0.3">
      <c r="B1881" s="10"/>
      <c r="I1881" s="11"/>
      <c r="K1881" s="12"/>
      <c r="L1881" s="12"/>
      <c r="M1881" s="12"/>
      <c r="N1881" s="12"/>
      <c r="O1881" s="12"/>
    </row>
    <row r="1882" spans="2:15" x14ac:dyDescent="0.3">
      <c r="B1882" s="10"/>
      <c r="I1882" s="11"/>
      <c r="K1882" s="12"/>
      <c r="L1882" s="12"/>
      <c r="M1882" s="12"/>
      <c r="N1882" s="12"/>
      <c r="O1882" s="12"/>
    </row>
    <row r="1883" spans="2:15" x14ac:dyDescent="0.3">
      <c r="B1883" s="10"/>
      <c r="I1883" s="11"/>
      <c r="K1883" s="12"/>
      <c r="L1883" s="12"/>
      <c r="M1883" s="12"/>
      <c r="N1883" s="12"/>
      <c r="O1883" s="12"/>
    </row>
    <row r="1884" spans="2:15" x14ac:dyDescent="0.3">
      <c r="B1884" s="10"/>
      <c r="I1884" s="11"/>
      <c r="K1884" s="12"/>
      <c r="L1884" s="12"/>
      <c r="M1884" s="12"/>
      <c r="N1884" s="12"/>
      <c r="O1884" s="12"/>
    </row>
    <row r="1885" spans="2:15" x14ac:dyDescent="0.3">
      <c r="B1885" s="10"/>
      <c r="I1885" s="11"/>
      <c r="K1885" s="12"/>
      <c r="L1885" s="12"/>
      <c r="M1885" s="12"/>
      <c r="N1885" s="12"/>
      <c r="O1885" s="12"/>
    </row>
    <row r="1886" spans="2:15" x14ac:dyDescent="0.3">
      <c r="B1886" s="10"/>
      <c r="I1886" s="11"/>
      <c r="K1886" s="12"/>
      <c r="L1886" s="12"/>
      <c r="M1886" s="12"/>
      <c r="N1886" s="12"/>
      <c r="O1886" s="12"/>
    </row>
    <row r="1887" spans="2:15" x14ac:dyDescent="0.3">
      <c r="B1887" s="10"/>
      <c r="I1887" s="11"/>
      <c r="K1887" s="12"/>
      <c r="L1887" s="12"/>
      <c r="M1887" s="12"/>
      <c r="N1887" s="12"/>
      <c r="O1887" s="12"/>
    </row>
    <row r="1888" spans="2:15" x14ac:dyDescent="0.3">
      <c r="B1888" s="10"/>
      <c r="I1888" s="11"/>
      <c r="K1888" s="12"/>
      <c r="L1888" s="12"/>
      <c r="M1888" s="12"/>
      <c r="N1888" s="12"/>
      <c r="O1888" s="12"/>
    </row>
    <row r="1889" spans="2:15" x14ac:dyDescent="0.3">
      <c r="B1889" s="10"/>
      <c r="I1889" s="11"/>
      <c r="K1889" s="12"/>
      <c r="L1889" s="12"/>
      <c r="M1889" s="12"/>
      <c r="N1889" s="12"/>
      <c r="O1889" s="12"/>
    </row>
    <row r="1890" spans="2:15" x14ac:dyDescent="0.3">
      <c r="B1890" s="10"/>
      <c r="I1890" s="11"/>
      <c r="K1890" s="12"/>
      <c r="L1890" s="12"/>
      <c r="M1890" s="12"/>
      <c r="N1890" s="12"/>
      <c r="O1890" s="12"/>
    </row>
    <row r="1891" spans="2:15" x14ac:dyDescent="0.3">
      <c r="B1891" s="10"/>
      <c r="I1891" s="11"/>
      <c r="K1891" s="12"/>
      <c r="L1891" s="12"/>
      <c r="M1891" s="12"/>
      <c r="N1891" s="12"/>
      <c r="O1891" s="12"/>
    </row>
    <row r="1892" spans="2:15" x14ac:dyDescent="0.3">
      <c r="B1892" s="10"/>
      <c r="I1892" s="11"/>
      <c r="K1892" s="12"/>
      <c r="L1892" s="12"/>
      <c r="M1892" s="12"/>
      <c r="N1892" s="12"/>
      <c r="O1892" s="12"/>
    </row>
    <row r="1893" spans="2:15" x14ac:dyDescent="0.3">
      <c r="B1893" s="10"/>
      <c r="I1893" s="11"/>
      <c r="K1893" s="12"/>
      <c r="L1893" s="12"/>
      <c r="M1893" s="12"/>
      <c r="N1893" s="12"/>
      <c r="O1893" s="12"/>
    </row>
    <row r="1894" spans="2:15" x14ac:dyDescent="0.3">
      <c r="B1894" s="10"/>
      <c r="I1894" s="11"/>
      <c r="K1894" s="12"/>
      <c r="L1894" s="12"/>
      <c r="M1894" s="12"/>
      <c r="N1894" s="12"/>
      <c r="O1894" s="12"/>
    </row>
    <row r="1895" spans="2:15" x14ac:dyDescent="0.3">
      <c r="B1895" s="10"/>
      <c r="I1895" s="11"/>
      <c r="K1895" s="12"/>
      <c r="L1895" s="12"/>
      <c r="M1895" s="12"/>
      <c r="N1895" s="12"/>
      <c r="O1895" s="12"/>
    </row>
    <row r="1896" spans="2:15" x14ac:dyDescent="0.3">
      <c r="B1896" s="10"/>
      <c r="I1896" s="11"/>
      <c r="K1896" s="12"/>
      <c r="L1896" s="12"/>
      <c r="M1896" s="12"/>
      <c r="N1896" s="12"/>
      <c r="O1896" s="12"/>
    </row>
    <row r="1897" spans="2:15" x14ac:dyDescent="0.3">
      <c r="B1897" s="10"/>
      <c r="I1897" s="11"/>
      <c r="K1897" s="12"/>
      <c r="L1897" s="12"/>
      <c r="M1897" s="12"/>
      <c r="N1897" s="12"/>
      <c r="O1897" s="12"/>
    </row>
    <row r="1898" spans="2:15" x14ac:dyDescent="0.3">
      <c r="B1898" s="10"/>
      <c r="I1898" s="11"/>
      <c r="K1898" s="12"/>
      <c r="L1898" s="12"/>
      <c r="M1898" s="12"/>
      <c r="N1898" s="12"/>
      <c r="O1898" s="12"/>
    </row>
    <row r="1899" spans="2:15" x14ac:dyDescent="0.3">
      <c r="B1899" s="10"/>
      <c r="I1899" s="11"/>
      <c r="K1899" s="12"/>
      <c r="L1899" s="12"/>
      <c r="M1899" s="12"/>
      <c r="N1899" s="12"/>
      <c r="O1899" s="12"/>
    </row>
    <row r="1900" spans="2:15" x14ac:dyDescent="0.3">
      <c r="B1900" s="10"/>
      <c r="I1900" s="11"/>
      <c r="K1900" s="12"/>
      <c r="L1900" s="12"/>
      <c r="M1900" s="12"/>
      <c r="N1900" s="12"/>
      <c r="O1900" s="12"/>
    </row>
    <row r="1901" spans="2:15" x14ac:dyDescent="0.3">
      <c r="B1901" s="10"/>
      <c r="I1901" s="11"/>
      <c r="K1901" s="12"/>
      <c r="L1901" s="12"/>
      <c r="M1901" s="12"/>
      <c r="N1901" s="12"/>
      <c r="O1901" s="12"/>
    </row>
    <row r="1902" spans="2:15" x14ac:dyDescent="0.3">
      <c r="B1902" s="10"/>
      <c r="I1902" s="11"/>
      <c r="K1902" s="12"/>
      <c r="L1902" s="12"/>
      <c r="M1902" s="12"/>
      <c r="N1902" s="12"/>
      <c r="O1902" s="12"/>
    </row>
    <row r="1903" spans="2:15" x14ac:dyDescent="0.3">
      <c r="B1903" s="10"/>
      <c r="I1903" s="11"/>
      <c r="K1903" s="12"/>
      <c r="L1903" s="12"/>
      <c r="M1903" s="12"/>
      <c r="N1903" s="12"/>
      <c r="O1903" s="12"/>
    </row>
    <row r="1904" spans="2:15" x14ac:dyDescent="0.3">
      <c r="B1904" s="10"/>
      <c r="I1904" s="11"/>
      <c r="K1904" s="12"/>
      <c r="L1904" s="12"/>
      <c r="M1904" s="12"/>
      <c r="N1904" s="12"/>
      <c r="O1904" s="12"/>
    </row>
    <row r="1905" spans="2:15" x14ac:dyDescent="0.3">
      <c r="B1905" s="10"/>
      <c r="I1905" s="11"/>
      <c r="K1905" s="12"/>
      <c r="L1905" s="12"/>
      <c r="M1905" s="12"/>
      <c r="N1905" s="12"/>
      <c r="O1905" s="12"/>
    </row>
    <row r="1906" spans="2:15" x14ac:dyDescent="0.3">
      <c r="B1906" s="10"/>
      <c r="I1906" s="11"/>
      <c r="K1906" s="12"/>
      <c r="L1906" s="12"/>
      <c r="M1906" s="12"/>
      <c r="N1906" s="12"/>
      <c r="O1906" s="12"/>
    </row>
    <row r="1907" spans="2:15" x14ac:dyDescent="0.3">
      <c r="B1907" s="10"/>
      <c r="I1907" s="11"/>
      <c r="K1907" s="12"/>
      <c r="L1907" s="12"/>
      <c r="M1907" s="12"/>
      <c r="N1907" s="12"/>
      <c r="O1907" s="12"/>
    </row>
    <row r="1908" spans="2:15" x14ac:dyDescent="0.3">
      <c r="B1908" s="10"/>
      <c r="I1908" s="11"/>
      <c r="K1908" s="12"/>
      <c r="L1908" s="12"/>
      <c r="M1908" s="12"/>
      <c r="N1908" s="12"/>
      <c r="O1908" s="12"/>
    </row>
    <row r="1909" spans="2:15" x14ac:dyDescent="0.3">
      <c r="B1909" s="10"/>
      <c r="I1909" s="11"/>
      <c r="K1909" s="12"/>
      <c r="L1909" s="12"/>
      <c r="M1909" s="12"/>
      <c r="N1909" s="12"/>
      <c r="O1909" s="12"/>
    </row>
    <row r="1910" spans="2:15" x14ac:dyDescent="0.3">
      <c r="B1910" s="10"/>
      <c r="I1910" s="11"/>
      <c r="K1910" s="12"/>
      <c r="L1910" s="12"/>
      <c r="M1910" s="12"/>
      <c r="N1910" s="12"/>
      <c r="O1910" s="12"/>
    </row>
    <row r="1911" spans="2:15" x14ac:dyDescent="0.3">
      <c r="B1911" s="10"/>
      <c r="I1911" s="11"/>
      <c r="K1911" s="12"/>
      <c r="L1911" s="12"/>
      <c r="M1911" s="12"/>
      <c r="N1911" s="12"/>
      <c r="O1911" s="12"/>
    </row>
    <row r="1912" spans="2:15" x14ac:dyDescent="0.3">
      <c r="B1912" s="10"/>
      <c r="I1912" s="11"/>
      <c r="K1912" s="12"/>
      <c r="L1912" s="12"/>
      <c r="M1912" s="12"/>
      <c r="N1912" s="12"/>
      <c r="O1912" s="12"/>
    </row>
    <row r="1913" spans="2:15" x14ac:dyDescent="0.3">
      <c r="B1913" s="10"/>
      <c r="I1913" s="11"/>
      <c r="K1913" s="12"/>
      <c r="L1913" s="12"/>
      <c r="M1913" s="12"/>
      <c r="N1913" s="12"/>
      <c r="O1913" s="12"/>
    </row>
    <row r="1914" spans="2:15" x14ac:dyDescent="0.3">
      <c r="B1914" s="10"/>
      <c r="I1914" s="11"/>
      <c r="K1914" s="12"/>
      <c r="L1914" s="12"/>
      <c r="M1914" s="12"/>
      <c r="N1914" s="12"/>
      <c r="O1914" s="12"/>
    </row>
    <row r="1915" spans="2:15" x14ac:dyDescent="0.3">
      <c r="B1915" s="10"/>
      <c r="I1915" s="11"/>
      <c r="K1915" s="12"/>
      <c r="L1915" s="12"/>
      <c r="M1915" s="12"/>
      <c r="N1915" s="12"/>
      <c r="O1915" s="12"/>
    </row>
    <row r="1916" spans="2:15" x14ac:dyDescent="0.3">
      <c r="B1916" s="10"/>
      <c r="I1916" s="11"/>
      <c r="K1916" s="12"/>
      <c r="L1916" s="12"/>
      <c r="M1916" s="12"/>
      <c r="N1916" s="12"/>
      <c r="O1916" s="12"/>
    </row>
    <row r="1917" spans="2:15" x14ac:dyDescent="0.3">
      <c r="B1917" s="10"/>
      <c r="I1917" s="11"/>
      <c r="K1917" s="12"/>
      <c r="L1917" s="12"/>
      <c r="M1917" s="12"/>
      <c r="N1917" s="12"/>
      <c r="O1917" s="12"/>
    </row>
    <row r="1918" spans="2:15" x14ac:dyDescent="0.3">
      <c r="B1918" s="10"/>
      <c r="I1918" s="11"/>
      <c r="K1918" s="12"/>
      <c r="L1918" s="12"/>
      <c r="M1918" s="12"/>
      <c r="N1918" s="12"/>
      <c r="O1918" s="12"/>
    </row>
    <row r="1919" spans="2:15" x14ac:dyDescent="0.3">
      <c r="B1919" s="10"/>
      <c r="I1919" s="11"/>
      <c r="K1919" s="12"/>
      <c r="L1919" s="12"/>
      <c r="M1919" s="12"/>
      <c r="N1919" s="12"/>
      <c r="O1919" s="12"/>
    </row>
    <row r="1920" spans="2:15" x14ac:dyDescent="0.3">
      <c r="B1920" s="10"/>
      <c r="I1920" s="11"/>
      <c r="K1920" s="12"/>
      <c r="L1920" s="12"/>
      <c r="M1920" s="12"/>
      <c r="N1920" s="12"/>
      <c r="O1920" s="12"/>
    </row>
    <row r="1921" spans="2:15" x14ac:dyDescent="0.3">
      <c r="B1921" s="10"/>
      <c r="I1921" s="11"/>
      <c r="K1921" s="12"/>
      <c r="L1921" s="12"/>
      <c r="M1921" s="12"/>
      <c r="N1921" s="12"/>
      <c r="O1921" s="12"/>
    </row>
    <row r="1922" spans="2:15" x14ac:dyDescent="0.3">
      <c r="B1922" s="10"/>
      <c r="I1922" s="11"/>
      <c r="K1922" s="12"/>
      <c r="L1922" s="12"/>
      <c r="M1922" s="12"/>
      <c r="N1922" s="12"/>
      <c r="O1922" s="12"/>
    </row>
    <row r="1923" spans="2:15" x14ac:dyDescent="0.3">
      <c r="B1923" s="10"/>
      <c r="I1923" s="11"/>
      <c r="K1923" s="12"/>
      <c r="L1923" s="12"/>
      <c r="M1923" s="12"/>
      <c r="N1923" s="12"/>
      <c r="O1923" s="12"/>
    </row>
    <row r="1924" spans="2:15" x14ac:dyDescent="0.3">
      <c r="B1924" s="10"/>
      <c r="I1924" s="11"/>
      <c r="K1924" s="12"/>
      <c r="L1924" s="12"/>
      <c r="M1924" s="12"/>
      <c r="N1924" s="12"/>
      <c r="O1924" s="12"/>
    </row>
    <row r="1925" spans="2:15" x14ac:dyDescent="0.3">
      <c r="B1925" s="10"/>
      <c r="I1925" s="11"/>
      <c r="K1925" s="12"/>
      <c r="L1925" s="12"/>
      <c r="M1925" s="12"/>
      <c r="N1925" s="12"/>
      <c r="O1925" s="12"/>
    </row>
    <row r="1926" spans="2:15" x14ac:dyDescent="0.3">
      <c r="B1926" s="10"/>
      <c r="I1926" s="11"/>
      <c r="K1926" s="12"/>
      <c r="L1926" s="12"/>
      <c r="M1926" s="12"/>
      <c r="N1926" s="12"/>
      <c r="O1926" s="12"/>
    </row>
    <row r="1927" spans="2:15" x14ac:dyDescent="0.3">
      <c r="B1927" s="10"/>
      <c r="I1927" s="11"/>
      <c r="K1927" s="12"/>
      <c r="L1927" s="12"/>
      <c r="M1927" s="12"/>
      <c r="N1927" s="12"/>
      <c r="O1927" s="12"/>
    </row>
    <row r="1928" spans="2:15" x14ac:dyDescent="0.3">
      <c r="B1928" s="10"/>
      <c r="I1928" s="11"/>
      <c r="K1928" s="12"/>
      <c r="L1928" s="12"/>
      <c r="M1928" s="12"/>
      <c r="N1928" s="12"/>
      <c r="O1928" s="12"/>
    </row>
    <row r="1929" spans="2:15" x14ac:dyDescent="0.3">
      <c r="B1929" s="10"/>
      <c r="I1929" s="11"/>
      <c r="K1929" s="12"/>
      <c r="L1929" s="12"/>
      <c r="M1929" s="12"/>
      <c r="N1929" s="12"/>
      <c r="O1929" s="12"/>
    </row>
    <row r="1930" spans="2:15" x14ac:dyDescent="0.3">
      <c r="B1930" s="10"/>
      <c r="I1930" s="11"/>
      <c r="K1930" s="12"/>
      <c r="L1930" s="12"/>
      <c r="M1930" s="12"/>
      <c r="N1930" s="12"/>
      <c r="O1930" s="12"/>
    </row>
    <row r="1931" spans="2:15" x14ac:dyDescent="0.3">
      <c r="B1931" s="10"/>
      <c r="I1931" s="11"/>
      <c r="K1931" s="12"/>
      <c r="L1931" s="12"/>
      <c r="M1931" s="12"/>
      <c r="N1931" s="12"/>
      <c r="O1931" s="12"/>
    </row>
    <row r="1932" spans="2:15" x14ac:dyDescent="0.3">
      <c r="B1932" s="10"/>
      <c r="I1932" s="11"/>
      <c r="K1932" s="12"/>
      <c r="L1932" s="12"/>
      <c r="M1932" s="12"/>
      <c r="N1932" s="12"/>
      <c r="O1932" s="12"/>
    </row>
    <row r="1933" spans="2:15" x14ac:dyDescent="0.3">
      <c r="B1933" s="10"/>
      <c r="I1933" s="11"/>
      <c r="K1933" s="12"/>
      <c r="L1933" s="12"/>
      <c r="M1933" s="12"/>
      <c r="N1933" s="12"/>
      <c r="O1933" s="12"/>
    </row>
    <row r="1934" spans="2:15" x14ac:dyDescent="0.3">
      <c r="B1934" s="10"/>
      <c r="I1934" s="11"/>
      <c r="K1934" s="12"/>
      <c r="L1934" s="12"/>
      <c r="M1934" s="12"/>
      <c r="N1934" s="12"/>
      <c r="O1934" s="12"/>
    </row>
    <row r="1935" spans="2:15" x14ac:dyDescent="0.3">
      <c r="B1935" s="10"/>
      <c r="I1935" s="11"/>
      <c r="K1935" s="12"/>
      <c r="L1935" s="12"/>
      <c r="M1935" s="12"/>
      <c r="N1935" s="12"/>
      <c r="O1935" s="12"/>
    </row>
    <row r="1936" spans="2:15" x14ac:dyDescent="0.3">
      <c r="B1936" s="10"/>
      <c r="I1936" s="11"/>
      <c r="K1936" s="12"/>
      <c r="L1936" s="12"/>
      <c r="M1936" s="12"/>
      <c r="N1936" s="12"/>
      <c r="O1936" s="12"/>
    </row>
    <row r="1937" spans="2:15" x14ac:dyDescent="0.3">
      <c r="B1937" s="10"/>
      <c r="I1937" s="11"/>
      <c r="K1937" s="12"/>
      <c r="L1937" s="12"/>
      <c r="M1937" s="12"/>
      <c r="N1937" s="12"/>
      <c r="O1937" s="12"/>
    </row>
    <row r="1938" spans="2:15" x14ac:dyDescent="0.3">
      <c r="B1938" s="10"/>
      <c r="I1938" s="11"/>
      <c r="K1938" s="12"/>
      <c r="L1938" s="12"/>
      <c r="M1938" s="12"/>
      <c r="N1938" s="12"/>
      <c r="O1938" s="12"/>
    </row>
    <row r="1939" spans="2:15" x14ac:dyDescent="0.3">
      <c r="B1939" s="10"/>
      <c r="I1939" s="11"/>
      <c r="K1939" s="12"/>
      <c r="L1939" s="12"/>
      <c r="M1939" s="12"/>
      <c r="N1939" s="12"/>
      <c r="O1939" s="12"/>
    </row>
    <row r="1940" spans="2:15" x14ac:dyDescent="0.3">
      <c r="B1940" s="10"/>
      <c r="I1940" s="11"/>
      <c r="K1940" s="12"/>
      <c r="L1940" s="12"/>
      <c r="M1940" s="12"/>
      <c r="N1940" s="12"/>
      <c r="O1940" s="12"/>
    </row>
    <row r="1941" spans="2:15" x14ac:dyDescent="0.3">
      <c r="B1941" s="10"/>
      <c r="I1941" s="11"/>
      <c r="K1941" s="12"/>
      <c r="L1941" s="12"/>
      <c r="M1941" s="12"/>
      <c r="N1941" s="12"/>
      <c r="O1941" s="12"/>
    </row>
    <row r="1942" spans="2:15" x14ac:dyDescent="0.3">
      <c r="B1942" s="10"/>
      <c r="I1942" s="11"/>
      <c r="K1942" s="12"/>
      <c r="L1942" s="12"/>
      <c r="M1942" s="12"/>
      <c r="N1942" s="12"/>
      <c r="O1942" s="12"/>
    </row>
    <row r="1943" spans="2:15" x14ac:dyDescent="0.3">
      <c r="B1943" s="10"/>
      <c r="I1943" s="11"/>
      <c r="K1943" s="12"/>
      <c r="L1943" s="12"/>
      <c r="M1943" s="12"/>
      <c r="N1943" s="12"/>
      <c r="O1943" s="12"/>
    </row>
    <row r="1944" spans="2:15" x14ac:dyDescent="0.3">
      <c r="B1944" s="10"/>
      <c r="I1944" s="11"/>
      <c r="K1944" s="12"/>
      <c r="L1944" s="12"/>
      <c r="M1944" s="12"/>
      <c r="N1944" s="12"/>
      <c r="O1944" s="12"/>
    </row>
    <row r="1945" spans="2:15" x14ac:dyDescent="0.3">
      <c r="B1945" s="10"/>
      <c r="I1945" s="11"/>
      <c r="K1945" s="12"/>
      <c r="L1945" s="12"/>
      <c r="M1945" s="12"/>
      <c r="N1945" s="12"/>
      <c r="O1945" s="12"/>
    </row>
    <row r="1946" spans="2:15" x14ac:dyDescent="0.3">
      <c r="B1946" s="10"/>
      <c r="I1946" s="11"/>
      <c r="K1946" s="12"/>
      <c r="L1946" s="12"/>
      <c r="M1946" s="12"/>
      <c r="N1946" s="12"/>
      <c r="O1946" s="12"/>
    </row>
    <row r="1947" spans="2:15" x14ac:dyDescent="0.3">
      <c r="B1947" s="10"/>
      <c r="I1947" s="11"/>
      <c r="K1947" s="12"/>
      <c r="L1947" s="12"/>
      <c r="M1947" s="12"/>
      <c r="N1947" s="12"/>
      <c r="O1947" s="12"/>
    </row>
    <row r="1948" spans="2:15" x14ac:dyDescent="0.3">
      <c r="B1948" s="10"/>
      <c r="I1948" s="11"/>
      <c r="K1948" s="12"/>
      <c r="L1948" s="12"/>
      <c r="M1948" s="12"/>
      <c r="N1948" s="12"/>
      <c r="O1948" s="12"/>
    </row>
    <row r="1949" spans="2:15" x14ac:dyDescent="0.3">
      <c r="B1949" s="10"/>
      <c r="I1949" s="11"/>
      <c r="K1949" s="12"/>
      <c r="L1949" s="12"/>
      <c r="M1949" s="12"/>
      <c r="N1949" s="12"/>
      <c r="O1949" s="12"/>
    </row>
    <row r="1950" spans="2:15" x14ac:dyDescent="0.3">
      <c r="B1950" s="10"/>
      <c r="I1950" s="11"/>
      <c r="K1950" s="12"/>
      <c r="L1950" s="12"/>
      <c r="M1950" s="12"/>
      <c r="N1950" s="12"/>
      <c r="O1950" s="12"/>
    </row>
    <row r="1951" spans="2:15" x14ac:dyDescent="0.3">
      <c r="B1951" s="10"/>
      <c r="I1951" s="11"/>
      <c r="K1951" s="12"/>
      <c r="L1951" s="12"/>
      <c r="M1951" s="12"/>
      <c r="N1951" s="12"/>
      <c r="O1951" s="12"/>
    </row>
    <row r="1952" spans="2:15" x14ac:dyDescent="0.3">
      <c r="B1952" s="10"/>
      <c r="I1952" s="11"/>
      <c r="K1952" s="12"/>
      <c r="L1952" s="12"/>
      <c r="M1952" s="12"/>
      <c r="N1952" s="12"/>
      <c r="O1952" s="12"/>
    </row>
    <row r="1953" spans="2:15" x14ac:dyDescent="0.3">
      <c r="B1953" s="10"/>
      <c r="I1953" s="11"/>
      <c r="K1953" s="12"/>
      <c r="L1953" s="12"/>
      <c r="M1953" s="12"/>
      <c r="N1953" s="12"/>
      <c r="O1953" s="12"/>
    </row>
    <row r="1954" spans="2:15" x14ac:dyDescent="0.3">
      <c r="B1954" s="10"/>
      <c r="I1954" s="11"/>
      <c r="K1954" s="12"/>
      <c r="L1954" s="12"/>
      <c r="M1954" s="12"/>
      <c r="N1954" s="12"/>
      <c r="O1954" s="12"/>
    </row>
    <row r="1955" spans="2:15" x14ac:dyDescent="0.3">
      <c r="B1955" s="10"/>
      <c r="I1955" s="11"/>
      <c r="K1955" s="12"/>
      <c r="L1955" s="12"/>
      <c r="M1955" s="12"/>
      <c r="N1955" s="12"/>
      <c r="O1955" s="12"/>
    </row>
    <row r="1956" spans="2:15" x14ac:dyDescent="0.3">
      <c r="B1956" s="10"/>
      <c r="I1956" s="11"/>
      <c r="K1956" s="12"/>
      <c r="L1956" s="12"/>
      <c r="M1956" s="12"/>
      <c r="N1956" s="12"/>
      <c r="O1956" s="12"/>
    </row>
    <row r="1957" spans="2:15" x14ac:dyDescent="0.3">
      <c r="B1957" s="10"/>
      <c r="I1957" s="11"/>
      <c r="K1957" s="12"/>
      <c r="L1957" s="12"/>
      <c r="M1957" s="12"/>
      <c r="N1957" s="12"/>
      <c r="O1957" s="12"/>
    </row>
    <row r="1958" spans="2:15" x14ac:dyDescent="0.3">
      <c r="B1958" s="10"/>
      <c r="I1958" s="11"/>
      <c r="K1958" s="12"/>
      <c r="L1958" s="12"/>
      <c r="M1958" s="12"/>
      <c r="N1958" s="12"/>
      <c r="O1958" s="12"/>
    </row>
    <row r="1959" spans="2:15" x14ac:dyDescent="0.3">
      <c r="B1959" s="10"/>
      <c r="I1959" s="11"/>
      <c r="K1959" s="12"/>
      <c r="L1959" s="12"/>
      <c r="M1959" s="12"/>
      <c r="N1959" s="12"/>
      <c r="O1959" s="12"/>
    </row>
    <row r="1960" spans="2:15" x14ac:dyDescent="0.3">
      <c r="B1960" s="10"/>
      <c r="I1960" s="11"/>
      <c r="K1960" s="12"/>
      <c r="L1960" s="12"/>
      <c r="M1960" s="12"/>
      <c r="N1960" s="12"/>
      <c r="O1960" s="12"/>
    </row>
    <row r="1961" spans="2:15" x14ac:dyDescent="0.3">
      <c r="B1961" s="10"/>
      <c r="I1961" s="11"/>
      <c r="K1961" s="12"/>
      <c r="L1961" s="12"/>
      <c r="M1961" s="12"/>
      <c r="N1961" s="12"/>
      <c r="O1961" s="12"/>
    </row>
    <row r="1962" spans="2:15" x14ac:dyDescent="0.3">
      <c r="B1962" s="10"/>
      <c r="I1962" s="11"/>
      <c r="K1962" s="12"/>
      <c r="L1962" s="12"/>
      <c r="M1962" s="12"/>
      <c r="N1962" s="12"/>
      <c r="O1962" s="12"/>
    </row>
    <row r="1963" spans="2:15" x14ac:dyDescent="0.3">
      <c r="B1963" s="10"/>
      <c r="I1963" s="11"/>
      <c r="K1963" s="12"/>
      <c r="L1963" s="12"/>
      <c r="M1963" s="12"/>
      <c r="N1963" s="12"/>
      <c r="O1963" s="12"/>
    </row>
    <row r="1964" spans="2:15" x14ac:dyDescent="0.3">
      <c r="B1964" s="10"/>
      <c r="I1964" s="11"/>
      <c r="K1964" s="12"/>
      <c r="L1964" s="12"/>
      <c r="M1964" s="12"/>
      <c r="N1964" s="12"/>
      <c r="O1964" s="12"/>
    </row>
    <row r="1965" spans="2:15" x14ac:dyDescent="0.3">
      <c r="B1965" s="10"/>
      <c r="I1965" s="11"/>
      <c r="K1965" s="12"/>
      <c r="L1965" s="12"/>
      <c r="M1965" s="12"/>
      <c r="N1965" s="12"/>
      <c r="O1965" s="12"/>
    </row>
    <row r="1966" spans="2:15" x14ac:dyDescent="0.3">
      <c r="B1966" s="10"/>
      <c r="I1966" s="11"/>
      <c r="K1966" s="12"/>
      <c r="L1966" s="12"/>
      <c r="M1966" s="12"/>
      <c r="N1966" s="12"/>
      <c r="O1966" s="12"/>
    </row>
    <row r="1967" spans="2:15" x14ac:dyDescent="0.3">
      <c r="B1967" s="10"/>
      <c r="I1967" s="11"/>
      <c r="K1967" s="12"/>
      <c r="L1967" s="12"/>
      <c r="M1967" s="12"/>
      <c r="N1967" s="12"/>
      <c r="O1967" s="12"/>
    </row>
    <row r="1968" spans="2:15" x14ac:dyDescent="0.3">
      <c r="B1968" s="10"/>
      <c r="I1968" s="11"/>
      <c r="K1968" s="12"/>
      <c r="L1968" s="12"/>
      <c r="M1968" s="12"/>
      <c r="N1968" s="12"/>
      <c r="O1968" s="12"/>
    </row>
    <row r="1969" spans="2:15" x14ac:dyDescent="0.3">
      <c r="B1969" s="10"/>
      <c r="I1969" s="11"/>
      <c r="K1969" s="12"/>
      <c r="L1969" s="12"/>
      <c r="M1969" s="12"/>
      <c r="N1969" s="12"/>
      <c r="O1969" s="12"/>
    </row>
    <row r="1970" spans="2:15" x14ac:dyDescent="0.3">
      <c r="B1970" s="10"/>
      <c r="I1970" s="11"/>
      <c r="K1970" s="12"/>
      <c r="L1970" s="12"/>
      <c r="M1970" s="12"/>
      <c r="N1970" s="12"/>
      <c r="O1970" s="12"/>
    </row>
    <row r="1971" spans="2:15" x14ac:dyDescent="0.3">
      <c r="B1971" s="10"/>
      <c r="I1971" s="11"/>
      <c r="K1971" s="12"/>
      <c r="L1971" s="12"/>
      <c r="M1971" s="12"/>
      <c r="N1971" s="12"/>
      <c r="O1971" s="12"/>
    </row>
    <row r="1972" spans="2:15" x14ac:dyDescent="0.3">
      <c r="B1972" s="10"/>
      <c r="I1972" s="11"/>
      <c r="K1972" s="12"/>
      <c r="L1972" s="12"/>
      <c r="M1972" s="12"/>
      <c r="N1972" s="12"/>
      <c r="O1972" s="12"/>
    </row>
    <row r="1973" spans="2:15" x14ac:dyDescent="0.3">
      <c r="B1973" s="10"/>
      <c r="I1973" s="11"/>
      <c r="K1973" s="12"/>
      <c r="L1973" s="12"/>
      <c r="M1973" s="12"/>
      <c r="N1973" s="12"/>
      <c r="O1973" s="12"/>
    </row>
    <row r="1974" spans="2:15" x14ac:dyDescent="0.3">
      <c r="B1974" s="10"/>
      <c r="I1974" s="11"/>
      <c r="K1974" s="12"/>
      <c r="L1974" s="12"/>
      <c r="M1974" s="12"/>
      <c r="N1974" s="12"/>
      <c r="O1974" s="12"/>
    </row>
    <row r="1975" spans="2:15" x14ac:dyDescent="0.3">
      <c r="B1975" s="10"/>
      <c r="I1975" s="11"/>
      <c r="K1975" s="12"/>
      <c r="L1975" s="12"/>
      <c r="M1975" s="12"/>
      <c r="N1975" s="12"/>
      <c r="O1975" s="12"/>
    </row>
    <row r="1976" spans="2:15" x14ac:dyDescent="0.3">
      <c r="B1976" s="10"/>
      <c r="I1976" s="11"/>
      <c r="K1976" s="12"/>
      <c r="L1976" s="12"/>
      <c r="M1976" s="12"/>
      <c r="N1976" s="12"/>
      <c r="O1976" s="12"/>
    </row>
    <row r="1977" spans="2:15" x14ac:dyDescent="0.3">
      <c r="B1977" s="10"/>
      <c r="I1977" s="11"/>
      <c r="K1977" s="12"/>
      <c r="L1977" s="12"/>
      <c r="M1977" s="12"/>
      <c r="N1977" s="12"/>
      <c r="O1977" s="12"/>
    </row>
    <row r="1978" spans="2:15" x14ac:dyDescent="0.3">
      <c r="B1978" s="10"/>
      <c r="I1978" s="11"/>
      <c r="K1978" s="12"/>
      <c r="L1978" s="12"/>
      <c r="M1978" s="12"/>
      <c r="N1978" s="12"/>
      <c r="O1978" s="12"/>
    </row>
    <row r="1979" spans="2:15" x14ac:dyDescent="0.3">
      <c r="B1979" s="10"/>
      <c r="I1979" s="11"/>
      <c r="K1979" s="12"/>
      <c r="L1979" s="12"/>
      <c r="M1979" s="12"/>
      <c r="N1979" s="12"/>
      <c r="O1979" s="12"/>
    </row>
    <row r="1980" spans="2:15" x14ac:dyDescent="0.3">
      <c r="B1980" s="10"/>
      <c r="I1980" s="11"/>
      <c r="K1980" s="12"/>
      <c r="L1980" s="12"/>
      <c r="M1980" s="12"/>
      <c r="N1980" s="12"/>
      <c r="O1980" s="12"/>
    </row>
    <row r="1981" spans="2:15" x14ac:dyDescent="0.3">
      <c r="B1981" s="10"/>
      <c r="I1981" s="11"/>
      <c r="K1981" s="12"/>
      <c r="L1981" s="12"/>
      <c r="M1981" s="12"/>
      <c r="N1981" s="12"/>
      <c r="O1981" s="12"/>
    </row>
    <row r="1982" spans="2:15" x14ac:dyDescent="0.3">
      <c r="B1982" s="10"/>
      <c r="I1982" s="11"/>
      <c r="K1982" s="12"/>
      <c r="L1982" s="12"/>
      <c r="M1982" s="12"/>
      <c r="N1982" s="12"/>
      <c r="O1982" s="12"/>
    </row>
    <row r="1983" spans="2:15" x14ac:dyDescent="0.3">
      <c r="B1983" s="10"/>
      <c r="I1983" s="11"/>
      <c r="K1983" s="12"/>
      <c r="L1983" s="12"/>
      <c r="M1983" s="12"/>
      <c r="N1983" s="12"/>
      <c r="O1983" s="12"/>
    </row>
    <row r="1984" spans="2:15" x14ac:dyDescent="0.3">
      <c r="B1984" s="10"/>
      <c r="I1984" s="11"/>
      <c r="K1984" s="12"/>
      <c r="L1984" s="12"/>
      <c r="M1984" s="12"/>
      <c r="N1984" s="12"/>
      <c r="O1984" s="12"/>
    </row>
    <row r="1985" spans="2:15" x14ac:dyDescent="0.3">
      <c r="B1985" s="10"/>
      <c r="I1985" s="11"/>
      <c r="K1985" s="12"/>
      <c r="L1985" s="12"/>
      <c r="M1985" s="12"/>
      <c r="N1985" s="12"/>
      <c r="O1985" s="12"/>
    </row>
    <row r="1986" spans="2:15" x14ac:dyDescent="0.3">
      <c r="B1986" s="10"/>
      <c r="I1986" s="11"/>
      <c r="K1986" s="12"/>
      <c r="L1986" s="12"/>
      <c r="M1986" s="12"/>
      <c r="N1986" s="12"/>
      <c r="O1986" s="12"/>
    </row>
    <row r="1987" spans="2:15" x14ac:dyDescent="0.3">
      <c r="B1987" s="10"/>
      <c r="I1987" s="11"/>
      <c r="K1987" s="12"/>
      <c r="L1987" s="12"/>
      <c r="M1987" s="12"/>
      <c r="N1987" s="12"/>
      <c r="O1987" s="12"/>
    </row>
    <row r="1988" spans="2:15" x14ac:dyDescent="0.3">
      <c r="B1988" s="10"/>
      <c r="I1988" s="11"/>
      <c r="K1988" s="12"/>
      <c r="L1988" s="12"/>
      <c r="M1988" s="12"/>
      <c r="N1988" s="12"/>
      <c r="O1988" s="12"/>
    </row>
    <row r="1989" spans="2:15" x14ac:dyDescent="0.3">
      <c r="B1989" s="10"/>
      <c r="I1989" s="11"/>
      <c r="K1989" s="12"/>
      <c r="L1989" s="12"/>
      <c r="M1989" s="12"/>
      <c r="N1989" s="12"/>
      <c r="O1989" s="12"/>
    </row>
    <row r="1990" spans="2:15" x14ac:dyDescent="0.3">
      <c r="B1990" s="10"/>
      <c r="I1990" s="11"/>
      <c r="K1990" s="12"/>
      <c r="L1990" s="12"/>
      <c r="M1990" s="12"/>
      <c r="N1990" s="12"/>
      <c r="O1990" s="12"/>
    </row>
    <row r="1991" spans="2:15" x14ac:dyDescent="0.3">
      <c r="B1991" s="10"/>
      <c r="I1991" s="11"/>
      <c r="K1991" s="12"/>
      <c r="L1991" s="12"/>
      <c r="M1991" s="12"/>
      <c r="N1991" s="12"/>
      <c r="O1991" s="12"/>
    </row>
    <row r="1992" spans="2:15" x14ac:dyDescent="0.3">
      <c r="B1992" s="10"/>
      <c r="I1992" s="11"/>
      <c r="K1992" s="12"/>
      <c r="L1992" s="12"/>
      <c r="M1992" s="12"/>
      <c r="N1992" s="12"/>
      <c r="O1992" s="12"/>
    </row>
    <row r="1993" spans="2:15" x14ac:dyDescent="0.3">
      <c r="B1993" s="10"/>
      <c r="I1993" s="11"/>
      <c r="K1993" s="12"/>
      <c r="L1993" s="12"/>
      <c r="M1993" s="12"/>
      <c r="N1993" s="12"/>
      <c r="O1993" s="12"/>
    </row>
    <row r="1994" spans="2:15" x14ac:dyDescent="0.3">
      <c r="B1994" s="10"/>
      <c r="I1994" s="11"/>
      <c r="K1994" s="12"/>
      <c r="L1994" s="12"/>
      <c r="M1994" s="12"/>
      <c r="N1994" s="12"/>
      <c r="O1994" s="12"/>
    </row>
    <row r="1995" spans="2:15" x14ac:dyDescent="0.3">
      <c r="B1995" s="10"/>
      <c r="I1995" s="11"/>
      <c r="K1995" s="12"/>
      <c r="L1995" s="12"/>
      <c r="M1995" s="12"/>
      <c r="N1995" s="12"/>
      <c r="O1995" s="12"/>
    </row>
    <row r="1996" spans="2:15" x14ac:dyDescent="0.3">
      <c r="B1996" s="10"/>
      <c r="I1996" s="11"/>
      <c r="K1996" s="12"/>
      <c r="L1996" s="12"/>
      <c r="M1996" s="12"/>
      <c r="N1996" s="12"/>
      <c r="O1996" s="12"/>
    </row>
    <row r="1997" spans="2:15" x14ac:dyDescent="0.3">
      <c r="B1997" s="10"/>
      <c r="I1997" s="11"/>
      <c r="K1997" s="12"/>
      <c r="L1997" s="12"/>
      <c r="M1997" s="12"/>
      <c r="N1997" s="12"/>
      <c r="O1997" s="12"/>
    </row>
    <row r="1998" spans="2:15" x14ac:dyDescent="0.3">
      <c r="B1998" s="10"/>
      <c r="I1998" s="11"/>
      <c r="K1998" s="12"/>
      <c r="L1998" s="12"/>
      <c r="M1998" s="12"/>
      <c r="N1998" s="12"/>
      <c r="O1998" s="12"/>
    </row>
    <row r="1999" spans="2:15" x14ac:dyDescent="0.3">
      <c r="B1999" s="10"/>
      <c r="I1999" s="11"/>
      <c r="K1999" s="12"/>
      <c r="L1999" s="12"/>
      <c r="M1999" s="12"/>
      <c r="N1999" s="12"/>
      <c r="O1999" s="12"/>
    </row>
    <row r="2000" spans="2:15" x14ac:dyDescent="0.3">
      <c r="B2000" s="10"/>
      <c r="I2000" s="11"/>
      <c r="K2000" s="12"/>
      <c r="L2000" s="12"/>
      <c r="M2000" s="12"/>
      <c r="N2000" s="12"/>
      <c r="O2000" s="12"/>
    </row>
    <row r="2001" spans="2:15" x14ac:dyDescent="0.3">
      <c r="B2001" s="10"/>
      <c r="I2001" s="11"/>
      <c r="K2001" s="12"/>
      <c r="L2001" s="12"/>
      <c r="M2001" s="12"/>
      <c r="N2001" s="12"/>
      <c r="O2001" s="12"/>
    </row>
    <row r="2002" spans="2:15" x14ac:dyDescent="0.3">
      <c r="B2002" s="10"/>
      <c r="I2002" s="11"/>
      <c r="K2002" s="12"/>
      <c r="L2002" s="12"/>
      <c r="M2002" s="12"/>
      <c r="N2002" s="12"/>
      <c r="O2002" s="12"/>
    </row>
    <row r="2003" spans="2:15" x14ac:dyDescent="0.3">
      <c r="B2003" s="10"/>
      <c r="I2003" s="11"/>
      <c r="K2003" s="12"/>
      <c r="L2003" s="12"/>
      <c r="M2003" s="12"/>
      <c r="N2003" s="12"/>
      <c r="O2003" s="12"/>
    </row>
    <row r="2004" spans="2:15" x14ac:dyDescent="0.3">
      <c r="B2004" s="10"/>
      <c r="I2004" s="11"/>
      <c r="K2004" s="12"/>
      <c r="L2004" s="12"/>
      <c r="M2004" s="12"/>
      <c r="N2004" s="12"/>
      <c r="O2004" s="12"/>
    </row>
    <row r="2005" spans="2:15" x14ac:dyDescent="0.3">
      <c r="B2005" s="10"/>
      <c r="I2005" s="11"/>
      <c r="K2005" s="12"/>
      <c r="L2005" s="12"/>
      <c r="M2005" s="12"/>
      <c r="N2005" s="12"/>
      <c r="O2005" s="12"/>
    </row>
    <row r="2006" spans="2:15" x14ac:dyDescent="0.3">
      <c r="B2006" s="10"/>
      <c r="I2006" s="11"/>
      <c r="K2006" s="12"/>
      <c r="L2006" s="12"/>
      <c r="M2006" s="12"/>
      <c r="N2006" s="12"/>
      <c r="O2006" s="12"/>
    </row>
    <row r="2007" spans="2:15" x14ac:dyDescent="0.3">
      <c r="B2007" s="10"/>
      <c r="I2007" s="11"/>
      <c r="K2007" s="12"/>
      <c r="L2007" s="12"/>
      <c r="M2007" s="12"/>
      <c r="N2007" s="12"/>
      <c r="O2007" s="12"/>
    </row>
    <row r="2008" spans="2:15" x14ac:dyDescent="0.3">
      <c r="B2008" s="10"/>
      <c r="I2008" s="11"/>
      <c r="K2008" s="12"/>
      <c r="L2008" s="12"/>
      <c r="M2008" s="12"/>
      <c r="N2008" s="12"/>
      <c r="O2008" s="12"/>
    </row>
    <row r="2009" spans="2:15" x14ac:dyDescent="0.3">
      <c r="B2009" s="10"/>
      <c r="I2009" s="11"/>
      <c r="K2009" s="12"/>
      <c r="L2009" s="12"/>
      <c r="M2009" s="12"/>
      <c r="N2009" s="12"/>
      <c r="O2009" s="12"/>
    </row>
    <row r="2010" spans="2:15" x14ac:dyDescent="0.3">
      <c r="B2010" s="10"/>
      <c r="I2010" s="11"/>
      <c r="K2010" s="12"/>
      <c r="L2010" s="12"/>
      <c r="M2010" s="12"/>
      <c r="N2010" s="12"/>
      <c r="O2010" s="12"/>
    </row>
    <row r="2011" spans="2:15" x14ac:dyDescent="0.3">
      <c r="B2011" s="10"/>
      <c r="I2011" s="11"/>
      <c r="K2011" s="12"/>
      <c r="L2011" s="12"/>
      <c r="M2011" s="12"/>
      <c r="N2011" s="12"/>
      <c r="O2011" s="12"/>
    </row>
    <row r="2012" spans="2:15" x14ac:dyDescent="0.3">
      <c r="B2012" s="10"/>
      <c r="I2012" s="11"/>
      <c r="K2012" s="12"/>
      <c r="L2012" s="12"/>
      <c r="M2012" s="12"/>
      <c r="N2012" s="12"/>
      <c r="O2012" s="12"/>
    </row>
    <row r="2013" spans="2:15" x14ac:dyDescent="0.3">
      <c r="B2013" s="10"/>
      <c r="I2013" s="11"/>
      <c r="K2013" s="12"/>
      <c r="L2013" s="12"/>
      <c r="M2013" s="12"/>
      <c r="N2013" s="12"/>
      <c r="O2013" s="12"/>
    </row>
    <row r="2014" spans="2:15" x14ac:dyDescent="0.3">
      <c r="B2014" s="10"/>
      <c r="I2014" s="11"/>
      <c r="K2014" s="12"/>
      <c r="L2014" s="12"/>
      <c r="M2014" s="12"/>
      <c r="N2014" s="12"/>
      <c r="O2014" s="12"/>
    </row>
    <row r="2015" spans="2:15" x14ac:dyDescent="0.3">
      <c r="B2015" s="10"/>
      <c r="I2015" s="11"/>
      <c r="K2015" s="12"/>
      <c r="L2015" s="12"/>
      <c r="M2015" s="12"/>
      <c r="N2015" s="12"/>
      <c r="O2015" s="12"/>
    </row>
    <row r="2016" spans="2:15" x14ac:dyDescent="0.3">
      <c r="B2016" s="10"/>
      <c r="I2016" s="11"/>
      <c r="K2016" s="12"/>
      <c r="L2016" s="12"/>
      <c r="M2016" s="12"/>
      <c r="N2016" s="12"/>
      <c r="O2016" s="12"/>
    </row>
    <row r="2017" spans="2:15" x14ac:dyDescent="0.3">
      <c r="B2017" s="10"/>
      <c r="I2017" s="11"/>
      <c r="K2017" s="12"/>
      <c r="L2017" s="12"/>
      <c r="M2017" s="12"/>
      <c r="N2017" s="12"/>
      <c r="O2017" s="12"/>
    </row>
    <row r="2018" spans="2:15" x14ac:dyDescent="0.3">
      <c r="B2018" s="10"/>
      <c r="I2018" s="11"/>
      <c r="K2018" s="12"/>
      <c r="L2018" s="12"/>
      <c r="M2018" s="12"/>
      <c r="N2018" s="12"/>
      <c r="O2018" s="12"/>
    </row>
    <row r="2019" spans="2:15" x14ac:dyDescent="0.3">
      <c r="B2019" s="10"/>
      <c r="I2019" s="11"/>
      <c r="K2019" s="12"/>
      <c r="L2019" s="12"/>
      <c r="M2019" s="12"/>
      <c r="N2019" s="12"/>
      <c r="O2019" s="12"/>
    </row>
    <row r="2020" spans="2:15" x14ac:dyDescent="0.3">
      <c r="B2020" s="10"/>
      <c r="I2020" s="11"/>
      <c r="K2020" s="12"/>
      <c r="L2020" s="12"/>
      <c r="M2020" s="12"/>
      <c r="N2020" s="12"/>
      <c r="O2020" s="12"/>
    </row>
    <row r="2021" spans="2:15" x14ac:dyDescent="0.3">
      <c r="B2021" s="10"/>
      <c r="I2021" s="11"/>
      <c r="K2021" s="12"/>
      <c r="L2021" s="12"/>
      <c r="M2021" s="12"/>
      <c r="N2021" s="12"/>
      <c r="O2021" s="12"/>
    </row>
    <row r="2022" spans="2:15" x14ac:dyDescent="0.3">
      <c r="B2022" s="10"/>
      <c r="I2022" s="11"/>
      <c r="K2022" s="12"/>
      <c r="L2022" s="12"/>
      <c r="M2022" s="12"/>
      <c r="N2022" s="12"/>
      <c r="O2022" s="12"/>
    </row>
    <row r="2023" spans="2:15" x14ac:dyDescent="0.3">
      <c r="B2023" s="10"/>
      <c r="I2023" s="11"/>
      <c r="K2023" s="12"/>
      <c r="L2023" s="12"/>
      <c r="M2023" s="12"/>
      <c r="N2023" s="12"/>
      <c r="O2023" s="12"/>
    </row>
    <row r="2024" spans="2:15" x14ac:dyDescent="0.3">
      <c r="B2024" s="10"/>
      <c r="I2024" s="11"/>
      <c r="K2024" s="12"/>
      <c r="L2024" s="12"/>
      <c r="M2024" s="12"/>
      <c r="N2024" s="12"/>
      <c r="O2024" s="12"/>
    </row>
    <row r="2025" spans="2:15" x14ac:dyDescent="0.3">
      <c r="B2025" s="10"/>
      <c r="I2025" s="11"/>
      <c r="K2025" s="12"/>
      <c r="L2025" s="12"/>
      <c r="M2025" s="12"/>
      <c r="N2025" s="12"/>
      <c r="O2025" s="12"/>
    </row>
    <row r="2026" spans="2:15" x14ac:dyDescent="0.3">
      <c r="B2026" s="10"/>
      <c r="I2026" s="11"/>
      <c r="K2026" s="12"/>
      <c r="L2026" s="12"/>
      <c r="M2026" s="12"/>
      <c r="N2026" s="12"/>
      <c r="O2026" s="12"/>
    </row>
    <row r="2027" spans="2:15" x14ac:dyDescent="0.3">
      <c r="B2027" s="10"/>
      <c r="I2027" s="11"/>
      <c r="K2027" s="12"/>
      <c r="L2027" s="12"/>
      <c r="M2027" s="12"/>
      <c r="N2027" s="12"/>
      <c r="O2027" s="12"/>
    </row>
    <row r="2028" spans="2:15" x14ac:dyDescent="0.3">
      <c r="B2028" s="10"/>
      <c r="I2028" s="11"/>
      <c r="K2028" s="12"/>
      <c r="L2028" s="12"/>
      <c r="M2028" s="12"/>
      <c r="N2028" s="12"/>
      <c r="O2028" s="12"/>
    </row>
    <row r="2029" spans="2:15" x14ac:dyDescent="0.3">
      <c r="B2029" s="10"/>
      <c r="I2029" s="11"/>
      <c r="K2029" s="12"/>
      <c r="L2029" s="12"/>
      <c r="M2029" s="12"/>
      <c r="N2029" s="12"/>
      <c r="O2029" s="12"/>
    </row>
    <row r="2030" spans="2:15" x14ac:dyDescent="0.3">
      <c r="B2030" s="10"/>
      <c r="I2030" s="11"/>
      <c r="K2030" s="12"/>
      <c r="L2030" s="12"/>
      <c r="M2030" s="12"/>
      <c r="N2030" s="12"/>
      <c r="O2030" s="12"/>
    </row>
    <row r="2031" spans="2:15" x14ac:dyDescent="0.3">
      <c r="B2031" s="10"/>
      <c r="I2031" s="11"/>
      <c r="K2031" s="12"/>
      <c r="L2031" s="12"/>
      <c r="M2031" s="12"/>
      <c r="N2031" s="12"/>
      <c r="O2031" s="12"/>
    </row>
    <row r="2032" spans="2:15" x14ac:dyDescent="0.3">
      <c r="B2032" s="10"/>
      <c r="I2032" s="11"/>
      <c r="K2032" s="12"/>
      <c r="L2032" s="12"/>
      <c r="M2032" s="12"/>
      <c r="N2032" s="12"/>
      <c r="O2032" s="12"/>
    </row>
    <row r="2033" spans="2:15" x14ac:dyDescent="0.3">
      <c r="B2033" s="10"/>
      <c r="I2033" s="11"/>
      <c r="K2033" s="12"/>
      <c r="L2033" s="12"/>
      <c r="M2033" s="12"/>
      <c r="N2033" s="12"/>
      <c r="O2033" s="12"/>
    </row>
    <row r="2034" spans="2:15" x14ac:dyDescent="0.3">
      <c r="B2034" s="10"/>
      <c r="I2034" s="11"/>
      <c r="K2034" s="12"/>
      <c r="L2034" s="12"/>
      <c r="M2034" s="12"/>
      <c r="N2034" s="12"/>
      <c r="O2034" s="12"/>
    </row>
    <row r="2035" spans="2:15" x14ac:dyDescent="0.3">
      <c r="B2035" s="10"/>
      <c r="I2035" s="11"/>
      <c r="K2035" s="12"/>
      <c r="L2035" s="12"/>
      <c r="M2035" s="12"/>
      <c r="N2035" s="12"/>
      <c r="O2035" s="12"/>
    </row>
    <row r="2036" spans="2:15" x14ac:dyDescent="0.3">
      <c r="B2036" s="10"/>
      <c r="I2036" s="11"/>
      <c r="K2036" s="12"/>
      <c r="L2036" s="12"/>
      <c r="M2036" s="12"/>
      <c r="N2036" s="12"/>
      <c r="O2036" s="12"/>
    </row>
    <row r="2037" spans="2:15" x14ac:dyDescent="0.3">
      <c r="B2037" s="10"/>
      <c r="I2037" s="11"/>
      <c r="K2037" s="12"/>
      <c r="L2037" s="12"/>
      <c r="M2037" s="12"/>
      <c r="N2037" s="12"/>
      <c r="O2037" s="12"/>
    </row>
    <row r="2038" spans="2:15" x14ac:dyDescent="0.3">
      <c r="B2038" s="10"/>
      <c r="I2038" s="11"/>
      <c r="K2038" s="12"/>
      <c r="L2038" s="12"/>
      <c r="M2038" s="12"/>
      <c r="N2038" s="12"/>
      <c r="O2038" s="12"/>
    </row>
    <row r="2039" spans="2:15" x14ac:dyDescent="0.3">
      <c r="B2039" s="10"/>
      <c r="I2039" s="11"/>
      <c r="K2039" s="12"/>
      <c r="L2039" s="12"/>
      <c r="M2039" s="12"/>
      <c r="N2039" s="12"/>
      <c r="O2039" s="12"/>
    </row>
    <row r="2040" spans="2:15" x14ac:dyDescent="0.3">
      <c r="B2040" s="10"/>
      <c r="I2040" s="11"/>
      <c r="K2040" s="12"/>
      <c r="L2040" s="12"/>
      <c r="M2040" s="12"/>
      <c r="N2040" s="12"/>
      <c r="O2040" s="12"/>
    </row>
    <row r="2041" spans="2:15" x14ac:dyDescent="0.3">
      <c r="B2041" s="10"/>
      <c r="I2041" s="11"/>
      <c r="K2041" s="12"/>
      <c r="L2041" s="12"/>
      <c r="M2041" s="12"/>
      <c r="N2041" s="12"/>
      <c r="O2041" s="12"/>
    </row>
    <row r="2042" spans="2:15" x14ac:dyDescent="0.3">
      <c r="B2042" s="10"/>
      <c r="I2042" s="11"/>
      <c r="K2042" s="12"/>
      <c r="L2042" s="12"/>
      <c r="M2042" s="12"/>
      <c r="N2042" s="12"/>
      <c r="O2042" s="12"/>
    </row>
    <row r="2043" spans="2:15" x14ac:dyDescent="0.3">
      <c r="B2043" s="10"/>
      <c r="I2043" s="11"/>
      <c r="K2043" s="12"/>
      <c r="L2043" s="12"/>
      <c r="M2043" s="12"/>
      <c r="N2043" s="12"/>
      <c r="O2043" s="12"/>
    </row>
    <row r="2044" spans="2:15" x14ac:dyDescent="0.3">
      <c r="B2044" s="10"/>
      <c r="I2044" s="11"/>
      <c r="K2044" s="12"/>
      <c r="L2044" s="12"/>
      <c r="M2044" s="12"/>
      <c r="N2044" s="12"/>
      <c r="O2044" s="12"/>
    </row>
    <row r="2045" spans="2:15" x14ac:dyDescent="0.3">
      <c r="B2045" s="10"/>
      <c r="I2045" s="11"/>
      <c r="K2045" s="12"/>
      <c r="L2045" s="12"/>
      <c r="M2045" s="12"/>
      <c r="N2045" s="12"/>
      <c r="O2045" s="12"/>
    </row>
    <row r="2046" spans="2:15" x14ac:dyDescent="0.3">
      <c r="B2046" s="10"/>
      <c r="I2046" s="11"/>
      <c r="K2046" s="12"/>
      <c r="L2046" s="12"/>
      <c r="M2046" s="12"/>
      <c r="N2046" s="12"/>
      <c r="O2046" s="12"/>
    </row>
    <row r="2047" spans="2:15" x14ac:dyDescent="0.3">
      <c r="B2047" s="10"/>
      <c r="I2047" s="11"/>
      <c r="K2047" s="12"/>
      <c r="L2047" s="12"/>
      <c r="M2047" s="12"/>
      <c r="N2047" s="12"/>
      <c r="O2047" s="12"/>
    </row>
    <row r="2048" spans="2:15" x14ac:dyDescent="0.3">
      <c r="B2048" s="10"/>
      <c r="I2048" s="11"/>
      <c r="K2048" s="12"/>
      <c r="L2048" s="12"/>
      <c r="M2048" s="12"/>
      <c r="N2048" s="12"/>
      <c r="O2048" s="12"/>
    </row>
    <row r="2049" spans="2:15" x14ac:dyDescent="0.3">
      <c r="B2049" s="10"/>
      <c r="I2049" s="11"/>
      <c r="K2049" s="12"/>
      <c r="L2049" s="12"/>
      <c r="M2049" s="12"/>
      <c r="N2049" s="12"/>
      <c r="O2049" s="12"/>
    </row>
    <row r="2050" spans="2:15" x14ac:dyDescent="0.3">
      <c r="B2050" s="10"/>
      <c r="I2050" s="11"/>
      <c r="K2050" s="12"/>
      <c r="L2050" s="12"/>
      <c r="M2050" s="12"/>
      <c r="N2050" s="12"/>
      <c r="O2050" s="12"/>
    </row>
    <row r="2051" spans="2:15" x14ac:dyDescent="0.3">
      <c r="B2051" s="10"/>
      <c r="I2051" s="11"/>
      <c r="K2051" s="12"/>
      <c r="L2051" s="12"/>
      <c r="M2051" s="12"/>
      <c r="N2051" s="12"/>
      <c r="O2051" s="12"/>
    </row>
    <row r="2052" spans="2:15" x14ac:dyDescent="0.3">
      <c r="B2052" s="10"/>
      <c r="I2052" s="11"/>
      <c r="K2052" s="12"/>
      <c r="L2052" s="12"/>
      <c r="M2052" s="12"/>
      <c r="N2052" s="12"/>
      <c r="O2052" s="12"/>
    </row>
    <row r="2053" spans="2:15" x14ac:dyDescent="0.3">
      <c r="B2053" s="10"/>
      <c r="I2053" s="11"/>
      <c r="K2053" s="12"/>
      <c r="L2053" s="12"/>
      <c r="M2053" s="12"/>
      <c r="N2053" s="12"/>
      <c r="O2053" s="12"/>
    </row>
    <row r="2054" spans="2:15" x14ac:dyDescent="0.3">
      <c r="B2054" s="10"/>
      <c r="I2054" s="11"/>
      <c r="K2054" s="12"/>
      <c r="L2054" s="12"/>
      <c r="M2054" s="12"/>
      <c r="N2054" s="12"/>
      <c r="O2054" s="12"/>
    </row>
    <row r="2055" spans="2:15" x14ac:dyDescent="0.3">
      <c r="B2055" s="10"/>
      <c r="I2055" s="11"/>
      <c r="K2055" s="12"/>
      <c r="L2055" s="12"/>
      <c r="M2055" s="12"/>
      <c r="N2055" s="12"/>
      <c r="O2055" s="12"/>
    </row>
    <row r="2056" spans="2:15" x14ac:dyDescent="0.3">
      <c r="B2056" s="10"/>
      <c r="I2056" s="11"/>
      <c r="K2056" s="12"/>
      <c r="L2056" s="12"/>
      <c r="M2056" s="12"/>
      <c r="N2056" s="12"/>
      <c r="O2056" s="12"/>
    </row>
    <row r="2057" spans="2:15" x14ac:dyDescent="0.3">
      <c r="B2057" s="10"/>
      <c r="I2057" s="11"/>
      <c r="K2057" s="12"/>
      <c r="L2057" s="12"/>
      <c r="M2057" s="12"/>
      <c r="N2057" s="12"/>
      <c r="O2057" s="12"/>
    </row>
    <row r="2058" spans="2:15" x14ac:dyDescent="0.3">
      <c r="B2058" s="10"/>
      <c r="I2058" s="11"/>
      <c r="K2058" s="12"/>
      <c r="L2058" s="12"/>
      <c r="M2058" s="12"/>
      <c r="N2058" s="12"/>
      <c r="O2058" s="12"/>
    </row>
    <row r="2059" spans="2:15" x14ac:dyDescent="0.3">
      <c r="B2059" s="10"/>
      <c r="I2059" s="11"/>
      <c r="K2059" s="12"/>
      <c r="L2059" s="12"/>
      <c r="M2059" s="12"/>
      <c r="N2059" s="12"/>
      <c r="O2059" s="12"/>
    </row>
    <row r="2060" spans="2:15" x14ac:dyDescent="0.3">
      <c r="B2060" s="10"/>
      <c r="I2060" s="11"/>
      <c r="K2060" s="12"/>
      <c r="L2060" s="12"/>
      <c r="M2060" s="12"/>
      <c r="N2060" s="12"/>
      <c r="O2060" s="12"/>
    </row>
    <row r="2061" spans="2:15" x14ac:dyDescent="0.3">
      <c r="B2061" s="10"/>
      <c r="I2061" s="11"/>
      <c r="K2061" s="12"/>
      <c r="L2061" s="12"/>
      <c r="M2061" s="12"/>
      <c r="N2061" s="12"/>
      <c r="O2061" s="12"/>
    </row>
    <row r="2062" spans="2:15" x14ac:dyDescent="0.3">
      <c r="B2062" s="10"/>
      <c r="I2062" s="11"/>
      <c r="K2062" s="12"/>
      <c r="L2062" s="12"/>
      <c r="M2062" s="12"/>
      <c r="N2062" s="12"/>
      <c r="O2062" s="12"/>
    </row>
    <row r="2063" spans="2:15" x14ac:dyDescent="0.3">
      <c r="B2063" s="10"/>
      <c r="I2063" s="11"/>
      <c r="K2063" s="12"/>
      <c r="L2063" s="12"/>
      <c r="M2063" s="12"/>
      <c r="N2063" s="12"/>
      <c r="O2063" s="12"/>
    </row>
    <row r="2064" spans="2:15" x14ac:dyDescent="0.3">
      <c r="B2064" s="10"/>
      <c r="I2064" s="11"/>
      <c r="K2064" s="12"/>
      <c r="L2064" s="12"/>
      <c r="M2064" s="12"/>
      <c r="N2064" s="12"/>
      <c r="O2064" s="12"/>
    </row>
    <row r="2065" spans="2:15" x14ac:dyDescent="0.3">
      <c r="B2065" s="10"/>
      <c r="I2065" s="11"/>
      <c r="K2065" s="12"/>
      <c r="L2065" s="12"/>
      <c r="M2065" s="12"/>
      <c r="N2065" s="12"/>
      <c r="O2065" s="12"/>
    </row>
    <row r="2066" spans="2:15" x14ac:dyDescent="0.3">
      <c r="B2066" s="10"/>
      <c r="I2066" s="11"/>
      <c r="K2066" s="12"/>
      <c r="L2066" s="12"/>
      <c r="M2066" s="12"/>
      <c r="N2066" s="12"/>
      <c r="O2066" s="12"/>
    </row>
    <row r="2067" spans="2:15" x14ac:dyDescent="0.3">
      <c r="B2067" s="10"/>
      <c r="I2067" s="11"/>
      <c r="K2067" s="12"/>
      <c r="L2067" s="12"/>
      <c r="M2067" s="12"/>
      <c r="N2067" s="12"/>
      <c r="O2067" s="12"/>
    </row>
    <row r="2068" spans="2:15" x14ac:dyDescent="0.3">
      <c r="B2068" s="10"/>
      <c r="I2068" s="11"/>
      <c r="K2068" s="12"/>
      <c r="L2068" s="12"/>
      <c r="M2068" s="12"/>
      <c r="N2068" s="12"/>
      <c r="O2068" s="12"/>
    </row>
    <row r="2069" spans="2:15" x14ac:dyDescent="0.3">
      <c r="B2069" s="10"/>
      <c r="I2069" s="11"/>
      <c r="K2069" s="12"/>
      <c r="L2069" s="12"/>
      <c r="M2069" s="12"/>
      <c r="N2069" s="12"/>
      <c r="O2069" s="12"/>
    </row>
    <row r="2070" spans="2:15" x14ac:dyDescent="0.3">
      <c r="B2070" s="10"/>
      <c r="I2070" s="11"/>
      <c r="K2070" s="12"/>
      <c r="L2070" s="12"/>
      <c r="M2070" s="12"/>
      <c r="N2070" s="12"/>
      <c r="O2070" s="12"/>
    </row>
    <row r="2071" spans="2:15" x14ac:dyDescent="0.3">
      <c r="B2071" s="10"/>
      <c r="I2071" s="11"/>
      <c r="K2071" s="12"/>
      <c r="L2071" s="12"/>
      <c r="M2071" s="12"/>
      <c r="N2071" s="12"/>
      <c r="O2071" s="12"/>
    </row>
    <row r="2072" spans="2:15" x14ac:dyDescent="0.3">
      <c r="B2072" s="10"/>
      <c r="I2072" s="11"/>
      <c r="K2072" s="12"/>
      <c r="L2072" s="12"/>
      <c r="M2072" s="12"/>
      <c r="N2072" s="12"/>
      <c r="O2072" s="12"/>
    </row>
    <row r="2073" spans="2:15" x14ac:dyDescent="0.3">
      <c r="B2073" s="10"/>
      <c r="I2073" s="11"/>
      <c r="K2073" s="12"/>
      <c r="L2073" s="12"/>
      <c r="M2073" s="12"/>
      <c r="N2073" s="12"/>
      <c r="O2073" s="12"/>
    </row>
    <row r="2074" spans="2:15" x14ac:dyDescent="0.3">
      <c r="B2074" s="10"/>
      <c r="I2074" s="11"/>
      <c r="K2074" s="12"/>
      <c r="L2074" s="12"/>
      <c r="M2074" s="12"/>
      <c r="N2074" s="12"/>
      <c r="O2074" s="12"/>
    </row>
    <row r="2075" spans="2:15" x14ac:dyDescent="0.3">
      <c r="B2075" s="10"/>
      <c r="I2075" s="11"/>
      <c r="K2075" s="12"/>
      <c r="L2075" s="12"/>
      <c r="M2075" s="12"/>
      <c r="N2075" s="12"/>
      <c r="O2075" s="12"/>
    </row>
    <row r="2076" spans="2:15" x14ac:dyDescent="0.3">
      <c r="B2076" s="10"/>
      <c r="I2076" s="11"/>
      <c r="K2076" s="12"/>
      <c r="L2076" s="12"/>
      <c r="M2076" s="12"/>
      <c r="N2076" s="12"/>
      <c r="O2076" s="12"/>
    </row>
    <row r="2077" spans="2:15" x14ac:dyDescent="0.3">
      <c r="B2077" s="10"/>
      <c r="I2077" s="11"/>
      <c r="K2077" s="12"/>
      <c r="L2077" s="12"/>
      <c r="M2077" s="12"/>
      <c r="N2077" s="12"/>
      <c r="O2077" s="12"/>
    </row>
    <row r="2078" spans="2:15" x14ac:dyDescent="0.3">
      <c r="B2078" s="10"/>
      <c r="I2078" s="11"/>
      <c r="K2078" s="12"/>
      <c r="L2078" s="12"/>
      <c r="M2078" s="12"/>
      <c r="N2078" s="12"/>
      <c r="O2078" s="12"/>
    </row>
    <row r="2079" spans="2:15" x14ac:dyDescent="0.3">
      <c r="B2079" s="10"/>
      <c r="I2079" s="11"/>
      <c r="K2079" s="12"/>
      <c r="L2079" s="12"/>
      <c r="M2079" s="12"/>
      <c r="N2079" s="12"/>
      <c r="O2079" s="12"/>
    </row>
    <row r="2080" spans="2:15" x14ac:dyDescent="0.3">
      <c r="B2080" s="10"/>
      <c r="I2080" s="11"/>
      <c r="K2080" s="12"/>
      <c r="L2080" s="12"/>
      <c r="M2080" s="12"/>
      <c r="N2080" s="12"/>
      <c r="O2080" s="12"/>
    </row>
    <row r="2081" spans="2:15" x14ac:dyDescent="0.3">
      <c r="B2081" s="10"/>
      <c r="I2081" s="11"/>
      <c r="K2081" s="12"/>
      <c r="L2081" s="12"/>
      <c r="M2081" s="12"/>
      <c r="N2081" s="12"/>
      <c r="O2081" s="12"/>
    </row>
    <row r="2082" spans="2:15" x14ac:dyDescent="0.3">
      <c r="B2082" s="10"/>
      <c r="I2082" s="11"/>
      <c r="K2082" s="12"/>
      <c r="L2082" s="12"/>
      <c r="M2082" s="12"/>
      <c r="N2082" s="12"/>
      <c r="O2082" s="12"/>
    </row>
    <row r="2083" spans="2:15" x14ac:dyDescent="0.3">
      <c r="B2083" s="10"/>
      <c r="I2083" s="11"/>
      <c r="K2083" s="12"/>
      <c r="L2083" s="12"/>
      <c r="M2083" s="12"/>
      <c r="N2083" s="12"/>
      <c r="O2083" s="12"/>
    </row>
    <row r="2084" spans="2:15" x14ac:dyDescent="0.3">
      <c r="B2084" s="10"/>
      <c r="I2084" s="11"/>
      <c r="K2084" s="12"/>
      <c r="L2084" s="12"/>
      <c r="M2084" s="12"/>
      <c r="N2084" s="12"/>
      <c r="O2084" s="12"/>
    </row>
    <row r="2085" spans="2:15" x14ac:dyDescent="0.3">
      <c r="B2085" s="10"/>
      <c r="I2085" s="11"/>
      <c r="K2085" s="12"/>
      <c r="L2085" s="12"/>
      <c r="M2085" s="12"/>
      <c r="N2085" s="12"/>
      <c r="O2085" s="12"/>
    </row>
    <row r="2086" spans="2:15" x14ac:dyDescent="0.3">
      <c r="B2086" s="10"/>
      <c r="I2086" s="11"/>
      <c r="K2086" s="12"/>
      <c r="L2086" s="12"/>
      <c r="M2086" s="12"/>
      <c r="N2086" s="12"/>
      <c r="O2086" s="12"/>
    </row>
    <row r="2087" spans="2:15" x14ac:dyDescent="0.3">
      <c r="B2087" s="10"/>
      <c r="I2087" s="11"/>
      <c r="K2087" s="12"/>
      <c r="L2087" s="12"/>
      <c r="M2087" s="12"/>
      <c r="N2087" s="12"/>
      <c r="O2087" s="12"/>
    </row>
    <row r="2088" spans="2:15" x14ac:dyDescent="0.3">
      <c r="B2088" s="10"/>
      <c r="I2088" s="11"/>
      <c r="K2088" s="12"/>
      <c r="L2088" s="12"/>
      <c r="M2088" s="12"/>
      <c r="N2088" s="12"/>
      <c r="O2088" s="12"/>
    </row>
    <row r="2089" spans="2:15" x14ac:dyDescent="0.3">
      <c r="B2089" s="10"/>
      <c r="I2089" s="11"/>
      <c r="K2089" s="12"/>
      <c r="L2089" s="12"/>
      <c r="M2089" s="12"/>
      <c r="N2089" s="12"/>
      <c r="O2089" s="12"/>
    </row>
    <row r="2090" spans="2:15" x14ac:dyDescent="0.3">
      <c r="B2090" s="10"/>
      <c r="I2090" s="11"/>
      <c r="K2090" s="12"/>
      <c r="L2090" s="12"/>
      <c r="M2090" s="12"/>
      <c r="N2090" s="12"/>
      <c r="O2090" s="12"/>
    </row>
    <row r="2091" spans="2:15" x14ac:dyDescent="0.3">
      <c r="B2091" s="10"/>
      <c r="I2091" s="11"/>
      <c r="K2091" s="12"/>
      <c r="L2091" s="12"/>
      <c r="M2091" s="12"/>
      <c r="N2091" s="12"/>
      <c r="O2091" s="12"/>
    </row>
    <row r="2092" spans="2:15" x14ac:dyDescent="0.3">
      <c r="B2092" s="10"/>
      <c r="I2092" s="11"/>
      <c r="K2092" s="12"/>
      <c r="L2092" s="12"/>
      <c r="M2092" s="12"/>
      <c r="N2092" s="12"/>
      <c r="O2092" s="12"/>
    </row>
    <row r="2093" spans="2:15" x14ac:dyDescent="0.3">
      <c r="B2093" s="10"/>
      <c r="I2093" s="11"/>
      <c r="K2093" s="12"/>
      <c r="L2093" s="12"/>
      <c r="M2093" s="12"/>
      <c r="N2093" s="12"/>
      <c r="O2093" s="12"/>
    </row>
    <row r="2094" spans="2:15" x14ac:dyDescent="0.3">
      <c r="B2094" s="10"/>
      <c r="I2094" s="11"/>
      <c r="K2094" s="12"/>
      <c r="L2094" s="12"/>
      <c r="M2094" s="12"/>
      <c r="N2094" s="12"/>
      <c r="O2094" s="12"/>
    </row>
    <row r="2095" spans="2:15" x14ac:dyDescent="0.3">
      <c r="B2095" s="10"/>
      <c r="I2095" s="11"/>
      <c r="K2095" s="12"/>
      <c r="L2095" s="12"/>
      <c r="M2095" s="12"/>
      <c r="N2095" s="12"/>
      <c r="O2095" s="12"/>
    </row>
    <row r="2096" spans="2:15" x14ac:dyDescent="0.3">
      <c r="B2096" s="10"/>
      <c r="I2096" s="11"/>
      <c r="K2096" s="12"/>
      <c r="L2096" s="12"/>
      <c r="M2096" s="12"/>
      <c r="N2096" s="12"/>
      <c r="O2096" s="12"/>
    </row>
    <row r="2097" spans="2:15" x14ac:dyDescent="0.3">
      <c r="B2097" s="10"/>
      <c r="I2097" s="11"/>
      <c r="K2097" s="12"/>
      <c r="L2097" s="12"/>
      <c r="M2097" s="12"/>
      <c r="N2097" s="12"/>
      <c r="O2097" s="12"/>
    </row>
    <row r="2098" spans="2:15" x14ac:dyDescent="0.3">
      <c r="B2098" s="10"/>
      <c r="I2098" s="11"/>
      <c r="K2098" s="12"/>
      <c r="L2098" s="12"/>
      <c r="M2098" s="12"/>
      <c r="N2098" s="12"/>
      <c r="O2098" s="12"/>
    </row>
    <row r="2099" spans="2:15" x14ac:dyDescent="0.3">
      <c r="B2099" s="10"/>
      <c r="I2099" s="11"/>
      <c r="K2099" s="12"/>
      <c r="L2099" s="12"/>
      <c r="M2099" s="12"/>
      <c r="N2099" s="12"/>
      <c r="O2099" s="12"/>
    </row>
    <row r="2100" spans="2:15" x14ac:dyDescent="0.3">
      <c r="B2100" s="10"/>
      <c r="I2100" s="11"/>
      <c r="K2100" s="12"/>
      <c r="L2100" s="12"/>
      <c r="M2100" s="12"/>
      <c r="N2100" s="12"/>
      <c r="O2100" s="12"/>
    </row>
    <row r="2101" spans="2:15" x14ac:dyDescent="0.3">
      <c r="B2101" s="10"/>
      <c r="I2101" s="11"/>
      <c r="K2101" s="12"/>
      <c r="L2101" s="12"/>
      <c r="M2101" s="12"/>
      <c r="N2101" s="12"/>
      <c r="O2101" s="12"/>
    </row>
    <row r="2102" spans="2:15" x14ac:dyDescent="0.3">
      <c r="B2102" s="10"/>
      <c r="I2102" s="11"/>
      <c r="K2102" s="12"/>
      <c r="L2102" s="12"/>
      <c r="M2102" s="12"/>
      <c r="N2102" s="12"/>
      <c r="O2102" s="12"/>
    </row>
    <row r="2103" spans="2:15" x14ac:dyDescent="0.3">
      <c r="B2103" s="10"/>
      <c r="I2103" s="11"/>
      <c r="K2103" s="12"/>
      <c r="L2103" s="12"/>
      <c r="M2103" s="12"/>
      <c r="N2103" s="12"/>
      <c r="O2103" s="12"/>
    </row>
    <row r="2104" spans="2:15" x14ac:dyDescent="0.3">
      <c r="B2104" s="10"/>
      <c r="I2104" s="11"/>
      <c r="K2104" s="12"/>
      <c r="L2104" s="12"/>
      <c r="M2104" s="12"/>
      <c r="N2104" s="12"/>
      <c r="O2104" s="12"/>
    </row>
    <row r="2105" spans="2:15" x14ac:dyDescent="0.3">
      <c r="B2105" s="10"/>
      <c r="I2105" s="11"/>
      <c r="K2105" s="12"/>
      <c r="L2105" s="12"/>
      <c r="M2105" s="12"/>
      <c r="N2105" s="12"/>
      <c r="O2105" s="12"/>
    </row>
    <row r="2106" spans="2:15" x14ac:dyDescent="0.3">
      <c r="B2106" s="10"/>
      <c r="I2106" s="11"/>
      <c r="K2106" s="12"/>
      <c r="L2106" s="12"/>
      <c r="M2106" s="12"/>
      <c r="N2106" s="12"/>
      <c r="O2106" s="12"/>
    </row>
    <row r="2107" spans="2:15" x14ac:dyDescent="0.3">
      <c r="B2107" s="10"/>
      <c r="I2107" s="11"/>
      <c r="K2107" s="12"/>
      <c r="L2107" s="12"/>
      <c r="M2107" s="12"/>
      <c r="N2107" s="12"/>
      <c r="O2107" s="12"/>
    </row>
    <row r="2108" spans="2:15" x14ac:dyDescent="0.3">
      <c r="B2108" s="10"/>
      <c r="I2108" s="11"/>
      <c r="K2108" s="12"/>
      <c r="L2108" s="12"/>
      <c r="M2108" s="12"/>
      <c r="N2108" s="12"/>
      <c r="O2108" s="12"/>
    </row>
    <row r="2109" spans="2:15" x14ac:dyDescent="0.3">
      <c r="B2109" s="10"/>
      <c r="I2109" s="11"/>
      <c r="K2109" s="12"/>
      <c r="L2109" s="12"/>
      <c r="M2109" s="12"/>
      <c r="N2109" s="12"/>
      <c r="O2109" s="12"/>
    </row>
    <row r="2110" spans="2:15" x14ac:dyDescent="0.3">
      <c r="B2110" s="10"/>
      <c r="I2110" s="11"/>
      <c r="K2110" s="12"/>
      <c r="L2110" s="12"/>
      <c r="M2110" s="12"/>
      <c r="N2110" s="12"/>
      <c r="O2110" s="12"/>
    </row>
    <row r="2111" spans="2:15" x14ac:dyDescent="0.3">
      <c r="B2111" s="10"/>
      <c r="I2111" s="11"/>
      <c r="K2111" s="12"/>
      <c r="L2111" s="12"/>
      <c r="M2111" s="12"/>
      <c r="N2111" s="12"/>
      <c r="O2111" s="12"/>
    </row>
    <row r="2112" spans="2:15" x14ac:dyDescent="0.3">
      <c r="B2112" s="10"/>
      <c r="I2112" s="11"/>
      <c r="K2112" s="12"/>
      <c r="L2112" s="12"/>
      <c r="M2112" s="12"/>
      <c r="N2112" s="12"/>
      <c r="O2112" s="12"/>
    </row>
    <row r="2113" spans="2:15" x14ac:dyDescent="0.3">
      <c r="B2113" s="10"/>
      <c r="I2113" s="11"/>
      <c r="K2113" s="12"/>
      <c r="L2113" s="12"/>
      <c r="M2113" s="12"/>
      <c r="N2113" s="12"/>
      <c r="O2113" s="12"/>
    </row>
    <row r="2114" spans="2:15" x14ac:dyDescent="0.3">
      <c r="B2114" s="10"/>
      <c r="I2114" s="11"/>
      <c r="K2114" s="12"/>
      <c r="L2114" s="12"/>
      <c r="M2114" s="12"/>
      <c r="N2114" s="12"/>
      <c r="O2114" s="12"/>
    </row>
    <row r="2115" spans="2:15" x14ac:dyDescent="0.3">
      <c r="B2115" s="10"/>
      <c r="I2115" s="11"/>
      <c r="K2115" s="12"/>
      <c r="L2115" s="12"/>
      <c r="M2115" s="12"/>
      <c r="N2115" s="12"/>
      <c r="O2115" s="12"/>
    </row>
    <row r="2116" spans="2:15" x14ac:dyDescent="0.3">
      <c r="B2116" s="10"/>
      <c r="I2116" s="11"/>
      <c r="K2116" s="12"/>
      <c r="L2116" s="12"/>
      <c r="M2116" s="12"/>
      <c r="N2116" s="12"/>
      <c r="O2116" s="12"/>
    </row>
    <row r="2117" spans="2:15" x14ac:dyDescent="0.3">
      <c r="B2117" s="10"/>
      <c r="I2117" s="11"/>
      <c r="K2117" s="12"/>
      <c r="L2117" s="12"/>
      <c r="M2117" s="12"/>
      <c r="N2117" s="12"/>
      <c r="O2117" s="12"/>
    </row>
    <row r="2118" spans="2:15" x14ac:dyDescent="0.3">
      <c r="B2118" s="10"/>
      <c r="I2118" s="11"/>
      <c r="K2118" s="12"/>
      <c r="L2118" s="12"/>
      <c r="M2118" s="12"/>
      <c r="N2118" s="12"/>
      <c r="O2118" s="12"/>
    </row>
    <row r="2119" spans="2:15" x14ac:dyDescent="0.3">
      <c r="B2119" s="10"/>
      <c r="I2119" s="11"/>
      <c r="K2119" s="12"/>
      <c r="L2119" s="12"/>
      <c r="M2119" s="12"/>
      <c r="N2119" s="12"/>
      <c r="O2119" s="12"/>
    </row>
    <row r="2120" spans="2:15" x14ac:dyDescent="0.3">
      <c r="B2120" s="10"/>
      <c r="I2120" s="11"/>
      <c r="K2120" s="12"/>
      <c r="L2120" s="12"/>
      <c r="M2120" s="12"/>
      <c r="N2120" s="12"/>
      <c r="O2120" s="12"/>
    </row>
    <row r="2121" spans="2:15" x14ac:dyDescent="0.3">
      <c r="B2121" s="10"/>
      <c r="I2121" s="11"/>
      <c r="K2121" s="12"/>
      <c r="L2121" s="12"/>
      <c r="M2121" s="12"/>
      <c r="N2121" s="12"/>
      <c r="O2121" s="12"/>
    </row>
    <row r="2122" spans="2:15" x14ac:dyDescent="0.3">
      <c r="B2122" s="10"/>
      <c r="I2122" s="11"/>
      <c r="K2122" s="12"/>
      <c r="L2122" s="12"/>
      <c r="M2122" s="12"/>
      <c r="N2122" s="12"/>
      <c r="O2122" s="12"/>
    </row>
    <row r="2123" spans="2:15" x14ac:dyDescent="0.3">
      <c r="B2123" s="10"/>
      <c r="I2123" s="11"/>
      <c r="K2123" s="12"/>
      <c r="L2123" s="12"/>
      <c r="M2123" s="12"/>
      <c r="N2123" s="12"/>
      <c r="O2123" s="12"/>
    </row>
    <row r="2124" spans="2:15" x14ac:dyDescent="0.3">
      <c r="B2124" s="10"/>
      <c r="I2124" s="11"/>
      <c r="K2124" s="12"/>
      <c r="L2124" s="12"/>
      <c r="M2124" s="12"/>
      <c r="N2124" s="12"/>
      <c r="O2124" s="12"/>
    </row>
    <row r="2125" spans="2:15" x14ac:dyDescent="0.3">
      <c r="B2125" s="10"/>
      <c r="I2125" s="11"/>
      <c r="K2125" s="12"/>
      <c r="L2125" s="12"/>
      <c r="M2125" s="12"/>
      <c r="N2125" s="12"/>
      <c r="O2125" s="12"/>
    </row>
    <row r="2126" spans="2:15" x14ac:dyDescent="0.3">
      <c r="B2126" s="10"/>
      <c r="I2126" s="11"/>
      <c r="K2126" s="12"/>
      <c r="L2126" s="12"/>
      <c r="M2126" s="12"/>
      <c r="N2126" s="12"/>
      <c r="O2126" s="12"/>
    </row>
    <row r="2127" spans="2:15" x14ac:dyDescent="0.3">
      <c r="B2127" s="10"/>
      <c r="I2127" s="11"/>
      <c r="K2127" s="12"/>
      <c r="L2127" s="12"/>
      <c r="M2127" s="12"/>
      <c r="N2127" s="12"/>
      <c r="O2127" s="12"/>
    </row>
    <row r="2128" spans="2:15" x14ac:dyDescent="0.3">
      <c r="B2128" s="10"/>
      <c r="I2128" s="11"/>
      <c r="K2128" s="12"/>
      <c r="L2128" s="12"/>
      <c r="M2128" s="12"/>
      <c r="N2128" s="12"/>
      <c r="O2128" s="12"/>
    </row>
    <row r="2129" spans="2:15" x14ac:dyDescent="0.3">
      <c r="B2129" s="10"/>
      <c r="I2129" s="11"/>
      <c r="K2129" s="12"/>
      <c r="L2129" s="12"/>
      <c r="M2129" s="12"/>
      <c r="N2129" s="12"/>
      <c r="O2129" s="12"/>
    </row>
    <row r="2130" spans="2:15" x14ac:dyDescent="0.3">
      <c r="B2130" s="10"/>
      <c r="I2130" s="11"/>
      <c r="K2130" s="12"/>
      <c r="L2130" s="12"/>
      <c r="M2130" s="12"/>
      <c r="N2130" s="12"/>
      <c r="O2130" s="12"/>
    </row>
    <row r="2131" spans="2:15" x14ac:dyDescent="0.3">
      <c r="B2131" s="10"/>
      <c r="I2131" s="11"/>
      <c r="K2131" s="12"/>
      <c r="L2131" s="12"/>
      <c r="M2131" s="12"/>
      <c r="N2131" s="12"/>
      <c r="O2131" s="12"/>
    </row>
    <row r="2132" spans="2:15" x14ac:dyDescent="0.3">
      <c r="B2132" s="10"/>
      <c r="I2132" s="11"/>
      <c r="K2132" s="12"/>
      <c r="L2132" s="12"/>
      <c r="M2132" s="12"/>
      <c r="N2132" s="12"/>
      <c r="O2132" s="12"/>
    </row>
    <row r="2133" spans="2:15" x14ac:dyDescent="0.3">
      <c r="B2133" s="10"/>
      <c r="I2133" s="11"/>
      <c r="K2133" s="12"/>
      <c r="L2133" s="12"/>
      <c r="M2133" s="12"/>
      <c r="N2133" s="12"/>
      <c r="O2133" s="12"/>
    </row>
    <row r="2134" spans="2:15" x14ac:dyDescent="0.3">
      <c r="B2134" s="10"/>
      <c r="I2134" s="11"/>
      <c r="K2134" s="12"/>
      <c r="L2134" s="12"/>
      <c r="M2134" s="12"/>
      <c r="N2134" s="12"/>
      <c r="O2134" s="12"/>
    </row>
    <row r="2135" spans="2:15" x14ac:dyDescent="0.3">
      <c r="B2135" s="10"/>
      <c r="I2135" s="11"/>
      <c r="K2135" s="12"/>
      <c r="L2135" s="12"/>
      <c r="M2135" s="12"/>
      <c r="N2135" s="12"/>
      <c r="O2135" s="12"/>
    </row>
    <row r="2136" spans="2:15" x14ac:dyDescent="0.3">
      <c r="B2136" s="10"/>
      <c r="I2136" s="11"/>
      <c r="K2136" s="12"/>
      <c r="L2136" s="12"/>
      <c r="M2136" s="12"/>
      <c r="N2136" s="12"/>
      <c r="O2136" s="12"/>
    </row>
    <row r="2137" spans="2:15" x14ac:dyDescent="0.3">
      <c r="B2137" s="10"/>
      <c r="I2137" s="11"/>
      <c r="K2137" s="12"/>
      <c r="L2137" s="12"/>
      <c r="M2137" s="12"/>
      <c r="N2137" s="12"/>
      <c r="O2137" s="12"/>
    </row>
    <row r="2138" spans="2:15" x14ac:dyDescent="0.3">
      <c r="B2138" s="10"/>
      <c r="I2138" s="11"/>
      <c r="K2138" s="12"/>
      <c r="L2138" s="12"/>
      <c r="M2138" s="12"/>
      <c r="N2138" s="12"/>
      <c r="O2138" s="12"/>
    </row>
    <row r="2139" spans="2:15" x14ac:dyDescent="0.3">
      <c r="B2139" s="10"/>
      <c r="I2139" s="11"/>
      <c r="K2139" s="12"/>
      <c r="L2139" s="12"/>
      <c r="M2139" s="12"/>
      <c r="N2139" s="12"/>
      <c r="O2139" s="12"/>
    </row>
    <row r="2140" spans="2:15" x14ac:dyDescent="0.3">
      <c r="B2140" s="10"/>
      <c r="I2140" s="11"/>
      <c r="K2140" s="12"/>
      <c r="L2140" s="12"/>
      <c r="M2140" s="12"/>
      <c r="N2140" s="12"/>
      <c r="O2140" s="12"/>
    </row>
    <row r="2141" spans="2:15" x14ac:dyDescent="0.3">
      <c r="B2141" s="10"/>
      <c r="I2141" s="11"/>
      <c r="K2141" s="12"/>
      <c r="L2141" s="12"/>
      <c r="M2141" s="12"/>
      <c r="N2141" s="12"/>
      <c r="O2141" s="12"/>
    </row>
    <row r="2142" spans="2:15" x14ac:dyDescent="0.3">
      <c r="B2142" s="10"/>
      <c r="I2142" s="11"/>
      <c r="K2142" s="12"/>
      <c r="L2142" s="12"/>
      <c r="M2142" s="12"/>
      <c r="N2142" s="12"/>
      <c r="O2142" s="12"/>
    </row>
    <row r="2143" spans="2:15" x14ac:dyDescent="0.3">
      <c r="B2143" s="10"/>
      <c r="I2143" s="11"/>
      <c r="K2143" s="12"/>
      <c r="L2143" s="12"/>
      <c r="M2143" s="12"/>
      <c r="N2143" s="12"/>
      <c r="O2143" s="12"/>
    </row>
    <row r="2144" spans="2:15" x14ac:dyDescent="0.3">
      <c r="B2144" s="10"/>
      <c r="I2144" s="11"/>
      <c r="K2144" s="12"/>
      <c r="L2144" s="12"/>
      <c r="M2144" s="12"/>
      <c r="N2144" s="12"/>
      <c r="O2144" s="12"/>
    </row>
    <row r="2145" spans="2:15" x14ac:dyDescent="0.3">
      <c r="B2145" s="10"/>
      <c r="I2145" s="11"/>
      <c r="K2145" s="12"/>
      <c r="L2145" s="12"/>
      <c r="M2145" s="12"/>
      <c r="N2145" s="12"/>
      <c r="O2145" s="12"/>
    </row>
    <row r="2146" spans="2:15" x14ac:dyDescent="0.3">
      <c r="B2146" s="10"/>
      <c r="I2146" s="11"/>
      <c r="K2146" s="12"/>
      <c r="L2146" s="12"/>
      <c r="M2146" s="12"/>
      <c r="N2146" s="12"/>
      <c r="O2146" s="12"/>
    </row>
    <row r="2147" spans="2:15" x14ac:dyDescent="0.3">
      <c r="B2147" s="10"/>
      <c r="I2147" s="11"/>
      <c r="K2147" s="12"/>
      <c r="L2147" s="12"/>
      <c r="M2147" s="12"/>
      <c r="N2147" s="12"/>
      <c r="O2147" s="12"/>
    </row>
    <row r="2148" spans="2:15" x14ac:dyDescent="0.3">
      <c r="B2148" s="10"/>
      <c r="I2148" s="11"/>
      <c r="K2148" s="12"/>
      <c r="L2148" s="12"/>
      <c r="M2148" s="12"/>
      <c r="N2148" s="12"/>
      <c r="O2148" s="12"/>
    </row>
    <row r="2149" spans="2:15" x14ac:dyDescent="0.3">
      <c r="B2149" s="10"/>
      <c r="I2149" s="11"/>
      <c r="K2149" s="12"/>
      <c r="L2149" s="12"/>
      <c r="M2149" s="12"/>
      <c r="N2149" s="12"/>
      <c r="O2149" s="12"/>
    </row>
    <row r="2150" spans="2:15" x14ac:dyDescent="0.3">
      <c r="B2150" s="10"/>
      <c r="I2150" s="11"/>
      <c r="K2150" s="12"/>
      <c r="L2150" s="12"/>
      <c r="M2150" s="12"/>
      <c r="N2150" s="12"/>
      <c r="O2150" s="12"/>
    </row>
    <row r="2151" spans="2:15" x14ac:dyDescent="0.3">
      <c r="B2151" s="10"/>
      <c r="I2151" s="11"/>
      <c r="K2151" s="12"/>
      <c r="L2151" s="12"/>
      <c r="M2151" s="12"/>
      <c r="N2151" s="12"/>
      <c r="O2151" s="12"/>
    </row>
    <row r="2152" spans="2:15" x14ac:dyDescent="0.3">
      <c r="B2152" s="10"/>
      <c r="I2152" s="11"/>
      <c r="K2152" s="12"/>
      <c r="L2152" s="12"/>
      <c r="M2152" s="12"/>
      <c r="N2152" s="12"/>
      <c r="O2152" s="12"/>
    </row>
    <row r="2153" spans="2:15" x14ac:dyDescent="0.3">
      <c r="B2153" s="10"/>
      <c r="I2153" s="11"/>
      <c r="K2153" s="12"/>
      <c r="L2153" s="12"/>
      <c r="M2153" s="12"/>
      <c r="N2153" s="12"/>
      <c r="O2153" s="12"/>
    </row>
    <row r="2154" spans="2:15" x14ac:dyDescent="0.3">
      <c r="B2154" s="10"/>
      <c r="I2154" s="11"/>
      <c r="K2154" s="12"/>
      <c r="L2154" s="12"/>
      <c r="M2154" s="12"/>
      <c r="N2154" s="12"/>
      <c r="O2154" s="12"/>
    </row>
    <row r="2155" spans="2:15" x14ac:dyDescent="0.3">
      <c r="B2155" s="10"/>
      <c r="I2155" s="11"/>
      <c r="K2155" s="12"/>
      <c r="L2155" s="12"/>
      <c r="M2155" s="12"/>
      <c r="N2155" s="12"/>
      <c r="O2155" s="12"/>
    </row>
    <row r="2156" spans="2:15" x14ac:dyDescent="0.3">
      <c r="B2156" s="10"/>
      <c r="I2156" s="11"/>
      <c r="K2156" s="12"/>
      <c r="L2156" s="12"/>
      <c r="M2156" s="12"/>
      <c r="N2156" s="12"/>
      <c r="O2156" s="12"/>
    </row>
    <row r="2157" spans="2:15" x14ac:dyDescent="0.3">
      <c r="B2157" s="10"/>
      <c r="I2157" s="11"/>
      <c r="K2157" s="12"/>
      <c r="L2157" s="12"/>
      <c r="M2157" s="12"/>
      <c r="N2157" s="12"/>
      <c r="O2157" s="12"/>
    </row>
    <row r="2158" spans="2:15" x14ac:dyDescent="0.3">
      <c r="B2158" s="10"/>
      <c r="I2158" s="11"/>
      <c r="K2158" s="12"/>
      <c r="L2158" s="12"/>
      <c r="M2158" s="12"/>
      <c r="N2158" s="12"/>
      <c r="O2158" s="12"/>
    </row>
    <row r="2159" spans="2:15" x14ac:dyDescent="0.3">
      <c r="B2159" s="10"/>
      <c r="I2159" s="11"/>
      <c r="K2159" s="12"/>
      <c r="L2159" s="12"/>
      <c r="M2159" s="12"/>
      <c r="N2159" s="12"/>
      <c r="O2159" s="12"/>
    </row>
    <row r="2160" spans="2:15" x14ac:dyDescent="0.3">
      <c r="B2160" s="10"/>
      <c r="I2160" s="11"/>
      <c r="K2160" s="12"/>
      <c r="L2160" s="12"/>
      <c r="M2160" s="12"/>
      <c r="N2160" s="12"/>
      <c r="O2160" s="12"/>
    </row>
    <row r="2161" spans="2:15" x14ac:dyDescent="0.3">
      <c r="B2161" s="10"/>
      <c r="I2161" s="11"/>
      <c r="K2161" s="12"/>
      <c r="L2161" s="12"/>
      <c r="M2161" s="12"/>
      <c r="N2161" s="12"/>
      <c r="O2161" s="12"/>
    </row>
    <row r="2162" spans="2:15" x14ac:dyDescent="0.3">
      <c r="B2162" s="10"/>
      <c r="I2162" s="11"/>
      <c r="K2162" s="12"/>
      <c r="L2162" s="12"/>
      <c r="M2162" s="12"/>
      <c r="N2162" s="12"/>
      <c r="O2162" s="12"/>
    </row>
    <row r="2163" spans="2:15" x14ac:dyDescent="0.3">
      <c r="B2163" s="10"/>
      <c r="I2163" s="11"/>
      <c r="K2163" s="12"/>
      <c r="L2163" s="12"/>
      <c r="M2163" s="12"/>
      <c r="N2163" s="12"/>
      <c r="O2163" s="12"/>
    </row>
    <row r="2164" spans="2:15" x14ac:dyDescent="0.3">
      <c r="B2164" s="10"/>
      <c r="I2164" s="11"/>
      <c r="K2164" s="12"/>
      <c r="L2164" s="12"/>
      <c r="M2164" s="12"/>
      <c r="N2164" s="12"/>
      <c r="O2164" s="12"/>
    </row>
    <row r="2165" spans="2:15" x14ac:dyDescent="0.3">
      <c r="B2165" s="10"/>
      <c r="I2165" s="11"/>
      <c r="K2165" s="12"/>
      <c r="L2165" s="12"/>
      <c r="M2165" s="12"/>
      <c r="N2165" s="12"/>
      <c r="O2165" s="12"/>
    </row>
    <row r="2166" spans="2:15" x14ac:dyDescent="0.3">
      <c r="B2166" s="10"/>
      <c r="I2166" s="11"/>
      <c r="K2166" s="12"/>
      <c r="L2166" s="12"/>
      <c r="M2166" s="12"/>
      <c r="N2166" s="12"/>
      <c r="O2166" s="12"/>
    </row>
    <row r="2167" spans="2:15" x14ac:dyDescent="0.3">
      <c r="B2167" s="10"/>
      <c r="I2167" s="11"/>
      <c r="K2167" s="12"/>
      <c r="L2167" s="12"/>
      <c r="M2167" s="12"/>
      <c r="N2167" s="12"/>
      <c r="O2167" s="12"/>
    </row>
    <row r="2168" spans="2:15" x14ac:dyDescent="0.3">
      <c r="B2168" s="10"/>
      <c r="I2168" s="11"/>
      <c r="K2168" s="12"/>
      <c r="L2168" s="12"/>
      <c r="M2168" s="12"/>
      <c r="N2168" s="12"/>
      <c r="O2168" s="12"/>
    </row>
    <row r="2169" spans="2:15" x14ac:dyDescent="0.3">
      <c r="B2169" s="10"/>
      <c r="I2169" s="11"/>
      <c r="K2169" s="12"/>
      <c r="L2169" s="12"/>
      <c r="M2169" s="12"/>
      <c r="N2169" s="12"/>
      <c r="O2169" s="12"/>
    </row>
    <row r="2170" spans="2:15" x14ac:dyDescent="0.3">
      <c r="B2170" s="10"/>
      <c r="I2170" s="11"/>
      <c r="K2170" s="12"/>
      <c r="L2170" s="12"/>
      <c r="M2170" s="12"/>
      <c r="N2170" s="12"/>
      <c r="O2170" s="12"/>
    </row>
    <row r="2171" spans="2:15" x14ac:dyDescent="0.3">
      <c r="B2171" s="10"/>
      <c r="I2171" s="11"/>
      <c r="K2171" s="12"/>
      <c r="L2171" s="12"/>
      <c r="M2171" s="12"/>
      <c r="N2171" s="12"/>
      <c r="O2171" s="12"/>
    </row>
    <row r="2172" spans="2:15" x14ac:dyDescent="0.3">
      <c r="B2172" s="10"/>
      <c r="I2172" s="11"/>
      <c r="K2172" s="12"/>
      <c r="L2172" s="12"/>
      <c r="M2172" s="12"/>
      <c r="N2172" s="12"/>
      <c r="O2172" s="12"/>
    </row>
    <row r="2173" spans="2:15" x14ac:dyDescent="0.3">
      <c r="B2173" s="10"/>
      <c r="I2173" s="11"/>
      <c r="K2173" s="12"/>
      <c r="L2173" s="12"/>
      <c r="M2173" s="12"/>
      <c r="N2173" s="12"/>
      <c r="O2173" s="12"/>
    </row>
    <row r="2174" spans="2:15" x14ac:dyDescent="0.3">
      <c r="B2174" s="10"/>
      <c r="I2174" s="11"/>
      <c r="K2174" s="12"/>
      <c r="L2174" s="12"/>
      <c r="M2174" s="12"/>
      <c r="N2174" s="12"/>
      <c r="O2174" s="12"/>
    </row>
    <row r="2175" spans="2:15" x14ac:dyDescent="0.3">
      <c r="B2175" s="10"/>
      <c r="I2175" s="11"/>
      <c r="K2175" s="12"/>
      <c r="L2175" s="12"/>
      <c r="M2175" s="12"/>
      <c r="N2175" s="12"/>
      <c r="O2175" s="12"/>
    </row>
    <row r="2176" spans="2:15" x14ac:dyDescent="0.3">
      <c r="B2176" s="10"/>
      <c r="I2176" s="11"/>
      <c r="K2176" s="12"/>
      <c r="L2176" s="12"/>
      <c r="M2176" s="12"/>
      <c r="N2176" s="12"/>
      <c r="O2176" s="12"/>
    </row>
    <row r="2177" spans="2:15" x14ac:dyDescent="0.3">
      <c r="B2177" s="10"/>
      <c r="I2177" s="11"/>
      <c r="K2177" s="12"/>
      <c r="L2177" s="12"/>
      <c r="M2177" s="12"/>
      <c r="N2177" s="12"/>
      <c r="O2177" s="12"/>
    </row>
    <row r="2178" spans="2:15" x14ac:dyDescent="0.3">
      <c r="B2178" s="10"/>
      <c r="I2178" s="11"/>
      <c r="K2178" s="12"/>
      <c r="L2178" s="12"/>
      <c r="M2178" s="12"/>
      <c r="N2178" s="12"/>
      <c r="O2178" s="12"/>
    </row>
    <row r="2179" spans="2:15" x14ac:dyDescent="0.3">
      <c r="B2179" s="10"/>
      <c r="I2179" s="11"/>
      <c r="K2179" s="12"/>
      <c r="L2179" s="12"/>
      <c r="M2179" s="12"/>
      <c r="N2179" s="12"/>
      <c r="O2179" s="12"/>
    </row>
    <row r="2180" spans="2:15" x14ac:dyDescent="0.3">
      <c r="B2180" s="10"/>
      <c r="I2180" s="11"/>
      <c r="K2180" s="12"/>
      <c r="L2180" s="12"/>
      <c r="M2180" s="12"/>
      <c r="N2180" s="12"/>
      <c r="O2180" s="12"/>
    </row>
    <row r="2181" spans="2:15" x14ac:dyDescent="0.3">
      <c r="B2181" s="10"/>
      <c r="I2181" s="11"/>
      <c r="K2181" s="12"/>
      <c r="L2181" s="12"/>
      <c r="M2181" s="12"/>
      <c r="N2181" s="12"/>
      <c r="O2181" s="12"/>
    </row>
    <row r="2182" spans="2:15" x14ac:dyDescent="0.3">
      <c r="B2182" s="10"/>
      <c r="I2182" s="11"/>
      <c r="K2182" s="12"/>
      <c r="L2182" s="12"/>
      <c r="M2182" s="12"/>
      <c r="N2182" s="12"/>
      <c r="O2182" s="12"/>
    </row>
    <row r="2183" spans="2:15" x14ac:dyDescent="0.3">
      <c r="B2183" s="10"/>
      <c r="I2183" s="11"/>
      <c r="K2183" s="12"/>
      <c r="L2183" s="12"/>
      <c r="M2183" s="12"/>
      <c r="N2183" s="12"/>
      <c r="O2183" s="12"/>
    </row>
    <row r="2184" spans="2:15" x14ac:dyDescent="0.3">
      <c r="B2184" s="10"/>
      <c r="I2184" s="11"/>
      <c r="K2184" s="12"/>
      <c r="L2184" s="12"/>
      <c r="M2184" s="12"/>
      <c r="N2184" s="12"/>
      <c r="O2184" s="12"/>
    </row>
    <row r="2185" spans="2:15" x14ac:dyDescent="0.3">
      <c r="B2185" s="10"/>
      <c r="I2185" s="11"/>
      <c r="K2185" s="12"/>
      <c r="L2185" s="12"/>
      <c r="M2185" s="12"/>
      <c r="N2185" s="12"/>
      <c r="O2185" s="12"/>
    </row>
    <row r="2186" spans="2:15" x14ac:dyDescent="0.3">
      <c r="B2186" s="10"/>
      <c r="I2186" s="11"/>
      <c r="K2186" s="12"/>
      <c r="L2186" s="12"/>
      <c r="M2186" s="12"/>
      <c r="N2186" s="12"/>
      <c r="O2186" s="12"/>
    </row>
    <row r="2187" spans="2:15" x14ac:dyDescent="0.3">
      <c r="B2187" s="10"/>
      <c r="I2187" s="11"/>
      <c r="K2187" s="12"/>
      <c r="L2187" s="12"/>
      <c r="M2187" s="12"/>
      <c r="N2187" s="12"/>
      <c r="O2187" s="12"/>
    </row>
    <row r="2188" spans="2:15" x14ac:dyDescent="0.3">
      <c r="B2188" s="10"/>
      <c r="I2188" s="11"/>
      <c r="K2188" s="12"/>
      <c r="L2188" s="12"/>
      <c r="M2188" s="12"/>
      <c r="N2188" s="12"/>
      <c r="O2188" s="12"/>
    </row>
    <row r="2189" spans="2:15" x14ac:dyDescent="0.3">
      <c r="B2189" s="10"/>
      <c r="I2189" s="11"/>
      <c r="K2189" s="12"/>
      <c r="L2189" s="12"/>
      <c r="M2189" s="12"/>
      <c r="N2189" s="12"/>
      <c r="O2189" s="12"/>
    </row>
    <row r="2190" spans="2:15" x14ac:dyDescent="0.3">
      <c r="B2190" s="10"/>
      <c r="I2190" s="11"/>
      <c r="K2190" s="12"/>
      <c r="L2190" s="12"/>
      <c r="M2190" s="12"/>
      <c r="N2190" s="12"/>
      <c r="O2190" s="12"/>
    </row>
    <row r="2191" spans="2:15" x14ac:dyDescent="0.3">
      <c r="B2191" s="10"/>
      <c r="I2191" s="11"/>
      <c r="K2191" s="12"/>
      <c r="L2191" s="12"/>
      <c r="M2191" s="12"/>
      <c r="N2191" s="12"/>
      <c r="O2191" s="12"/>
    </row>
    <row r="2192" spans="2:15" x14ac:dyDescent="0.3">
      <c r="B2192" s="10"/>
      <c r="I2192" s="11"/>
      <c r="K2192" s="12"/>
      <c r="L2192" s="12"/>
      <c r="M2192" s="12"/>
      <c r="N2192" s="12"/>
      <c r="O2192" s="12"/>
    </row>
    <row r="2193" spans="2:15" x14ac:dyDescent="0.3">
      <c r="B2193" s="10"/>
      <c r="I2193" s="11"/>
      <c r="K2193" s="12"/>
      <c r="L2193" s="12"/>
      <c r="M2193" s="12"/>
      <c r="N2193" s="12"/>
      <c r="O2193" s="12"/>
    </row>
    <row r="2194" spans="2:15" x14ac:dyDescent="0.3">
      <c r="B2194" s="10"/>
      <c r="I2194" s="11"/>
      <c r="K2194" s="12"/>
      <c r="L2194" s="12"/>
      <c r="M2194" s="12"/>
      <c r="N2194" s="12"/>
      <c r="O2194" s="12"/>
    </row>
    <row r="2195" spans="2:15" x14ac:dyDescent="0.3">
      <c r="B2195" s="10"/>
      <c r="I2195" s="11"/>
      <c r="K2195" s="12"/>
      <c r="L2195" s="12"/>
      <c r="M2195" s="12"/>
      <c r="N2195" s="12"/>
      <c r="O2195" s="12"/>
    </row>
    <row r="2196" spans="2:15" x14ac:dyDescent="0.3">
      <c r="B2196" s="10"/>
      <c r="I2196" s="11"/>
      <c r="K2196" s="12"/>
      <c r="L2196" s="12"/>
      <c r="M2196" s="12"/>
      <c r="N2196" s="12"/>
      <c r="O2196" s="12"/>
    </row>
    <row r="2197" spans="2:15" x14ac:dyDescent="0.3">
      <c r="B2197" s="10"/>
      <c r="I2197" s="11"/>
      <c r="K2197" s="12"/>
      <c r="L2197" s="12"/>
      <c r="M2197" s="12"/>
      <c r="N2197" s="12"/>
      <c r="O2197" s="12"/>
    </row>
    <row r="2198" spans="2:15" x14ac:dyDescent="0.3">
      <c r="B2198" s="10"/>
      <c r="I2198" s="11"/>
      <c r="K2198" s="12"/>
      <c r="L2198" s="12"/>
      <c r="M2198" s="12"/>
      <c r="N2198" s="12"/>
      <c r="O2198" s="12"/>
    </row>
    <row r="2199" spans="2:15" x14ac:dyDescent="0.3">
      <c r="B2199" s="10"/>
      <c r="I2199" s="11"/>
      <c r="K2199" s="12"/>
      <c r="L2199" s="12"/>
      <c r="M2199" s="12"/>
      <c r="N2199" s="12"/>
      <c r="O2199" s="12"/>
    </row>
    <row r="2200" spans="2:15" x14ac:dyDescent="0.3">
      <c r="B2200" s="10"/>
      <c r="I2200" s="11"/>
      <c r="K2200" s="12"/>
      <c r="L2200" s="12"/>
      <c r="M2200" s="12"/>
      <c r="N2200" s="12"/>
      <c r="O2200" s="12"/>
    </row>
    <row r="2201" spans="2:15" x14ac:dyDescent="0.3">
      <c r="B2201" s="10"/>
      <c r="I2201" s="11"/>
      <c r="K2201" s="12"/>
      <c r="L2201" s="12"/>
      <c r="M2201" s="12"/>
      <c r="N2201" s="12"/>
      <c r="O2201" s="12"/>
    </row>
    <row r="2202" spans="2:15" x14ac:dyDescent="0.3">
      <c r="B2202" s="10"/>
      <c r="I2202" s="11"/>
      <c r="K2202" s="12"/>
      <c r="L2202" s="12"/>
      <c r="M2202" s="12"/>
      <c r="N2202" s="12"/>
      <c r="O2202" s="12"/>
    </row>
    <row r="2203" spans="2:15" x14ac:dyDescent="0.3">
      <c r="B2203" s="10"/>
      <c r="I2203" s="11"/>
      <c r="K2203" s="12"/>
      <c r="L2203" s="12"/>
      <c r="M2203" s="12"/>
      <c r="N2203" s="12"/>
      <c r="O2203" s="12"/>
    </row>
    <row r="2204" spans="2:15" x14ac:dyDescent="0.3">
      <c r="B2204" s="10"/>
      <c r="I2204" s="11"/>
      <c r="K2204" s="12"/>
      <c r="L2204" s="12"/>
      <c r="M2204" s="12"/>
      <c r="N2204" s="12"/>
      <c r="O2204" s="12"/>
    </row>
    <row r="2205" spans="2:15" x14ac:dyDescent="0.3">
      <c r="B2205" s="10"/>
      <c r="I2205" s="11"/>
      <c r="K2205" s="12"/>
      <c r="L2205" s="12"/>
      <c r="M2205" s="12"/>
      <c r="N2205" s="12"/>
      <c r="O2205" s="12"/>
    </row>
    <row r="2206" spans="2:15" x14ac:dyDescent="0.3">
      <c r="B2206" s="10"/>
      <c r="I2206" s="11"/>
      <c r="K2206" s="12"/>
      <c r="L2206" s="12"/>
      <c r="M2206" s="12"/>
      <c r="N2206" s="12"/>
      <c r="O2206" s="12"/>
    </row>
    <row r="2207" spans="2:15" x14ac:dyDescent="0.3">
      <c r="B2207" s="10"/>
      <c r="I2207" s="11"/>
      <c r="K2207" s="12"/>
      <c r="L2207" s="12"/>
      <c r="M2207" s="12"/>
      <c r="N2207" s="12"/>
      <c r="O2207" s="12"/>
    </row>
    <row r="2208" spans="2:15" x14ac:dyDescent="0.3">
      <c r="B2208" s="10"/>
      <c r="I2208" s="11"/>
      <c r="K2208" s="12"/>
      <c r="L2208" s="12"/>
      <c r="M2208" s="12"/>
      <c r="N2208" s="12"/>
      <c r="O2208" s="12"/>
    </row>
    <row r="2209" spans="2:15" x14ac:dyDescent="0.3">
      <c r="B2209" s="10"/>
      <c r="I2209" s="11"/>
      <c r="K2209" s="12"/>
      <c r="L2209" s="12"/>
      <c r="M2209" s="12"/>
      <c r="N2209" s="12"/>
      <c r="O2209" s="12"/>
    </row>
    <row r="2210" spans="2:15" x14ac:dyDescent="0.3">
      <c r="B2210" s="10"/>
      <c r="I2210" s="11"/>
      <c r="K2210" s="12"/>
      <c r="L2210" s="12"/>
      <c r="M2210" s="12"/>
      <c r="N2210" s="12"/>
      <c r="O2210" s="12"/>
    </row>
    <row r="2211" spans="2:15" x14ac:dyDescent="0.3">
      <c r="B2211" s="10"/>
      <c r="I2211" s="11"/>
      <c r="K2211" s="12"/>
      <c r="L2211" s="12"/>
      <c r="M2211" s="12"/>
      <c r="N2211" s="12"/>
      <c r="O2211" s="12"/>
    </row>
    <row r="2212" spans="2:15" x14ac:dyDescent="0.3">
      <c r="B2212" s="10"/>
      <c r="I2212" s="11"/>
      <c r="K2212" s="12"/>
      <c r="L2212" s="12"/>
      <c r="M2212" s="12"/>
      <c r="N2212" s="12"/>
      <c r="O2212" s="12"/>
    </row>
    <row r="2213" spans="2:15" x14ac:dyDescent="0.3">
      <c r="B2213" s="10"/>
      <c r="I2213" s="11"/>
      <c r="K2213" s="12"/>
      <c r="L2213" s="12"/>
      <c r="M2213" s="12"/>
      <c r="N2213" s="12"/>
      <c r="O2213" s="12"/>
    </row>
    <row r="2214" spans="2:15" x14ac:dyDescent="0.3">
      <c r="B2214" s="10"/>
      <c r="I2214" s="11"/>
      <c r="K2214" s="12"/>
      <c r="L2214" s="12"/>
      <c r="M2214" s="12"/>
      <c r="N2214" s="12"/>
      <c r="O2214" s="12"/>
    </row>
    <row r="2215" spans="2:15" x14ac:dyDescent="0.3">
      <c r="B2215" s="10"/>
      <c r="I2215" s="11"/>
      <c r="K2215" s="12"/>
      <c r="L2215" s="12"/>
      <c r="M2215" s="12"/>
      <c r="N2215" s="12"/>
      <c r="O2215" s="12"/>
    </row>
    <row r="2216" spans="2:15" x14ac:dyDescent="0.3">
      <c r="B2216" s="10"/>
      <c r="I2216" s="11"/>
      <c r="K2216" s="12"/>
      <c r="L2216" s="12"/>
      <c r="M2216" s="12"/>
      <c r="N2216" s="12"/>
      <c r="O2216" s="12"/>
    </row>
    <row r="2217" spans="2:15" x14ac:dyDescent="0.3">
      <c r="B2217" s="10"/>
      <c r="I2217" s="11"/>
      <c r="K2217" s="12"/>
      <c r="L2217" s="12"/>
      <c r="M2217" s="12"/>
      <c r="N2217" s="12"/>
      <c r="O2217" s="12"/>
    </row>
    <row r="2218" spans="2:15" x14ac:dyDescent="0.3">
      <c r="B2218" s="10"/>
      <c r="I2218" s="11"/>
      <c r="K2218" s="12"/>
      <c r="L2218" s="12"/>
      <c r="M2218" s="12"/>
      <c r="N2218" s="12"/>
      <c r="O2218" s="12"/>
    </row>
    <row r="2219" spans="2:15" x14ac:dyDescent="0.3">
      <c r="B2219" s="10"/>
      <c r="I2219" s="11"/>
      <c r="K2219" s="12"/>
      <c r="L2219" s="12"/>
      <c r="M2219" s="12"/>
      <c r="N2219" s="12"/>
      <c r="O2219" s="12"/>
    </row>
    <row r="2220" spans="2:15" x14ac:dyDescent="0.3">
      <c r="B2220" s="10"/>
      <c r="I2220" s="11"/>
      <c r="K2220" s="12"/>
      <c r="L2220" s="12"/>
      <c r="M2220" s="12"/>
      <c r="N2220" s="12"/>
      <c r="O2220" s="12"/>
    </row>
    <row r="2221" spans="2:15" x14ac:dyDescent="0.3">
      <c r="B2221" s="10"/>
      <c r="I2221" s="11"/>
      <c r="K2221" s="12"/>
      <c r="L2221" s="12"/>
      <c r="M2221" s="12"/>
      <c r="N2221" s="12"/>
      <c r="O2221" s="12"/>
    </row>
    <row r="2222" spans="2:15" x14ac:dyDescent="0.3">
      <c r="B2222" s="10"/>
      <c r="I2222" s="11"/>
      <c r="K2222" s="12"/>
      <c r="L2222" s="12"/>
      <c r="M2222" s="12"/>
      <c r="N2222" s="12"/>
      <c r="O2222" s="12"/>
    </row>
    <row r="2223" spans="2:15" x14ac:dyDescent="0.3">
      <c r="B2223" s="10"/>
      <c r="I2223" s="11"/>
      <c r="K2223" s="12"/>
      <c r="L2223" s="12"/>
      <c r="M2223" s="12"/>
      <c r="N2223" s="12"/>
      <c r="O2223" s="12"/>
    </row>
    <row r="2224" spans="2:15" x14ac:dyDescent="0.3">
      <c r="B2224" s="10"/>
      <c r="I2224" s="11"/>
      <c r="K2224" s="12"/>
      <c r="L2224" s="12"/>
      <c r="M2224" s="12"/>
      <c r="N2224" s="12"/>
      <c r="O2224" s="12"/>
    </row>
    <row r="2225" spans="2:15" x14ac:dyDescent="0.3">
      <c r="B2225" s="10"/>
      <c r="I2225" s="11"/>
      <c r="K2225" s="12"/>
      <c r="L2225" s="12"/>
      <c r="M2225" s="12"/>
      <c r="N2225" s="12"/>
      <c r="O2225" s="12"/>
    </row>
    <row r="2226" spans="2:15" x14ac:dyDescent="0.3">
      <c r="B2226" s="10"/>
      <c r="I2226" s="11"/>
      <c r="K2226" s="12"/>
      <c r="L2226" s="12"/>
      <c r="M2226" s="12"/>
      <c r="N2226" s="12"/>
      <c r="O2226" s="12"/>
    </row>
    <row r="2227" spans="2:15" x14ac:dyDescent="0.3">
      <c r="B2227" s="10"/>
      <c r="I2227" s="11"/>
      <c r="K2227" s="12"/>
      <c r="L2227" s="12"/>
      <c r="M2227" s="12"/>
      <c r="N2227" s="12"/>
      <c r="O2227" s="12"/>
    </row>
    <row r="2228" spans="2:15" x14ac:dyDescent="0.3">
      <c r="B2228" s="10"/>
      <c r="I2228" s="11"/>
      <c r="K2228" s="12"/>
      <c r="L2228" s="12"/>
      <c r="M2228" s="12"/>
      <c r="N2228" s="12"/>
      <c r="O2228" s="12"/>
    </row>
    <row r="2229" spans="2:15" x14ac:dyDescent="0.3">
      <c r="B2229" s="10"/>
      <c r="I2229" s="11"/>
      <c r="K2229" s="12"/>
      <c r="L2229" s="12"/>
      <c r="M2229" s="12"/>
      <c r="N2229" s="12"/>
      <c r="O2229" s="12"/>
    </row>
    <row r="2230" spans="2:15" x14ac:dyDescent="0.3">
      <c r="B2230" s="10"/>
      <c r="I2230" s="11"/>
      <c r="K2230" s="12"/>
      <c r="L2230" s="12"/>
      <c r="M2230" s="12"/>
      <c r="N2230" s="12"/>
      <c r="O2230" s="12"/>
    </row>
    <row r="2231" spans="2:15" x14ac:dyDescent="0.3">
      <c r="B2231" s="10"/>
      <c r="I2231" s="11"/>
      <c r="K2231" s="12"/>
      <c r="L2231" s="12"/>
      <c r="M2231" s="12"/>
      <c r="N2231" s="12"/>
      <c r="O2231" s="12"/>
    </row>
    <row r="2232" spans="2:15" x14ac:dyDescent="0.3">
      <c r="B2232" s="10"/>
      <c r="I2232" s="11"/>
      <c r="K2232" s="12"/>
      <c r="L2232" s="12"/>
      <c r="M2232" s="12"/>
      <c r="N2232" s="12"/>
      <c r="O2232" s="12"/>
    </row>
    <row r="2233" spans="2:15" x14ac:dyDescent="0.3">
      <c r="B2233" s="10"/>
      <c r="I2233" s="11"/>
      <c r="K2233" s="12"/>
      <c r="L2233" s="12"/>
      <c r="M2233" s="12"/>
      <c r="N2233" s="12"/>
      <c r="O2233" s="12"/>
    </row>
    <row r="2234" spans="2:15" x14ac:dyDescent="0.3">
      <c r="B2234" s="10"/>
      <c r="I2234" s="11"/>
      <c r="K2234" s="12"/>
      <c r="L2234" s="12"/>
      <c r="M2234" s="12"/>
      <c r="N2234" s="12"/>
      <c r="O2234" s="12"/>
    </row>
    <row r="2235" spans="2:15" x14ac:dyDescent="0.3">
      <c r="B2235" s="10"/>
      <c r="I2235" s="11"/>
      <c r="K2235" s="12"/>
      <c r="L2235" s="12"/>
      <c r="M2235" s="12"/>
      <c r="N2235" s="12"/>
      <c r="O2235" s="12"/>
    </row>
    <row r="2236" spans="2:15" x14ac:dyDescent="0.3">
      <c r="B2236" s="10"/>
      <c r="I2236" s="11"/>
      <c r="K2236" s="12"/>
      <c r="L2236" s="12"/>
      <c r="M2236" s="12"/>
      <c r="N2236" s="12"/>
      <c r="O2236" s="12"/>
    </row>
    <row r="2237" spans="2:15" x14ac:dyDescent="0.3">
      <c r="B2237" s="10"/>
      <c r="I2237" s="11"/>
      <c r="K2237" s="12"/>
      <c r="L2237" s="12"/>
      <c r="M2237" s="12"/>
      <c r="N2237" s="12"/>
      <c r="O2237" s="12"/>
    </row>
    <row r="2238" spans="2:15" x14ac:dyDescent="0.3">
      <c r="B2238" s="10"/>
      <c r="I2238" s="11"/>
      <c r="K2238" s="12"/>
      <c r="L2238" s="12"/>
      <c r="M2238" s="12"/>
      <c r="N2238" s="12"/>
      <c r="O2238" s="12"/>
    </row>
    <row r="2239" spans="2:15" x14ac:dyDescent="0.3">
      <c r="B2239" s="10"/>
      <c r="I2239" s="11"/>
      <c r="K2239" s="12"/>
      <c r="L2239" s="12"/>
      <c r="M2239" s="12"/>
      <c r="N2239" s="12"/>
      <c r="O2239" s="12"/>
    </row>
    <row r="2240" spans="2:15" x14ac:dyDescent="0.3">
      <c r="B2240" s="10"/>
      <c r="I2240" s="11"/>
      <c r="K2240" s="12"/>
      <c r="L2240" s="12"/>
      <c r="M2240" s="12"/>
      <c r="N2240" s="12"/>
      <c r="O2240" s="12"/>
    </row>
    <row r="2241" spans="2:15" x14ac:dyDescent="0.3">
      <c r="B2241" s="10"/>
      <c r="I2241" s="11"/>
      <c r="K2241" s="12"/>
      <c r="L2241" s="12"/>
      <c r="M2241" s="12"/>
      <c r="N2241" s="12"/>
      <c r="O2241" s="12"/>
    </row>
    <row r="2242" spans="2:15" x14ac:dyDescent="0.3">
      <c r="B2242" s="10"/>
      <c r="I2242" s="11"/>
      <c r="K2242" s="12"/>
      <c r="L2242" s="12"/>
      <c r="M2242" s="12"/>
      <c r="N2242" s="12"/>
      <c r="O2242" s="12"/>
    </row>
    <row r="2243" spans="2:15" x14ac:dyDescent="0.3">
      <c r="B2243" s="10"/>
      <c r="I2243" s="11"/>
      <c r="K2243" s="12"/>
      <c r="L2243" s="12"/>
      <c r="M2243" s="12"/>
      <c r="N2243" s="12"/>
      <c r="O2243" s="12"/>
    </row>
    <row r="2244" spans="2:15" x14ac:dyDescent="0.3">
      <c r="B2244" s="10"/>
      <c r="I2244" s="11"/>
      <c r="K2244" s="12"/>
      <c r="L2244" s="12"/>
      <c r="M2244" s="12"/>
      <c r="N2244" s="12"/>
      <c r="O2244" s="12"/>
    </row>
    <row r="2245" spans="2:15" x14ac:dyDescent="0.3">
      <c r="B2245" s="10"/>
      <c r="I2245" s="11"/>
      <c r="K2245" s="12"/>
      <c r="L2245" s="12"/>
      <c r="M2245" s="12"/>
      <c r="N2245" s="12"/>
      <c r="O2245" s="12"/>
    </row>
    <row r="2246" spans="2:15" x14ac:dyDescent="0.3">
      <c r="B2246" s="10"/>
      <c r="I2246" s="11"/>
      <c r="K2246" s="12"/>
      <c r="L2246" s="12"/>
      <c r="M2246" s="12"/>
      <c r="N2246" s="12"/>
      <c r="O2246" s="12"/>
    </row>
    <row r="2247" spans="2:15" x14ac:dyDescent="0.3">
      <c r="B2247" s="10"/>
      <c r="I2247" s="11"/>
      <c r="K2247" s="12"/>
      <c r="L2247" s="12"/>
      <c r="M2247" s="12"/>
      <c r="N2247" s="12"/>
      <c r="O2247" s="12"/>
    </row>
    <row r="2248" spans="2:15" x14ac:dyDescent="0.3">
      <c r="B2248" s="10"/>
      <c r="I2248" s="11"/>
      <c r="K2248" s="12"/>
      <c r="L2248" s="12"/>
      <c r="M2248" s="12"/>
      <c r="N2248" s="12"/>
      <c r="O2248" s="12"/>
    </row>
    <row r="2249" spans="2:15" x14ac:dyDescent="0.3">
      <c r="B2249" s="10"/>
      <c r="I2249" s="11"/>
      <c r="K2249" s="12"/>
      <c r="L2249" s="12"/>
      <c r="M2249" s="12"/>
      <c r="N2249" s="12"/>
      <c r="O2249" s="12"/>
    </row>
    <row r="2250" spans="2:15" x14ac:dyDescent="0.3">
      <c r="B2250" s="10"/>
      <c r="I2250" s="11"/>
      <c r="K2250" s="12"/>
      <c r="L2250" s="12"/>
      <c r="M2250" s="12"/>
      <c r="N2250" s="12"/>
      <c r="O2250" s="12"/>
    </row>
    <row r="2251" spans="2:15" x14ac:dyDescent="0.3">
      <c r="B2251" s="10"/>
      <c r="I2251" s="11"/>
      <c r="K2251" s="12"/>
      <c r="L2251" s="12"/>
      <c r="M2251" s="12"/>
      <c r="N2251" s="12"/>
      <c r="O2251" s="12"/>
    </row>
    <row r="2252" spans="2:15" x14ac:dyDescent="0.3">
      <c r="B2252" s="10"/>
      <c r="I2252" s="11"/>
      <c r="K2252" s="12"/>
      <c r="L2252" s="12"/>
      <c r="M2252" s="12"/>
      <c r="N2252" s="12"/>
      <c r="O2252" s="12"/>
    </row>
    <row r="2253" spans="2:15" x14ac:dyDescent="0.3">
      <c r="B2253" s="10"/>
      <c r="I2253" s="11"/>
      <c r="K2253" s="12"/>
      <c r="L2253" s="12"/>
      <c r="M2253" s="12"/>
      <c r="N2253" s="12"/>
      <c r="O2253" s="12"/>
    </row>
    <row r="2254" spans="2:15" x14ac:dyDescent="0.3">
      <c r="B2254" s="10"/>
      <c r="I2254" s="11"/>
      <c r="K2254" s="12"/>
      <c r="L2254" s="12"/>
      <c r="M2254" s="12"/>
      <c r="N2254" s="12"/>
      <c r="O2254" s="12"/>
    </row>
    <row r="2255" spans="2:15" x14ac:dyDescent="0.3">
      <c r="B2255" s="10"/>
      <c r="I2255" s="11"/>
      <c r="K2255" s="12"/>
      <c r="L2255" s="12"/>
      <c r="M2255" s="12"/>
      <c r="N2255" s="12"/>
      <c r="O2255" s="12"/>
    </row>
    <row r="2256" spans="2:15" x14ac:dyDescent="0.3">
      <c r="B2256" s="10"/>
      <c r="I2256" s="11"/>
      <c r="K2256" s="12"/>
      <c r="L2256" s="12"/>
      <c r="M2256" s="12"/>
      <c r="N2256" s="12"/>
      <c r="O2256" s="12"/>
    </row>
    <row r="2257" spans="2:15" x14ac:dyDescent="0.3">
      <c r="B2257" s="10"/>
      <c r="I2257" s="11"/>
      <c r="K2257" s="12"/>
      <c r="L2257" s="12"/>
      <c r="M2257" s="12"/>
      <c r="N2257" s="12"/>
      <c r="O2257" s="12"/>
    </row>
    <row r="2258" spans="2:15" x14ac:dyDescent="0.3">
      <c r="B2258" s="10"/>
      <c r="I2258" s="11"/>
      <c r="K2258" s="12"/>
      <c r="L2258" s="12"/>
      <c r="M2258" s="12"/>
      <c r="N2258" s="12"/>
      <c r="O2258" s="12"/>
    </row>
    <row r="2259" spans="2:15" x14ac:dyDescent="0.3">
      <c r="B2259" s="10"/>
      <c r="I2259" s="11"/>
      <c r="K2259" s="12"/>
      <c r="L2259" s="12"/>
      <c r="M2259" s="12"/>
      <c r="N2259" s="12"/>
      <c r="O2259" s="12"/>
    </row>
    <row r="2260" spans="2:15" x14ac:dyDescent="0.3">
      <c r="B2260" s="10"/>
      <c r="I2260" s="11"/>
      <c r="K2260" s="12"/>
      <c r="L2260" s="12"/>
      <c r="M2260" s="12"/>
      <c r="N2260" s="12"/>
      <c r="O2260" s="12"/>
    </row>
    <row r="2261" spans="2:15" x14ac:dyDescent="0.3">
      <c r="B2261" s="10"/>
      <c r="I2261" s="11"/>
      <c r="K2261" s="12"/>
      <c r="L2261" s="12"/>
      <c r="M2261" s="12"/>
      <c r="N2261" s="12"/>
      <c r="O2261" s="12"/>
    </row>
    <row r="2262" spans="2:15" x14ac:dyDescent="0.3">
      <c r="B2262" s="10"/>
      <c r="I2262" s="11"/>
      <c r="K2262" s="12"/>
      <c r="L2262" s="12"/>
      <c r="M2262" s="12"/>
      <c r="N2262" s="12"/>
      <c r="O2262" s="12"/>
    </row>
    <row r="2263" spans="2:15" x14ac:dyDescent="0.3">
      <c r="B2263" s="10"/>
      <c r="I2263" s="11"/>
      <c r="K2263" s="12"/>
      <c r="L2263" s="12"/>
      <c r="M2263" s="12"/>
      <c r="N2263" s="12"/>
      <c r="O2263" s="12"/>
    </row>
    <row r="2264" spans="2:15" x14ac:dyDescent="0.3">
      <c r="B2264" s="10"/>
      <c r="I2264" s="11"/>
      <c r="K2264" s="12"/>
      <c r="L2264" s="12"/>
      <c r="M2264" s="12"/>
      <c r="N2264" s="12"/>
      <c r="O2264" s="12"/>
    </row>
    <row r="2265" spans="2:15" x14ac:dyDescent="0.3">
      <c r="B2265" s="10"/>
      <c r="I2265" s="11"/>
      <c r="K2265" s="12"/>
      <c r="L2265" s="12"/>
      <c r="M2265" s="12"/>
      <c r="N2265" s="12"/>
      <c r="O2265" s="12"/>
    </row>
    <row r="2266" spans="2:15" x14ac:dyDescent="0.3">
      <c r="B2266" s="10"/>
      <c r="I2266" s="11"/>
      <c r="K2266" s="12"/>
      <c r="L2266" s="12"/>
      <c r="M2266" s="12"/>
      <c r="N2266" s="12"/>
      <c r="O2266" s="12"/>
    </row>
    <row r="2267" spans="2:15" x14ac:dyDescent="0.3">
      <c r="B2267" s="10"/>
      <c r="I2267" s="11"/>
      <c r="K2267" s="12"/>
      <c r="L2267" s="12"/>
      <c r="M2267" s="12"/>
      <c r="N2267" s="12"/>
      <c r="O2267" s="12"/>
    </row>
    <row r="2268" spans="2:15" x14ac:dyDescent="0.3">
      <c r="B2268" s="10"/>
      <c r="I2268" s="11"/>
      <c r="K2268" s="12"/>
      <c r="L2268" s="12"/>
      <c r="M2268" s="12"/>
      <c r="N2268" s="12"/>
      <c r="O2268" s="12"/>
    </row>
    <row r="2269" spans="2:15" x14ac:dyDescent="0.3">
      <c r="B2269" s="10"/>
      <c r="I2269" s="11"/>
      <c r="K2269" s="12"/>
      <c r="L2269" s="12"/>
      <c r="M2269" s="12"/>
      <c r="N2269" s="12"/>
      <c r="O2269" s="12"/>
    </row>
    <row r="2270" spans="2:15" x14ac:dyDescent="0.3">
      <c r="B2270" s="10"/>
      <c r="I2270" s="11"/>
      <c r="K2270" s="12"/>
      <c r="L2270" s="12"/>
      <c r="M2270" s="12"/>
      <c r="N2270" s="12"/>
      <c r="O2270" s="12"/>
    </row>
    <row r="2271" spans="2:15" x14ac:dyDescent="0.3">
      <c r="B2271" s="10"/>
      <c r="I2271" s="11"/>
      <c r="K2271" s="12"/>
      <c r="L2271" s="12"/>
      <c r="M2271" s="12"/>
      <c r="N2271" s="12"/>
      <c r="O2271" s="12"/>
    </row>
    <row r="2272" spans="2:15" x14ac:dyDescent="0.3">
      <c r="B2272" s="10"/>
      <c r="I2272" s="11"/>
      <c r="K2272" s="12"/>
      <c r="L2272" s="12"/>
      <c r="M2272" s="12"/>
      <c r="N2272" s="12"/>
      <c r="O2272" s="12"/>
    </row>
    <row r="2273" spans="2:15" x14ac:dyDescent="0.3">
      <c r="B2273" s="10"/>
      <c r="I2273" s="11"/>
      <c r="K2273" s="12"/>
      <c r="L2273" s="12"/>
      <c r="M2273" s="12"/>
      <c r="N2273" s="12"/>
      <c r="O2273" s="12"/>
    </row>
    <row r="2274" spans="2:15" x14ac:dyDescent="0.3">
      <c r="B2274" s="10"/>
      <c r="I2274" s="11"/>
      <c r="K2274" s="12"/>
      <c r="L2274" s="12"/>
      <c r="M2274" s="12"/>
      <c r="N2274" s="12"/>
      <c r="O2274" s="12"/>
    </row>
    <row r="2275" spans="2:15" x14ac:dyDescent="0.3">
      <c r="B2275" s="10"/>
      <c r="I2275" s="11"/>
      <c r="K2275" s="12"/>
      <c r="L2275" s="12"/>
      <c r="M2275" s="12"/>
      <c r="N2275" s="12"/>
      <c r="O2275" s="12"/>
    </row>
    <row r="2276" spans="2:15" x14ac:dyDescent="0.3">
      <c r="B2276" s="10"/>
      <c r="I2276" s="11"/>
      <c r="K2276" s="12"/>
      <c r="L2276" s="12"/>
      <c r="M2276" s="12"/>
      <c r="N2276" s="12"/>
      <c r="O2276" s="12"/>
    </row>
    <row r="2277" spans="2:15" x14ac:dyDescent="0.3">
      <c r="B2277" s="10"/>
      <c r="I2277" s="11"/>
      <c r="K2277" s="12"/>
      <c r="L2277" s="12"/>
      <c r="M2277" s="12"/>
      <c r="N2277" s="12"/>
      <c r="O2277" s="12"/>
    </row>
    <row r="2278" spans="2:15" x14ac:dyDescent="0.3">
      <c r="B2278" s="10"/>
      <c r="I2278" s="11"/>
      <c r="K2278" s="12"/>
      <c r="L2278" s="12"/>
      <c r="M2278" s="12"/>
      <c r="N2278" s="12"/>
      <c r="O2278" s="12"/>
    </row>
    <row r="2279" spans="2:15" x14ac:dyDescent="0.3">
      <c r="B2279" s="10"/>
      <c r="I2279" s="11"/>
      <c r="K2279" s="12"/>
      <c r="L2279" s="12"/>
      <c r="M2279" s="12"/>
      <c r="N2279" s="12"/>
      <c r="O2279" s="12"/>
    </row>
    <row r="2280" spans="2:15" x14ac:dyDescent="0.3">
      <c r="B2280" s="10"/>
      <c r="I2280" s="11"/>
      <c r="K2280" s="12"/>
      <c r="L2280" s="12"/>
      <c r="M2280" s="12"/>
      <c r="N2280" s="12"/>
      <c r="O2280" s="12"/>
    </row>
    <row r="2281" spans="2:15" x14ac:dyDescent="0.3">
      <c r="B2281" s="10"/>
      <c r="I2281" s="11"/>
      <c r="K2281" s="12"/>
      <c r="L2281" s="12"/>
      <c r="M2281" s="12"/>
      <c r="N2281" s="12"/>
      <c r="O2281" s="12"/>
    </row>
    <row r="2282" spans="2:15" x14ac:dyDescent="0.3">
      <c r="B2282" s="10"/>
      <c r="I2282" s="11"/>
      <c r="K2282" s="12"/>
      <c r="L2282" s="12"/>
      <c r="M2282" s="12"/>
      <c r="N2282" s="12"/>
      <c r="O2282" s="12"/>
    </row>
    <row r="2283" spans="2:15" x14ac:dyDescent="0.3">
      <c r="B2283" s="10"/>
      <c r="I2283" s="11"/>
      <c r="K2283" s="12"/>
      <c r="L2283" s="12"/>
      <c r="M2283" s="12"/>
      <c r="N2283" s="12"/>
      <c r="O2283" s="12"/>
    </row>
    <row r="2284" spans="2:15" x14ac:dyDescent="0.3">
      <c r="B2284" s="10"/>
      <c r="I2284" s="11"/>
      <c r="K2284" s="12"/>
      <c r="L2284" s="12"/>
      <c r="M2284" s="12"/>
      <c r="N2284" s="12"/>
      <c r="O2284" s="12"/>
    </row>
    <row r="2285" spans="2:15" x14ac:dyDescent="0.3">
      <c r="B2285" s="10"/>
      <c r="I2285" s="11"/>
      <c r="K2285" s="12"/>
      <c r="L2285" s="12"/>
      <c r="M2285" s="12"/>
      <c r="N2285" s="12"/>
      <c r="O2285" s="12"/>
    </row>
    <row r="2286" spans="2:15" x14ac:dyDescent="0.3">
      <c r="B2286" s="10"/>
      <c r="I2286" s="11"/>
      <c r="K2286" s="12"/>
      <c r="L2286" s="12"/>
      <c r="M2286" s="12"/>
      <c r="N2286" s="12"/>
      <c r="O2286" s="12"/>
    </row>
    <row r="2287" spans="2:15" x14ac:dyDescent="0.3">
      <c r="B2287" s="10"/>
      <c r="I2287" s="11"/>
      <c r="K2287" s="12"/>
      <c r="L2287" s="12"/>
      <c r="M2287" s="12"/>
      <c r="N2287" s="12"/>
      <c r="O2287" s="12"/>
    </row>
    <row r="2288" spans="2:15" x14ac:dyDescent="0.3">
      <c r="B2288" s="10"/>
      <c r="I2288" s="11"/>
      <c r="K2288" s="12"/>
      <c r="L2288" s="12"/>
      <c r="M2288" s="12"/>
      <c r="N2288" s="12"/>
      <c r="O2288" s="12"/>
    </row>
    <row r="2289" spans="2:15" x14ac:dyDescent="0.3">
      <c r="B2289" s="10"/>
      <c r="I2289" s="11"/>
      <c r="K2289" s="12"/>
      <c r="L2289" s="12"/>
      <c r="M2289" s="12"/>
      <c r="N2289" s="12"/>
      <c r="O2289" s="12"/>
    </row>
    <row r="2290" spans="2:15" x14ac:dyDescent="0.3">
      <c r="B2290" s="10"/>
      <c r="I2290" s="11"/>
      <c r="K2290" s="12"/>
      <c r="L2290" s="12"/>
      <c r="M2290" s="12"/>
      <c r="N2290" s="12"/>
      <c r="O2290" s="12"/>
    </row>
    <row r="2291" spans="2:15" x14ac:dyDescent="0.3">
      <c r="B2291" s="10"/>
      <c r="I2291" s="11"/>
      <c r="K2291" s="12"/>
      <c r="L2291" s="12"/>
      <c r="M2291" s="12"/>
      <c r="N2291" s="12"/>
      <c r="O2291" s="12"/>
    </row>
    <row r="2292" spans="2:15" x14ac:dyDescent="0.3">
      <c r="B2292" s="10"/>
      <c r="I2292" s="11"/>
      <c r="K2292" s="12"/>
      <c r="L2292" s="12"/>
      <c r="M2292" s="12"/>
      <c r="N2292" s="12"/>
      <c r="O2292" s="12"/>
    </row>
    <row r="2293" spans="2:15" x14ac:dyDescent="0.3">
      <c r="B2293" s="10"/>
      <c r="I2293" s="11"/>
      <c r="K2293" s="12"/>
      <c r="L2293" s="12"/>
      <c r="M2293" s="12"/>
      <c r="N2293" s="12"/>
      <c r="O2293" s="12"/>
    </row>
    <row r="2294" spans="2:15" x14ac:dyDescent="0.3">
      <c r="B2294" s="10"/>
      <c r="I2294" s="11"/>
      <c r="K2294" s="12"/>
      <c r="L2294" s="12"/>
      <c r="M2294" s="12"/>
      <c r="N2294" s="12"/>
      <c r="O2294" s="12"/>
    </row>
    <row r="2295" spans="2:15" x14ac:dyDescent="0.3">
      <c r="B2295" s="10"/>
      <c r="I2295" s="11"/>
      <c r="K2295" s="12"/>
      <c r="L2295" s="12"/>
      <c r="M2295" s="12"/>
      <c r="N2295" s="12"/>
      <c r="O2295" s="12"/>
    </row>
    <row r="2296" spans="2:15" x14ac:dyDescent="0.3">
      <c r="B2296" s="10"/>
      <c r="I2296" s="11"/>
      <c r="K2296" s="12"/>
      <c r="L2296" s="12"/>
      <c r="M2296" s="12"/>
      <c r="N2296" s="12"/>
      <c r="O2296" s="12"/>
    </row>
    <row r="2297" spans="2:15" x14ac:dyDescent="0.3">
      <c r="B2297" s="10"/>
      <c r="I2297" s="11"/>
      <c r="K2297" s="12"/>
      <c r="L2297" s="12"/>
      <c r="M2297" s="12"/>
      <c r="N2297" s="12"/>
      <c r="O2297" s="12"/>
    </row>
    <row r="2298" spans="2:15" x14ac:dyDescent="0.3">
      <c r="B2298" s="10"/>
      <c r="I2298" s="11"/>
      <c r="K2298" s="12"/>
      <c r="L2298" s="12"/>
      <c r="M2298" s="12"/>
      <c r="N2298" s="12"/>
      <c r="O2298" s="12"/>
    </row>
    <row r="2299" spans="2:15" x14ac:dyDescent="0.3">
      <c r="B2299" s="10"/>
      <c r="I2299" s="11"/>
      <c r="K2299" s="12"/>
      <c r="L2299" s="12"/>
      <c r="M2299" s="12"/>
      <c r="N2299" s="12"/>
      <c r="O2299" s="12"/>
    </row>
    <row r="2300" spans="2:15" x14ac:dyDescent="0.3">
      <c r="B2300" s="10"/>
      <c r="I2300" s="11"/>
      <c r="K2300" s="12"/>
      <c r="L2300" s="12"/>
      <c r="M2300" s="12"/>
      <c r="N2300" s="12"/>
      <c r="O2300" s="12"/>
    </row>
    <row r="2301" spans="2:15" x14ac:dyDescent="0.3">
      <c r="B2301" s="10"/>
      <c r="I2301" s="11"/>
      <c r="K2301" s="12"/>
      <c r="L2301" s="12"/>
      <c r="M2301" s="12"/>
      <c r="N2301" s="12"/>
      <c r="O2301" s="12"/>
    </row>
    <row r="2302" spans="2:15" x14ac:dyDescent="0.3">
      <c r="B2302" s="10"/>
      <c r="I2302" s="11"/>
      <c r="K2302" s="12"/>
      <c r="L2302" s="12"/>
      <c r="M2302" s="12"/>
      <c r="N2302" s="12"/>
      <c r="O2302" s="12"/>
    </row>
    <row r="2303" spans="2:15" x14ac:dyDescent="0.3">
      <c r="B2303" s="10"/>
      <c r="I2303" s="11"/>
      <c r="K2303" s="12"/>
      <c r="L2303" s="12"/>
      <c r="M2303" s="12"/>
      <c r="N2303" s="12"/>
      <c r="O2303" s="12"/>
    </row>
    <row r="2304" spans="2:15" x14ac:dyDescent="0.3">
      <c r="B2304" s="10"/>
      <c r="I2304" s="11"/>
      <c r="K2304" s="12"/>
      <c r="L2304" s="12"/>
      <c r="M2304" s="12"/>
      <c r="N2304" s="12"/>
      <c r="O2304" s="12"/>
    </row>
    <row r="2305" spans="2:15" x14ac:dyDescent="0.3">
      <c r="B2305" s="10"/>
      <c r="I2305" s="11"/>
      <c r="K2305" s="12"/>
      <c r="L2305" s="12"/>
      <c r="M2305" s="12"/>
      <c r="N2305" s="12"/>
      <c r="O2305" s="12"/>
    </row>
    <row r="2306" spans="2:15" x14ac:dyDescent="0.3">
      <c r="B2306" s="10"/>
      <c r="I2306" s="11"/>
      <c r="K2306" s="12"/>
      <c r="L2306" s="12"/>
      <c r="M2306" s="12"/>
      <c r="N2306" s="12"/>
      <c r="O2306" s="12"/>
    </row>
    <row r="2307" spans="2:15" x14ac:dyDescent="0.3">
      <c r="B2307" s="10"/>
      <c r="I2307" s="11"/>
      <c r="K2307" s="12"/>
      <c r="L2307" s="12"/>
      <c r="M2307" s="12"/>
      <c r="N2307" s="12"/>
      <c r="O2307" s="12"/>
    </row>
    <row r="2308" spans="2:15" x14ac:dyDescent="0.3">
      <c r="B2308" s="10"/>
      <c r="I2308" s="11"/>
      <c r="K2308" s="12"/>
      <c r="L2308" s="12"/>
      <c r="M2308" s="12"/>
      <c r="N2308" s="12"/>
      <c r="O2308" s="12"/>
    </row>
    <row r="2309" spans="2:15" x14ac:dyDescent="0.3">
      <c r="B2309" s="10"/>
      <c r="I2309" s="11"/>
      <c r="K2309" s="12"/>
      <c r="L2309" s="12"/>
      <c r="M2309" s="12"/>
      <c r="N2309" s="12"/>
      <c r="O2309" s="12"/>
    </row>
    <row r="2310" spans="2:15" x14ac:dyDescent="0.3">
      <c r="B2310" s="10"/>
      <c r="I2310" s="11"/>
      <c r="K2310" s="12"/>
      <c r="L2310" s="12"/>
      <c r="M2310" s="12"/>
      <c r="N2310" s="12"/>
      <c r="O2310" s="12"/>
    </row>
    <row r="2311" spans="2:15" x14ac:dyDescent="0.3">
      <c r="B2311" s="10"/>
      <c r="I2311" s="11"/>
      <c r="K2311" s="12"/>
      <c r="L2311" s="12"/>
      <c r="M2311" s="12"/>
      <c r="N2311" s="12"/>
      <c r="O2311" s="12"/>
    </row>
    <row r="2312" spans="2:15" x14ac:dyDescent="0.3">
      <c r="B2312" s="10"/>
      <c r="I2312" s="11"/>
      <c r="K2312" s="12"/>
      <c r="L2312" s="12"/>
      <c r="M2312" s="12"/>
      <c r="N2312" s="12"/>
      <c r="O2312" s="12"/>
    </row>
    <row r="2313" spans="2:15" x14ac:dyDescent="0.3">
      <c r="B2313" s="10"/>
      <c r="I2313" s="11"/>
      <c r="K2313" s="12"/>
      <c r="L2313" s="12"/>
      <c r="M2313" s="12"/>
      <c r="N2313" s="12"/>
      <c r="O2313" s="12"/>
    </row>
    <row r="2314" spans="2:15" x14ac:dyDescent="0.3">
      <c r="B2314" s="10"/>
      <c r="I2314" s="11"/>
      <c r="K2314" s="12"/>
      <c r="L2314" s="12"/>
      <c r="M2314" s="12"/>
      <c r="N2314" s="12"/>
      <c r="O2314" s="12"/>
    </row>
    <row r="2315" spans="2:15" x14ac:dyDescent="0.3">
      <c r="B2315" s="10"/>
      <c r="I2315" s="11"/>
      <c r="K2315" s="12"/>
      <c r="L2315" s="12"/>
      <c r="M2315" s="12"/>
      <c r="N2315" s="12"/>
      <c r="O2315" s="12"/>
    </row>
    <row r="2316" spans="2:15" x14ac:dyDescent="0.3">
      <c r="B2316" s="10"/>
      <c r="I2316" s="11"/>
      <c r="K2316" s="12"/>
      <c r="L2316" s="12"/>
      <c r="M2316" s="12"/>
      <c r="N2316" s="12"/>
      <c r="O2316" s="12"/>
    </row>
    <row r="2317" spans="2:15" x14ac:dyDescent="0.3">
      <c r="B2317" s="10"/>
      <c r="I2317" s="11"/>
      <c r="K2317" s="12"/>
      <c r="L2317" s="12"/>
      <c r="M2317" s="12"/>
      <c r="N2317" s="12"/>
      <c r="O2317" s="12"/>
    </row>
    <row r="2318" spans="2:15" x14ac:dyDescent="0.3">
      <c r="B2318" s="10"/>
      <c r="I2318" s="11"/>
      <c r="K2318" s="12"/>
      <c r="L2318" s="12"/>
      <c r="M2318" s="12"/>
      <c r="N2318" s="12"/>
      <c r="O2318" s="12"/>
    </row>
    <row r="2319" spans="2:15" x14ac:dyDescent="0.3">
      <c r="B2319" s="10"/>
      <c r="I2319" s="11"/>
      <c r="K2319" s="12"/>
      <c r="L2319" s="12"/>
      <c r="M2319" s="12"/>
      <c r="N2319" s="12"/>
      <c r="O2319" s="12"/>
    </row>
    <row r="2320" spans="2:15" x14ac:dyDescent="0.3">
      <c r="B2320" s="10"/>
      <c r="I2320" s="11"/>
      <c r="K2320" s="12"/>
      <c r="L2320" s="12"/>
      <c r="M2320" s="12"/>
      <c r="N2320" s="12"/>
      <c r="O2320" s="12"/>
    </row>
    <row r="2321" spans="2:15" x14ac:dyDescent="0.3">
      <c r="B2321" s="10"/>
      <c r="I2321" s="11"/>
      <c r="K2321" s="12"/>
      <c r="L2321" s="12"/>
      <c r="M2321" s="12"/>
      <c r="N2321" s="12"/>
      <c r="O2321" s="12"/>
    </row>
    <row r="2322" spans="2:15" x14ac:dyDescent="0.3">
      <c r="B2322" s="10"/>
      <c r="I2322" s="11"/>
      <c r="K2322" s="12"/>
      <c r="L2322" s="12"/>
      <c r="M2322" s="12"/>
      <c r="N2322" s="12"/>
      <c r="O2322" s="12"/>
    </row>
    <row r="2323" spans="2:15" x14ac:dyDescent="0.3">
      <c r="B2323" s="10"/>
      <c r="I2323" s="11"/>
      <c r="K2323" s="12"/>
      <c r="L2323" s="12"/>
      <c r="M2323" s="12"/>
      <c r="N2323" s="12"/>
      <c r="O2323" s="12"/>
    </row>
    <row r="2324" spans="2:15" x14ac:dyDescent="0.3">
      <c r="B2324" s="10"/>
      <c r="I2324" s="11"/>
      <c r="K2324" s="12"/>
      <c r="L2324" s="12"/>
      <c r="M2324" s="12"/>
      <c r="N2324" s="12"/>
      <c r="O2324" s="12"/>
    </row>
    <row r="2325" spans="2:15" x14ac:dyDescent="0.3">
      <c r="B2325" s="10"/>
      <c r="I2325" s="11"/>
      <c r="K2325" s="12"/>
      <c r="L2325" s="12"/>
      <c r="M2325" s="12"/>
      <c r="N2325" s="12"/>
      <c r="O2325" s="12"/>
    </row>
    <row r="2326" spans="2:15" x14ac:dyDescent="0.3">
      <c r="B2326" s="10"/>
      <c r="I2326" s="11"/>
      <c r="K2326" s="12"/>
      <c r="L2326" s="12"/>
      <c r="M2326" s="12"/>
      <c r="N2326" s="12"/>
      <c r="O2326" s="12"/>
    </row>
    <row r="2327" spans="2:15" x14ac:dyDescent="0.3">
      <c r="B2327" s="10"/>
      <c r="I2327" s="11"/>
      <c r="K2327" s="12"/>
      <c r="L2327" s="12"/>
      <c r="M2327" s="12"/>
      <c r="N2327" s="12"/>
      <c r="O2327" s="12"/>
    </row>
    <row r="2328" spans="2:15" x14ac:dyDescent="0.3">
      <c r="B2328" s="10"/>
      <c r="I2328" s="11"/>
      <c r="K2328" s="12"/>
      <c r="L2328" s="12"/>
      <c r="M2328" s="12"/>
      <c r="N2328" s="12"/>
      <c r="O2328" s="12"/>
    </row>
    <row r="2329" spans="2:15" x14ac:dyDescent="0.3">
      <c r="B2329" s="10"/>
      <c r="I2329" s="11"/>
      <c r="K2329" s="12"/>
      <c r="L2329" s="12"/>
      <c r="M2329" s="12"/>
      <c r="N2329" s="12"/>
      <c r="O2329" s="12"/>
    </row>
    <row r="2330" spans="2:15" x14ac:dyDescent="0.3">
      <c r="B2330" s="10"/>
      <c r="I2330" s="11"/>
      <c r="K2330" s="12"/>
      <c r="L2330" s="12"/>
      <c r="M2330" s="12"/>
      <c r="N2330" s="12"/>
      <c r="O2330" s="12"/>
    </row>
    <row r="2331" spans="2:15" x14ac:dyDescent="0.3">
      <c r="B2331" s="10"/>
      <c r="I2331" s="11"/>
      <c r="K2331" s="12"/>
      <c r="L2331" s="12"/>
      <c r="M2331" s="12"/>
      <c r="N2331" s="12"/>
      <c r="O2331" s="12"/>
    </row>
    <row r="2332" spans="2:15" x14ac:dyDescent="0.3">
      <c r="B2332" s="10"/>
      <c r="I2332" s="11"/>
      <c r="K2332" s="12"/>
      <c r="L2332" s="12"/>
      <c r="M2332" s="12"/>
      <c r="N2332" s="12"/>
      <c r="O2332" s="12"/>
    </row>
    <row r="2333" spans="2:15" x14ac:dyDescent="0.3">
      <c r="B2333" s="10"/>
      <c r="I2333" s="11"/>
      <c r="K2333" s="12"/>
      <c r="L2333" s="12"/>
      <c r="M2333" s="12"/>
      <c r="N2333" s="12"/>
      <c r="O2333" s="12"/>
    </row>
    <row r="2334" spans="2:15" x14ac:dyDescent="0.3">
      <c r="B2334" s="10"/>
      <c r="I2334" s="11"/>
      <c r="K2334" s="12"/>
      <c r="L2334" s="12"/>
      <c r="M2334" s="12"/>
      <c r="N2334" s="12"/>
      <c r="O2334" s="12"/>
    </row>
    <row r="2335" spans="2:15" x14ac:dyDescent="0.3">
      <c r="B2335" s="10"/>
      <c r="I2335" s="11"/>
      <c r="K2335" s="12"/>
      <c r="L2335" s="12"/>
      <c r="M2335" s="12"/>
      <c r="N2335" s="12"/>
      <c r="O2335" s="12"/>
    </row>
    <row r="2336" spans="2:15" x14ac:dyDescent="0.3">
      <c r="B2336" s="10"/>
      <c r="I2336" s="11"/>
      <c r="K2336" s="12"/>
      <c r="L2336" s="12"/>
      <c r="M2336" s="12"/>
      <c r="N2336" s="12"/>
      <c r="O2336" s="12"/>
    </row>
    <row r="2337" spans="2:15" x14ac:dyDescent="0.3">
      <c r="B2337" s="10"/>
      <c r="I2337" s="11"/>
      <c r="K2337" s="12"/>
      <c r="L2337" s="12"/>
      <c r="M2337" s="12"/>
      <c r="N2337" s="12"/>
      <c r="O2337" s="12"/>
    </row>
    <row r="2338" spans="2:15" x14ac:dyDescent="0.3">
      <c r="B2338" s="10"/>
      <c r="I2338" s="11"/>
      <c r="K2338" s="12"/>
      <c r="L2338" s="12"/>
      <c r="M2338" s="12"/>
      <c r="N2338" s="12"/>
      <c r="O2338" s="12"/>
    </row>
    <row r="2339" spans="2:15" x14ac:dyDescent="0.3">
      <c r="B2339" s="10"/>
      <c r="I2339" s="11"/>
      <c r="K2339" s="12"/>
      <c r="L2339" s="12"/>
      <c r="M2339" s="12"/>
      <c r="N2339" s="12"/>
      <c r="O2339" s="12"/>
    </row>
    <row r="2340" spans="2:15" x14ac:dyDescent="0.3">
      <c r="B2340" s="10"/>
      <c r="I2340" s="11"/>
      <c r="K2340" s="12"/>
      <c r="L2340" s="12"/>
      <c r="M2340" s="12"/>
      <c r="N2340" s="12"/>
      <c r="O2340" s="12"/>
    </row>
    <row r="2341" spans="2:15" x14ac:dyDescent="0.3">
      <c r="B2341" s="10"/>
      <c r="I2341" s="11"/>
      <c r="K2341" s="12"/>
      <c r="L2341" s="12"/>
      <c r="M2341" s="12"/>
      <c r="N2341" s="12"/>
      <c r="O2341" s="12"/>
    </row>
    <row r="2342" spans="2:15" x14ac:dyDescent="0.3">
      <c r="B2342" s="10"/>
      <c r="I2342" s="11"/>
      <c r="K2342" s="12"/>
      <c r="L2342" s="12"/>
      <c r="M2342" s="12"/>
      <c r="N2342" s="12"/>
      <c r="O2342" s="12"/>
    </row>
    <row r="2343" spans="2:15" x14ac:dyDescent="0.3">
      <c r="B2343" s="10"/>
      <c r="I2343" s="11"/>
      <c r="K2343" s="12"/>
      <c r="L2343" s="12"/>
      <c r="M2343" s="12"/>
      <c r="N2343" s="12"/>
      <c r="O2343" s="12"/>
    </row>
    <row r="2344" spans="2:15" x14ac:dyDescent="0.3">
      <c r="B2344" s="10"/>
      <c r="I2344" s="11"/>
      <c r="K2344" s="12"/>
      <c r="L2344" s="12"/>
      <c r="M2344" s="12"/>
      <c r="N2344" s="12"/>
      <c r="O2344" s="12"/>
    </row>
    <row r="2345" spans="2:15" x14ac:dyDescent="0.3">
      <c r="B2345" s="10"/>
      <c r="I2345" s="11"/>
      <c r="K2345" s="12"/>
      <c r="L2345" s="12"/>
      <c r="M2345" s="12"/>
      <c r="N2345" s="12"/>
      <c r="O2345" s="12"/>
    </row>
    <row r="2346" spans="2:15" x14ac:dyDescent="0.3">
      <c r="B2346" s="10"/>
      <c r="I2346" s="11"/>
      <c r="K2346" s="12"/>
      <c r="L2346" s="12"/>
      <c r="M2346" s="12"/>
      <c r="N2346" s="12"/>
      <c r="O2346" s="12"/>
    </row>
    <row r="2347" spans="2:15" x14ac:dyDescent="0.3">
      <c r="B2347" s="10"/>
      <c r="I2347" s="11"/>
      <c r="K2347" s="12"/>
      <c r="L2347" s="12"/>
      <c r="M2347" s="12"/>
      <c r="N2347" s="12"/>
      <c r="O2347" s="12"/>
    </row>
    <row r="2348" spans="2:15" x14ac:dyDescent="0.3">
      <c r="B2348" s="10"/>
      <c r="I2348" s="11"/>
      <c r="K2348" s="12"/>
      <c r="L2348" s="12"/>
      <c r="M2348" s="12"/>
      <c r="N2348" s="12"/>
      <c r="O2348" s="12"/>
    </row>
    <row r="2349" spans="2:15" x14ac:dyDescent="0.3">
      <c r="B2349" s="10"/>
      <c r="I2349" s="11"/>
      <c r="K2349" s="12"/>
      <c r="L2349" s="12"/>
      <c r="M2349" s="12"/>
      <c r="N2349" s="12"/>
      <c r="O2349" s="12"/>
    </row>
    <row r="2350" spans="2:15" x14ac:dyDescent="0.3">
      <c r="B2350" s="10"/>
      <c r="I2350" s="11"/>
      <c r="K2350" s="12"/>
      <c r="L2350" s="12"/>
      <c r="M2350" s="12"/>
      <c r="N2350" s="12"/>
      <c r="O2350" s="12"/>
    </row>
    <row r="2351" spans="2:15" x14ac:dyDescent="0.3">
      <c r="B2351" s="10"/>
      <c r="I2351" s="11"/>
      <c r="K2351" s="12"/>
      <c r="L2351" s="12"/>
      <c r="M2351" s="12"/>
      <c r="N2351" s="12"/>
      <c r="O2351" s="12"/>
    </row>
    <row r="2352" spans="2:15" x14ac:dyDescent="0.3">
      <c r="B2352" s="10"/>
      <c r="I2352" s="11"/>
      <c r="K2352" s="12"/>
      <c r="L2352" s="12"/>
      <c r="M2352" s="12"/>
      <c r="N2352" s="12"/>
      <c r="O2352" s="12"/>
    </row>
    <row r="2353" spans="2:15" x14ac:dyDescent="0.3">
      <c r="B2353" s="10"/>
      <c r="I2353" s="11"/>
      <c r="K2353" s="12"/>
      <c r="L2353" s="12"/>
      <c r="M2353" s="12"/>
      <c r="N2353" s="12"/>
      <c r="O2353" s="12"/>
    </row>
    <row r="2354" spans="2:15" x14ac:dyDescent="0.3">
      <c r="B2354" s="10"/>
      <c r="I2354" s="11"/>
      <c r="K2354" s="12"/>
      <c r="L2354" s="12"/>
      <c r="M2354" s="12"/>
      <c r="N2354" s="12"/>
      <c r="O2354" s="12"/>
    </row>
    <row r="2355" spans="2:15" x14ac:dyDescent="0.3">
      <c r="B2355" s="10"/>
      <c r="I2355" s="11"/>
      <c r="K2355" s="12"/>
      <c r="L2355" s="12"/>
      <c r="M2355" s="12"/>
      <c r="N2355" s="12"/>
      <c r="O2355" s="12"/>
    </row>
    <row r="2356" spans="2:15" x14ac:dyDescent="0.3">
      <c r="B2356" s="10"/>
      <c r="I2356" s="11"/>
      <c r="K2356" s="12"/>
      <c r="L2356" s="12"/>
      <c r="M2356" s="12"/>
      <c r="N2356" s="12"/>
      <c r="O2356" s="12"/>
    </row>
    <row r="2357" spans="2:15" x14ac:dyDescent="0.3">
      <c r="B2357" s="10"/>
      <c r="I2357" s="11"/>
      <c r="K2357" s="12"/>
      <c r="L2357" s="12"/>
      <c r="M2357" s="12"/>
      <c r="N2357" s="12"/>
      <c r="O2357" s="12"/>
    </row>
    <row r="2358" spans="2:15" x14ac:dyDescent="0.3">
      <c r="B2358" s="10"/>
      <c r="I2358" s="11"/>
      <c r="K2358" s="12"/>
      <c r="L2358" s="12"/>
      <c r="M2358" s="12"/>
      <c r="N2358" s="12"/>
      <c r="O2358" s="12"/>
    </row>
    <row r="2359" spans="2:15" x14ac:dyDescent="0.3">
      <c r="B2359" s="10"/>
      <c r="I2359" s="11"/>
      <c r="K2359" s="12"/>
      <c r="L2359" s="12"/>
      <c r="M2359" s="12"/>
      <c r="N2359" s="12"/>
      <c r="O2359" s="12"/>
    </row>
    <row r="2360" spans="2:15" x14ac:dyDescent="0.3">
      <c r="B2360" s="10"/>
      <c r="I2360" s="11"/>
      <c r="K2360" s="12"/>
      <c r="L2360" s="12"/>
      <c r="M2360" s="12"/>
      <c r="N2360" s="12"/>
      <c r="O2360" s="12"/>
    </row>
    <row r="2361" spans="2:15" x14ac:dyDescent="0.3">
      <c r="B2361" s="10"/>
      <c r="I2361" s="11"/>
      <c r="K2361" s="12"/>
      <c r="L2361" s="12"/>
      <c r="M2361" s="12"/>
      <c r="N2361" s="12"/>
      <c r="O2361" s="12"/>
    </row>
    <row r="2362" spans="2:15" x14ac:dyDescent="0.3">
      <c r="B2362" s="10"/>
      <c r="I2362" s="11"/>
      <c r="K2362" s="12"/>
      <c r="L2362" s="12"/>
      <c r="M2362" s="12"/>
      <c r="N2362" s="12"/>
      <c r="O2362" s="12"/>
    </row>
    <row r="2363" spans="2:15" x14ac:dyDescent="0.3">
      <c r="B2363" s="10"/>
      <c r="I2363" s="11"/>
      <c r="K2363" s="12"/>
      <c r="L2363" s="12"/>
      <c r="M2363" s="12"/>
      <c r="N2363" s="12"/>
      <c r="O2363" s="12"/>
    </row>
    <row r="2364" spans="2:15" x14ac:dyDescent="0.3">
      <c r="B2364" s="10"/>
      <c r="I2364" s="11"/>
      <c r="K2364" s="12"/>
      <c r="L2364" s="12"/>
      <c r="M2364" s="12"/>
      <c r="N2364" s="12"/>
      <c r="O2364" s="12"/>
    </row>
    <row r="2365" spans="2:15" x14ac:dyDescent="0.3">
      <c r="B2365" s="10"/>
      <c r="I2365" s="11"/>
      <c r="K2365" s="12"/>
      <c r="L2365" s="12"/>
      <c r="M2365" s="12"/>
      <c r="N2365" s="12"/>
      <c r="O2365" s="12"/>
    </row>
    <row r="2366" spans="2:15" x14ac:dyDescent="0.3">
      <c r="B2366" s="10"/>
      <c r="I2366" s="11"/>
      <c r="K2366" s="12"/>
      <c r="L2366" s="12"/>
      <c r="M2366" s="12"/>
      <c r="N2366" s="12"/>
      <c r="O2366" s="12"/>
    </row>
    <row r="2367" spans="2:15" x14ac:dyDescent="0.3">
      <c r="B2367" s="10"/>
      <c r="I2367" s="11"/>
      <c r="K2367" s="12"/>
      <c r="L2367" s="12"/>
      <c r="M2367" s="12"/>
      <c r="N2367" s="12"/>
      <c r="O2367" s="12"/>
    </row>
    <row r="2368" spans="2:15" x14ac:dyDescent="0.3">
      <c r="B2368" s="10"/>
      <c r="I2368" s="11"/>
      <c r="K2368" s="12"/>
      <c r="L2368" s="12"/>
      <c r="M2368" s="12"/>
      <c r="N2368" s="12"/>
      <c r="O2368" s="12"/>
    </row>
    <row r="2369" spans="2:15" x14ac:dyDescent="0.3">
      <c r="B2369" s="10"/>
      <c r="I2369" s="11"/>
      <c r="K2369" s="12"/>
      <c r="L2369" s="12"/>
      <c r="M2369" s="12"/>
      <c r="N2369" s="12"/>
      <c r="O2369" s="12"/>
    </row>
    <row r="2370" spans="2:15" x14ac:dyDescent="0.3">
      <c r="B2370" s="10"/>
      <c r="I2370" s="11"/>
      <c r="K2370" s="12"/>
      <c r="L2370" s="12"/>
      <c r="M2370" s="12"/>
      <c r="N2370" s="12"/>
      <c r="O2370" s="12"/>
    </row>
    <row r="2371" spans="2:15" x14ac:dyDescent="0.3">
      <c r="B2371" s="10"/>
      <c r="I2371" s="11"/>
      <c r="K2371" s="12"/>
      <c r="L2371" s="12"/>
      <c r="M2371" s="12"/>
      <c r="N2371" s="12"/>
      <c r="O2371" s="12"/>
    </row>
    <row r="2372" spans="2:15" x14ac:dyDescent="0.3">
      <c r="B2372" s="10"/>
      <c r="I2372" s="11"/>
      <c r="K2372" s="12"/>
      <c r="L2372" s="12"/>
      <c r="M2372" s="12"/>
      <c r="N2372" s="12"/>
      <c r="O2372" s="12"/>
    </row>
    <row r="2373" spans="2:15" x14ac:dyDescent="0.3">
      <c r="B2373" s="10"/>
      <c r="I2373" s="11"/>
      <c r="K2373" s="12"/>
      <c r="L2373" s="12"/>
      <c r="M2373" s="12"/>
      <c r="N2373" s="12"/>
      <c r="O2373" s="12"/>
    </row>
    <row r="2374" spans="2:15" x14ac:dyDescent="0.3">
      <c r="B2374" s="10"/>
      <c r="I2374" s="11"/>
      <c r="K2374" s="12"/>
      <c r="L2374" s="12"/>
      <c r="M2374" s="12"/>
      <c r="N2374" s="12"/>
      <c r="O2374" s="12"/>
    </row>
    <row r="2375" spans="2:15" x14ac:dyDescent="0.3">
      <c r="B2375" s="10"/>
      <c r="I2375" s="11"/>
      <c r="K2375" s="12"/>
      <c r="L2375" s="12"/>
      <c r="M2375" s="12"/>
      <c r="N2375" s="12"/>
      <c r="O2375" s="12"/>
    </row>
    <row r="2376" spans="2:15" x14ac:dyDescent="0.3">
      <c r="B2376" s="10"/>
      <c r="I2376" s="11"/>
      <c r="K2376" s="12"/>
      <c r="L2376" s="12"/>
      <c r="M2376" s="12"/>
      <c r="N2376" s="12"/>
      <c r="O2376" s="12"/>
    </row>
    <row r="2377" spans="2:15" x14ac:dyDescent="0.3">
      <c r="B2377" s="10"/>
      <c r="I2377" s="11"/>
      <c r="K2377" s="12"/>
      <c r="L2377" s="12"/>
      <c r="M2377" s="12"/>
      <c r="N2377" s="12"/>
      <c r="O2377" s="12"/>
    </row>
    <row r="2378" spans="2:15" x14ac:dyDescent="0.3">
      <c r="B2378" s="10"/>
      <c r="I2378" s="11"/>
      <c r="K2378" s="12"/>
      <c r="L2378" s="12"/>
      <c r="M2378" s="12"/>
      <c r="N2378" s="12"/>
      <c r="O2378" s="12"/>
    </row>
    <row r="2379" spans="2:15" x14ac:dyDescent="0.3">
      <c r="B2379" s="10"/>
      <c r="I2379" s="11"/>
      <c r="K2379" s="12"/>
      <c r="L2379" s="12"/>
      <c r="M2379" s="12"/>
      <c r="N2379" s="12"/>
      <c r="O2379" s="12"/>
    </row>
    <row r="2380" spans="2:15" x14ac:dyDescent="0.3">
      <c r="B2380" s="10"/>
      <c r="I2380" s="11"/>
      <c r="K2380" s="12"/>
      <c r="L2380" s="12"/>
      <c r="M2380" s="12"/>
      <c r="N2380" s="12"/>
      <c r="O2380" s="12"/>
    </row>
    <row r="2381" spans="2:15" x14ac:dyDescent="0.3">
      <c r="B2381" s="10"/>
      <c r="I2381" s="11"/>
      <c r="K2381" s="12"/>
      <c r="L2381" s="12"/>
      <c r="M2381" s="12"/>
      <c r="N2381" s="12"/>
      <c r="O2381" s="12"/>
    </row>
    <row r="2382" spans="2:15" x14ac:dyDescent="0.3">
      <c r="B2382" s="10"/>
      <c r="I2382" s="11"/>
      <c r="K2382" s="12"/>
      <c r="L2382" s="12"/>
      <c r="M2382" s="12"/>
      <c r="N2382" s="12"/>
      <c r="O2382" s="12"/>
    </row>
    <row r="2383" spans="2:15" x14ac:dyDescent="0.3">
      <c r="B2383" s="10"/>
      <c r="I2383" s="11"/>
      <c r="K2383" s="12"/>
      <c r="L2383" s="12"/>
      <c r="M2383" s="12"/>
      <c r="N2383" s="12"/>
      <c r="O2383" s="12"/>
    </row>
    <row r="2384" spans="2:15" x14ac:dyDescent="0.3">
      <c r="B2384" s="10"/>
      <c r="I2384" s="11"/>
      <c r="K2384" s="12"/>
      <c r="L2384" s="12"/>
      <c r="M2384" s="12"/>
      <c r="N2384" s="12"/>
      <c r="O2384" s="12"/>
    </row>
    <row r="2385" spans="2:15" x14ac:dyDescent="0.3">
      <c r="B2385" s="10"/>
      <c r="I2385" s="11"/>
      <c r="K2385" s="12"/>
      <c r="L2385" s="12"/>
      <c r="M2385" s="12"/>
      <c r="N2385" s="12"/>
      <c r="O2385" s="12"/>
    </row>
    <row r="2386" spans="2:15" x14ac:dyDescent="0.3">
      <c r="B2386" s="10"/>
      <c r="I2386" s="11"/>
      <c r="K2386" s="12"/>
      <c r="L2386" s="12"/>
      <c r="M2386" s="12"/>
      <c r="N2386" s="12"/>
      <c r="O2386" s="12"/>
    </row>
    <row r="2387" spans="2:15" x14ac:dyDescent="0.3">
      <c r="B2387" s="10"/>
      <c r="I2387" s="11"/>
      <c r="K2387" s="12"/>
      <c r="L2387" s="12"/>
      <c r="M2387" s="12"/>
      <c r="N2387" s="12"/>
      <c r="O2387" s="12"/>
    </row>
    <row r="2388" spans="2:15" x14ac:dyDescent="0.3">
      <c r="B2388" s="10"/>
      <c r="I2388" s="11"/>
      <c r="K2388" s="12"/>
      <c r="L2388" s="12"/>
      <c r="M2388" s="12"/>
      <c r="N2388" s="12"/>
      <c r="O2388" s="12"/>
    </row>
    <row r="2389" spans="2:15" x14ac:dyDescent="0.3">
      <c r="B2389" s="10"/>
      <c r="I2389" s="11"/>
      <c r="K2389" s="12"/>
      <c r="L2389" s="12"/>
      <c r="M2389" s="12"/>
      <c r="N2389" s="12"/>
      <c r="O2389" s="12"/>
    </row>
    <row r="2390" spans="2:15" x14ac:dyDescent="0.3">
      <c r="B2390" s="10"/>
      <c r="I2390" s="11"/>
      <c r="K2390" s="12"/>
      <c r="L2390" s="12"/>
      <c r="M2390" s="12"/>
      <c r="N2390" s="12"/>
      <c r="O2390" s="12"/>
    </row>
    <row r="2391" spans="2:15" x14ac:dyDescent="0.3">
      <c r="B2391" s="10"/>
      <c r="I2391" s="11"/>
      <c r="K2391" s="12"/>
      <c r="L2391" s="12"/>
      <c r="M2391" s="12"/>
      <c r="N2391" s="12"/>
      <c r="O2391" s="12"/>
    </row>
    <row r="2392" spans="2:15" x14ac:dyDescent="0.3">
      <c r="B2392" s="10"/>
      <c r="I2392" s="11"/>
      <c r="K2392" s="12"/>
      <c r="L2392" s="12"/>
      <c r="M2392" s="12"/>
      <c r="N2392" s="12"/>
      <c r="O2392" s="12"/>
    </row>
    <row r="2393" spans="2:15" x14ac:dyDescent="0.3">
      <c r="B2393" s="10"/>
      <c r="I2393" s="11"/>
      <c r="K2393" s="12"/>
      <c r="L2393" s="12"/>
      <c r="M2393" s="12"/>
      <c r="N2393" s="12"/>
      <c r="O2393" s="12"/>
    </row>
    <row r="2394" spans="2:15" x14ac:dyDescent="0.3">
      <c r="B2394" s="10"/>
      <c r="I2394" s="11"/>
      <c r="K2394" s="12"/>
      <c r="L2394" s="12"/>
      <c r="M2394" s="12"/>
      <c r="N2394" s="12"/>
      <c r="O2394" s="12"/>
    </row>
    <row r="2395" spans="2:15" x14ac:dyDescent="0.3">
      <c r="B2395" s="10"/>
      <c r="I2395" s="11"/>
      <c r="K2395" s="12"/>
      <c r="L2395" s="12"/>
      <c r="M2395" s="12"/>
      <c r="N2395" s="12"/>
      <c r="O2395" s="12"/>
    </row>
    <row r="2396" spans="2:15" x14ac:dyDescent="0.3">
      <c r="B2396" s="10"/>
      <c r="I2396" s="11"/>
      <c r="K2396" s="12"/>
      <c r="L2396" s="12"/>
      <c r="M2396" s="12"/>
      <c r="N2396" s="12"/>
      <c r="O2396" s="12"/>
    </row>
    <row r="2397" spans="2:15" x14ac:dyDescent="0.3">
      <c r="B2397" s="10"/>
      <c r="I2397" s="11"/>
      <c r="K2397" s="12"/>
      <c r="L2397" s="12"/>
      <c r="M2397" s="12"/>
      <c r="N2397" s="12"/>
      <c r="O2397" s="12"/>
    </row>
    <row r="2398" spans="2:15" x14ac:dyDescent="0.3">
      <c r="B2398" s="10"/>
      <c r="I2398" s="11"/>
      <c r="K2398" s="12"/>
      <c r="L2398" s="12"/>
      <c r="M2398" s="12"/>
      <c r="N2398" s="12"/>
      <c r="O2398" s="12"/>
    </row>
    <row r="2399" spans="2:15" x14ac:dyDescent="0.3">
      <c r="B2399" s="10"/>
      <c r="I2399" s="11"/>
      <c r="K2399" s="12"/>
      <c r="L2399" s="12"/>
      <c r="M2399" s="12"/>
      <c r="N2399" s="12"/>
      <c r="O2399" s="12"/>
    </row>
    <row r="2400" spans="2:15" x14ac:dyDescent="0.3">
      <c r="B2400" s="10"/>
      <c r="I2400" s="11"/>
      <c r="K2400" s="12"/>
      <c r="L2400" s="12"/>
      <c r="M2400" s="12"/>
      <c r="N2400" s="12"/>
      <c r="O2400" s="12"/>
    </row>
    <row r="2401" spans="2:15" x14ac:dyDescent="0.3">
      <c r="B2401" s="10"/>
      <c r="I2401" s="11"/>
      <c r="K2401" s="12"/>
      <c r="L2401" s="12"/>
      <c r="M2401" s="12"/>
      <c r="N2401" s="12"/>
      <c r="O2401" s="12"/>
    </row>
    <row r="2402" spans="2:15" x14ac:dyDescent="0.3">
      <c r="B2402" s="10"/>
      <c r="I2402" s="11"/>
      <c r="K2402" s="12"/>
      <c r="L2402" s="12"/>
      <c r="M2402" s="12"/>
      <c r="N2402" s="12"/>
      <c r="O2402" s="12"/>
    </row>
    <row r="2403" spans="2:15" x14ac:dyDescent="0.3">
      <c r="B2403" s="10"/>
      <c r="I2403" s="11"/>
      <c r="K2403" s="12"/>
      <c r="L2403" s="12"/>
      <c r="M2403" s="12"/>
      <c r="N2403" s="12"/>
      <c r="O2403" s="12"/>
    </row>
    <row r="2404" spans="2:15" x14ac:dyDescent="0.3">
      <c r="B2404" s="10"/>
      <c r="I2404" s="11"/>
      <c r="K2404" s="12"/>
      <c r="L2404" s="12"/>
      <c r="M2404" s="12"/>
      <c r="N2404" s="12"/>
      <c r="O2404" s="12"/>
    </row>
    <row r="2405" spans="2:15" x14ac:dyDescent="0.3">
      <c r="B2405" s="10"/>
      <c r="I2405" s="11"/>
      <c r="K2405" s="12"/>
      <c r="L2405" s="12"/>
      <c r="M2405" s="12"/>
      <c r="N2405" s="12"/>
      <c r="O2405" s="12"/>
    </row>
    <row r="2406" spans="2:15" x14ac:dyDescent="0.3">
      <c r="B2406" s="10"/>
      <c r="I2406" s="11"/>
      <c r="K2406" s="12"/>
      <c r="L2406" s="12"/>
      <c r="M2406" s="12"/>
      <c r="N2406" s="12"/>
      <c r="O2406" s="12"/>
    </row>
    <row r="2407" spans="2:15" x14ac:dyDescent="0.3">
      <c r="B2407" s="10"/>
      <c r="I2407" s="11"/>
      <c r="K2407" s="12"/>
      <c r="L2407" s="12"/>
      <c r="M2407" s="12"/>
      <c r="N2407" s="12"/>
      <c r="O2407" s="12"/>
    </row>
    <row r="2408" spans="2:15" x14ac:dyDescent="0.3">
      <c r="B2408" s="10"/>
      <c r="I2408" s="11"/>
      <c r="K2408" s="12"/>
      <c r="L2408" s="12"/>
      <c r="M2408" s="12"/>
      <c r="N2408" s="12"/>
      <c r="O2408" s="12"/>
    </row>
    <row r="2409" spans="2:15" x14ac:dyDescent="0.3">
      <c r="B2409" s="10"/>
      <c r="I2409" s="11"/>
      <c r="K2409" s="12"/>
      <c r="L2409" s="12"/>
      <c r="M2409" s="12"/>
      <c r="N2409" s="12"/>
      <c r="O2409" s="12"/>
    </row>
    <row r="2410" spans="2:15" x14ac:dyDescent="0.3">
      <c r="B2410" s="10"/>
      <c r="I2410" s="11"/>
      <c r="K2410" s="12"/>
      <c r="L2410" s="12"/>
      <c r="M2410" s="12"/>
      <c r="N2410" s="12"/>
      <c r="O2410" s="12"/>
    </row>
    <row r="2411" spans="2:15" x14ac:dyDescent="0.3">
      <c r="B2411" s="10"/>
      <c r="I2411" s="11"/>
      <c r="K2411" s="12"/>
      <c r="L2411" s="12"/>
      <c r="M2411" s="12"/>
      <c r="N2411" s="12"/>
      <c r="O2411" s="12"/>
    </row>
    <row r="2412" spans="2:15" x14ac:dyDescent="0.3">
      <c r="B2412" s="10"/>
      <c r="I2412" s="11"/>
      <c r="K2412" s="12"/>
      <c r="L2412" s="12"/>
      <c r="M2412" s="12"/>
      <c r="N2412" s="12"/>
      <c r="O2412" s="12"/>
    </row>
    <row r="2413" spans="2:15" x14ac:dyDescent="0.3">
      <c r="B2413" s="10"/>
      <c r="I2413" s="11"/>
      <c r="K2413" s="12"/>
      <c r="L2413" s="12"/>
      <c r="M2413" s="12"/>
      <c r="N2413" s="12"/>
      <c r="O2413" s="12"/>
    </row>
    <row r="2414" spans="2:15" x14ac:dyDescent="0.3">
      <c r="B2414" s="10"/>
      <c r="I2414" s="11"/>
      <c r="K2414" s="12"/>
      <c r="L2414" s="12"/>
      <c r="M2414" s="12"/>
      <c r="N2414" s="12"/>
      <c r="O2414" s="12"/>
    </row>
    <row r="2415" spans="2:15" x14ac:dyDescent="0.3">
      <c r="B2415" s="10"/>
      <c r="I2415" s="11"/>
      <c r="K2415" s="12"/>
      <c r="L2415" s="12"/>
      <c r="M2415" s="12"/>
      <c r="N2415" s="12"/>
      <c r="O2415" s="12"/>
    </row>
    <row r="2416" spans="2:15" x14ac:dyDescent="0.3">
      <c r="B2416" s="10"/>
      <c r="I2416" s="11"/>
      <c r="K2416" s="12"/>
      <c r="L2416" s="12"/>
      <c r="M2416" s="12"/>
      <c r="N2416" s="12"/>
      <c r="O2416" s="12"/>
    </row>
    <row r="2417" spans="2:15" x14ac:dyDescent="0.3">
      <c r="B2417" s="10"/>
      <c r="I2417" s="11"/>
      <c r="K2417" s="12"/>
      <c r="L2417" s="12"/>
      <c r="M2417" s="12"/>
      <c r="N2417" s="12"/>
      <c r="O2417" s="12"/>
    </row>
    <row r="2418" spans="2:15" x14ac:dyDescent="0.3">
      <c r="B2418" s="10"/>
      <c r="I2418" s="11"/>
      <c r="K2418" s="12"/>
      <c r="L2418" s="12"/>
      <c r="M2418" s="12"/>
      <c r="N2418" s="12"/>
      <c r="O2418" s="12"/>
    </row>
    <row r="2419" spans="2:15" x14ac:dyDescent="0.3">
      <c r="B2419" s="10"/>
      <c r="I2419" s="11"/>
      <c r="K2419" s="12"/>
      <c r="L2419" s="12"/>
      <c r="M2419" s="12"/>
      <c r="N2419" s="12"/>
      <c r="O2419" s="12"/>
    </row>
    <row r="2420" spans="2:15" x14ac:dyDescent="0.3">
      <c r="B2420" s="10"/>
      <c r="I2420" s="11"/>
      <c r="K2420" s="12"/>
      <c r="L2420" s="12"/>
      <c r="M2420" s="12"/>
      <c r="N2420" s="12"/>
      <c r="O2420" s="12"/>
    </row>
    <row r="2421" spans="2:15" x14ac:dyDescent="0.3">
      <c r="B2421" s="10"/>
      <c r="I2421" s="11"/>
      <c r="K2421" s="12"/>
      <c r="L2421" s="12"/>
      <c r="M2421" s="12"/>
      <c r="N2421" s="12"/>
      <c r="O2421" s="12"/>
    </row>
    <row r="2422" spans="2:15" x14ac:dyDescent="0.3">
      <c r="B2422" s="10"/>
      <c r="I2422" s="11"/>
      <c r="K2422" s="12"/>
      <c r="L2422" s="12"/>
      <c r="M2422" s="12"/>
      <c r="N2422" s="12"/>
      <c r="O2422" s="12"/>
    </row>
    <row r="2423" spans="2:15" x14ac:dyDescent="0.3">
      <c r="B2423" s="10"/>
      <c r="I2423" s="11"/>
      <c r="K2423" s="12"/>
      <c r="L2423" s="12"/>
      <c r="M2423" s="12"/>
      <c r="N2423" s="12"/>
      <c r="O2423" s="12"/>
    </row>
    <row r="2424" spans="2:15" x14ac:dyDescent="0.3">
      <c r="B2424" s="10"/>
      <c r="I2424" s="11"/>
      <c r="K2424" s="12"/>
      <c r="L2424" s="12"/>
      <c r="M2424" s="12"/>
      <c r="N2424" s="12"/>
      <c r="O2424" s="12"/>
    </row>
    <row r="2425" spans="2:15" x14ac:dyDescent="0.3">
      <c r="B2425" s="10"/>
      <c r="I2425" s="11"/>
      <c r="K2425" s="12"/>
      <c r="L2425" s="12"/>
      <c r="M2425" s="12"/>
      <c r="N2425" s="12"/>
      <c r="O2425" s="12"/>
    </row>
    <row r="2426" spans="2:15" x14ac:dyDescent="0.3">
      <c r="B2426" s="10"/>
      <c r="I2426" s="11"/>
      <c r="K2426" s="12"/>
      <c r="L2426" s="12"/>
      <c r="M2426" s="12"/>
      <c r="N2426" s="12"/>
      <c r="O2426" s="12"/>
    </row>
    <row r="2427" spans="2:15" x14ac:dyDescent="0.3">
      <c r="B2427" s="10"/>
      <c r="I2427" s="11"/>
      <c r="K2427" s="12"/>
      <c r="L2427" s="12"/>
      <c r="M2427" s="12"/>
      <c r="N2427" s="12"/>
      <c r="O2427" s="12"/>
    </row>
    <row r="2428" spans="2:15" x14ac:dyDescent="0.3">
      <c r="B2428" s="10"/>
      <c r="I2428" s="11"/>
      <c r="K2428" s="12"/>
      <c r="L2428" s="12"/>
      <c r="M2428" s="12"/>
      <c r="N2428" s="12"/>
      <c r="O2428" s="12"/>
    </row>
    <row r="2429" spans="2:15" x14ac:dyDescent="0.3">
      <c r="B2429" s="10"/>
      <c r="I2429" s="11"/>
      <c r="K2429" s="12"/>
      <c r="L2429" s="12"/>
      <c r="M2429" s="12"/>
      <c r="N2429" s="12"/>
      <c r="O2429" s="12"/>
    </row>
    <row r="2430" spans="2:15" x14ac:dyDescent="0.3">
      <c r="B2430" s="10"/>
      <c r="I2430" s="11"/>
      <c r="K2430" s="12"/>
      <c r="L2430" s="12"/>
      <c r="M2430" s="12"/>
      <c r="N2430" s="12"/>
      <c r="O2430" s="12"/>
    </row>
    <row r="2431" spans="2:15" x14ac:dyDescent="0.3">
      <c r="B2431" s="10"/>
      <c r="I2431" s="11"/>
      <c r="K2431" s="12"/>
      <c r="L2431" s="12"/>
      <c r="M2431" s="12"/>
      <c r="N2431" s="12"/>
      <c r="O2431" s="12"/>
    </row>
    <row r="2432" spans="2:15" x14ac:dyDescent="0.3">
      <c r="B2432" s="10"/>
      <c r="I2432" s="11"/>
      <c r="K2432" s="12"/>
      <c r="L2432" s="12"/>
      <c r="M2432" s="12"/>
      <c r="N2432" s="12"/>
      <c r="O2432" s="12"/>
    </row>
    <row r="2433" spans="2:15" x14ac:dyDescent="0.3">
      <c r="B2433" s="10"/>
      <c r="I2433" s="11"/>
      <c r="K2433" s="12"/>
      <c r="L2433" s="12"/>
      <c r="M2433" s="12"/>
      <c r="N2433" s="12"/>
      <c r="O2433" s="12"/>
    </row>
    <row r="2434" spans="2:15" x14ac:dyDescent="0.3">
      <c r="B2434" s="10"/>
      <c r="I2434" s="11"/>
      <c r="K2434" s="12"/>
      <c r="L2434" s="12"/>
      <c r="M2434" s="12"/>
      <c r="N2434" s="12"/>
      <c r="O2434" s="12"/>
    </row>
    <row r="2435" spans="2:15" x14ac:dyDescent="0.3">
      <c r="B2435" s="10"/>
      <c r="I2435" s="11"/>
      <c r="K2435" s="12"/>
      <c r="L2435" s="12"/>
      <c r="M2435" s="12"/>
      <c r="N2435" s="12"/>
      <c r="O2435" s="12"/>
    </row>
    <row r="2436" spans="2:15" x14ac:dyDescent="0.3">
      <c r="B2436" s="10"/>
      <c r="I2436" s="11"/>
      <c r="K2436" s="12"/>
      <c r="L2436" s="12"/>
      <c r="M2436" s="12"/>
      <c r="N2436" s="12"/>
      <c r="O2436" s="12"/>
    </row>
    <row r="2437" spans="2:15" x14ac:dyDescent="0.3">
      <c r="B2437" s="10"/>
      <c r="I2437" s="11"/>
      <c r="K2437" s="12"/>
      <c r="L2437" s="12"/>
      <c r="M2437" s="12"/>
      <c r="N2437" s="12"/>
      <c r="O2437" s="12"/>
    </row>
    <row r="2438" spans="2:15" x14ac:dyDescent="0.3">
      <c r="B2438" s="10"/>
      <c r="I2438" s="11"/>
      <c r="K2438" s="12"/>
      <c r="L2438" s="12"/>
      <c r="M2438" s="12"/>
      <c r="N2438" s="12"/>
      <c r="O2438" s="12"/>
    </row>
    <row r="2439" spans="2:15" x14ac:dyDescent="0.3">
      <c r="B2439" s="10"/>
      <c r="I2439" s="11"/>
      <c r="K2439" s="12"/>
      <c r="L2439" s="12"/>
      <c r="M2439" s="12"/>
      <c r="N2439" s="12"/>
      <c r="O2439" s="12"/>
    </row>
    <row r="2440" spans="2:15" x14ac:dyDescent="0.3">
      <c r="B2440" s="10"/>
      <c r="I2440" s="11"/>
      <c r="K2440" s="12"/>
      <c r="L2440" s="12"/>
      <c r="M2440" s="12"/>
      <c r="N2440" s="12"/>
      <c r="O2440" s="12"/>
    </row>
    <row r="2441" spans="2:15" x14ac:dyDescent="0.3">
      <c r="B2441" s="10"/>
      <c r="I2441" s="11"/>
      <c r="K2441" s="12"/>
      <c r="L2441" s="12"/>
      <c r="M2441" s="12"/>
      <c r="N2441" s="12"/>
      <c r="O2441" s="12"/>
    </row>
    <row r="2442" spans="2:15" x14ac:dyDescent="0.3">
      <c r="B2442" s="10"/>
      <c r="I2442" s="11"/>
      <c r="K2442" s="12"/>
      <c r="L2442" s="12"/>
      <c r="M2442" s="12"/>
      <c r="N2442" s="12"/>
      <c r="O2442" s="12"/>
    </row>
    <row r="2443" spans="2:15" x14ac:dyDescent="0.3">
      <c r="B2443" s="10"/>
      <c r="I2443" s="11"/>
      <c r="K2443" s="12"/>
      <c r="L2443" s="12"/>
      <c r="M2443" s="12"/>
      <c r="N2443" s="12"/>
      <c r="O2443" s="12"/>
    </row>
    <row r="2444" spans="2:15" x14ac:dyDescent="0.3">
      <c r="B2444" s="10"/>
      <c r="I2444" s="11"/>
      <c r="K2444" s="12"/>
      <c r="L2444" s="12"/>
      <c r="M2444" s="12"/>
      <c r="N2444" s="12"/>
      <c r="O2444" s="12"/>
    </row>
    <row r="2445" spans="2:15" x14ac:dyDescent="0.3">
      <c r="B2445" s="10"/>
      <c r="I2445" s="11"/>
      <c r="K2445" s="12"/>
      <c r="L2445" s="12"/>
      <c r="M2445" s="12"/>
      <c r="N2445" s="12"/>
      <c r="O2445" s="12"/>
    </row>
    <row r="2446" spans="2:15" x14ac:dyDescent="0.3">
      <c r="B2446" s="10"/>
      <c r="I2446" s="11"/>
      <c r="K2446" s="12"/>
      <c r="L2446" s="12"/>
      <c r="M2446" s="12"/>
      <c r="N2446" s="12"/>
      <c r="O2446" s="12"/>
    </row>
    <row r="2447" spans="2:15" x14ac:dyDescent="0.3">
      <c r="B2447" s="10"/>
      <c r="I2447" s="11"/>
      <c r="K2447" s="12"/>
      <c r="L2447" s="12"/>
      <c r="M2447" s="12"/>
      <c r="N2447" s="12"/>
      <c r="O2447" s="12"/>
    </row>
    <row r="2448" spans="2:15" x14ac:dyDescent="0.3">
      <c r="B2448" s="10"/>
      <c r="I2448" s="11"/>
      <c r="K2448" s="12"/>
      <c r="L2448" s="12"/>
      <c r="M2448" s="12"/>
      <c r="N2448" s="12"/>
      <c r="O2448" s="12"/>
    </row>
    <row r="2449" spans="2:15" x14ac:dyDescent="0.3">
      <c r="B2449" s="10"/>
      <c r="I2449" s="11"/>
      <c r="K2449" s="12"/>
      <c r="L2449" s="12"/>
      <c r="M2449" s="12"/>
      <c r="N2449" s="12"/>
      <c r="O2449" s="12"/>
    </row>
    <row r="2450" spans="2:15" x14ac:dyDescent="0.3">
      <c r="B2450" s="10"/>
      <c r="I2450" s="11"/>
      <c r="K2450" s="12"/>
      <c r="L2450" s="12"/>
      <c r="M2450" s="12"/>
      <c r="N2450" s="12"/>
      <c r="O2450" s="12"/>
    </row>
    <row r="2451" spans="2:15" x14ac:dyDescent="0.3">
      <c r="B2451" s="10"/>
      <c r="I2451" s="11"/>
      <c r="K2451" s="12"/>
      <c r="L2451" s="12"/>
      <c r="M2451" s="12"/>
      <c r="N2451" s="12"/>
      <c r="O2451" s="12"/>
    </row>
    <row r="2452" spans="2:15" x14ac:dyDescent="0.3">
      <c r="B2452" s="10"/>
      <c r="I2452" s="11"/>
      <c r="K2452" s="12"/>
      <c r="L2452" s="12"/>
      <c r="M2452" s="12"/>
      <c r="N2452" s="12"/>
      <c r="O2452" s="12"/>
    </row>
    <row r="2453" spans="2:15" x14ac:dyDescent="0.3">
      <c r="B2453" s="10"/>
      <c r="I2453" s="11"/>
      <c r="K2453" s="12"/>
      <c r="L2453" s="12"/>
      <c r="M2453" s="12"/>
      <c r="N2453" s="12"/>
      <c r="O2453" s="12"/>
    </row>
    <row r="2454" spans="2:15" x14ac:dyDescent="0.3">
      <c r="B2454" s="10"/>
      <c r="I2454" s="11"/>
      <c r="K2454" s="12"/>
      <c r="L2454" s="12"/>
      <c r="M2454" s="12"/>
      <c r="N2454" s="12"/>
      <c r="O2454" s="12"/>
    </row>
    <row r="2455" spans="2:15" x14ac:dyDescent="0.3">
      <c r="B2455" s="10"/>
      <c r="I2455" s="11"/>
      <c r="K2455" s="12"/>
      <c r="L2455" s="12"/>
      <c r="M2455" s="12"/>
      <c r="N2455" s="12"/>
      <c r="O2455" s="12"/>
    </row>
    <row r="2456" spans="2:15" x14ac:dyDescent="0.3">
      <c r="B2456" s="10"/>
      <c r="I2456" s="11"/>
      <c r="K2456" s="12"/>
      <c r="L2456" s="12"/>
      <c r="M2456" s="12"/>
      <c r="N2456" s="12"/>
      <c r="O2456" s="12"/>
    </row>
    <row r="2457" spans="2:15" x14ac:dyDescent="0.3">
      <c r="B2457" s="10"/>
      <c r="I2457" s="11"/>
      <c r="K2457" s="12"/>
      <c r="L2457" s="12"/>
      <c r="M2457" s="12"/>
      <c r="N2457" s="12"/>
      <c r="O2457" s="12"/>
    </row>
    <row r="2458" spans="2:15" x14ac:dyDescent="0.3">
      <c r="B2458" s="10"/>
      <c r="I2458" s="11"/>
      <c r="K2458" s="12"/>
      <c r="L2458" s="12"/>
      <c r="M2458" s="12"/>
      <c r="N2458" s="12"/>
      <c r="O2458" s="12"/>
    </row>
    <row r="2459" spans="2:15" x14ac:dyDescent="0.3">
      <c r="B2459" s="10"/>
      <c r="I2459" s="11"/>
      <c r="K2459" s="12"/>
      <c r="L2459" s="12"/>
      <c r="M2459" s="12"/>
      <c r="N2459" s="12"/>
      <c r="O2459" s="12"/>
    </row>
    <row r="2460" spans="2:15" x14ac:dyDescent="0.3">
      <c r="B2460" s="10"/>
      <c r="I2460" s="11"/>
      <c r="K2460" s="12"/>
      <c r="L2460" s="12"/>
      <c r="M2460" s="12"/>
      <c r="N2460" s="12"/>
      <c r="O2460" s="12"/>
    </row>
    <row r="2461" spans="2:15" x14ac:dyDescent="0.3">
      <c r="B2461" s="10"/>
      <c r="I2461" s="11"/>
      <c r="K2461" s="12"/>
      <c r="L2461" s="12"/>
      <c r="M2461" s="12"/>
      <c r="N2461" s="12"/>
      <c r="O2461" s="12"/>
    </row>
    <row r="2462" spans="2:15" x14ac:dyDescent="0.3">
      <c r="B2462" s="10"/>
      <c r="I2462" s="11"/>
      <c r="K2462" s="12"/>
      <c r="L2462" s="12"/>
      <c r="M2462" s="12"/>
      <c r="N2462" s="12"/>
      <c r="O2462" s="12"/>
    </row>
    <row r="2463" spans="2:15" x14ac:dyDescent="0.3">
      <c r="B2463" s="10"/>
      <c r="I2463" s="11"/>
      <c r="K2463" s="12"/>
      <c r="L2463" s="12"/>
      <c r="M2463" s="12"/>
      <c r="N2463" s="12"/>
      <c r="O2463" s="12"/>
    </row>
    <row r="2464" spans="2:15" x14ac:dyDescent="0.3">
      <c r="B2464" s="10"/>
      <c r="I2464" s="11"/>
      <c r="K2464" s="12"/>
      <c r="L2464" s="12"/>
      <c r="M2464" s="12"/>
      <c r="N2464" s="12"/>
      <c r="O2464" s="12"/>
    </row>
    <row r="2465" spans="2:15" x14ac:dyDescent="0.3">
      <c r="B2465" s="10"/>
      <c r="I2465" s="11"/>
      <c r="K2465" s="12"/>
      <c r="L2465" s="12"/>
      <c r="M2465" s="12"/>
      <c r="N2465" s="12"/>
      <c r="O2465" s="12"/>
    </row>
    <row r="2466" spans="2:15" x14ac:dyDescent="0.3">
      <c r="B2466" s="10"/>
      <c r="I2466" s="11"/>
      <c r="K2466" s="12"/>
      <c r="L2466" s="12"/>
      <c r="M2466" s="12"/>
      <c r="N2466" s="12"/>
      <c r="O2466" s="12"/>
    </row>
    <row r="2467" spans="2:15" x14ac:dyDescent="0.3">
      <c r="B2467" s="10"/>
      <c r="I2467" s="11"/>
      <c r="K2467" s="12"/>
      <c r="L2467" s="12"/>
      <c r="M2467" s="12"/>
      <c r="N2467" s="12"/>
      <c r="O2467" s="12"/>
    </row>
    <row r="2468" spans="2:15" x14ac:dyDescent="0.3">
      <c r="B2468" s="10"/>
      <c r="I2468" s="11"/>
      <c r="K2468" s="12"/>
      <c r="L2468" s="12"/>
      <c r="M2468" s="12"/>
      <c r="N2468" s="12"/>
      <c r="O2468" s="12"/>
    </row>
    <row r="2469" spans="2:15" x14ac:dyDescent="0.3">
      <c r="B2469" s="10"/>
      <c r="I2469" s="11"/>
      <c r="K2469" s="12"/>
      <c r="L2469" s="12"/>
      <c r="M2469" s="12"/>
      <c r="N2469" s="12"/>
      <c r="O2469" s="12"/>
    </row>
    <row r="2470" spans="2:15" x14ac:dyDescent="0.3">
      <c r="B2470" s="10"/>
      <c r="I2470" s="11"/>
      <c r="K2470" s="12"/>
      <c r="L2470" s="12"/>
      <c r="M2470" s="12"/>
      <c r="N2470" s="12"/>
      <c r="O2470" s="12"/>
    </row>
    <row r="2471" spans="2:15" x14ac:dyDescent="0.3">
      <c r="B2471" s="10"/>
      <c r="I2471" s="11"/>
      <c r="K2471" s="12"/>
      <c r="L2471" s="12"/>
      <c r="M2471" s="12"/>
      <c r="N2471" s="12"/>
      <c r="O2471" s="12"/>
    </row>
    <row r="2472" spans="2:15" x14ac:dyDescent="0.3">
      <c r="B2472" s="10"/>
      <c r="I2472" s="11"/>
      <c r="K2472" s="12"/>
      <c r="L2472" s="12"/>
      <c r="M2472" s="12"/>
      <c r="N2472" s="12"/>
      <c r="O2472" s="12"/>
    </row>
    <row r="2473" spans="2:15" x14ac:dyDescent="0.3">
      <c r="B2473" s="10"/>
      <c r="I2473" s="11"/>
      <c r="K2473" s="12"/>
      <c r="L2473" s="12"/>
      <c r="M2473" s="12"/>
      <c r="N2473" s="12"/>
      <c r="O2473" s="12"/>
    </row>
    <row r="2474" spans="2:15" x14ac:dyDescent="0.3">
      <c r="B2474" s="10"/>
      <c r="I2474" s="11"/>
      <c r="K2474" s="12"/>
      <c r="L2474" s="12"/>
      <c r="M2474" s="12"/>
      <c r="N2474" s="12"/>
      <c r="O2474" s="12"/>
    </row>
    <row r="2475" spans="2:15" x14ac:dyDescent="0.3">
      <c r="B2475" s="10"/>
      <c r="I2475" s="11"/>
      <c r="K2475" s="12"/>
      <c r="L2475" s="12"/>
      <c r="M2475" s="12"/>
      <c r="N2475" s="12"/>
      <c r="O2475" s="12"/>
    </row>
    <row r="2476" spans="2:15" x14ac:dyDescent="0.3">
      <c r="B2476" s="10"/>
      <c r="I2476" s="11"/>
      <c r="K2476" s="12"/>
      <c r="L2476" s="12"/>
      <c r="M2476" s="12"/>
      <c r="N2476" s="12"/>
      <c r="O2476" s="12"/>
    </row>
    <row r="2477" spans="2:15" x14ac:dyDescent="0.3">
      <c r="B2477" s="10"/>
      <c r="I2477" s="11"/>
      <c r="K2477" s="12"/>
      <c r="L2477" s="12"/>
      <c r="M2477" s="12"/>
      <c r="N2477" s="12"/>
      <c r="O2477" s="12"/>
    </row>
    <row r="2478" spans="2:15" x14ac:dyDescent="0.3">
      <c r="B2478" s="10"/>
      <c r="I2478" s="11"/>
      <c r="K2478" s="12"/>
      <c r="L2478" s="12"/>
      <c r="M2478" s="12"/>
      <c r="N2478" s="12"/>
      <c r="O2478" s="12"/>
    </row>
    <row r="2479" spans="2:15" x14ac:dyDescent="0.3">
      <c r="B2479" s="10"/>
      <c r="I2479" s="11"/>
      <c r="K2479" s="12"/>
      <c r="L2479" s="12"/>
      <c r="M2479" s="12"/>
      <c r="N2479" s="12"/>
      <c r="O2479" s="12"/>
    </row>
    <row r="2480" spans="2:15" x14ac:dyDescent="0.3">
      <c r="B2480" s="10"/>
      <c r="I2480" s="11"/>
      <c r="K2480" s="12"/>
      <c r="L2480" s="12"/>
      <c r="M2480" s="12"/>
      <c r="N2480" s="12"/>
      <c r="O2480" s="12"/>
    </row>
    <row r="2481" spans="2:15" x14ac:dyDescent="0.3">
      <c r="B2481" s="10"/>
      <c r="I2481" s="11"/>
      <c r="K2481" s="12"/>
      <c r="L2481" s="12"/>
      <c r="M2481" s="12"/>
      <c r="N2481" s="12"/>
      <c r="O2481" s="12"/>
    </row>
    <row r="2482" spans="2:15" x14ac:dyDescent="0.3">
      <c r="B2482" s="10"/>
      <c r="I2482" s="11"/>
      <c r="K2482" s="12"/>
      <c r="L2482" s="12"/>
      <c r="M2482" s="12"/>
      <c r="N2482" s="12"/>
      <c r="O2482" s="12"/>
    </row>
    <row r="2483" spans="2:15" x14ac:dyDescent="0.3">
      <c r="B2483" s="10"/>
      <c r="I2483" s="11"/>
      <c r="K2483" s="12"/>
      <c r="L2483" s="12"/>
      <c r="M2483" s="12"/>
      <c r="N2483" s="12"/>
      <c r="O2483" s="12"/>
    </row>
    <row r="2484" spans="2:15" x14ac:dyDescent="0.3">
      <c r="B2484" s="10"/>
      <c r="I2484" s="11"/>
      <c r="K2484" s="12"/>
      <c r="L2484" s="12"/>
      <c r="M2484" s="12"/>
      <c r="N2484" s="12"/>
      <c r="O2484" s="12"/>
    </row>
    <row r="2485" spans="2:15" x14ac:dyDescent="0.3">
      <c r="B2485" s="10"/>
      <c r="I2485" s="11"/>
      <c r="K2485" s="12"/>
      <c r="L2485" s="12"/>
      <c r="M2485" s="12"/>
      <c r="N2485" s="12"/>
      <c r="O2485" s="12"/>
    </row>
    <row r="2486" spans="2:15" x14ac:dyDescent="0.3">
      <c r="B2486" s="10"/>
      <c r="I2486" s="11"/>
      <c r="K2486" s="12"/>
      <c r="L2486" s="12"/>
      <c r="M2486" s="12"/>
      <c r="N2486" s="12"/>
      <c r="O2486" s="12"/>
    </row>
    <row r="2487" spans="2:15" x14ac:dyDescent="0.3">
      <c r="B2487" s="10"/>
      <c r="I2487" s="11"/>
      <c r="K2487" s="12"/>
      <c r="L2487" s="12"/>
      <c r="M2487" s="12"/>
      <c r="N2487" s="12"/>
      <c r="O2487" s="12"/>
    </row>
    <row r="2488" spans="2:15" x14ac:dyDescent="0.3">
      <c r="B2488" s="10"/>
      <c r="I2488" s="11"/>
      <c r="K2488" s="12"/>
      <c r="L2488" s="12"/>
      <c r="M2488" s="12"/>
      <c r="N2488" s="12"/>
      <c r="O2488" s="12"/>
    </row>
    <row r="2489" spans="2:15" x14ac:dyDescent="0.3">
      <c r="B2489" s="10"/>
      <c r="I2489" s="11"/>
      <c r="K2489" s="12"/>
      <c r="L2489" s="12"/>
      <c r="M2489" s="12"/>
      <c r="N2489" s="12"/>
      <c r="O2489" s="12"/>
    </row>
    <row r="2490" spans="2:15" x14ac:dyDescent="0.3">
      <c r="B2490" s="10"/>
      <c r="I2490" s="11"/>
      <c r="K2490" s="12"/>
      <c r="L2490" s="12"/>
      <c r="M2490" s="12"/>
      <c r="N2490" s="12"/>
      <c r="O2490" s="12"/>
    </row>
    <row r="2491" spans="2:15" x14ac:dyDescent="0.3">
      <c r="B2491" s="10"/>
      <c r="I2491" s="11"/>
      <c r="K2491" s="12"/>
      <c r="L2491" s="12"/>
      <c r="M2491" s="12"/>
      <c r="N2491" s="12"/>
      <c r="O2491" s="12"/>
    </row>
    <row r="2492" spans="2:15" x14ac:dyDescent="0.3">
      <c r="B2492" s="10"/>
      <c r="I2492" s="11"/>
      <c r="K2492" s="12"/>
      <c r="L2492" s="12"/>
      <c r="M2492" s="12"/>
      <c r="N2492" s="12"/>
      <c r="O2492" s="12"/>
    </row>
    <row r="2493" spans="2:15" x14ac:dyDescent="0.3">
      <c r="B2493" s="10"/>
      <c r="I2493" s="11"/>
      <c r="K2493" s="12"/>
      <c r="L2493" s="12"/>
      <c r="M2493" s="12"/>
      <c r="N2493" s="12"/>
      <c r="O2493" s="12"/>
    </row>
    <row r="2494" spans="2:15" x14ac:dyDescent="0.3">
      <c r="B2494" s="10"/>
      <c r="I2494" s="11"/>
      <c r="K2494" s="12"/>
      <c r="L2494" s="12"/>
      <c r="M2494" s="12"/>
      <c r="N2494" s="12"/>
      <c r="O2494" s="12"/>
    </row>
    <row r="2495" spans="2:15" x14ac:dyDescent="0.3">
      <c r="B2495" s="10"/>
      <c r="I2495" s="11"/>
      <c r="K2495" s="12"/>
      <c r="L2495" s="12"/>
      <c r="M2495" s="12"/>
      <c r="N2495" s="12"/>
      <c r="O2495" s="12"/>
    </row>
    <row r="2496" spans="2:15" x14ac:dyDescent="0.3">
      <c r="B2496" s="10"/>
      <c r="I2496" s="11"/>
      <c r="K2496" s="12"/>
      <c r="L2496" s="12"/>
      <c r="M2496" s="12"/>
      <c r="N2496" s="12"/>
      <c r="O2496" s="12"/>
    </row>
    <row r="2497" spans="2:15" x14ac:dyDescent="0.3">
      <c r="B2497" s="10"/>
      <c r="I2497" s="11"/>
      <c r="K2497" s="12"/>
      <c r="L2497" s="12"/>
      <c r="M2497" s="12"/>
      <c r="N2497" s="12"/>
      <c r="O2497" s="12"/>
    </row>
    <row r="2498" spans="2:15" x14ac:dyDescent="0.3">
      <c r="B2498" s="10"/>
      <c r="I2498" s="11"/>
      <c r="K2498" s="12"/>
      <c r="L2498" s="12"/>
      <c r="M2498" s="12"/>
      <c r="N2498" s="12"/>
      <c r="O2498" s="12"/>
    </row>
    <row r="2499" spans="2:15" x14ac:dyDescent="0.3">
      <c r="B2499" s="10"/>
      <c r="I2499" s="11"/>
      <c r="K2499" s="12"/>
      <c r="L2499" s="12"/>
      <c r="M2499" s="12"/>
      <c r="N2499" s="12"/>
      <c r="O2499" s="12"/>
    </row>
    <row r="2500" spans="2:15" x14ac:dyDescent="0.3">
      <c r="B2500" s="10"/>
      <c r="I2500" s="11"/>
      <c r="K2500" s="12"/>
      <c r="L2500" s="12"/>
      <c r="M2500" s="12"/>
      <c r="N2500" s="12"/>
      <c r="O2500" s="12"/>
    </row>
    <row r="2501" spans="2:15" x14ac:dyDescent="0.3">
      <c r="B2501" s="10"/>
      <c r="I2501" s="11"/>
      <c r="K2501" s="12"/>
      <c r="L2501" s="12"/>
      <c r="M2501" s="12"/>
      <c r="N2501" s="12"/>
      <c r="O2501" s="12"/>
    </row>
    <row r="2502" spans="2:15" x14ac:dyDescent="0.3">
      <c r="B2502" s="10"/>
      <c r="I2502" s="11"/>
      <c r="K2502" s="12"/>
      <c r="L2502" s="12"/>
      <c r="M2502" s="12"/>
      <c r="N2502" s="12"/>
      <c r="O2502" s="12"/>
    </row>
    <row r="2503" spans="2:15" x14ac:dyDescent="0.3">
      <c r="B2503" s="10"/>
      <c r="I2503" s="11"/>
      <c r="K2503" s="12"/>
      <c r="L2503" s="12"/>
      <c r="M2503" s="12"/>
      <c r="N2503" s="12"/>
      <c r="O2503" s="12"/>
    </row>
    <row r="2504" spans="2:15" x14ac:dyDescent="0.3">
      <c r="B2504" s="10"/>
      <c r="I2504" s="11"/>
      <c r="K2504" s="12"/>
      <c r="L2504" s="12"/>
      <c r="M2504" s="12"/>
      <c r="N2504" s="12"/>
      <c r="O2504" s="12"/>
    </row>
    <row r="2505" spans="2:15" x14ac:dyDescent="0.3">
      <c r="B2505" s="10"/>
      <c r="I2505" s="11"/>
      <c r="K2505" s="12"/>
      <c r="L2505" s="12"/>
      <c r="M2505" s="12"/>
      <c r="N2505" s="12"/>
      <c r="O2505" s="12"/>
    </row>
    <row r="2506" spans="2:15" x14ac:dyDescent="0.3">
      <c r="B2506" s="10"/>
      <c r="I2506" s="11"/>
      <c r="K2506" s="12"/>
      <c r="L2506" s="12"/>
      <c r="M2506" s="12"/>
      <c r="N2506" s="12"/>
      <c r="O2506" s="12"/>
    </row>
    <row r="2507" spans="2:15" x14ac:dyDescent="0.3">
      <c r="B2507" s="10"/>
      <c r="I2507" s="11"/>
      <c r="K2507" s="12"/>
      <c r="L2507" s="12"/>
      <c r="M2507" s="12"/>
      <c r="N2507" s="12"/>
      <c r="O2507" s="12"/>
    </row>
    <row r="2508" spans="2:15" x14ac:dyDescent="0.3">
      <c r="B2508" s="10"/>
      <c r="I2508" s="11"/>
      <c r="K2508" s="12"/>
      <c r="L2508" s="12"/>
      <c r="M2508" s="12"/>
      <c r="N2508" s="12"/>
      <c r="O2508" s="12"/>
    </row>
    <row r="2509" spans="2:15" x14ac:dyDescent="0.3">
      <c r="B2509" s="10"/>
      <c r="I2509" s="11"/>
      <c r="K2509" s="12"/>
      <c r="L2509" s="12"/>
      <c r="M2509" s="12"/>
      <c r="N2509" s="12"/>
      <c r="O2509" s="12"/>
    </row>
    <row r="2510" spans="2:15" x14ac:dyDescent="0.3">
      <c r="B2510" s="10"/>
      <c r="I2510" s="11"/>
      <c r="K2510" s="12"/>
      <c r="L2510" s="12"/>
      <c r="M2510" s="12"/>
      <c r="N2510" s="12"/>
      <c r="O2510" s="12"/>
    </row>
    <row r="2511" spans="2:15" x14ac:dyDescent="0.3">
      <c r="B2511" s="10"/>
      <c r="I2511" s="11"/>
      <c r="K2511" s="12"/>
      <c r="L2511" s="12"/>
      <c r="M2511" s="12"/>
      <c r="N2511" s="12"/>
      <c r="O2511" s="12"/>
    </row>
    <row r="2512" spans="2:15" x14ac:dyDescent="0.3">
      <c r="B2512" s="10"/>
      <c r="I2512" s="11"/>
      <c r="K2512" s="12"/>
      <c r="L2512" s="12"/>
      <c r="M2512" s="12"/>
      <c r="N2512" s="12"/>
      <c r="O2512" s="12"/>
    </row>
    <row r="2513" spans="2:15" x14ac:dyDescent="0.3">
      <c r="B2513" s="10"/>
      <c r="I2513" s="11"/>
      <c r="K2513" s="12"/>
      <c r="L2513" s="12"/>
      <c r="M2513" s="12"/>
      <c r="N2513" s="12"/>
      <c r="O2513" s="12"/>
    </row>
    <row r="2514" spans="2:15" x14ac:dyDescent="0.3">
      <c r="B2514" s="10"/>
      <c r="I2514" s="11"/>
      <c r="K2514" s="12"/>
      <c r="L2514" s="12"/>
      <c r="M2514" s="12"/>
      <c r="N2514" s="12"/>
      <c r="O2514" s="12"/>
    </row>
    <row r="2515" spans="2:15" x14ac:dyDescent="0.3">
      <c r="B2515" s="10"/>
      <c r="I2515" s="11"/>
      <c r="K2515" s="12"/>
      <c r="L2515" s="12"/>
      <c r="M2515" s="12"/>
      <c r="N2515" s="12"/>
      <c r="O2515" s="12"/>
    </row>
    <row r="2516" spans="2:15" x14ac:dyDescent="0.3">
      <c r="B2516" s="10"/>
      <c r="I2516" s="11"/>
      <c r="K2516" s="12"/>
      <c r="L2516" s="12"/>
      <c r="M2516" s="12"/>
      <c r="N2516" s="12"/>
      <c r="O2516" s="12"/>
    </row>
    <row r="2517" spans="2:15" x14ac:dyDescent="0.3">
      <c r="B2517" s="10"/>
      <c r="I2517" s="11"/>
      <c r="K2517" s="12"/>
      <c r="L2517" s="12"/>
      <c r="M2517" s="12"/>
      <c r="N2517" s="12"/>
      <c r="O2517" s="12"/>
    </row>
    <row r="2518" spans="2:15" x14ac:dyDescent="0.3">
      <c r="B2518" s="10"/>
      <c r="I2518" s="11"/>
      <c r="K2518" s="12"/>
      <c r="L2518" s="12"/>
      <c r="M2518" s="12"/>
      <c r="N2518" s="12"/>
      <c r="O2518" s="12"/>
    </row>
    <row r="2519" spans="2:15" x14ac:dyDescent="0.3">
      <c r="B2519" s="10"/>
      <c r="I2519" s="11"/>
      <c r="K2519" s="12"/>
      <c r="L2519" s="12"/>
      <c r="M2519" s="12"/>
      <c r="N2519" s="12"/>
      <c r="O2519" s="12"/>
    </row>
    <row r="2520" spans="2:15" x14ac:dyDescent="0.3">
      <c r="B2520" s="10"/>
      <c r="I2520" s="11"/>
      <c r="K2520" s="12"/>
      <c r="L2520" s="12"/>
      <c r="M2520" s="12"/>
      <c r="N2520" s="12"/>
      <c r="O2520" s="12"/>
    </row>
    <row r="2521" spans="2:15" x14ac:dyDescent="0.3">
      <c r="B2521" s="10"/>
      <c r="I2521" s="11"/>
      <c r="K2521" s="12"/>
      <c r="L2521" s="12"/>
      <c r="M2521" s="12"/>
      <c r="N2521" s="12"/>
      <c r="O2521" s="12"/>
    </row>
    <row r="2522" spans="2:15" x14ac:dyDescent="0.3">
      <c r="B2522" s="10"/>
      <c r="I2522" s="11"/>
      <c r="K2522" s="12"/>
      <c r="L2522" s="12"/>
      <c r="M2522" s="12"/>
      <c r="N2522" s="12"/>
      <c r="O2522" s="12"/>
    </row>
    <row r="2523" spans="2:15" x14ac:dyDescent="0.3">
      <c r="B2523" s="10"/>
      <c r="I2523" s="11"/>
      <c r="K2523" s="12"/>
      <c r="L2523" s="12"/>
      <c r="M2523" s="12"/>
      <c r="N2523" s="12"/>
      <c r="O2523" s="12"/>
    </row>
    <row r="2524" spans="2:15" x14ac:dyDescent="0.3">
      <c r="B2524" s="10"/>
      <c r="I2524" s="11"/>
      <c r="K2524" s="12"/>
      <c r="L2524" s="12"/>
      <c r="M2524" s="12"/>
      <c r="N2524" s="12"/>
      <c r="O2524" s="12"/>
    </row>
    <row r="2525" spans="2:15" x14ac:dyDescent="0.3">
      <c r="B2525" s="10"/>
      <c r="I2525" s="11"/>
      <c r="K2525" s="12"/>
      <c r="L2525" s="12"/>
      <c r="M2525" s="12"/>
      <c r="N2525" s="12"/>
      <c r="O2525" s="12"/>
    </row>
    <row r="2526" spans="2:15" x14ac:dyDescent="0.3">
      <c r="B2526" s="10"/>
      <c r="I2526" s="11"/>
      <c r="K2526" s="12"/>
      <c r="L2526" s="12"/>
      <c r="M2526" s="12"/>
      <c r="N2526" s="12"/>
      <c r="O2526" s="12"/>
    </row>
    <row r="2527" spans="2:15" x14ac:dyDescent="0.3">
      <c r="B2527" s="10"/>
      <c r="I2527" s="11"/>
      <c r="K2527" s="12"/>
      <c r="L2527" s="12"/>
      <c r="M2527" s="12"/>
      <c r="N2527" s="12"/>
      <c r="O2527" s="12"/>
    </row>
    <row r="2528" spans="2:15" x14ac:dyDescent="0.3">
      <c r="B2528" s="10"/>
      <c r="I2528" s="11"/>
      <c r="K2528" s="12"/>
      <c r="L2528" s="12"/>
      <c r="M2528" s="12"/>
      <c r="N2528" s="12"/>
      <c r="O2528" s="12"/>
    </row>
    <row r="2529" spans="2:15" x14ac:dyDescent="0.3">
      <c r="B2529" s="10"/>
      <c r="I2529" s="11"/>
      <c r="K2529" s="12"/>
      <c r="L2529" s="12"/>
      <c r="M2529" s="12"/>
      <c r="N2529" s="12"/>
      <c r="O2529" s="12"/>
    </row>
    <row r="2530" spans="2:15" x14ac:dyDescent="0.3">
      <c r="B2530" s="10"/>
      <c r="I2530" s="11"/>
      <c r="K2530" s="12"/>
      <c r="L2530" s="12"/>
      <c r="M2530" s="12"/>
      <c r="N2530" s="12"/>
      <c r="O2530" s="12"/>
    </row>
    <row r="2531" spans="2:15" x14ac:dyDescent="0.3">
      <c r="B2531" s="10"/>
      <c r="I2531" s="11"/>
      <c r="K2531" s="12"/>
      <c r="L2531" s="12"/>
      <c r="M2531" s="12"/>
      <c r="N2531" s="12"/>
      <c r="O2531" s="12"/>
    </row>
    <row r="2532" spans="2:15" x14ac:dyDescent="0.3">
      <c r="B2532" s="10"/>
      <c r="I2532" s="11"/>
      <c r="K2532" s="12"/>
      <c r="L2532" s="12"/>
      <c r="M2532" s="12"/>
      <c r="N2532" s="12"/>
      <c r="O2532" s="12"/>
    </row>
    <row r="2533" spans="2:15" x14ac:dyDescent="0.3">
      <c r="B2533" s="10"/>
      <c r="I2533" s="11"/>
      <c r="K2533" s="12"/>
      <c r="L2533" s="12"/>
      <c r="M2533" s="12"/>
      <c r="N2533" s="12"/>
      <c r="O2533" s="12"/>
    </row>
    <row r="2534" spans="2:15" x14ac:dyDescent="0.3">
      <c r="B2534" s="10"/>
      <c r="I2534" s="11"/>
      <c r="K2534" s="12"/>
      <c r="L2534" s="12"/>
      <c r="M2534" s="12"/>
      <c r="N2534" s="12"/>
      <c r="O2534" s="12"/>
    </row>
    <row r="2535" spans="2:15" x14ac:dyDescent="0.3">
      <c r="B2535" s="10"/>
      <c r="I2535" s="11"/>
      <c r="K2535" s="12"/>
      <c r="L2535" s="12"/>
      <c r="M2535" s="12"/>
      <c r="N2535" s="12"/>
      <c r="O2535" s="12"/>
    </row>
    <row r="2536" spans="2:15" x14ac:dyDescent="0.3">
      <c r="B2536" s="10"/>
      <c r="I2536" s="11"/>
      <c r="K2536" s="12"/>
      <c r="L2536" s="12"/>
      <c r="M2536" s="12"/>
      <c r="N2536" s="12"/>
      <c r="O2536" s="12"/>
    </row>
    <row r="2537" spans="2:15" x14ac:dyDescent="0.3">
      <c r="B2537" s="10"/>
      <c r="I2537" s="11"/>
      <c r="K2537" s="12"/>
      <c r="L2537" s="12"/>
      <c r="M2537" s="12"/>
      <c r="N2537" s="12"/>
      <c r="O2537" s="12"/>
    </row>
    <row r="2538" spans="2:15" x14ac:dyDescent="0.3">
      <c r="B2538" s="10"/>
      <c r="I2538" s="11"/>
      <c r="K2538" s="12"/>
      <c r="L2538" s="12"/>
      <c r="M2538" s="12"/>
      <c r="N2538" s="12"/>
      <c r="O2538" s="12"/>
    </row>
    <row r="2539" spans="2:15" x14ac:dyDescent="0.3">
      <c r="B2539" s="10"/>
      <c r="I2539" s="11"/>
      <c r="K2539" s="12"/>
      <c r="L2539" s="12"/>
      <c r="M2539" s="12"/>
      <c r="N2539" s="12"/>
      <c r="O2539" s="12"/>
    </row>
    <row r="2540" spans="2:15" x14ac:dyDescent="0.3">
      <c r="B2540" s="10"/>
      <c r="I2540" s="11"/>
      <c r="K2540" s="12"/>
      <c r="L2540" s="12"/>
      <c r="M2540" s="12"/>
      <c r="N2540" s="12"/>
      <c r="O2540" s="12"/>
    </row>
    <row r="2541" spans="2:15" x14ac:dyDescent="0.3">
      <c r="B2541" s="10"/>
      <c r="I2541" s="11"/>
      <c r="K2541" s="12"/>
      <c r="L2541" s="12"/>
      <c r="M2541" s="12"/>
      <c r="N2541" s="12"/>
      <c r="O2541" s="12"/>
    </row>
    <row r="2542" spans="2:15" x14ac:dyDescent="0.3">
      <c r="B2542" s="10"/>
      <c r="I2542" s="11"/>
      <c r="K2542" s="12"/>
      <c r="L2542" s="12"/>
      <c r="M2542" s="12"/>
      <c r="N2542" s="12"/>
      <c r="O2542" s="12"/>
    </row>
    <row r="2543" spans="2:15" x14ac:dyDescent="0.3">
      <c r="B2543" s="10"/>
      <c r="I2543" s="11"/>
      <c r="K2543" s="12"/>
      <c r="L2543" s="12"/>
      <c r="M2543" s="12"/>
      <c r="N2543" s="12"/>
      <c r="O2543" s="12"/>
    </row>
    <row r="2544" spans="2:15" x14ac:dyDescent="0.3">
      <c r="B2544" s="10"/>
      <c r="I2544" s="11"/>
      <c r="K2544" s="12"/>
      <c r="L2544" s="12"/>
      <c r="M2544" s="12"/>
      <c r="N2544" s="12"/>
      <c r="O2544" s="12"/>
    </row>
    <row r="2545" spans="2:15" x14ac:dyDescent="0.3">
      <c r="B2545" s="10"/>
      <c r="I2545" s="11"/>
      <c r="K2545" s="12"/>
      <c r="L2545" s="12"/>
      <c r="M2545" s="12"/>
      <c r="N2545" s="12"/>
      <c r="O2545" s="12"/>
    </row>
    <row r="2546" spans="2:15" x14ac:dyDescent="0.3">
      <c r="B2546" s="10"/>
      <c r="I2546" s="11"/>
      <c r="K2546" s="12"/>
      <c r="L2546" s="12"/>
      <c r="M2546" s="12"/>
      <c r="N2546" s="12"/>
      <c r="O2546" s="12"/>
    </row>
    <row r="2547" spans="2:15" x14ac:dyDescent="0.3">
      <c r="B2547" s="10"/>
      <c r="I2547" s="11"/>
      <c r="K2547" s="12"/>
      <c r="L2547" s="12"/>
      <c r="M2547" s="12"/>
      <c r="N2547" s="12"/>
      <c r="O2547" s="12"/>
    </row>
    <row r="2548" spans="2:15" x14ac:dyDescent="0.3">
      <c r="B2548" s="10"/>
      <c r="I2548" s="11"/>
      <c r="K2548" s="12"/>
      <c r="L2548" s="12"/>
      <c r="M2548" s="12"/>
      <c r="N2548" s="12"/>
      <c r="O2548" s="12"/>
    </row>
    <row r="2549" spans="2:15" x14ac:dyDescent="0.3">
      <c r="B2549" s="10"/>
      <c r="I2549" s="11"/>
      <c r="K2549" s="12"/>
      <c r="L2549" s="12"/>
      <c r="M2549" s="12"/>
      <c r="N2549" s="12"/>
      <c r="O2549" s="12"/>
    </row>
    <row r="2550" spans="2:15" x14ac:dyDescent="0.3">
      <c r="B2550" s="10"/>
      <c r="I2550" s="11"/>
      <c r="K2550" s="12"/>
      <c r="L2550" s="12"/>
      <c r="M2550" s="12"/>
      <c r="N2550" s="12"/>
      <c r="O2550" s="12"/>
    </row>
    <row r="2551" spans="2:15" x14ac:dyDescent="0.3">
      <c r="B2551" s="10"/>
      <c r="I2551" s="11"/>
      <c r="K2551" s="12"/>
      <c r="L2551" s="12"/>
      <c r="M2551" s="12"/>
      <c r="N2551" s="12"/>
      <c r="O2551" s="12"/>
    </row>
    <row r="2552" spans="2:15" x14ac:dyDescent="0.3">
      <c r="B2552" s="10"/>
      <c r="I2552" s="11"/>
      <c r="K2552" s="12"/>
      <c r="L2552" s="12"/>
      <c r="M2552" s="12"/>
      <c r="N2552" s="12"/>
      <c r="O2552" s="12"/>
    </row>
    <row r="2553" spans="2:15" x14ac:dyDescent="0.3">
      <c r="B2553" s="10"/>
      <c r="I2553" s="11"/>
      <c r="K2553" s="12"/>
      <c r="L2553" s="12"/>
      <c r="M2553" s="12"/>
      <c r="N2553" s="12"/>
      <c r="O2553" s="12"/>
    </row>
    <row r="2554" spans="2:15" x14ac:dyDescent="0.3">
      <c r="B2554" s="10"/>
      <c r="I2554" s="11"/>
      <c r="K2554" s="12"/>
      <c r="L2554" s="12"/>
      <c r="M2554" s="12"/>
      <c r="N2554" s="12"/>
      <c r="O2554" s="12"/>
    </row>
    <row r="2555" spans="2:15" x14ac:dyDescent="0.3">
      <c r="B2555" s="10"/>
      <c r="I2555" s="11"/>
      <c r="K2555" s="12"/>
      <c r="L2555" s="12"/>
      <c r="M2555" s="12"/>
      <c r="N2555" s="12"/>
      <c r="O2555" s="12"/>
    </row>
    <row r="2556" spans="2:15" x14ac:dyDescent="0.3">
      <c r="B2556" s="10"/>
      <c r="I2556" s="11"/>
      <c r="K2556" s="12"/>
      <c r="L2556" s="12"/>
      <c r="M2556" s="12"/>
      <c r="N2556" s="12"/>
      <c r="O2556" s="12"/>
    </row>
    <row r="2557" spans="2:15" x14ac:dyDescent="0.3">
      <c r="B2557" s="10"/>
      <c r="I2557" s="11"/>
      <c r="K2557" s="12"/>
      <c r="L2557" s="12"/>
      <c r="M2557" s="12"/>
      <c r="N2557" s="12"/>
      <c r="O2557" s="12"/>
    </row>
    <row r="2558" spans="2:15" x14ac:dyDescent="0.3">
      <c r="B2558" s="10"/>
      <c r="I2558" s="11"/>
      <c r="K2558" s="12"/>
      <c r="L2558" s="12"/>
      <c r="M2558" s="12"/>
      <c r="N2558" s="12"/>
      <c r="O2558" s="12"/>
    </row>
    <row r="2559" spans="2:15" x14ac:dyDescent="0.3">
      <c r="B2559" s="10"/>
      <c r="I2559" s="11"/>
      <c r="K2559" s="12"/>
      <c r="L2559" s="12"/>
      <c r="M2559" s="12"/>
      <c r="N2559" s="12"/>
      <c r="O2559" s="12"/>
    </row>
    <row r="2560" spans="2:15" x14ac:dyDescent="0.3">
      <c r="B2560" s="10"/>
      <c r="I2560" s="11"/>
      <c r="K2560" s="12"/>
      <c r="L2560" s="12"/>
      <c r="M2560" s="12"/>
      <c r="N2560" s="12"/>
      <c r="O2560" s="12"/>
    </row>
    <row r="2561" spans="2:15" x14ac:dyDescent="0.3">
      <c r="B2561" s="10"/>
      <c r="I2561" s="11"/>
      <c r="K2561" s="12"/>
      <c r="L2561" s="12"/>
      <c r="M2561" s="12"/>
      <c r="N2561" s="12"/>
      <c r="O2561" s="12"/>
    </row>
    <row r="2562" spans="2:15" x14ac:dyDescent="0.3">
      <c r="B2562" s="10"/>
      <c r="I2562" s="11"/>
      <c r="K2562" s="12"/>
      <c r="L2562" s="12"/>
      <c r="M2562" s="12"/>
      <c r="N2562" s="12"/>
      <c r="O2562" s="12"/>
    </row>
    <row r="2563" spans="2:15" x14ac:dyDescent="0.3">
      <c r="B2563" s="10"/>
      <c r="I2563" s="11"/>
      <c r="K2563" s="12"/>
      <c r="L2563" s="12"/>
      <c r="M2563" s="12"/>
      <c r="N2563" s="12"/>
      <c r="O2563" s="12"/>
    </row>
    <row r="2564" spans="2:15" x14ac:dyDescent="0.3">
      <c r="B2564" s="10"/>
      <c r="I2564" s="11"/>
      <c r="K2564" s="12"/>
      <c r="L2564" s="12"/>
      <c r="M2564" s="12"/>
      <c r="N2564" s="12"/>
      <c r="O2564" s="12"/>
    </row>
    <row r="2565" spans="2:15" x14ac:dyDescent="0.3">
      <c r="B2565" s="10"/>
      <c r="I2565" s="11"/>
      <c r="K2565" s="12"/>
      <c r="L2565" s="12"/>
      <c r="M2565" s="12"/>
      <c r="N2565" s="12"/>
      <c r="O2565" s="12"/>
    </row>
    <row r="2566" spans="2:15" x14ac:dyDescent="0.3">
      <c r="B2566" s="10"/>
      <c r="I2566" s="11"/>
      <c r="K2566" s="12"/>
      <c r="L2566" s="12"/>
      <c r="M2566" s="12"/>
      <c r="N2566" s="12"/>
      <c r="O2566" s="12"/>
    </row>
    <row r="2567" spans="2:15" x14ac:dyDescent="0.3">
      <c r="B2567" s="10"/>
      <c r="I2567" s="11"/>
      <c r="K2567" s="12"/>
      <c r="L2567" s="12"/>
      <c r="M2567" s="12"/>
      <c r="N2567" s="12"/>
      <c r="O2567" s="12"/>
    </row>
    <row r="2568" spans="2:15" x14ac:dyDescent="0.3">
      <c r="B2568" s="10"/>
      <c r="I2568" s="11"/>
      <c r="K2568" s="12"/>
      <c r="L2568" s="12"/>
      <c r="M2568" s="12"/>
      <c r="N2568" s="12"/>
      <c r="O2568" s="12"/>
    </row>
    <row r="2569" spans="2:15" x14ac:dyDescent="0.3">
      <c r="B2569" s="10"/>
      <c r="I2569" s="11"/>
      <c r="K2569" s="12"/>
      <c r="L2569" s="12"/>
      <c r="M2569" s="12"/>
      <c r="N2569" s="12"/>
      <c r="O2569" s="12"/>
    </row>
    <row r="2570" spans="2:15" x14ac:dyDescent="0.3">
      <c r="B2570" s="10"/>
      <c r="I2570" s="11"/>
      <c r="K2570" s="12"/>
      <c r="L2570" s="12"/>
      <c r="M2570" s="12"/>
      <c r="N2570" s="12"/>
      <c r="O2570" s="12"/>
    </row>
    <row r="2571" spans="2:15" x14ac:dyDescent="0.3">
      <c r="B2571" s="10"/>
      <c r="I2571" s="11"/>
      <c r="K2571" s="12"/>
      <c r="L2571" s="12"/>
      <c r="M2571" s="12"/>
      <c r="N2571" s="12"/>
      <c r="O2571" s="12"/>
    </row>
    <row r="2572" spans="2:15" x14ac:dyDescent="0.3">
      <c r="B2572" s="10"/>
      <c r="I2572" s="11"/>
      <c r="K2572" s="12"/>
      <c r="L2572" s="12"/>
      <c r="M2572" s="12"/>
      <c r="N2572" s="12"/>
      <c r="O2572" s="12"/>
    </row>
    <row r="2573" spans="2:15" x14ac:dyDescent="0.3">
      <c r="B2573" s="10"/>
      <c r="I2573" s="11"/>
      <c r="K2573" s="12"/>
      <c r="L2573" s="12"/>
      <c r="M2573" s="12"/>
      <c r="N2573" s="12"/>
      <c r="O2573" s="12"/>
    </row>
    <row r="2574" spans="2:15" x14ac:dyDescent="0.3">
      <c r="B2574" s="10"/>
      <c r="I2574" s="11"/>
      <c r="K2574" s="12"/>
      <c r="L2574" s="12"/>
      <c r="M2574" s="12"/>
      <c r="N2574" s="12"/>
      <c r="O2574" s="12"/>
    </row>
    <row r="2575" spans="2:15" x14ac:dyDescent="0.3">
      <c r="B2575" s="10"/>
      <c r="I2575" s="11"/>
      <c r="K2575" s="12"/>
      <c r="L2575" s="12"/>
      <c r="M2575" s="12"/>
      <c r="N2575" s="12"/>
      <c r="O2575" s="12"/>
    </row>
    <row r="2576" spans="2:15" x14ac:dyDescent="0.3">
      <c r="B2576" s="10"/>
      <c r="I2576" s="11"/>
      <c r="K2576" s="12"/>
      <c r="L2576" s="12"/>
      <c r="M2576" s="12"/>
      <c r="N2576" s="12"/>
      <c r="O2576" s="12"/>
    </row>
    <row r="2577" spans="2:15" x14ac:dyDescent="0.3">
      <c r="B2577" s="10"/>
      <c r="I2577" s="11"/>
      <c r="K2577" s="12"/>
      <c r="L2577" s="12"/>
      <c r="M2577" s="12"/>
      <c r="N2577" s="12"/>
      <c r="O2577" s="12"/>
    </row>
    <row r="2578" spans="2:15" x14ac:dyDescent="0.3">
      <c r="B2578" s="10"/>
      <c r="I2578" s="11"/>
      <c r="K2578" s="12"/>
      <c r="L2578" s="12"/>
      <c r="M2578" s="12"/>
      <c r="N2578" s="12"/>
      <c r="O2578" s="12"/>
    </row>
    <row r="2579" spans="2:15" x14ac:dyDescent="0.3">
      <c r="B2579" s="10"/>
      <c r="I2579" s="11"/>
      <c r="K2579" s="12"/>
      <c r="L2579" s="12"/>
      <c r="M2579" s="12"/>
      <c r="N2579" s="12"/>
      <c r="O2579" s="12"/>
    </row>
    <row r="2580" spans="2:15" x14ac:dyDescent="0.3">
      <c r="B2580" s="10"/>
      <c r="I2580" s="11"/>
      <c r="K2580" s="12"/>
      <c r="L2580" s="12"/>
      <c r="M2580" s="12"/>
      <c r="N2580" s="12"/>
      <c r="O2580" s="12"/>
    </row>
    <row r="2581" spans="2:15" x14ac:dyDescent="0.3">
      <c r="B2581" s="10"/>
      <c r="I2581" s="11"/>
      <c r="K2581" s="12"/>
      <c r="L2581" s="12"/>
      <c r="M2581" s="12"/>
      <c r="N2581" s="12"/>
      <c r="O2581" s="12"/>
    </row>
    <row r="2582" spans="2:15" x14ac:dyDescent="0.3">
      <c r="B2582" s="10"/>
      <c r="I2582" s="11"/>
      <c r="K2582" s="12"/>
      <c r="L2582" s="12"/>
      <c r="M2582" s="12"/>
      <c r="N2582" s="12"/>
      <c r="O2582" s="12"/>
    </row>
    <row r="2583" spans="2:15" x14ac:dyDescent="0.3">
      <c r="B2583" s="10"/>
      <c r="I2583" s="11"/>
      <c r="K2583" s="12"/>
      <c r="L2583" s="12"/>
      <c r="M2583" s="12"/>
      <c r="N2583" s="12"/>
      <c r="O2583" s="12"/>
    </row>
    <row r="2584" spans="2:15" x14ac:dyDescent="0.3">
      <c r="B2584" s="10"/>
      <c r="I2584" s="11"/>
      <c r="K2584" s="12"/>
      <c r="L2584" s="12"/>
      <c r="M2584" s="12"/>
      <c r="N2584" s="12"/>
      <c r="O2584" s="12"/>
    </row>
    <row r="2585" spans="2:15" x14ac:dyDescent="0.3">
      <c r="B2585" s="10"/>
      <c r="I2585" s="11"/>
      <c r="K2585" s="12"/>
      <c r="L2585" s="12"/>
      <c r="M2585" s="12"/>
      <c r="N2585" s="12"/>
      <c r="O2585" s="12"/>
    </row>
    <row r="2586" spans="2:15" x14ac:dyDescent="0.3">
      <c r="B2586" s="10"/>
      <c r="I2586" s="11"/>
      <c r="K2586" s="12"/>
      <c r="L2586" s="12"/>
      <c r="M2586" s="12"/>
      <c r="N2586" s="12"/>
      <c r="O2586" s="12"/>
    </row>
    <row r="2587" spans="2:15" x14ac:dyDescent="0.3">
      <c r="B2587" s="10"/>
      <c r="I2587" s="11"/>
      <c r="K2587" s="12"/>
      <c r="L2587" s="12"/>
      <c r="M2587" s="12"/>
      <c r="N2587" s="12"/>
      <c r="O2587" s="12"/>
    </row>
    <row r="2588" spans="2:15" x14ac:dyDescent="0.3">
      <c r="B2588" s="10"/>
      <c r="I2588" s="11"/>
      <c r="K2588" s="12"/>
      <c r="L2588" s="12"/>
      <c r="M2588" s="12"/>
      <c r="N2588" s="12"/>
      <c r="O2588" s="12"/>
    </row>
    <row r="2589" spans="2:15" x14ac:dyDescent="0.3">
      <c r="B2589" s="10"/>
      <c r="I2589" s="11"/>
      <c r="K2589" s="12"/>
      <c r="L2589" s="12"/>
      <c r="M2589" s="12"/>
      <c r="N2589" s="12"/>
      <c r="O2589" s="12"/>
    </row>
    <row r="2590" spans="2:15" x14ac:dyDescent="0.3">
      <c r="B2590" s="10"/>
      <c r="I2590" s="11"/>
      <c r="K2590" s="12"/>
      <c r="L2590" s="12"/>
      <c r="M2590" s="12"/>
      <c r="N2590" s="12"/>
      <c r="O2590" s="12"/>
    </row>
    <row r="2591" spans="2:15" x14ac:dyDescent="0.3">
      <c r="B2591" s="10"/>
      <c r="I2591" s="11"/>
      <c r="K2591" s="12"/>
      <c r="L2591" s="12"/>
      <c r="M2591" s="12"/>
      <c r="N2591" s="12"/>
      <c r="O2591" s="12"/>
    </row>
    <row r="2592" spans="2:15" x14ac:dyDescent="0.3">
      <c r="B2592" s="10"/>
      <c r="I2592" s="11"/>
      <c r="K2592" s="12"/>
      <c r="L2592" s="12"/>
      <c r="M2592" s="12"/>
      <c r="N2592" s="12"/>
      <c r="O2592" s="12"/>
    </row>
    <row r="2593" spans="2:15" x14ac:dyDescent="0.3">
      <c r="B2593" s="10"/>
      <c r="I2593" s="11"/>
      <c r="K2593" s="12"/>
      <c r="L2593" s="12"/>
      <c r="M2593" s="12"/>
      <c r="N2593" s="12"/>
      <c r="O2593" s="12"/>
    </row>
    <row r="2594" spans="2:15" x14ac:dyDescent="0.3">
      <c r="B2594" s="10"/>
      <c r="I2594" s="11"/>
      <c r="K2594" s="12"/>
      <c r="L2594" s="12"/>
      <c r="M2594" s="12"/>
      <c r="N2594" s="12"/>
      <c r="O2594" s="12"/>
    </row>
    <row r="2595" spans="2:15" x14ac:dyDescent="0.3">
      <c r="B2595" s="10"/>
      <c r="I2595" s="11"/>
      <c r="K2595" s="12"/>
      <c r="L2595" s="12"/>
      <c r="M2595" s="12"/>
      <c r="N2595" s="12"/>
      <c r="O2595" s="12"/>
    </row>
    <row r="2596" spans="2:15" x14ac:dyDescent="0.3">
      <c r="B2596" s="10"/>
      <c r="I2596" s="11"/>
      <c r="K2596" s="12"/>
      <c r="L2596" s="12"/>
      <c r="M2596" s="12"/>
      <c r="N2596" s="12"/>
      <c r="O2596" s="12"/>
    </row>
    <row r="2597" spans="2:15" x14ac:dyDescent="0.3">
      <c r="B2597" s="10"/>
      <c r="I2597" s="11"/>
      <c r="K2597" s="12"/>
      <c r="L2597" s="12"/>
      <c r="M2597" s="12"/>
      <c r="N2597" s="12"/>
      <c r="O2597" s="12"/>
    </row>
    <row r="2598" spans="2:15" x14ac:dyDescent="0.3">
      <c r="B2598" s="10"/>
      <c r="I2598" s="11"/>
      <c r="K2598" s="12"/>
      <c r="L2598" s="12"/>
      <c r="M2598" s="12"/>
      <c r="N2598" s="12"/>
      <c r="O2598" s="12"/>
    </row>
    <row r="2599" spans="2:15" x14ac:dyDescent="0.3">
      <c r="B2599" s="10"/>
      <c r="I2599" s="11"/>
      <c r="K2599" s="12"/>
      <c r="L2599" s="12"/>
      <c r="M2599" s="12"/>
      <c r="N2599" s="12"/>
      <c r="O2599" s="12"/>
    </row>
    <row r="2600" spans="2:15" x14ac:dyDescent="0.3">
      <c r="B2600" s="10"/>
      <c r="I2600" s="11"/>
      <c r="K2600" s="12"/>
      <c r="L2600" s="12"/>
      <c r="M2600" s="12"/>
      <c r="N2600" s="12"/>
      <c r="O2600" s="12"/>
    </row>
    <row r="2601" spans="2:15" x14ac:dyDescent="0.3">
      <c r="B2601" s="10"/>
      <c r="I2601" s="11"/>
      <c r="K2601" s="12"/>
      <c r="L2601" s="12"/>
      <c r="M2601" s="12"/>
      <c r="N2601" s="12"/>
      <c r="O2601" s="12"/>
    </row>
    <row r="2602" spans="2:15" x14ac:dyDescent="0.3">
      <c r="B2602" s="10"/>
      <c r="I2602" s="11"/>
      <c r="K2602" s="12"/>
      <c r="L2602" s="12"/>
      <c r="M2602" s="12"/>
      <c r="N2602" s="12"/>
      <c r="O2602" s="12"/>
    </row>
    <row r="2603" spans="2:15" x14ac:dyDescent="0.3">
      <c r="B2603" s="10"/>
      <c r="I2603" s="11"/>
      <c r="K2603" s="12"/>
      <c r="L2603" s="12"/>
      <c r="M2603" s="12"/>
      <c r="N2603" s="12"/>
      <c r="O2603" s="12"/>
    </row>
    <row r="2604" spans="2:15" x14ac:dyDescent="0.3">
      <c r="B2604" s="10"/>
      <c r="I2604" s="11"/>
      <c r="K2604" s="12"/>
      <c r="L2604" s="12"/>
      <c r="M2604" s="12"/>
      <c r="N2604" s="12"/>
      <c r="O2604" s="12"/>
    </row>
    <row r="2605" spans="2:15" x14ac:dyDescent="0.3">
      <c r="B2605" s="10"/>
      <c r="I2605" s="11"/>
      <c r="K2605" s="12"/>
      <c r="L2605" s="12"/>
      <c r="M2605" s="12"/>
      <c r="N2605" s="12"/>
      <c r="O2605" s="12"/>
    </row>
    <row r="2606" spans="2:15" x14ac:dyDescent="0.3">
      <c r="B2606" s="10"/>
      <c r="I2606" s="11"/>
      <c r="K2606" s="12"/>
      <c r="L2606" s="12"/>
      <c r="M2606" s="12"/>
      <c r="N2606" s="12"/>
      <c r="O2606" s="12"/>
    </row>
    <row r="2607" spans="2:15" x14ac:dyDescent="0.3">
      <c r="B2607" s="10"/>
      <c r="I2607" s="11"/>
      <c r="K2607" s="12"/>
      <c r="L2607" s="12"/>
      <c r="M2607" s="12"/>
      <c r="N2607" s="12"/>
      <c r="O2607" s="12"/>
    </row>
    <row r="2608" spans="2:15" x14ac:dyDescent="0.3">
      <c r="B2608" s="10"/>
      <c r="I2608" s="11"/>
      <c r="K2608" s="12"/>
      <c r="L2608" s="12"/>
      <c r="M2608" s="12"/>
      <c r="N2608" s="12"/>
      <c r="O2608" s="12"/>
    </row>
    <row r="2609" spans="2:15" x14ac:dyDescent="0.3">
      <c r="B2609" s="10"/>
      <c r="I2609" s="11"/>
      <c r="K2609" s="12"/>
      <c r="L2609" s="12"/>
      <c r="M2609" s="12"/>
      <c r="N2609" s="12"/>
      <c r="O2609" s="12"/>
    </row>
    <row r="2610" spans="2:15" x14ac:dyDescent="0.3">
      <c r="B2610" s="10"/>
      <c r="I2610" s="11"/>
      <c r="K2610" s="12"/>
      <c r="L2610" s="12"/>
      <c r="M2610" s="12"/>
      <c r="N2610" s="12"/>
      <c r="O2610" s="12"/>
    </row>
    <row r="2611" spans="2:15" x14ac:dyDescent="0.3">
      <c r="B2611" s="10"/>
      <c r="I2611" s="11"/>
      <c r="K2611" s="12"/>
      <c r="L2611" s="12"/>
      <c r="M2611" s="12"/>
      <c r="N2611" s="12"/>
      <c r="O2611" s="12"/>
    </row>
    <row r="2612" spans="2:15" x14ac:dyDescent="0.3">
      <c r="B2612" s="10"/>
      <c r="I2612" s="11"/>
      <c r="K2612" s="12"/>
      <c r="L2612" s="12"/>
      <c r="M2612" s="12"/>
      <c r="N2612" s="12"/>
      <c r="O2612" s="12"/>
    </row>
    <row r="2613" spans="2:15" x14ac:dyDescent="0.3">
      <c r="B2613" s="10"/>
      <c r="I2613" s="11"/>
      <c r="K2613" s="12"/>
      <c r="L2613" s="12"/>
      <c r="M2613" s="12"/>
      <c r="N2613" s="12"/>
      <c r="O2613" s="12"/>
    </row>
    <row r="2614" spans="2:15" x14ac:dyDescent="0.3">
      <c r="B2614" s="10"/>
      <c r="I2614" s="11"/>
      <c r="K2614" s="12"/>
      <c r="L2614" s="12"/>
      <c r="M2614" s="12"/>
      <c r="N2614" s="12"/>
      <c r="O2614" s="12"/>
    </row>
    <row r="2615" spans="2:15" x14ac:dyDescent="0.3">
      <c r="B2615" s="10"/>
      <c r="I2615" s="11"/>
      <c r="K2615" s="12"/>
      <c r="L2615" s="12"/>
      <c r="M2615" s="12"/>
      <c r="N2615" s="12"/>
      <c r="O2615" s="12"/>
    </row>
    <row r="2616" spans="2:15" x14ac:dyDescent="0.3">
      <c r="B2616" s="10"/>
      <c r="I2616" s="11"/>
      <c r="K2616" s="12"/>
      <c r="L2616" s="12"/>
      <c r="M2616" s="12"/>
      <c r="N2616" s="12"/>
      <c r="O2616" s="12"/>
    </row>
    <row r="2617" spans="2:15" x14ac:dyDescent="0.3">
      <c r="B2617" s="10"/>
      <c r="I2617" s="11"/>
      <c r="K2617" s="12"/>
      <c r="L2617" s="12"/>
      <c r="M2617" s="12"/>
      <c r="N2617" s="12"/>
      <c r="O2617" s="12"/>
    </row>
    <row r="2618" spans="2:15" x14ac:dyDescent="0.3">
      <c r="B2618" s="10"/>
      <c r="I2618" s="11"/>
      <c r="K2618" s="12"/>
      <c r="L2618" s="12"/>
      <c r="M2618" s="12"/>
      <c r="N2618" s="12"/>
      <c r="O2618" s="12"/>
    </row>
    <row r="2619" spans="2:15" x14ac:dyDescent="0.3">
      <c r="B2619" s="10"/>
      <c r="I2619" s="11"/>
      <c r="K2619" s="12"/>
      <c r="L2619" s="12"/>
      <c r="M2619" s="12"/>
      <c r="N2619" s="12"/>
      <c r="O2619" s="12"/>
    </row>
    <row r="2620" spans="2:15" x14ac:dyDescent="0.3">
      <c r="B2620" s="10"/>
      <c r="I2620" s="11"/>
      <c r="K2620" s="12"/>
      <c r="L2620" s="12"/>
      <c r="M2620" s="12"/>
      <c r="N2620" s="12"/>
      <c r="O2620" s="12"/>
    </row>
    <row r="2621" spans="2:15" x14ac:dyDescent="0.3">
      <c r="B2621" s="10"/>
      <c r="I2621" s="11"/>
      <c r="K2621" s="12"/>
      <c r="L2621" s="12"/>
      <c r="M2621" s="12"/>
      <c r="N2621" s="12"/>
      <c r="O2621" s="12"/>
    </row>
    <row r="2622" spans="2:15" x14ac:dyDescent="0.3">
      <c r="B2622" s="10"/>
      <c r="I2622" s="11"/>
      <c r="K2622" s="12"/>
      <c r="L2622" s="12"/>
      <c r="M2622" s="12"/>
      <c r="N2622" s="12"/>
      <c r="O2622" s="12"/>
    </row>
    <row r="2623" spans="2:15" x14ac:dyDescent="0.3">
      <c r="B2623" s="10"/>
      <c r="I2623" s="11"/>
      <c r="K2623" s="12"/>
      <c r="L2623" s="12"/>
      <c r="M2623" s="12"/>
      <c r="N2623" s="12"/>
      <c r="O2623" s="12"/>
    </row>
    <row r="2624" spans="2:15" x14ac:dyDescent="0.3">
      <c r="B2624" s="10"/>
      <c r="I2624" s="11"/>
      <c r="K2624" s="12"/>
      <c r="L2624" s="12"/>
      <c r="M2624" s="12"/>
      <c r="N2624" s="12"/>
      <c r="O2624" s="12"/>
    </row>
    <row r="2625" spans="2:15" x14ac:dyDescent="0.3">
      <c r="B2625" s="10"/>
      <c r="I2625" s="11"/>
      <c r="K2625" s="12"/>
      <c r="L2625" s="12"/>
      <c r="M2625" s="12"/>
      <c r="N2625" s="12"/>
      <c r="O2625" s="12"/>
    </row>
    <row r="2626" spans="2:15" x14ac:dyDescent="0.3">
      <c r="B2626" s="10"/>
      <c r="I2626" s="11"/>
      <c r="K2626" s="12"/>
      <c r="L2626" s="12"/>
      <c r="M2626" s="12"/>
      <c r="N2626" s="12"/>
      <c r="O2626" s="12"/>
    </row>
    <row r="2627" spans="2:15" x14ac:dyDescent="0.3">
      <c r="B2627" s="10"/>
      <c r="I2627" s="11"/>
      <c r="K2627" s="12"/>
      <c r="L2627" s="12"/>
      <c r="M2627" s="12"/>
      <c r="N2627" s="12"/>
      <c r="O2627" s="12"/>
    </row>
    <row r="2628" spans="2:15" x14ac:dyDescent="0.3">
      <c r="B2628" s="10"/>
      <c r="I2628" s="11"/>
      <c r="K2628" s="12"/>
      <c r="L2628" s="12"/>
      <c r="M2628" s="12"/>
      <c r="N2628" s="12"/>
      <c r="O2628" s="12"/>
    </row>
    <row r="2629" spans="2:15" x14ac:dyDescent="0.3">
      <c r="B2629" s="10"/>
      <c r="I2629" s="11"/>
      <c r="K2629" s="12"/>
      <c r="L2629" s="12"/>
      <c r="M2629" s="12"/>
      <c r="N2629" s="12"/>
      <c r="O2629" s="12"/>
    </row>
    <row r="2630" spans="2:15" x14ac:dyDescent="0.3">
      <c r="B2630" s="10"/>
      <c r="I2630" s="11"/>
      <c r="K2630" s="12"/>
      <c r="L2630" s="12"/>
      <c r="M2630" s="12"/>
      <c r="N2630" s="12"/>
      <c r="O2630" s="12"/>
    </row>
    <row r="2631" spans="2:15" x14ac:dyDescent="0.3">
      <c r="B2631" s="10"/>
      <c r="I2631" s="11"/>
      <c r="K2631" s="12"/>
      <c r="L2631" s="12"/>
      <c r="M2631" s="12"/>
      <c r="N2631" s="12"/>
      <c r="O2631" s="12"/>
    </row>
    <row r="2632" spans="2:15" x14ac:dyDescent="0.3">
      <c r="B2632" s="10"/>
      <c r="I2632" s="11"/>
      <c r="K2632" s="12"/>
      <c r="L2632" s="12"/>
      <c r="M2632" s="12"/>
      <c r="N2632" s="12"/>
      <c r="O2632" s="12"/>
    </row>
    <row r="2633" spans="2:15" x14ac:dyDescent="0.3">
      <c r="B2633" s="10"/>
      <c r="I2633" s="11"/>
      <c r="K2633" s="12"/>
      <c r="L2633" s="12"/>
      <c r="M2633" s="12"/>
      <c r="N2633" s="12"/>
      <c r="O2633" s="12"/>
    </row>
    <row r="2634" spans="2:15" x14ac:dyDescent="0.3">
      <c r="B2634" s="10"/>
      <c r="I2634" s="11"/>
      <c r="K2634" s="12"/>
      <c r="L2634" s="12"/>
      <c r="M2634" s="12"/>
      <c r="N2634" s="12"/>
      <c r="O2634" s="12"/>
    </row>
    <row r="2635" spans="2:15" x14ac:dyDescent="0.3">
      <c r="B2635" s="10"/>
      <c r="I2635" s="11"/>
      <c r="K2635" s="12"/>
      <c r="L2635" s="12"/>
      <c r="M2635" s="12"/>
      <c r="N2635" s="12"/>
      <c r="O2635" s="12"/>
    </row>
    <row r="2636" spans="2:15" x14ac:dyDescent="0.3">
      <c r="B2636" s="10"/>
      <c r="I2636" s="11"/>
      <c r="K2636" s="12"/>
      <c r="L2636" s="12"/>
      <c r="M2636" s="12"/>
      <c r="N2636" s="12"/>
      <c r="O2636" s="12"/>
    </row>
    <row r="2637" spans="2:15" x14ac:dyDescent="0.3">
      <c r="B2637" s="10"/>
      <c r="I2637" s="11"/>
      <c r="K2637" s="12"/>
      <c r="L2637" s="12"/>
      <c r="M2637" s="12"/>
      <c r="N2637" s="12"/>
      <c r="O2637" s="12"/>
    </row>
    <row r="2638" spans="2:15" x14ac:dyDescent="0.3">
      <c r="B2638" s="10"/>
      <c r="I2638" s="11"/>
      <c r="K2638" s="12"/>
      <c r="L2638" s="12"/>
      <c r="M2638" s="12"/>
      <c r="N2638" s="12"/>
      <c r="O2638" s="12"/>
    </row>
    <row r="2639" spans="2:15" x14ac:dyDescent="0.3">
      <c r="B2639" s="10"/>
      <c r="I2639" s="11"/>
      <c r="K2639" s="12"/>
      <c r="L2639" s="12"/>
      <c r="M2639" s="12"/>
      <c r="N2639" s="12"/>
      <c r="O2639" s="12"/>
    </row>
    <row r="2640" spans="2:15" x14ac:dyDescent="0.3">
      <c r="B2640" s="10"/>
      <c r="I2640" s="11"/>
      <c r="K2640" s="12"/>
      <c r="L2640" s="12"/>
      <c r="M2640" s="12"/>
      <c r="N2640" s="12"/>
      <c r="O2640" s="12"/>
    </row>
    <row r="2641" spans="2:15" x14ac:dyDescent="0.3">
      <c r="B2641" s="10"/>
      <c r="I2641" s="11"/>
      <c r="K2641" s="12"/>
      <c r="L2641" s="12"/>
      <c r="M2641" s="12"/>
      <c r="N2641" s="12"/>
      <c r="O2641" s="12"/>
    </row>
    <row r="2642" spans="2:15" x14ac:dyDescent="0.3">
      <c r="B2642" s="10"/>
      <c r="I2642" s="11"/>
      <c r="K2642" s="12"/>
      <c r="L2642" s="12"/>
      <c r="M2642" s="12"/>
      <c r="N2642" s="12"/>
      <c r="O2642" s="12"/>
    </row>
    <row r="2643" spans="2:15" x14ac:dyDescent="0.3">
      <c r="B2643" s="10"/>
      <c r="I2643" s="11"/>
      <c r="K2643" s="12"/>
      <c r="L2643" s="12"/>
      <c r="M2643" s="12"/>
      <c r="N2643" s="12"/>
      <c r="O2643" s="12"/>
    </row>
    <row r="2644" spans="2:15" x14ac:dyDescent="0.3">
      <c r="B2644" s="10"/>
      <c r="I2644" s="11"/>
      <c r="K2644" s="12"/>
      <c r="L2644" s="12"/>
      <c r="M2644" s="12"/>
      <c r="N2644" s="12"/>
      <c r="O2644" s="12"/>
    </row>
    <row r="2645" spans="2:15" x14ac:dyDescent="0.3">
      <c r="B2645" s="10"/>
      <c r="I2645" s="11"/>
      <c r="K2645" s="12"/>
      <c r="L2645" s="12"/>
      <c r="M2645" s="12"/>
      <c r="N2645" s="12"/>
      <c r="O2645" s="12"/>
    </row>
    <row r="2646" spans="2:15" x14ac:dyDescent="0.3">
      <c r="B2646" s="10"/>
      <c r="I2646" s="11"/>
      <c r="K2646" s="12"/>
      <c r="L2646" s="12"/>
      <c r="M2646" s="12"/>
      <c r="N2646" s="12"/>
      <c r="O2646" s="12"/>
    </row>
    <row r="2647" spans="2:15" x14ac:dyDescent="0.3">
      <c r="B2647" s="10"/>
      <c r="I2647" s="11"/>
      <c r="K2647" s="12"/>
      <c r="L2647" s="12"/>
      <c r="M2647" s="12"/>
      <c r="N2647" s="12"/>
      <c r="O2647" s="12"/>
    </row>
    <row r="2648" spans="2:15" x14ac:dyDescent="0.3">
      <c r="B2648" s="10"/>
      <c r="I2648" s="11"/>
      <c r="K2648" s="12"/>
      <c r="L2648" s="12"/>
      <c r="M2648" s="12"/>
      <c r="N2648" s="12"/>
      <c r="O2648" s="12"/>
    </row>
    <row r="2649" spans="2:15" x14ac:dyDescent="0.3">
      <c r="B2649" s="10"/>
      <c r="I2649" s="11"/>
      <c r="K2649" s="12"/>
      <c r="L2649" s="12"/>
      <c r="M2649" s="12"/>
      <c r="N2649" s="12"/>
      <c r="O2649" s="12"/>
    </row>
    <row r="2650" spans="2:15" x14ac:dyDescent="0.3">
      <c r="B2650" s="10"/>
      <c r="I2650" s="11"/>
      <c r="K2650" s="12"/>
      <c r="L2650" s="12"/>
      <c r="M2650" s="12"/>
      <c r="N2650" s="12"/>
      <c r="O2650" s="12"/>
    </row>
    <row r="2651" spans="2:15" x14ac:dyDescent="0.3">
      <c r="B2651" s="10"/>
      <c r="I2651" s="11"/>
      <c r="K2651" s="12"/>
      <c r="L2651" s="12"/>
      <c r="M2651" s="12"/>
      <c r="N2651" s="12"/>
      <c r="O2651" s="12"/>
    </row>
    <row r="2652" spans="2:15" x14ac:dyDescent="0.3">
      <c r="B2652" s="10"/>
      <c r="I2652" s="11"/>
      <c r="K2652" s="12"/>
      <c r="L2652" s="12"/>
      <c r="M2652" s="12"/>
      <c r="N2652" s="12"/>
      <c r="O2652" s="12"/>
    </row>
    <row r="2653" spans="2:15" x14ac:dyDescent="0.3">
      <c r="B2653" s="10"/>
      <c r="I2653" s="11"/>
      <c r="K2653" s="12"/>
      <c r="L2653" s="12"/>
      <c r="M2653" s="12"/>
      <c r="N2653" s="12"/>
      <c r="O2653" s="12"/>
    </row>
    <row r="2654" spans="2:15" x14ac:dyDescent="0.3">
      <c r="B2654" s="10"/>
      <c r="I2654" s="11"/>
      <c r="K2654" s="12"/>
      <c r="L2654" s="12"/>
      <c r="M2654" s="12"/>
      <c r="N2654" s="12"/>
      <c r="O2654" s="12"/>
    </row>
    <row r="2655" spans="2:15" x14ac:dyDescent="0.3">
      <c r="B2655" s="10"/>
      <c r="I2655" s="11"/>
      <c r="K2655" s="12"/>
      <c r="L2655" s="12"/>
      <c r="M2655" s="12"/>
      <c r="N2655" s="12"/>
      <c r="O2655" s="12"/>
    </row>
    <row r="2656" spans="2:15" x14ac:dyDescent="0.3">
      <c r="B2656" s="10"/>
      <c r="I2656" s="11"/>
      <c r="K2656" s="12"/>
      <c r="L2656" s="12"/>
      <c r="M2656" s="12"/>
      <c r="N2656" s="12"/>
      <c r="O2656" s="12"/>
    </row>
    <row r="2657" spans="2:15" x14ac:dyDescent="0.3">
      <c r="B2657" s="10"/>
      <c r="I2657" s="11"/>
      <c r="K2657" s="12"/>
      <c r="L2657" s="12"/>
      <c r="M2657" s="12"/>
      <c r="N2657" s="12"/>
      <c r="O2657" s="12"/>
    </row>
    <row r="2658" spans="2:15" x14ac:dyDescent="0.3">
      <c r="B2658" s="10"/>
      <c r="I2658" s="11"/>
      <c r="K2658" s="12"/>
      <c r="L2658" s="12"/>
      <c r="M2658" s="12"/>
      <c r="N2658" s="12"/>
      <c r="O2658" s="12"/>
    </row>
    <row r="2659" spans="2:15" x14ac:dyDescent="0.3">
      <c r="B2659" s="10"/>
      <c r="I2659" s="11"/>
      <c r="K2659" s="12"/>
      <c r="L2659" s="12"/>
      <c r="M2659" s="12"/>
      <c r="N2659" s="12"/>
      <c r="O2659" s="12"/>
    </row>
    <row r="2660" spans="2:15" x14ac:dyDescent="0.3">
      <c r="B2660" s="10"/>
      <c r="I2660" s="11"/>
      <c r="K2660" s="12"/>
      <c r="L2660" s="12"/>
      <c r="M2660" s="12"/>
      <c r="N2660" s="12"/>
      <c r="O2660" s="12"/>
    </row>
    <row r="2661" spans="2:15" x14ac:dyDescent="0.3">
      <c r="B2661" s="10"/>
      <c r="I2661" s="11"/>
      <c r="K2661" s="12"/>
      <c r="L2661" s="12"/>
      <c r="M2661" s="12"/>
      <c r="N2661" s="12"/>
      <c r="O2661" s="12"/>
    </row>
    <row r="2662" spans="2:15" x14ac:dyDescent="0.3">
      <c r="B2662" s="10"/>
      <c r="I2662" s="11"/>
      <c r="K2662" s="12"/>
      <c r="L2662" s="12"/>
      <c r="M2662" s="12"/>
      <c r="N2662" s="12"/>
      <c r="O2662" s="12"/>
    </row>
    <row r="2663" spans="2:15" x14ac:dyDescent="0.3">
      <c r="B2663" s="10"/>
      <c r="I2663" s="11"/>
      <c r="K2663" s="12"/>
      <c r="L2663" s="12"/>
      <c r="M2663" s="12"/>
      <c r="N2663" s="12"/>
      <c r="O2663" s="12"/>
    </row>
    <row r="2664" spans="2:15" x14ac:dyDescent="0.3">
      <c r="B2664" s="10"/>
      <c r="I2664" s="11"/>
      <c r="K2664" s="12"/>
      <c r="L2664" s="12"/>
      <c r="M2664" s="12"/>
      <c r="N2664" s="12"/>
      <c r="O2664" s="12"/>
    </row>
    <row r="2665" spans="2:15" x14ac:dyDescent="0.3">
      <c r="B2665" s="10"/>
      <c r="I2665" s="11"/>
      <c r="K2665" s="12"/>
      <c r="L2665" s="12"/>
      <c r="M2665" s="12"/>
      <c r="N2665" s="12"/>
      <c r="O2665" s="12"/>
    </row>
    <row r="2666" spans="2:15" x14ac:dyDescent="0.3">
      <c r="B2666" s="10"/>
      <c r="I2666" s="11"/>
      <c r="K2666" s="12"/>
      <c r="L2666" s="12"/>
      <c r="M2666" s="12"/>
      <c r="N2666" s="12"/>
      <c r="O2666" s="12"/>
    </row>
    <row r="2667" spans="2:15" x14ac:dyDescent="0.3">
      <c r="B2667" s="10"/>
      <c r="I2667" s="11"/>
      <c r="K2667" s="12"/>
      <c r="L2667" s="12"/>
      <c r="M2667" s="12"/>
      <c r="N2667" s="12"/>
      <c r="O2667" s="12"/>
    </row>
    <row r="2668" spans="2:15" x14ac:dyDescent="0.3">
      <c r="B2668" s="10"/>
      <c r="I2668" s="11"/>
      <c r="K2668" s="12"/>
      <c r="L2668" s="12"/>
      <c r="M2668" s="12"/>
      <c r="N2668" s="12"/>
      <c r="O2668" s="12"/>
    </row>
    <row r="2669" spans="2:15" x14ac:dyDescent="0.3">
      <c r="B2669" s="10"/>
      <c r="I2669" s="11"/>
      <c r="K2669" s="12"/>
      <c r="L2669" s="12"/>
      <c r="M2669" s="12"/>
      <c r="N2669" s="12"/>
      <c r="O2669" s="12"/>
    </row>
    <row r="2670" spans="2:15" x14ac:dyDescent="0.3">
      <c r="B2670" s="10"/>
      <c r="I2670" s="11"/>
      <c r="K2670" s="12"/>
      <c r="L2670" s="12"/>
      <c r="M2670" s="12"/>
      <c r="N2670" s="12"/>
      <c r="O2670" s="12"/>
    </row>
    <row r="2671" spans="2:15" x14ac:dyDescent="0.3">
      <c r="B2671" s="10"/>
      <c r="I2671" s="11"/>
      <c r="K2671" s="12"/>
      <c r="L2671" s="12"/>
      <c r="M2671" s="12"/>
      <c r="N2671" s="12"/>
      <c r="O2671" s="12"/>
    </row>
    <row r="2672" spans="2:15" x14ac:dyDescent="0.3">
      <c r="B2672" s="10"/>
      <c r="I2672" s="11"/>
      <c r="K2672" s="12"/>
      <c r="L2672" s="12"/>
      <c r="M2672" s="12"/>
      <c r="N2672" s="12"/>
      <c r="O2672" s="12"/>
    </row>
    <row r="2673" spans="2:15" x14ac:dyDescent="0.3">
      <c r="B2673" s="10"/>
      <c r="I2673" s="11"/>
      <c r="K2673" s="12"/>
      <c r="L2673" s="12"/>
      <c r="M2673" s="12"/>
      <c r="N2673" s="12"/>
      <c r="O2673" s="12"/>
    </row>
    <row r="2674" spans="2:15" x14ac:dyDescent="0.3">
      <c r="B2674" s="10"/>
      <c r="I2674" s="11"/>
      <c r="K2674" s="12"/>
      <c r="L2674" s="12"/>
      <c r="M2674" s="12"/>
      <c r="N2674" s="12"/>
      <c r="O2674" s="12"/>
    </row>
    <row r="2675" spans="2:15" x14ac:dyDescent="0.3">
      <c r="B2675" s="10"/>
      <c r="I2675" s="11"/>
      <c r="K2675" s="12"/>
      <c r="L2675" s="12"/>
      <c r="M2675" s="12"/>
      <c r="N2675" s="12"/>
      <c r="O2675" s="12"/>
    </row>
    <row r="2676" spans="2:15" x14ac:dyDescent="0.3">
      <c r="B2676" s="10"/>
      <c r="I2676" s="11"/>
      <c r="K2676" s="12"/>
      <c r="L2676" s="12"/>
      <c r="M2676" s="12"/>
      <c r="N2676" s="12"/>
      <c r="O2676" s="12"/>
    </row>
    <row r="2677" spans="2:15" x14ac:dyDescent="0.3">
      <c r="B2677" s="10"/>
      <c r="I2677" s="11"/>
      <c r="K2677" s="12"/>
      <c r="L2677" s="12"/>
      <c r="M2677" s="12"/>
      <c r="N2677" s="12"/>
      <c r="O2677" s="12"/>
    </row>
    <row r="2678" spans="2:15" x14ac:dyDescent="0.3">
      <c r="B2678" s="10"/>
      <c r="I2678" s="11"/>
      <c r="K2678" s="12"/>
      <c r="L2678" s="12"/>
      <c r="M2678" s="12"/>
      <c r="N2678" s="12"/>
      <c r="O2678" s="12"/>
    </row>
    <row r="2679" spans="2:15" x14ac:dyDescent="0.3">
      <c r="B2679" s="10"/>
      <c r="I2679" s="11"/>
      <c r="K2679" s="12"/>
      <c r="L2679" s="12"/>
      <c r="M2679" s="12"/>
      <c r="N2679" s="12"/>
      <c r="O2679" s="12"/>
    </row>
    <row r="2680" spans="2:15" x14ac:dyDescent="0.3">
      <c r="B2680" s="10"/>
      <c r="I2680" s="11"/>
      <c r="K2680" s="12"/>
      <c r="L2680" s="12"/>
      <c r="M2680" s="12"/>
      <c r="N2680" s="12"/>
      <c r="O2680" s="12"/>
    </row>
    <row r="2681" spans="2:15" x14ac:dyDescent="0.3">
      <c r="B2681" s="10"/>
      <c r="I2681" s="11"/>
      <c r="K2681" s="12"/>
      <c r="L2681" s="12"/>
      <c r="M2681" s="12"/>
      <c r="N2681" s="12"/>
      <c r="O2681" s="12"/>
    </row>
    <row r="2682" spans="2:15" x14ac:dyDescent="0.3">
      <c r="B2682" s="10"/>
      <c r="I2682" s="11"/>
      <c r="K2682" s="12"/>
      <c r="L2682" s="12"/>
      <c r="M2682" s="12"/>
      <c r="N2682" s="12"/>
      <c r="O2682" s="12"/>
    </row>
    <row r="2683" spans="2:15" x14ac:dyDescent="0.3">
      <c r="B2683" s="10"/>
      <c r="I2683" s="11"/>
      <c r="K2683" s="12"/>
      <c r="L2683" s="12"/>
      <c r="M2683" s="12"/>
      <c r="N2683" s="12"/>
      <c r="O2683" s="12"/>
    </row>
    <row r="2684" spans="2:15" x14ac:dyDescent="0.3">
      <c r="B2684" s="10"/>
      <c r="I2684" s="11"/>
      <c r="K2684" s="12"/>
      <c r="L2684" s="12"/>
      <c r="M2684" s="12"/>
      <c r="N2684" s="12"/>
      <c r="O2684" s="12"/>
    </row>
    <row r="2685" spans="2:15" x14ac:dyDescent="0.3">
      <c r="B2685" s="10"/>
      <c r="I2685" s="11"/>
      <c r="K2685" s="12"/>
      <c r="L2685" s="12"/>
      <c r="M2685" s="12"/>
      <c r="N2685" s="12"/>
      <c r="O2685" s="12"/>
    </row>
    <row r="2686" spans="2:15" x14ac:dyDescent="0.3">
      <c r="B2686" s="10"/>
      <c r="I2686" s="11"/>
      <c r="K2686" s="12"/>
      <c r="L2686" s="12"/>
      <c r="M2686" s="12"/>
      <c r="N2686" s="12"/>
      <c r="O2686" s="12"/>
    </row>
    <row r="2687" spans="2:15" x14ac:dyDescent="0.3">
      <c r="B2687" s="10"/>
      <c r="I2687" s="11"/>
      <c r="K2687" s="12"/>
      <c r="L2687" s="12"/>
      <c r="M2687" s="12"/>
      <c r="N2687" s="12"/>
      <c r="O2687" s="12"/>
    </row>
    <row r="2688" spans="2:15" x14ac:dyDescent="0.3">
      <c r="B2688" s="10"/>
      <c r="I2688" s="11"/>
      <c r="K2688" s="12"/>
      <c r="L2688" s="12"/>
      <c r="M2688" s="12"/>
      <c r="N2688" s="12"/>
      <c r="O2688" s="12"/>
    </row>
    <row r="2689" spans="2:15" x14ac:dyDescent="0.3">
      <c r="B2689" s="10"/>
      <c r="I2689" s="11"/>
      <c r="K2689" s="12"/>
      <c r="L2689" s="12"/>
      <c r="M2689" s="12"/>
      <c r="N2689" s="12"/>
      <c r="O2689" s="12"/>
    </row>
    <row r="2690" spans="2:15" x14ac:dyDescent="0.3">
      <c r="B2690" s="10"/>
      <c r="I2690" s="11"/>
      <c r="K2690" s="12"/>
      <c r="L2690" s="12"/>
      <c r="M2690" s="12"/>
      <c r="N2690" s="12"/>
      <c r="O2690" s="12"/>
    </row>
    <row r="2691" spans="2:15" x14ac:dyDescent="0.3">
      <c r="B2691" s="10"/>
      <c r="I2691" s="11"/>
      <c r="K2691" s="12"/>
      <c r="L2691" s="12"/>
      <c r="M2691" s="12"/>
      <c r="N2691" s="12"/>
      <c r="O2691" s="12"/>
    </row>
    <row r="2692" spans="2:15" x14ac:dyDescent="0.3">
      <c r="B2692" s="10"/>
      <c r="I2692" s="11"/>
      <c r="K2692" s="12"/>
      <c r="L2692" s="12"/>
      <c r="M2692" s="12"/>
      <c r="N2692" s="12"/>
      <c r="O2692" s="12"/>
    </row>
    <row r="2693" spans="2:15" x14ac:dyDescent="0.3">
      <c r="B2693" s="10"/>
      <c r="I2693" s="11"/>
      <c r="K2693" s="12"/>
      <c r="L2693" s="12"/>
      <c r="M2693" s="12"/>
      <c r="N2693" s="12"/>
      <c r="O2693" s="12"/>
    </row>
    <row r="2694" spans="2:15" x14ac:dyDescent="0.3">
      <c r="B2694" s="10"/>
      <c r="I2694" s="11"/>
      <c r="K2694" s="12"/>
      <c r="L2694" s="12"/>
      <c r="M2694" s="12"/>
      <c r="N2694" s="12"/>
      <c r="O2694" s="12"/>
    </row>
    <row r="2695" spans="2:15" x14ac:dyDescent="0.3">
      <c r="B2695" s="10"/>
      <c r="I2695" s="11"/>
      <c r="K2695" s="12"/>
      <c r="L2695" s="12"/>
      <c r="M2695" s="12"/>
      <c r="N2695" s="12"/>
      <c r="O2695" s="12"/>
    </row>
    <row r="2696" spans="2:15" x14ac:dyDescent="0.3">
      <c r="B2696" s="10"/>
      <c r="I2696" s="11"/>
      <c r="K2696" s="12"/>
      <c r="L2696" s="12"/>
      <c r="M2696" s="12"/>
      <c r="N2696" s="12"/>
      <c r="O2696" s="12"/>
    </row>
    <row r="2697" spans="2:15" x14ac:dyDescent="0.3">
      <c r="B2697" s="10"/>
      <c r="I2697" s="11"/>
      <c r="K2697" s="12"/>
      <c r="L2697" s="12"/>
      <c r="M2697" s="12"/>
      <c r="N2697" s="12"/>
      <c r="O2697" s="12"/>
    </row>
    <row r="2698" spans="2:15" x14ac:dyDescent="0.3">
      <c r="B2698" s="10"/>
      <c r="I2698" s="11"/>
      <c r="K2698" s="12"/>
      <c r="L2698" s="12"/>
      <c r="M2698" s="12"/>
      <c r="N2698" s="12"/>
      <c r="O2698" s="12"/>
    </row>
    <row r="2699" spans="2:15" x14ac:dyDescent="0.3">
      <c r="B2699" s="10"/>
      <c r="I2699" s="11"/>
      <c r="K2699" s="12"/>
      <c r="L2699" s="12"/>
      <c r="M2699" s="12"/>
      <c r="N2699" s="12"/>
      <c r="O2699" s="12"/>
    </row>
    <row r="2700" spans="2:15" x14ac:dyDescent="0.3">
      <c r="B2700" s="10"/>
      <c r="I2700" s="11"/>
      <c r="K2700" s="12"/>
      <c r="L2700" s="12"/>
      <c r="M2700" s="12"/>
      <c r="N2700" s="12"/>
      <c r="O2700" s="12"/>
    </row>
    <row r="2701" spans="2:15" x14ac:dyDescent="0.3">
      <c r="B2701" s="10"/>
      <c r="I2701" s="11"/>
      <c r="K2701" s="12"/>
      <c r="L2701" s="12"/>
      <c r="M2701" s="12"/>
      <c r="N2701" s="12"/>
      <c r="O2701" s="12"/>
    </row>
    <row r="2702" spans="2:15" x14ac:dyDescent="0.3">
      <c r="B2702" s="10"/>
      <c r="I2702" s="11"/>
      <c r="K2702" s="12"/>
      <c r="L2702" s="12"/>
      <c r="M2702" s="12"/>
      <c r="N2702" s="12"/>
      <c r="O2702" s="12"/>
    </row>
    <row r="2703" spans="2:15" x14ac:dyDescent="0.3">
      <c r="B2703" s="10"/>
      <c r="I2703" s="11"/>
      <c r="K2703" s="12"/>
      <c r="L2703" s="12"/>
      <c r="M2703" s="12"/>
      <c r="N2703" s="12"/>
      <c r="O2703" s="12"/>
    </row>
    <row r="2704" spans="2:15" x14ac:dyDescent="0.3">
      <c r="B2704" s="10"/>
      <c r="I2704" s="11"/>
      <c r="K2704" s="12"/>
      <c r="L2704" s="12"/>
      <c r="M2704" s="12"/>
      <c r="N2704" s="12"/>
      <c r="O2704" s="12"/>
    </row>
    <row r="2705" spans="2:15" x14ac:dyDescent="0.3">
      <c r="B2705" s="10"/>
      <c r="I2705" s="11"/>
      <c r="K2705" s="12"/>
      <c r="L2705" s="12"/>
      <c r="M2705" s="12"/>
      <c r="N2705" s="12"/>
      <c r="O2705" s="12"/>
    </row>
    <row r="2706" spans="2:15" x14ac:dyDescent="0.3">
      <c r="B2706" s="10"/>
      <c r="I2706" s="11"/>
      <c r="K2706" s="12"/>
      <c r="L2706" s="12"/>
      <c r="M2706" s="12"/>
      <c r="N2706" s="12"/>
      <c r="O2706" s="12"/>
    </row>
    <row r="2707" spans="2:15" x14ac:dyDescent="0.3">
      <c r="B2707" s="10"/>
      <c r="I2707" s="11"/>
      <c r="K2707" s="12"/>
      <c r="L2707" s="12"/>
      <c r="M2707" s="12"/>
      <c r="N2707" s="12"/>
      <c r="O2707" s="12"/>
    </row>
    <row r="2708" spans="2:15" x14ac:dyDescent="0.3">
      <c r="B2708" s="10"/>
      <c r="I2708" s="11"/>
      <c r="K2708" s="12"/>
      <c r="L2708" s="12"/>
      <c r="M2708" s="12"/>
      <c r="N2708" s="12"/>
      <c r="O2708" s="12"/>
    </row>
    <row r="2709" spans="2:15" x14ac:dyDescent="0.3">
      <c r="B2709" s="10"/>
      <c r="I2709" s="11"/>
      <c r="K2709" s="12"/>
      <c r="L2709" s="12"/>
      <c r="M2709" s="12"/>
      <c r="N2709" s="12"/>
      <c r="O2709" s="12"/>
    </row>
    <row r="2710" spans="2:15" x14ac:dyDescent="0.3">
      <c r="B2710" s="10"/>
      <c r="I2710" s="11"/>
      <c r="K2710" s="12"/>
      <c r="L2710" s="12"/>
      <c r="M2710" s="12"/>
      <c r="N2710" s="12"/>
      <c r="O2710" s="12"/>
    </row>
    <row r="2711" spans="2:15" x14ac:dyDescent="0.3">
      <c r="B2711" s="10"/>
      <c r="I2711" s="11"/>
      <c r="K2711" s="12"/>
      <c r="L2711" s="12"/>
      <c r="M2711" s="12"/>
      <c r="N2711" s="12"/>
      <c r="O2711" s="12"/>
    </row>
    <row r="2712" spans="2:15" x14ac:dyDescent="0.3">
      <c r="B2712" s="10"/>
      <c r="I2712" s="11"/>
      <c r="K2712" s="12"/>
      <c r="L2712" s="12"/>
      <c r="M2712" s="12"/>
      <c r="N2712" s="12"/>
      <c r="O2712" s="12"/>
    </row>
    <row r="2713" spans="2:15" x14ac:dyDescent="0.3">
      <c r="B2713" s="10"/>
      <c r="I2713" s="11"/>
      <c r="K2713" s="12"/>
      <c r="L2713" s="12"/>
      <c r="M2713" s="12"/>
      <c r="N2713" s="12"/>
      <c r="O2713" s="12"/>
    </row>
    <row r="2714" spans="2:15" x14ac:dyDescent="0.3">
      <c r="B2714" s="10"/>
      <c r="I2714" s="11"/>
      <c r="K2714" s="12"/>
      <c r="L2714" s="12"/>
      <c r="M2714" s="12"/>
      <c r="N2714" s="12"/>
      <c r="O2714" s="12"/>
    </row>
    <row r="2715" spans="2:15" x14ac:dyDescent="0.3">
      <c r="B2715" s="10"/>
      <c r="I2715" s="11"/>
      <c r="K2715" s="12"/>
      <c r="L2715" s="12"/>
      <c r="M2715" s="12"/>
      <c r="N2715" s="12"/>
      <c r="O2715" s="12"/>
    </row>
    <row r="2716" spans="2:15" x14ac:dyDescent="0.3">
      <c r="B2716" s="10"/>
      <c r="I2716" s="11"/>
      <c r="K2716" s="12"/>
      <c r="L2716" s="12"/>
      <c r="M2716" s="12"/>
      <c r="N2716" s="12"/>
      <c r="O2716" s="12"/>
    </row>
    <row r="2717" spans="2:15" x14ac:dyDescent="0.3">
      <c r="B2717" s="10"/>
      <c r="I2717" s="11"/>
      <c r="K2717" s="12"/>
      <c r="L2717" s="12"/>
      <c r="M2717" s="12"/>
      <c r="N2717" s="12"/>
      <c r="O2717" s="12"/>
    </row>
    <row r="2718" spans="2:15" x14ac:dyDescent="0.3">
      <c r="B2718" s="10"/>
      <c r="I2718" s="11"/>
      <c r="K2718" s="12"/>
      <c r="L2718" s="12"/>
      <c r="M2718" s="12"/>
      <c r="N2718" s="12"/>
      <c r="O2718" s="12"/>
    </row>
    <row r="2719" spans="2:15" x14ac:dyDescent="0.3">
      <c r="B2719" s="10"/>
      <c r="I2719" s="11"/>
      <c r="K2719" s="12"/>
      <c r="L2719" s="12"/>
      <c r="M2719" s="12"/>
      <c r="N2719" s="12"/>
      <c r="O2719" s="12"/>
    </row>
    <row r="2720" spans="2:15" x14ac:dyDescent="0.3">
      <c r="B2720" s="10"/>
      <c r="I2720" s="11"/>
      <c r="K2720" s="12"/>
      <c r="L2720" s="12"/>
      <c r="M2720" s="12"/>
      <c r="N2720" s="12"/>
      <c r="O2720" s="12"/>
    </row>
    <row r="2721" spans="2:15" x14ac:dyDescent="0.3">
      <c r="B2721" s="10"/>
      <c r="I2721" s="11"/>
      <c r="K2721" s="12"/>
      <c r="L2721" s="12"/>
      <c r="M2721" s="12"/>
      <c r="N2721" s="12"/>
      <c r="O2721" s="12"/>
    </row>
    <row r="2722" spans="2:15" x14ac:dyDescent="0.3">
      <c r="B2722" s="10"/>
      <c r="I2722" s="11"/>
      <c r="K2722" s="12"/>
      <c r="L2722" s="12"/>
      <c r="M2722" s="12"/>
      <c r="N2722" s="12"/>
      <c r="O2722" s="12"/>
    </row>
    <row r="2723" spans="2:15" x14ac:dyDescent="0.3">
      <c r="B2723" s="10"/>
      <c r="I2723" s="11"/>
      <c r="K2723" s="12"/>
      <c r="L2723" s="12"/>
      <c r="M2723" s="12"/>
      <c r="N2723" s="12"/>
      <c r="O2723" s="12"/>
    </row>
    <row r="2724" spans="2:15" x14ac:dyDescent="0.3">
      <c r="B2724" s="10"/>
      <c r="I2724" s="11"/>
      <c r="K2724" s="12"/>
      <c r="L2724" s="12"/>
      <c r="M2724" s="12"/>
      <c r="N2724" s="12"/>
      <c r="O2724" s="12"/>
    </row>
    <row r="2725" spans="2:15" x14ac:dyDescent="0.3">
      <c r="B2725" s="10"/>
      <c r="I2725" s="11"/>
      <c r="K2725" s="12"/>
      <c r="L2725" s="12"/>
      <c r="M2725" s="12"/>
      <c r="N2725" s="12"/>
      <c r="O2725" s="12"/>
    </row>
    <row r="2726" spans="2:15" x14ac:dyDescent="0.3">
      <c r="B2726" s="10"/>
      <c r="I2726" s="11"/>
      <c r="K2726" s="12"/>
      <c r="L2726" s="12"/>
      <c r="M2726" s="12"/>
      <c r="N2726" s="12"/>
      <c r="O2726" s="12"/>
    </row>
    <row r="2727" spans="2:15" x14ac:dyDescent="0.3">
      <c r="B2727" s="10"/>
      <c r="I2727" s="11"/>
      <c r="K2727" s="12"/>
      <c r="L2727" s="12"/>
      <c r="M2727" s="12"/>
      <c r="N2727" s="12"/>
      <c r="O2727" s="12"/>
    </row>
    <row r="2728" spans="2:15" x14ac:dyDescent="0.3">
      <c r="B2728" s="10"/>
      <c r="I2728" s="11"/>
      <c r="K2728" s="12"/>
      <c r="L2728" s="12"/>
      <c r="M2728" s="12"/>
      <c r="N2728" s="12"/>
      <c r="O2728" s="12"/>
    </row>
    <row r="2729" spans="2:15" x14ac:dyDescent="0.3">
      <c r="B2729" s="10"/>
      <c r="I2729" s="11"/>
      <c r="K2729" s="12"/>
      <c r="L2729" s="12"/>
      <c r="M2729" s="12"/>
      <c r="N2729" s="12"/>
      <c r="O2729" s="12"/>
    </row>
    <row r="2730" spans="2:15" x14ac:dyDescent="0.3">
      <c r="B2730" s="10"/>
      <c r="I2730" s="11"/>
      <c r="K2730" s="12"/>
      <c r="L2730" s="12"/>
      <c r="M2730" s="12"/>
      <c r="N2730" s="12"/>
      <c r="O2730" s="12"/>
    </row>
    <row r="2731" spans="2:15" x14ac:dyDescent="0.3">
      <c r="B2731" s="10"/>
      <c r="I2731" s="11"/>
      <c r="K2731" s="12"/>
      <c r="L2731" s="12"/>
      <c r="M2731" s="12"/>
      <c r="N2731" s="12"/>
      <c r="O2731" s="12"/>
    </row>
    <row r="2732" spans="2:15" x14ac:dyDescent="0.3">
      <c r="B2732" s="10"/>
      <c r="I2732" s="11"/>
      <c r="K2732" s="12"/>
      <c r="L2732" s="12"/>
      <c r="M2732" s="12"/>
      <c r="N2732" s="12"/>
      <c r="O2732" s="12"/>
    </row>
    <row r="2733" spans="2:15" x14ac:dyDescent="0.3">
      <c r="B2733" s="10"/>
      <c r="I2733" s="11"/>
      <c r="K2733" s="12"/>
      <c r="L2733" s="12"/>
      <c r="M2733" s="12"/>
      <c r="N2733" s="12"/>
      <c r="O2733" s="12"/>
    </row>
    <row r="2734" spans="2:15" x14ac:dyDescent="0.3">
      <c r="B2734" s="10"/>
      <c r="I2734" s="11"/>
      <c r="K2734" s="12"/>
      <c r="L2734" s="12"/>
      <c r="M2734" s="12"/>
      <c r="N2734" s="12"/>
      <c r="O2734" s="12"/>
    </row>
    <row r="2735" spans="2:15" x14ac:dyDescent="0.3">
      <c r="B2735" s="10"/>
      <c r="I2735" s="11"/>
      <c r="K2735" s="12"/>
      <c r="L2735" s="12"/>
      <c r="M2735" s="12"/>
      <c r="N2735" s="12"/>
      <c r="O2735" s="12"/>
    </row>
    <row r="2736" spans="2:15" x14ac:dyDescent="0.3">
      <c r="B2736" s="10"/>
      <c r="I2736" s="11"/>
      <c r="K2736" s="12"/>
      <c r="L2736" s="12"/>
      <c r="M2736" s="12"/>
      <c r="N2736" s="12"/>
      <c r="O2736" s="12"/>
    </row>
    <row r="2737" spans="2:15" x14ac:dyDescent="0.3">
      <c r="B2737" s="10"/>
      <c r="I2737" s="11"/>
      <c r="K2737" s="12"/>
      <c r="L2737" s="12"/>
      <c r="M2737" s="12"/>
      <c r="N2737" s="12"/>
      <c r="O2737" s="12"/>
    </row>
    <row r="2738" spans="2:15" x14ac:dyDescent="0.3">
      <c r="B2738" s="10"/>
      <c r="I2738" s="11"/>
      <c r="K2738" s="12"/>
      <c r="L2738" s="12"/>
      <c r="M2738" s="12"/>
      <c r="N2738" s="12"/>
      <c r="O2738" s="12"/>
    </row>
    <row r="2739" spans="2:15" x14ac:dyDescent="0.3">
      <c r="B2739" s="10"/>
      <c r="I2739" s="11"/>
      <c r="K2739" s="12"/>
      <c r="L2739" s="12"/>
      <c r="M2739" s="12"/>
      <c r="N2739" s="12"/>
      <c r="O2739" s="12"/>
    </row>
    <row r="2740" spans="2:15" x14ac:dyDescent="0.3">
      <c r="B2740" s="10"/>
      <c r="I2740" s="11"/>
      <c r="K2740" s="12"/>
      <c r="L2740" s="12"/>
      <c r="M2740" s="12"/>
      <c r="N2740" s="12"/>
      <c r="O2740" s="12"/>
    </row>
    <row r="2741" spans="2:15" x14ac:dyDescent="0.3">
      <c r="B2741" s="10"/>
      <c r="I2741" s="11"/>
      <c r="K2741" s="12"/>
      <c r="L2741" s="12"/>
      <c r="M2741" s="12"/>
      <c r="N2741" s="12"/>
      <c r="O2741" s="12"/>
    </row>
    <row r="2742" spans="2:15" x14ac:dyDescent="0.3">
      <c r="B2742" s="10"/>
      <c r="I2742" s="11"/>
      <c r="K2742" s="12"/>
      <c r="L2742" s="12"/>
      <c r="M2742" s="12"/>
      <c r="N2742" s="12"/>
      <c r="O2742" s="12"/>
    </row>
    <row r="2743" spans="2:15" x14ac:dyDescent="0.3">
      <c r="B2743" s="10"/>
      <c r="I2743" s="11"/>
      <c r="K2743" s="12"/>
      <c r="L2743" s="12"/>
      <c r="M2743" s="12"/>
      <c r="N2743" s="12"/>
      <c r="O2743" s="12"/>
    </row>
    <row r="2744" spans="2:15" x14ac:dyDescent="0.3">
      <c r="B2744" s="10"/>
      <c r="I2744" s="11"/>
      <c r="K2744" s="12"/>
      <c r="L2744" s="12"/>
      <c r="M2744" s="12"/>
      <c r="N2744" s="12"/>
      <c r="O2744" s="12"/>
    </row>
    <row r="2745" spans="2:15" x14ac:dyDescent="0.3">
      <c r="B2745" s="10"/>
      <c r="I2745" s="11"/>
      <c r="K2745" s="12"/>
      <c r="L2745" s="12"/>
      <c r="M2745" s="12"/>
      <c r="N2745" s="12"/>
      <c r="O2745" s="12"/>
    </row>
    <row r="2746" spans="2:15" x14ac:dyDescent="0.3">
      <c r="B2746" s="10"/>
      <c r="I2746" s="11"/>
      <c r="K2746" s="12"/>
      <c r="L2746" s="12"/>
      <c r="M2746" s="12"/>
      <c r="N2746" s="12"/>
      <c r="O2746" s="12"/>
    </row>
    <row r="2747" spans="2:15" x14ac:dyDescent="0.3">
      <c r="B2747" s="10"/>
      <c r="I2747" s="11"/>
      <c r="K2747" s="12"/>
      <c r="L2747" s="12"/>
      <c r="M2747" s="12"/>
      <c r="N2747" s="12"/>
      <c r="O2747" s="12"/>
    </row>
    <row r="2748" spans="2:15" x14ac:dyDescent="0.3">
      <c r="B2748" s="10"/>
      <c r="I2748" s="11"/>
      <c r="K2748" s="12"/>
      <c r="L2748" s="12"/>
      <c r="M2748" s="12"/>
      <c r="N2748" s="12"/>
      <c r="O2748" s="12"/>
    </row>
    <row r="2749" spans="2:15" x14ac:dyDescent="0.3">
      <c r="B2749" s="10"/>
      <c r="I2749" s="11"/>
      <c r="K2749" s="12"/>
      <c r="L2749" s="12"/>
      <c r="M2749" s="12"/>
      <c r="N2749" s="12"/>
      <c r="O2749" s="12"/>
    </row>
    <row r="2750" spans="2:15" x14ac:dyDescent="0.3">
      <c r="B2750" s="10"/>
      <c r="I2750" s="11"/>
      <c r="K2750" s="12"/>
      <c r="L2750" s="12"/>
      <c r="M2750" s="12"/>
      <c r="N2750" s="12"/>
      <c r="O2750" s="12"/>
    </row>
    <row r="2751" spans="2:15" x14ac:dyDescent="0.3">
      <c r="B2751" s="10"/>
      <c r="I2751" s="11"/>
      <c r="K2751" s="12"/>
      <c r="L2751" s="12"/>
      <c r="M2751" s="12"/>
      <c r="N2751" s="12"/>
      <c r="O2751" s="12"/>
    </row>
    <row r="2752" spans="2:15" x14ac:dyDescent="0.3">
      <c r="B2752" s="10"/>
      <c r="I2752" s="11"/>
      <c r="K2752" s="12"/>
      <c r="L2752" s="12"/>
      <c r="M2752" s="12"/>
      <c r="N2752" s="12"/>
      <c r="O2752" s="12"/>
    </row>
    <row r="2753" spans="2:15" x14ac:dyDescent="0.3">
      <c r="B2753" s="10"/>
      <c r="I2753" s="11"/>
      <c r="K2753" s="12"/>
      <c r="L2753" s="12"/>
      <c r="M2753" s="12"/>
      <c r="N2753" s="12"/>
      <c r="O2753" s="12"/>
    </row>
    <row r="2754" spans="2:15" x14ac:dyDescent="0.3">
      <c r="B2754" s="10"/>
      <c r="I2754" s="11"/>
      <c r="K2754" s="12"/>
      <c r="L2754" s="12"/>
      <c r="M2754" s="12"/>
      <c r="N2754" s="12"/>
      <c r="O2754" s="12"/>
    </row>
    <row r="2755" spans="2:15" x14ac:dyDescent="0.3">
      <c r="B2755" s="10"/>
      <c r="I2755" s="11"/>
      <c r="K2755" s="12"/>
      <c r="L2755" s="12"/>
      <c r="M2755" s="12"/>
      <c r="N2755" s="12"/>
      <c r="O2755" s="12"/>
    </row>
    <row r="2756" spans="2:15" x14ac:dyDescent="0.3">
      <c r="B2756" s="10"/>
      <c r="I2756" s="11"/>
      <c r="K2756" s="12"/>
      <c r="L2756" s="12"/>
      <c r="M2756" s="12"/>
      <c r="N2756" s="12"/>
      <c r="O2756" s="12"/>
    </row>
    <row r="2757" spans="2:15" x14ac:dyDescent="0.3">
      <c r="B2757" s="10"/>
      <c r="I2757" s="11"/>
      <c r="K2757" s="12"/>
      <c r="L2757" s="12"/>
      <c r="M2757" s="12"/>
      <c r="N2757" s="12"/>
      <c r="O2757" s="12"/>
    </row>
    <row r="2758" spans="2:15" x14ac:dyDescent="0.3">
      <c r="B2758" s="10"/>
      <c r="I2758" s="11"/>
      <c r="K2758" s="12"/>
      <c r="L2758" s="12"/>
      <c r="M2758" s="12"/>
      <c r="N2758" s="12"/>
      <c r="O2758" s="12"/>
    </row>
    <row r="2759" spans="2:15" x14ac:dyDescent="0.3">
      <c r="B2759" s="10"/>
      <c r="I2759" s="11"/>
      <c r="K2759" s="12"/>
      <c r="L2759" s="12"/>
      <c r="M2759" s="12"/>
      <c r="N2759" s="12"/>
      <c r="O2759" s="12"/>
    </row>
    <row r="2760" spans="2:15" x14ac:dyDescent="0.3">
      <c r="B2760" s="10"/>
      <c r="I2760" s="11"/>
      <c r="K2760" s="12"/>
      <c r="L2760" s="12"/>
      <c r="M2760" s="12"/>
      <c r="N2760" s="12"/>
      <c r="O2760" s="12"/>
    </row>
    <row r="2761" spans="2:15" x14ac:dyDescent="0.3">
      <c r="B2761" s="10"/>
      <c r="I2761" s="11"/>
      <c r="K2761" s="12"/>
      <c r="L2761" s="12"/>
      <c r="M2761" s="12"/>
      <c r="N2761" s="12"/>
      <c r="O2761" s="12"/>
    </row>
    <row r="2762" spans="2:15" x14ac:dyDescent="0.3">
      <c r="B2762" s="10"/>
      <c r="I2762" s="11"/>
      <c r="K2762" s="12"/>
      <c r="L2762" s="12"/>
      <c r="M2762" s="12"/>
      <c r="N2762" s="12"/>
      <c r="O2762" s="12"/>
    </row>
    <row r="2763" spans="2:15" x14ac:dyDescent="0.3">
      <c r="B2763" s="10"/>
      <c r="I2763" s="11"/>
      <c r="K2763" s="12"/>
      <c r="L2763" s="12"/>
      <c r="M2763" s="12"/>
      <c r="N2763" s="12"/>
      <c r="O2763" s="12"/>
    </row>
    <row r="2764" spans="2:15" x14ac:dyDescent="0.3">
      <c r="B2764" s="10"/>
      <c r="I2764" s="11"/>
      <c r="K2764" s="12"/>
      <c r="L2764" s="12"/>
      <c r="M2764" s="12"/>
      <c r="N2764" s="12"/>
      <c r="O2764" s="12"/>
    </row>
    <row r="2765" spans="2:15" x14ac:dyDescent="0.3">
      <c r="B2765" s="10"/>
      <c r="I2765" s="11"/>
      <c r="K2765" s="12"/>
      <c r="L2765" s="12"/>
      <c r="M2765" s="12"/>
      <c r="N2765" s="12"/>
      <c r="O2765" s="12"/>
    </row>
    <row r="2766" spans="2:15" x14ac:dyDescent="0.3">
      <c r="B2766" s="10"/>
      <c r="I2766" s="11"/>
      <c r="K2766" s="12"/>
      <c r="L2766" s="12"/>
      <c r="M2766" s="12"/>
      <c r="N2766" s="12"/>
      <c r="O2766" s="12"/>
    </row>
    <row r="2767" spans="2:15" x14ac:dyDescent="0.3">
      <c r="B2767" s="10"/>
      <c r="I2767" s="11"/>
      <c r="K2767" s="12"/>
      <c r="L2767" s="12"/>
      <c r="M2767" s="12"/>
      <c r="N2767" s="12"/>
      <c r="O2767" s="12"/>
    </row>
    <row r="2768" spans="2:15" x14ac:dyDescent="0.3">
      <c r="B2768" s="10"/>
      <c r="I2768" s="11"/>
      <c r="K2768" s="12"/>
      <c r="L2768" s="12"/>
      <c r="M2768" s="12"/>
      <c r="N2768" s="12"/>
      <c r="O2768" s="12"/>
    </row>
    <row r="2769" spans="2:15" x14ac:dyDescent="0.3">
      <c r="B2769" s="10"/>
      <c r="I2769" s="11"/>
      <c r="K2769" s="12"/>
      <c r="L2769" s="12"/>
      <c r="M2769" s="12"/>
      <c r="N2769" s="12"/>
      <c r="O2769" s="12"/>
    </row>
    <row r="2770" spans="2:15" x14ac:dyDescent="0.3">
      <c r="B2770" s="10"/>
      <c r="I2770" s="11"/>
      <c r="K2770" s="12"/>
      <c r="L2770" s="12"/>
      <c r="M2770" s="12"/>
      <c r="N2770" s="12"/>
      <c r="O2770" s="12"/>
    </row>
    <row r="2771" spans="2:15" x14ac:dyDescent="0.3">
      <c r="B2771" s="10"/>
      <c r="I2771" s="11"/>
      <c r="K2771" s="12"/>
      <c r="L2771" s="12"/>
      <c r="M2771" s="12"/>
      <c r="N2771" s="12"/>
      <c r="O2771" s="12"/>
    </row>
    <row r="2772" spans="2:15" x14ac:dyDescent="0.3">
      <c r="B2772" s="10"/>
      <c r="I2772" s="11"/>
      <c r="K2772" s="12"/>
      <c r="L2772" s="12"/>
      <c r="M2772" s="12"/>
      <c r="N2772" s="12"/>
      <c r="O2772" s="12"/>
    </row>
    <row r="2773" spans="2:15" x14ac:dyDescent="0.3">
      <c r="B2773" s="10"/>
      <c r="I2773" s="11"/>
      <c r="K2773" s="12"/>
      <c r="L2773" s="12"/>
      <c r="M2773" s="12"/>
      <c r="N2773" s="12"/>
      <c r="O2773" s="12"/>
    </row>
    <row r="2774" spans="2:15" x14ac:dyDescent="0.3">
      <c r="B2774" s="10"/>
      <c r="I2774" s="11"/>
      <c r="K2774" s="12"/>
      <c r="L2774" s="12"/>
      <c r="M2774" s="12"/>
      <c r="N2774" s="12"/>
      <c r="O2774" s="12"/>
    </row>
    <row r="2775" spans="2:15" x14ac:dyDescent="0.3">
      <c r="B2775" s="10"/>
      <c r="I2775" s="11"/>
      <c r="K2775" s="12"/>
      <c r="L2775" s="12"/>
      <c r="M2775" s="12"/>
      <c r="N2775" s="12"/>
      <c r="O2775" s="12"/>
    </row>
    <row r="2776" spans="2:15" x14ac:dyDescent="0.3">
      <c r="B2776" s="10"/>
      <c r="I2776" s="11"/>
      <c r="K2776" s="12"/>
      <c r="L2776" s="12"/>
      <c r="M2776" s="12"/>
      <c r="N2776" s="12"/>
      <c r="O2776" s="12"/>
    </row>
    <row r="2777" spans="2:15" x14ac:dyDescent="0.3">
      <c r="B2777" s="10"/>
      <c r="I2777" s="11"/>
      <c r="K2777" s="12"/>
      <c r="L2777" s="12"/>
      <c r="M2777" s="12"/>
      <c r="N2777" s="12"/>
      <c r="O2777" s="12"/>
    </row>
    <row r="2778" spans="2:15" x14ac:dyDescent="0.3">
      <c r="B2778" s="10"/>
      <c r="I2778" s="11"/>
      <c r="K2778" s="12"/>
      <c r="L2778" s="12"/>
      <c r="M2778" s="12"/>
      <c r="N2778" s="12"/>
      <c r="O2778" s="12"/>
    </row>
    <row r="2779" spans="2:15" x14ac:dyDescent="0.3">
      <c r="B2779" s="10"/>
      <c r="I2779" s="11"/>
      <c r="K2779" s="12"/>
      <c r="L2779" s="12"/>
      <c r="M2779" s="12"/>
      <c r="N2779" s="12"/>
      <c r="O2779" s="12"/>
    </row>
    <row r="2780" spans="2:15" x14ac:dyDescent="0.3">
      <c r="B2780" s="10"/>
      <c r="I2780" s="11"/>
      <c r="K2780" s="12"/>
      <c r="L2780" s="12"/>
      <c r="M2780" s="12"/>
      <c r="N2780" s="12"/>
      <c r="O2780" s="12"/>
    </row>
    <row r="2781" spans="2:15" x14ac:dyDescent="0.3">
      <c r="B2781" s="10"/>
      <c r="I2781" s="11"/>
      <c r="K2781" s="12"/>
      <c r="L2781" s="12"/>
      <c r="M2781" s="12"/>
      <c r="N2781" s="12"/>
      <c r="O2781" s="12"/>
    </row>
    <row r="2782" spans="2:15" x14ac:dyDescent="0.3">
      <c r="B2782" s="10"/>
      <c r="I2782" s="11"/>
      <c r="K2782" s="12"/>
      <c r="L2782" s="12"/>
      <c r="M2782" s="12"/>
      <c r="N2782" s="12"/>
      <c r="O2782" s="12"/>
    </row>
    <row r="2783" spans="2:15" x14ac:dyDescent="0.3">
      <c r="B2783" s="10"/>
      <c r="I2783" s="11"/>
      <c r="K2783" s="12"/>
      <c r="L2783" s="12"/>
      <c r="M2783" s="12"/>
      <c r="N2783" s="12"/>
      <c r="O2783" s="12"/>
    </row>
    <row r="2784" spans="2:15" x14ac:dyDescent="0.3">
      <c r="B2784" s="10"/>
      <c r="I2784" s="11"/>
      <c r="K2784" s="12"/>
      <c r="L2784" s="12"/>
      <c r="M2784" s="12"/>
      <c r="N2784" s="12"/>
      <c r="O2784" s="12"/>
    </row>
    <row r="2785" spans="2:15" x14ac:dyDescent="0.3">
      <c r="B2785" s="10"/>
      <c r="I2785" s="11"/>
      <c r="K2785" s="12"/>
      <c r="L2785" s="12"/>
      <c r="M2785" s="12"/>
      <c r="N2785" s="12"/>
      <c r="O2785" s="12"/>
    </row>
    <row r="2786" spans="2:15" x14ac:dyDescent="0.3">
      <c r="B2786" s="10"/>
      <c r="I2786" s="11"/>
      <c r="K2786" s="12"/>
      <c r="L2786" s="12"/>
      <c r="M2786" s="12"/>
      <c r="N2786" s="12"/>
      <c r="O2786" s="12"/>
    </row>
    <row r="2787" spans="2:15" x14ac:dyDescent="0.3">
      <c r="B2787" s="10"/>
      <c r="I2787" s="11"/>
      <c r="K2787" s="12"/>
      <c r="L2787" s="12"/>
      <c r="M2787" s="12"/>
      <c r="N2787" s="12"/>
      <c r="O2787" s="12"/>
    </row>
    <row r="2788" spans="2:15" x14ac:dyDescent="0.3">
      <c r="B2788" s="10"/>
      <c r="I2788" s="11"/>
      <c r="K2788" s="12"/>
      <c r="L2788" s="12"/>
      <c r="M2788" s="12"/>
      <c r="N2788" s="12"/>
      <c r="O2788" s="12"/>
    </row>
    <row r="2789" spans="2:15" x14ac:dyDescent="0.3">
      <c r="B2789" s="10"/>
      <c r="I2789" s="11"/>
      <c r="K2789" s="12"/>
      <c r="L2789" s="12"/>
      <c r="M2789" s="12"/>
      <c r="N2789" s="12"/>
      <c r="O2789" s="12"/>
    </row>
    <row r="2790" spans="2:15" x14ac:dyDescent="0.3">
      <c r="B2790" s="10"/>
      <c r="I2790" s="11"/>
      <c r="K2790" s="12"/>
      <c r="L2790" s="12"/>
      <c r="M2790" s="12"/>
      <c r="N2790" s="12"/>
      <c r="O2790" s="12"/>
    </row>
    <row r="2791" spans="2:15" x14ac:dyDescent="0.3">
      <c r="B2791" s="10"/>
      <c r="I2791" s="11"/>
      <c r="K2791" s="12"/>
      <c r="L2791" s="12"/>
      <c r="M2791" s="12"/>
      <c r="N2791" s="12"/>
      <c r="O2791" s="12"/>
    </row>
    <row r="2792" spans="2:15" x14ac:dyDescent="0.3">
      <c r="B2792" s="10"/>
      <c r="I2792" s="11"/>
      <c r="K2792" s="12"/>
      <c r="L2792" s="12"/>
      <c r="M2792" s="12"/>
      <c r="N2792" s="12"/>
      <c r="O2792" s="12"/>
    </row>
    <row r="2793" spans="2:15" x14ac:dyDescent="0.3">
      <c r="B2793" s="10"/>
      <c r="I2793" s="11"/>
      <c r="K2793" s="12"/>
      <c r="L2793" s="12"/>
      <c r="M2793" s="12"/>
      <c r="N2793" s="12"/>
      <c r="O2793" s="12"/>
    </row>
    <row r="2794" spans="2:15" x14ac:dyDescent="0.3">
      <c r="B2794" s="10"/>
      <c r="I2794" s="11"/>
      <c r="K2794" s="12"/>
      <c r="L2794" s="12"/>
      <c r="M2794" s="12"/>
      <c r="N2794" s="12"/>
      <c r="O2794" s="12"/>
    </row>
    <row r="2795" spans="2:15" x14ac:dyDescent="0.3">
      <c r="B2795" s="10"/>
      <c r="I2795" s="11"/>
      <c r="K2795" s="12"/>
      <c r="L2795" s="12"/>
      <c r="M2795" s="12"/>
      <c r="N2795" s="12"/>
      <c r="O2795" s="12"/>
    </row>
    <row r="2796" spans="2:15" x14ac:dyDescent="0.3">
      <c r="B2796" s="10"/>
      <c r="I2796" s="11"/>
      <c r="K2796" s="12"/>
      <c r="L2796" s="12"/>
      <c r="M2796" s="12"/>
      <c r="N2796" s="12"/>
      <c r="O2796" s="12"/>
    </row>
    <row r="2797" spans="2:15" x14ac:dyDescent="0.3">
      <c r="B2797" s="10"/>
      <c r="I2797" s="11"/>
      <c r="K2797" s="12"/>
      <c r="L2797" s="12"/>
      <c r="M2797" s="12"/>
      <c r="N2797" s="12"/>
      <c r="O2797" s="12"/>
    </row>
    <row r="2798" spans="2:15" x14ac:dyDescent="0.3">
      <c r="B2798" s="10"/>
      <c r="I2798" s="11"/>
      <c r="K2798" s="12"/>
      <c r="L2798" s="12"/>
      <c r="M2798" s="12"/>
      <c r="N2798" s="12"/>
      <c r="O2798" s="12"/>
    </row>
    <row r="2799" spans="2:15" x14ac:dyDescent="0.3">
      <c r="B2799" s="10"/>
      <c r="I2799" s="11"/>
      <c r="K2799" s="12"/>
      <c r="L2799" s="12"/>
      <c r="M2799" s="12"/>
      <c r="N2799" s="12"/>
      <c r="O2799" s="12"/>
    </row>
    <row r="2800" spans="2:15" x14ac:dyDescent="0.3">
      <c r="B2800" s="10"/>
      <c r="I2800" s="11"/>
      <c r="K2800" s="12"/>
      <c r="L2800" s="12"/>
      <c r="M2800" s="12"/>
      <c r="N2800" s="12"/>
      <c r="O2800" s="12"/>
    </row>
    <row r="2801" spans="2:15" x14ac:dyDescent="0.3">
      <c r="B2801" s="10"/>
      <c r="I2801" s="11"/>
      <c r="K2801" s="12"/>
      <c r="L2801" s="12"/>
      <c r="M2801" s="12"/>
      <c r="N2801" s="12"/>
      <c r="O2801" s="12"/>
    </row>
    <row r="2802" spans="2:15" x14ac:dyDescent="0.3">
      <c r="B2802" s="10"/>
      <c r="I2802" s="11"/>
      <c r="K2802" s="12"/>
      <c r="L2802" s="12"/>
      <c r="M2802" s="12"/>
      <c r="N2802" s="12"/>
      <c r="O2802" s="12"/>
    </row>
    <row r="2803" spans="2:15" x14ac:dyDescent="0.3">
      <c r="B2803" s="10"/>
      <c r="I2803" s="11"/>
      <c r="K2803" s="12"/>
      <c r="L2803" s="12"/>
      <c r="M2803" s="12"/>
      <c r="N2803" s="12"/>
      <c r="O2803" s="12"/>
    </row>
    <row r="2804" spans="2:15" x14ac:dyDescent="0.3">
      <c r="B2804" s="10"/>
      <c r="I2804" s="11"/>
      <c r="K2804" s="12"/>
      <c r="L2804" s="12"/>
      <c r="M2804" s="12"/>
      <c r="N2804" s="12"/>
      <c r="O2804" s="12"/>
    </row>
    <row r="2805" spans="2:15" x14ac:dyDescent="0.3">
      <c r="B2805" s="10"/>
      <c r="I2805" s="11"/>
      <c r="K2805" s="12"/>
      <c r="L2805" s="12"/>
      <c r="M2805" s="12"/>
      <c r="N2805" s="12"/>
      <c r="O2805" s="12"/>
    </row>
    <row r="2806" spans="2:15" x14ac:dyDescent="0.3">
      <c r="B2806" s="10"/>
      <c r="I2806" s="11"/>
      <c r="K2806" s="12"/>
      <c r="L2806" s="12"/>
      <c r="M2806" s="12"/>
      <c r="N2806" s="12"/>
      <c r="O2806" s="12"/>
    </row>
    <row r="2807" spans="2:15" x14ac:dyDescent="0.3">
      <c r="B2807" s="10"/>
      <c r="I2807" s="11"/>
      <c r="K2807" s="12"/>
      <c r="L2807" s="12"/>
      <c r="M2807" s="12"/>
      <c r="N2807" s="12"/>
      <c r="O2807" s="12"/>
    </row>
    <row r="2808" spans="2:15" x14ac:dyDescent="0.3">
      <c r="B2808" s="10"/>
      <c r="I2808" s="11"/>
      <c r="K2808" s="12"/>
      <c r="L2808" s="12"/>
      <c r="M2808" s="12"/>
      <c r="N2808" s="12"/>
      <c r="O2808" s="12"/>
    </row>
    <row r="2809" spans="2:15" x14ac:dyDescent="0.3">
      <c r="B2809" s="10"/>
      <c r="I2809" s="11"/>
      <c r="K2809" s="12"/>
      <c r="L2809" s="12"/>
      <c r="M2809" s="12"/>
      <c r="N2809" s="12"/>
      <c r="O2809" s="12"/>
    </row>
    <row r="2810" spans="2:15" x14ac:dyDescent="0.3">
      <c r="B2810" s="10"/>
      <c r="I2810" s="11"/>
      <c r="K2810" s="12"/>
      <c r="L2810" s="12"/>
      <c r="M2810" s="12"/>
      <c r="N2810" s="12"/>
      <c r="O2810" s="12"/>
    </row>
    <row r="2811" spans="2:15" x14ac:dyDescent="0.3">
      <c r="B2811" s="10"/>
      <c r="I2811" s="11"/>
      <c r="K2811" s="12"/>
      <c r="L2811" s="12"/>
      <c r="M2811" s="12"/>
      <c r="N2811" s="12"/>
      <c r="O2811" s="12"/>
    </row>
    <row r="2812" spans="2:15" x14ac:dyDescent="0.3">
      <c r="B2812" s="10"/>
      <c r="I2812" s="11"/>
      <c r="K2812" s="12"/>
      <c r="L2812" s="12"/>
      <c r="M2812" s="12"/>
      <c r="N2812" s="12"/>
      <c r="O2812" s="12"/>
    </row>
    <row r="2813" spans="2:15" x14ac:dyDescent="0.3">
      <c r="B2813" s="10"/>
      <c r="I2813" s="11"/>
      <c r="K2813" s="12"/>
      <c r="L2813" s="12"/>
      <c r="M2813" s="12"/>
      <c r="N2813" s="12"/>
      <c r="O2813" s="12"/>
    </row>
    <row r="2814" spans="2:15" x14ac:dyDescent="0.3">
      <c r="B2814" s="10"/>
      <c r="I2814" s="11"/>
      <c r="K2814" s="12"/>
      <c r="L2814" s="12"/>
      <c r="M2814" s="12"/>
      <c r="N2814" s="12"/>
      <c r="O2814" s="12"/>
    </row>
    <row r="2815" spans="2:15" x14ac:dyDescent="0.3">
      <c r="B2815" s="10"/>
      <c r="I2815" s="11"/>
      <c r="K2815" s="12"/>
      <c r="L2815" s="12"/>
      <c r="M2815" s="12"/>
      <c r="N2815" s="12"/>
      <c r="O2815" s="12"/>
    </row>
    <row r="2816" spans="2:15" x14ac:dyDescent="0.3">
      <c r="B2816" s="10"/>
      <c r="I2816" s="11"/>
      <c r="K2816" s="12"/>
      <c r="L2816" s="12"/>
      <c r="M2816" s="12"/>
      <c r="N2816" s="12"/>
      <c r="O2816" s="12"/>
    </row>
    <row r="2817" spans="2:15" x14ac:dyDescent="0.3">
      <c r="B2817" s="10"/>
      <c r="I2817" s="11"/>
      <c r="K2817" s="12"/>
      <c r="L2817" s="12"/>
      <c r="M2817" s="12"/>
      <c r="N2817" s="12"/>
      <c r="O2817" s="12"/>
    </row>
    <row r="2818" spans="2:15" x14ac:dyDescent="0.3">
      <c r="B2818" s="10"/>
      <c r="I2818" s="11"/>
      <c r="K2818" s="12"/>
      <c r="L2818" s="12"/>
      <c r="M2818" s="12"/>
      <c r="N2818" s="12"/>
      <c r="O2818" s="12"/>
    </row>
    <row r="2819" spans="2:15" x14ac:dyDescent="0.3">
      <c r="B2819" s="10"/>
      <c r="I2819" s="11"/>
      <c r="K2819" s="12"/>
      <c r="L2819" s="12"/>
      <c r="M2819" s="12"/>
      <c r="N2819" s="12"/>
      <c r="O2819" s="12"/>
    </row>
    <row r="2820" spans="2:15" x14ac:dyDescent="0.3">
      <c r="B2820" s="10"/>
      <c r="I2820" s="11"/>
      <c r="K2820" s="12"/>
      <c r="L2820" s="12"/>
      <c r="M2820" s="12"/>
      <c r="N2820" s="12"/>
      <c r="O2820" s="12"/>
    </row>
    <row r="2821" spans="2:15" x14ac:dyDescent="0.3">
      <c r="B2821" s="10"/>
      <c r="I2821" s="11"/>
      <c r="K2821" s="12"/>
      <c r="L2821" s="12"/>
      <c r="M2821" s="12"/>
      <c r="N2821" s="12"/>
      <c r="O2821" s="12"/>
    </row>
    <row r="2822" spans="2:15" x14ac:dyDescent="0.3">
      <c r="B2822" s="10"/>
      <c r="I2822" s="11"/>
      <c r="K2822" s="12"/>
      <c r="L2822" s="12"/>
      <c r="M2822" s="12"/>
      <c r="N2822" s="12"/>
      <c r="O2822" s="12"/>
    </row>
    <row r="2823" spans="2:15" x14ac:dyDescent="0.3">
      <c r="B2823" s="10"/>
      <c r="I2823" s="11"/>
      <c r="K2823" s="12"/>
      <c r="L2823" s="12"/>
      <c r="M2823" s="12"/>
      <c r="N2823" s="12"/>
      <c r="O2823" s="12"/>
    </row>
    <row r="2824" spans="2:15" x14ac:dyDescent="0.3">
      <c r="B2824" s="10"/>
      <c r="I2824" s="11"/>
      <c r="K2824" s="12"/>
      <c r="L2824" s="12"/>
      <c r="M2824" s="12"/>
      <c r="N2824" s="12"/>
      <c r="O2824" s="12"/>
    </row>
    <row r="2825" spans="2:15" x14ac:dyDescent="0.3">
      <c r="B2825" s="10"/>
      <c r="I2825" s="11"/>
      <c r="K2825" s="12"/>
      <c r="L2825" s="12"/>
      <c r="M2825" s="12"/>
      <c r="N2825" s="12"/>
      <c r="O2825" s="12"/>
    </row>
    <row r="2826" spans="2:15" x14ac:dyDescent="0.3">
      <c r="B2826" s="10"/>
      <c r="I2826" s="11"/>
      <c r="K2826" s="12"/>
      <c r="L2826" s="12"/>
      <c r="M2826" s="12"/>
      <c r="N2826" s="12"/>
      <c r="O2826" s="12"/>
    </row>
    <row r="2827" spans="2:15" x14ac:dyDescent="0.3">
      <c r="B2827" s="10"/>
      <c r="I2827" s="11"/>
      <c r="K2827" s="12"/>
      <c r="L2827" s="12"/>
      <c r="M2827" s="12"/>
      <c r="N2827" s="12"/>
      <c r="O2827" s="12"/>
    </row>
    <row r="2828" spans="2:15" x14ac:dyDescent="0.3">
      <c r="B2828" s="10"/>
      <c r="I2828" s="11"/>
      <c r="K2828" s="12"/>
      <c r="L2828" s="12"/>
      <c r="M2828" s="12"/>
      <c r="N2828" s="12"/>
      <c r="O2828" s="12"/>
    </row>
    <row r="2829" spans="2:15" x14ac:dyDescent="0.3">
      <c r="B2829" s="10"/>
      <c r="I2829" s="11"/>
      <c r="K2829" s="12"/>
      <c r="L2829" s="12"/>
      <c r="M2829" s="12"/>
      <c r="N2829" s="12"/>
      <c r="O2829" s="12"/>
    </row>
    <row r="2830" spans="2:15" x14ac:dyDescent="0.3">
      <c r="B2830" s="10"/>
      <c r="I2830" s="11"/>
      <c r="K2830" s="12"/>
      <c r="L2830" s="12"/>
      <c r="M2830" s="12"/>
      <c r="N2830" s="12"/>
      <c r="O2830" s="12"/>
    </row>
    <row r="2831" spans="2:15" x14ac:dyDescent="0.3">
      <c r="B2831" s="10"/>
      <c r="I2831" s="11"/>
      <c r="K2831" s="12"/>
      <c r="L2831" s="12"/>
      <c r="M2831" s="12"/>
      <c r="N2831" s="12"/>
      <c r="O2831" s="12"/>
    </row>
    <row r="2832" spans="2:15" x14ac:dyDescent="0.3">
      <c r="B2832" s="10"/>
      <c r="I2832" s="11"/>
      <c r="K2832" s="12"/>
      <c r="L2832" s="12"/>
      <c r="M2832" s="12"/>
      <c r="N2832" s="12"/>
      <c r="O2832" s="12"/>
    </row>
    <row r="2833" spans="2:15" x14ac:dyDescent="0.3">
      <c r="B2833" s="10"/>
      <c r="I2833" s="11"/>
      <c r="K2833" s="12"/>
      <c r="L2833" s="12"/>
      <c r="M2833" s="12"/>
      <c r="N2833" s="12"/>
      <c r="O2833" s="12"/>
    </row>
    <row r="2834" spans="2:15" x14ac:dyDescent="0.3">
      <c r="B2834" s="10"/>
      <c r="I2834" s="11"/>
      <c r="K2834" s="12"/>
      <c r="L2834" s="12"/>
      <c r="M2834" s="12"/>
      <c r="N2834" s="12"/>
      <c r="O2834" s="12"/>
    </row>
    <row r="2835" spans="2:15" x14ac:dyDescent="0.3">
      <c r="B2835" s="10"/>
      <c r="I2835" s="11"/>
      <c r="K2835" s="12"/>
      <c r="L2835" s="12"/>
      <c r="M2835" s="12"/>
      <c r="N2835" s="12"/>
      <c r="O2835" s="12"/>
    </row>
    <row r="2836" spans="2:15" x14ac:dyDescent="0.3">
      <c r="B2836" s="10"/>
      <c r="I2836" s="11"/>
      <c r="K2836" s="12"/>
      <c r="L2836" s="12"/>
      <c r="M2836" s="12"/>
      <c r="N2836" s="12"/>
      <c r="O2836" s="12"/>
    </row>
    <row r="2837" spans="2:15" x14ac:dyDescent="0.3">
      <c r="B2837" s="10"/>
      <c r="I2837" s="11"/>
      <c r="K2837" s="12"/>
      <c r="L2837" s="12"/>
      <c r="M2837" s="12"/>
      <c r="N2837" s="12"/>
      <c r="O2837" s="12"/>
    </row>
    <row r="2838" spans="2:15" x14ac:dyDescent="0.3">
      <c r="B2838" s="10"/>
      <c r="I2838" s="11"/>
      <c r="K2838" s="12"/>
      <c r="L2838" s="12"/>
      <c r="M2838" s="12"/>
      <c r="N2838" s="12"/>
      <c r="O2838" s="12"/>
    </row>
    <row r="2839" spans="2:15" x14ac:dyDescent="0.3">
      <c r="B2839" s="10"/>
      <c r="I2839" s="11"/>
      <c r="K2839" s="12"/>
      <c r="L2839" s="12"/>
      <c r="M2839" s="12"/>
      <c r="N2839" s="12"/>
      <c r="O2839" s="12"/>
    </row>
    <row r="2840" spans="2:15" x14ac:dyDescent="0.3">
      <c r="B2840" s="10"/>
      <c r="I2840" s="11"/>
      <c r="K2840" s="12"/>
      <c r="L2840" s="12"/>
      <c r="M2840" s="12"/>
      <c r="N2840" s="12"/>
      <c r="O2840" s="12"/>
    </row>
    <row r="2841" spans="2:15" x14ac:dyDescent="0.3">
      <c r="B2841" s="10"/>
      <c r="I2841" s="11"/>
      <c r="K2841" s="12"/>
      <c r="L2841" s="12"/>
      <c r="M2841" s="12"/>
      <c r="N2841" s="12"/>
      <c r="O2841" s="12"/>
    </row>
    <row r="2842" spans="2:15" x14ac:dyDescent="0.3">
      <c r="B2842" s="10"/>
      <c r="I2842" s="11"/>
      <c r="K2842" s="12"/>
      <c r="L2842" s="12"/>
      <c r="M2842" s="12"/>
      <c r="N2842" s="12"/>
      <c r="O2842" s="12"/>
    </row>
    <row r="2843" spans="2:15" x14ac:dyDescent="0.3">
      <c r="B2843" s="10"/>
      <c r="I2843" s="11"/>
      <c r="K2843" s="12"/>
      <c r="L2843" s="12"/>
      <c r="M2843" s="12"/>
      <c r="N2843" s="12"/>
      <c r="O2843" s="12"/>
    </row>
    <row r="2844" spans="2:15" x14ac:dyDescent="0.3">
      <c r="B2844" s="10"/>
      <c r="I2844" s="11"/>
      <c r="K2844" s="12"/>
      <c r="L2844" s="12"/>
      <c r="M2844" s="12"/>
      <c r="N2844" s="12"/>
      <c r="O2844" s="12"/>
    </row>
    <row r="2845" spans="2:15" x14ac:dyDescent="0.3">
      <c r="B2845" s="10"/>
      <c r="I2845" s="11"/>
      <c r="K2845" s="12"/>
      <c r="L2845" s="12"/>
      <c r="M2845" s="12"/>
      <c r="N2845" s="12"/>
      <c r="O2845" s="12"/>
    </row>
    <row r="2846" spans="2:15" x14ac:dyDescent="0.3">
      <c r="B2846" s="10"/>
      <c r="I2846" s="11"/>
      <c r="K2846" s="12"/>
      <c r="L2846" s="12"/>
      <c r="M2846" s="12"/>
      <c r="N2846" s="12"/>
      <c r="O2846" s="12"/>
    </row>
    <row r="2847" spans="2:15" x14ac:dyDescent="0.3">
      <c r="B2847" s="10"/>
      <c r="I2847" s="11"/>
      <c r="K2847" s="12"/>
      <c r="L2847" s="12"/>
      <c r="M2847" s="12"/>
      <c r="N2847" s="12"/>
      <c r="O2847" s="12"/>
    </row>
    <row r="2848" spans="2:15" x14ac:dyDescent="0.3">
      <c r="B2848" s="10"/>
      <c r="I2848" s="11"/>
      <c r="K2848" s="12"/>
      <c r="L2848" s="12"/>
      <c r="M2848" s="12"/>
      <c r="N2848" s="12"/>
      <c r="O2848" s="12"/>
    </row>
    <row r="2849" spans="2:15" x14ac:dyDescent="0.3">
      <c r="B2849" s="10"/>
      <c r="I2849" s="11"/>
      <c r="K2849" s="12"/>
      <c r="L2849" s="12"/>
      <c r="M2849" s="12"/>
      <c r="N2849" s="12"/>
      <c r="O2849" s="12"/>
    </row>
    <row r="2850" spans="2:15" x14ac:dyDescent="0.3">
      <c r="B2850" s="10"/>
      <c r="I2850" s="11"/>
      <c r="K2850" s="12"/>
      <c r="L2850" s="12"/>
      <c r="M2850" s="12"/>
      <c r="N2850" s="12"/>
      <c r="O2850" s="12"/>
    </row>
    <row r="2851" spans="2:15" x14ac:dyDescent="0.3">
      <c r="B2851" s="10"/>
      <c r="I2851" s="11"/>
      <c r="K2851" s="12"/>
      <c r="L2851" s="12"/>
      <c r="M2851" s="12"/>
      <c r="N2851" s="12"/>
      <c r="O2851" s="12"/>
    </row>
    <row r="2852" spans="2:15" x14ac:dyDescent="0.3">
      <c r="B2852" s="10"/>
      <c r="I2852" s="11"/>
      <c r="K2852" s="12"/>
      <c r="L2852" s="12"/>
      <c r="M2852" s="12"/>
      <c r="N2852" s="12"/>
      <c r="O2852" s="12"/>
    </row>
    <row r="2853" spans="2:15" x14ac:dyDescent="0.3">
      <c r="B2853" s="10"/>
      <c r="I2853" s="11"/>
      <c r="K2853" s="12"/>
      <c r="L2853" s="12"/>
      <c r="M2853" s="12"/>
      <c r="N2853" s="12"/>
      <c r="O2853" s="12"/>
    </row>
    <row r="2854" spans="2:15" x14ac:dyDescent="0.3">
      <c r="B2854" s="10"/>
      <c r="I2854" s="11"/>
      <c r="K2854" s="12"/>
      <c r="L2854" s="12"/>
      <c r="M2854" s="12"/>
      <c r="N2854" s="12"/>
      <c r="O2854" s="12"/>
    </row>
    <row r="2855" spans="2:15" x14ac:dyDescent="0.3">
      <c r="B2855" s="10"/>
      <c r="I2855" s="11"/>
      <c r="K2855" s="12"/>
      <c r="L2855" s="12"/>
      <c r="M2855" s="12"/>
      <c r="N2855" s="12"/>
      <c r="O2855" s="12"/>
    </row>
    <row r="2856" spans="2:15" x14ac:dyDescent="0.3">
      <c r="B2856" s="10"/>
      <c r="I2856" s="11"/>
      <c r="K2856" s="12"/>
      <c r="L2856" s="12"/>
      <c r="M2856" s="12"/>
      <c r="N2856" s="12"/>
      <c r="O2856" s="12"/>
    </row>
    <row r="2857" spans="2:15" x14ac:dyDescent="0.3">
      <c r="B2857" s="10"/>
      <c r="I2857" s="11"/>
      <c r="K2857" s="12"/>
      <c r="L2857" s="12"/>
      <c r="M2857" s="12"/>
      <c r="N2857" s="12"/>
      <c r="O2857" s="12"/>
    </row>
    <row r="2858" spans="2:15" x14ac:dyDescent="0.3">
      <c r="B2858" s="10"/>
      <c r="I2858" s="11"/>
      <c r="K2858" s="12"/>
      <c r="L2858" s="12"/>
      <c r="M2858" s="12"/>
      <c r="N2858" s="12"/>
      <c r="O2858" s="12"/>
    </row>
    <row r="2859" spans="2:15" x14ac:dyDescent="0.3">
      <c r="B2859" s="10"/>
      <c r="I2859" s="11"/>
      <c r="K2859" s="12"/>
      <c r="L2859" s="12"/>
      <c r="M2859" s="12"/>
      <c r="N2859" s="12"/>
      <c r="O2859" s="12"/>
    </row>
    <row r="2860" spans="2:15" x14ac:dyDescent="0.3">
      <c r="B2860" s="10"/>
      <c r="I2860" s="11"/>
      <c r="K2860" s="12"/>
      <c r="L2860" s="12"/>
      <c r="M2860" s="12"/>
      <c r="N2860" s="12"/>
      <c r="O2860" s="12"/>
    </row>
    <row r="2861" spans="2:15" x14ac:dyDescent="0.3">
      <c r="B2861" s="10"/>
      <c r="I2861" s="11"/>
      <c r="K2861" s="12"/>
      <c r="L2861" s="12"/>
      <c r="M2861" s="12"/>
      <c r="N2861" s="12"/>
      <c r="O2861" s="12"/>
    </row>
    <row r="2862" spans="2:15" x14ac:dyDescent="0.3">
      <c r="B2862" s="10"/>
      <c r="I2862" s="11"/>
      <c r="K2862" s="12"/>
      <c r="L2862" s="12"/>
      <c r="M2862" s="12"/>
      <c r="N2862" s="12"/>
      <c r="O2862" s="12"/>
    </row>
    <row r="2863" spans="2:15" x14ac:dyDescent="0.3">
      <c r="B2863" s="10"/>
      <c r="I2863" s="11"/>
      <c r="K2863" s="12"/>
      <c r="L2863" s="12"/>
      <c r="M2863" s="12"/>
      <c r="N2863" s="12"/>
      <c r="O2863" s="12"/>
    </row>
    <row r="2864" spans="2:15" x14ac:dyDescent="0.3">
      <c r="B2864" s="10"/>
      <c r="I2864" s="11"/>
      <c r="K2864" s="12"/>
      <c r="L2864" s="12"/>
      <c r="M2864" s="12"/>
      <c r="N2864" s="12"/>
      <c r="O2864" s="12"/>
    </row>
    <row r="2865" spans="2:15" x14ac:dyDescent="0.3">
      <c r="B2865" s="10"/>
      <c r="I2865" s="11"/>
      <c r="K2865" s="12"/>
      <c r="L2865" s="12"/>
      <c r="M2865" s="12"/>
      <c r="N2865" s="12"/>
      <c r="O2865" s="12"/>
    </row>
    <row r="2866" spans="2:15" x14ac:dyDescent="0.3">
      <c r="B2866" s="10"/>
      <c r="I2866" s="11"/>
      <c r="K2866" s="12"/>
      <c r="L2866" s="12"/>
      <c r="M2866" s="12"/>
      <c r="N2866" s="12"/>
      <c r="O2866" s="12"/>
    </row>
    <row r="2867" spans="2:15" x14ac:dyDescent="0.3">
      <c r="B2867" s="10"/>
      <c r="I2867" s="11"/>
      <c r="K2867" s="12"/>
      <c r="L2867" s="12"/>
      <c r="M2867" s="12"/>
      <c r="N2867" s="12"/>
      <c r="O2867" s="12"/>
    </row>
    <row r="2868" spans="2:15" x14ac:dyDescent="0.3">
      <c r="B2868" s="10"/>
      <c r="I2868" s="11"/>
      <c r="K2868" s="12"/>
      <c r="L2868" s="12"/>
      <c r="M2868" s="12"/>
      <c r="N2868" s="12"/>
      <c r="O2868" s="12"/>
    </row>
    <row r="2869" spans="2:15" x14ac:dyDescent="0.3">
      <c r="B2869" s="10"/>
      <c r="I2869" s="11"/>
      <c r="K2869" s="12"/>
      <c r="L2869" s="12"/>
      <c r="M2869" s="12"/>
      <c r="N2869" s="12"/>
      <c r="O2869" s="12"/>
    </row>
    <row r="2870" spans="2:15" x14ac:dyDescent="0.3">
      <c r="B2870" s="10"/>
      <c r="I2870" s="11"/>
      <c r="K2870" s="12"/>
      <c r="L2870" s="12"/>
      <c r="M2870" s="12"/>
      <c r="N2870" s="12"/>
      <c r="O2870" s="12"/>
    </row>
    <row r="2871" spans="2:15" x14ac:dyDescent="0.3">
      <c r="B2871" s="10"/>
      <c r="I2871" s="11"/>
      <c r="K2871" s="12"/>
      <c r="L2871" s="12"/>
      <c r="M2871" s="12"/>
      <c r="N2871" s="12"/>
      <c r="O2871" s="12"/>
    </row>
    <row r="2872" spans="2:15" x14ac:dyDescent="0.3">
      <c r="B2872" s="10"/>
      <c r="I2872" s="11"/>
      <c r="K2872" s="12"/>
      <c r="L2872" s="12"/>
      <c r="M2872" s="12"/>
      <c r="N2872" s="12"/>
      <c r="O2872" s="12"/>
    </row>
    <row r="2873" spans="2:15" x14ac:dyDescent="0.3">
      <c r="B2873" s="10"/>
      <c r="I2873" s="11"/>
      <c r="K2873" s="12"/>
      <c r="L2873" s="12"/>
      <c r="M2873" s="12"/>
      <c r="N2873" s="12"/>
      <c r="O2873" s="12"/>
    </row>
    <row r="2874" spans="2:15" x14ac:dyDescent="0.3">
      <c r="B2874" s="10"/>
      <c r="I2874" s="11"/>
      <c r="K2874" s="12"/>
      <c r="L2874" s="12"/>
      <c r="M2874" s="12"/>
      <c r="N2874" s="12"/>
      <c r="O2874" s="12"/>
    </row>
    <row r="2875" spans="2:15" x14ac:dyDescent="0.3">
      <c r="B2875" s="10"/>
      <c r="I2875" s="11"/>
      <c r="K2875" s="12"/>
      <c r="L2875" s="12"/>
      <c r="M2875" s="12"/>
      <c r="N2875" s="12"/>
      <c r="O2875" s="12"/>
    </row>
    <row r="2876" spans="2:15" x14ac:dyDescent="0.3">
      <c r="B2876" s="10"/>
      <c r="I2876" s="11"/>
      <c r="K2876" s="12"/>
      <c r="L2876" s="12"/>
      <c r="M2876" s="12"/>
      <c r="N2876" s="12"/>
      <c r="O2876" s="12"/>
    </row>
    <row r="2877" spans="2:15" x14ac:dyDescent="0.3">
      <c r="B2877" s="10"/>
      <c r="I2877" s="11"/>
      <c r="K2877" s="12"/>
      <c r="L2877" s="12"/>
      <c r="M2877" s="12"/>
      <c r="N2877" s="12"/>
      <c r="O2877" s="12"/>
    </row>
    <row r="2878" spans="2:15" x14ac:dyDescent="0.3">
      <c r="B2878" s="10"/>
      <c r="I2878" s="11"/>
      <c r="K2878" s="12"/>
      <c r="L2878" s="12"/>
      <c r="M2878" s="12"/>
      <c r="N2878" s="12"/>
      <c r="O2878" s="12"/>
    </row>
    <row r="2879" spans="2:15" x14ac:dyDescent="0.3">
      <c r="B2879" s="10"/>
      <c r="I2879" s="11"/>
      <c r="K2879" s="12"/>
      <c r="L2879" s="12"/>
      <c r="M2879" s="12"/>
      <c r="N2879" s="12"/>
      <c r="O2879" s="12"/>
    </row>
    <row r="2880" spans="2:15" x14ac:dyDescent="0.3">
      <c r="B2880" s="10"/>
      <c r="I2880" s="11"/>
      <c r="K2880" s="12"/>
      <c r="L2880" s="12"/>
      <c r="M2880" s="12"/>
      <c r="N2880" s="12"/>
      <c r="O2880" s="12"/>
    </row>
    <row r="2881" spans="2:15" x14ac:dyDescent="0.3">
      <c r="B2881" s="10"/>
      <c r="I2881" s="11"/>
      <c r="K2881" s="12"/>
      <c r="L2881" s="12"/>
      <c r="M2881" s="12"/>
      <c r="N2881" s="12"/>
      <c r="O2881" s="12"/>
    </row>
    <row r="2882" spans="2:15" x14ac:dyDescent="0.3">
      <c r="B2882" s="10"/>
      <c r="I2882" s="11"/>
      <c r="K2882" s="12"/>
      <c r="L2882" s="12"/>
      <c r="M2882" s="12"/>
      <c r="N2882" s="12"/>
      <c r="O2882" s="12"/>
    </row>
    <row r="2883" spans="2:15" x14ac:dyDescent="0.3">
      <c r="B2883" s="10"/>
      <c r="I2883" s="11"/>
      <c r="K2883" s="12"/>
      <c r="L2883" s="12"/>
      <c r="M2883" s="12"/>
      <c r="N2883" s="12"/>
      <c r="O2883" s="12"/>
    </row>
    <row r="2884" spans="2:15" x14ac:dyDescent="0.3">
      <c r="B2884" s="10"/>
      <c r="I2884" s="11"/>
      <c r="K2884" s="12"/>
      <c r="L2884" s="12"/>
      <c r="M2884" s="12"/>
      <c r="N2884" s="12"/>
      <c r="O2884" s="12"/>
    </row>
    <row r="2885" spans="2:15" x14ac:dyDescent="0.3">
      <c r="B2885" s="10"/>
      <c r="I2885" s="11"/>
      <c r="K2885" s="12"/>
      <c r="L2885" s="12"/>
      <c r="M2885" s="12"/>
      <c r="N2885" s="12"/>
      <c r="O2885" s="12"/>
    </row>
    <row r="2886" spans="2:15" x14ac:dyDescent="0.3">
      <c r="B2886" s="10"/>
      <c r="I2886" s="11"/>
      <c r="K2886" s="12"/>
      <c r="L2886" s="12"/>
      <c r="M2886" s="12"/>
      <c r="N2886" s="12"/>
      <c r="O2886" s="12"/>
    </row>
    <row r="2887" spans="2:15" x14ac:dyDescent="0.3">
      <c r="B2887" s="10"/>
      <c r="I2887" s="11"/>
      <c r="K2887" s="12"/>
      <c r="L2887" s="12"/>
      <c r="M2887" s="12"/>
      <c r="N2887" s="12"/>
      <c r="O2887" s="12"/>
    </row>
    <row r="2888" spans="2:15" x14ac:dyDescent="0.3">
      <c r="B2888" s="10"/>
      <c r="I2888" s="11"/>
      <c r="K2888" s="12"/>
      <c r="L2888" s="12"/>
      <c r="M2888" s="12"/>
      <c r="N2888" s="12"/>
      <c r="O2888" s="12"/>
    </row>
    <row r="2889" spans="2:15" x14ac:dyDescent="0.3">
      <c r="B2889" s="10"/>
      <c r="I2889" s="11"/>
      <c r="K2889" s="12"/>
      <c r="L2889" s="12"/>
      <c r="M2889" s="12"/>
      <c r="N2889" s="12"/>
      <c r="O2889" s="12"/>
    </row>
    <row r="2890" spans="2:15" x14ac:dyDescent="0.3">
      <c r="B2890" s="10"/>
      <c r="I2890" s="11"/>
      <c r="K2890" s="12"/>
      <c r="L2890" s="12"/>
      <c r="M2890" s="12"/>
      <c r="N2890" s="12"/>
      <c r="O2890" s="12"/>
    </row>
    <row r="2891" spans="2:15" x14ac:dyDescent="0.3">
      <c r="B2891" s="10"/>
      <c r="I2891" s="11"/>
      <c r="K2891" s="12"/>
      <c r="L2891" s="12"/>
      <c r="M2891" s="12"/>
      <c r="N2891" s="12"/>
      <c r="O2891" s="12"/>
    </row>
    <row r="2892" spans="2:15" x14ac:dyDescent="0.3">
      <c r="B2892" s="10"/>
      <c r="I2892" s="11"/>
      <c r="K2892" s="12"/>
      <c r="L2892" s="12"/>
      <c r="M2892" s="12"/>
      <c r="N2892" s="12"/>
      <c r="O2892" s="12"/>
    </row>
    <row r="2893" spans="2:15" x14ac:dyDescent="0.3">
      <c r="B2893" s="10"/>
      <c r="I2893" s="11"/>
      <c r="K2893" s="12"/>
      <c r="L2893" s="12"/>
      <c r="M2893" s="12"/>
      <c r="N2893" s="12"/>
      <c r="O2893" s="12"/>
    </row>
    <row r="2894" spans="2:15" x14ac:dyDescent="0.3">
      <c r="B2894" s="10"/>
      <c r="I2894" s="11"/>
      <c r="K2894" s="12"/>
      <c r="L2894" s="12"/>
      <c r="M2894" s="12"/>
      <c r="N2894" s="12"/>
      <c r="O2894" s="12"/>
    </row>
    <row r="2895" spans="2:15" x14ac:dyDescent="0.3">
      <c r="B2895" s="10"/>
      <c r="I2895" s="11"/>
      <c r="K2895" s="12"/>
      <c r="L2895" s="12"/>
      <c r="M2895" s="12"/>
      <c r="N2895" s="12"/>
      <c r="O2895" s="12"/>
    </row>
    <row r="2896" spans="2:15" x14ac:dyDescent="0.3">
      <c r="B2896" s="10"/>
      <c r="I2896" s="11"/>
      <c r="K2896" s="12"/>
      <c r="L2896" s="12"/>
      <c r="M2896" s="12"/>
      <c r="N2896" s="12"/>
      <c r="O2896" s="12"/>
    </row>
    <row r="2897" spans="2:15" x14ac:dyDescent="0.3">
      <c r="B2897" s="10"/>
      <c r="I2897" s="11"/>
      <c r="K2897" s="12"/>
      <c r="L2897" s="12"/>
      <c r="M2897" s="12"/>
      <c r="N2897" s="12"/>
      <c r="O2897" s="12"/>
    </row>
    <row r="2898" spans="2:15" x14ac:dyDescent="0.3">
      <c r="B2898" s="10"/>
      <c r="I2898" s="11"/>
      <c r="K2898" s="12"/>
      <c r="L2898" s="12"/>
      <c r="M2898" s="12"/>
      <c r="N2898" s="12"/>
      <c r="O2898" s="12"/>
    </row>
    <row r="2899" spans="2:15" x14ac:dyDescent="0.3">
      <c r="B2899" s="10"/>
      <c r="I2899" s="11"/>
      <c r="K2899" s="12"/>
      <c r="L2899" s="12"/>
      <c r="M2899" s="12"/>
      <c r="N2899" s="12"/>
      <c r="O2899" s="12"/>
    </row>
    <row r="2900" spans="2:15" x14ac:dyDescent="0.3">
      <c r="B2900" s="10"/>
      <c r="I2900" s="11"/>
      <c r="K2900" s="12"/>
      <c r="L2900" s="12"/>
      <c r="M2900" s="12"/>
      <c r="N2900" s="12"/>
      <c r="O2900" s="12"/>
    </row>
    <row r="2901" spans="2:15" x14ac:dyDescent="0.3">
      <c r="B2901" s="10"/>
      <c r="I2901" s="11"/>
      <c r="K2901" s="12"/>
      <c r="L2901" s="12"/>
      <c r="M2901" s="12"/>
      <c r="N2901" s="12"/>
      <c r="O2901" s="12"/>
    </row>
    <row r="2902" spans="2:15" x14ac:dyDescent="0.3">
      <c r="B2902" s="10"/>
      <c r="I2902" s="11"/>
      <c r="K2902" s="12"/>
      <c r="L2902" s="12"/>
      <c r="M2902" s="12"/>
      <c r="N2902" s="12"/>
      <c r="O2902" s="12"/>
    </row>
    <row r="2903" spans="2:15" x14ac:dyDescent="0.3">
      <c r="B2903" s="10"/>
      <c r="I2903" s="11"/>
      <c r="K2903" s="12"/>
      <c r="L2903" s="12"/>
      <c r="M2903" s="12"/>
      <c r="N2903" s="12"/>
      <c r="O2903" s="12"/>
    </row>
    <row r="2904" spans="2:15" x14ac:dyDescent="0.3">
      <c r="B2904" s="10"/>
      <c r="I2904" s="11"/>
      <c r="K2904" s="12"/>
      <c r="L2904" s="12"/>
      <c r="M2904" s="12"/>
      <c r="N2904" s="12"/>
      <c r="O2904" s="12"/>
    </row>
    <row r="2905" spans="2:15" x14ac:dyDescent="0.3">
      <c r="B2905" s="10"/>
      <c r="I2905" s="11"/>
      <c r="K2905" s="12"/>
      <c r="L2905" s="12"/>
      <c r="M2905" s="12"/>
      <c r="N2905" s="12"/>
      <c r="O2905" s="12"/>
    </row>
    <row r="2906" spans="2:15" x14ac:dyDescent="0.3">
      <c r="B2906" s="10"/>
      <c r="I2906" s="11"/>
      <c r="K2906" s="12"/>
      <c r="L2906" s="12"/>
      <c r="M2906" s="12"/>
      <c r="N2906" s="12"/>
      <c r="O2906" s="12"/>
    </row>
    <row r="2907" spans="2:15" x14ac:dyDescent="0.3">
      <c r="B2907" s="10"/>
      <c r="I2907" s="11"/>
      <c r="K2907" s="12"/>
      <c r="L2907" s="12"/>
      <c r="M2907" s="12"/>
      <c r="N2907" s="12"/>
      <c r="O2907" s="12"/>
    </row>
    <row r="2908" spans="2:15" x14ac:dyDescent="0.3">
      <c r="B2908" s="10"/>
      <c r="I2908" s="11"/>
      <c r="K2908" s="12"/>
      <c r="L2908" s="12"/>
      <c r="M2908" s="12"/>
      <c r="N2908" s="12"/>
      <c r="O2908" s="12"/>
    </row>
    <row r="2909" spans="2:15" x14ac:dyDescent="0.3">
      <c r="B2909" s="10"/>
      <c r="I2909" s="11"/>
      <c r="K2909" s="12"/>
      <c r="L2909" s="12"/>
      <c r="M2909" s="12"/>
      <c r="N2909" s="12"/>
      <c r="O2909" s="12"/>
    </row>
    <row r="2910" spans="2:15" x14ac:dyDescent="0.3">
      <c r="B2910" s="10"/>
      <c r="I2910" s="11"/>
      <c r="K2910" s="12"/>
      <c r="L2910" s="12"/>
      <c r="M2910" s="12"/>
      <c r="N2910" s="12"/>
      <c r="O2910" s="12"/>
    </row>
    <row r="2911" spans="2:15" x14ac:dyDescent="0.3">
      <c r="B2911" s="10"/>
      <c r="I2911" s="11"/>
      <c r="K2911" s="12"/>
      <c r="L2911" s="12"/>
      <c r="M2911" s="12"/>
      <c r="N2911" s="12"/>
      <c r="O2911" s="12"/>
    </row>
    <row r="2912" spans="2:15" x14ac:dyDescent="0.3">
      <c r="B2912" s="10"/>
      <c r="I2912" s="11"/>
      <c r="K2912" s="12"/>
      <c r="L2912" s="12"/>
      <c r="M2912" s="12"/>
      <c r="N2912" s="12"/>
      <c r="O2912" s="12"/>
    </row>
    <row r="2913" spans="2:15" x14ac:dyDescent="0.3">
      <c r="B2913" s="10"/>
      <c r="I2913" s="11"/>
      <c r="K2913" s="12"/>
      <c r="L2913" s="12"/>
      <c r="M2913" s="12"/>
      <c r="N2913" s="12"/>
      <c r="O2913" s="12"/>
    </row>
    <row r="2914" spans="2:15" x14ac:dyDescent="0.3">
      <c r="B2914" s="10"/>
      <c r="I2914" s="11"/>
      <c r="K2914" s="12"/>
      <c r="L2914" s="12"/>
      <c r="M2914" s="12"/>
      <c r="N2914" s="12"/>
      <c r="O2914" s="12"/>
    </row>
    <row r="2915" spans="2:15" x14ac:dyDescent="0.3">
      <c r="B2915" s="10"/>
      <c r="I2915" s="11"/>
      <c r="K2915" s="12"/>
      <c r="L2915" s="12"/>
      <c r="M2915" s="12"/>
      <c r="N2915" s="12"/>
      <c r="O2915" s="12"/>
    </row>
    <row r="2916" spans="2:15" x14ac:dyDescent="0.3">
      <c r="B2916" s="10"/>
      <c r="I2916" s="11"/>
      <c r="K2916" s="12"/>
      <c r="L2916" s="12"/>
      <c r="M2916" s="12"/>
      <c r="N2916" s="12"/>
      <c r="O2916" s="12"/>
    </row>
    <row r="2917" spans="2:15" x14ac:dyDescent="0.3">
      <c r="B2917" s="10"/>
      <c r="I2917" s="11"/>
      <c r="K2917" s="12"/>
      <c r="L2917" s="12"/>
      <c r="M2917" s="12"/>
      <c r="N2917" s="12"/>
      <c r="O2917" s="12"/>
    </row>
    <row r="2918" spans="2:15" x14ac:dyDescent="0.3">
      <c r="B2918" s="10"/>
      <c r="I2918" s="11"/>
      <c r="K2918" s="12"/>
      <c r="L2918" s="12"/>
      <c r="M2918" s="12"/>
      <c r="N2918" s="12"/>
      <c r="O2918" s="12"/>
    </row>
    <row r="2919" spans="2:15" x14ac:dyDescent="0.3">
      <c r="B2919" s="10"/>
      <c r="I2919" s="11"/>
      <c r="K2919" s="12"/>
      <c r="L2919" s="12"/>
      <c r="M2919" s="12"/>
      <c r="N2919" s="12"/>
      <c r="O2919" s="12"/>
    </row>
    <row r="2920" spans="2:15" x14ac:dyDescent="0.3">
      <c r="B2920" s="10"/>
      <c r="I2920" s="11"/>
      <c r="K2920" s="12"/>
      <c r="L2920" s="12"/>
      <c r="M2920" s="12"/>
      <c r="N2920" s="12"/>
      <c r="O2920" s="12"/>
    </row>
    <row r="2921" spans="2:15" x14ac:dyDescent="0.3">
      <c r="B2921" s="10"/>
      <c r="I2921" s="11"/>
      <c r="K2921" s="12"/>
      <c r="L2921" s="12"/>
      <c r="M2921" s="12"/>
      <c r="N2921" s="12"/>
      <c r="O2921" s="12"/>
    </row>
    <row r="2922" spans="2:15" x14ac:dyDescent="0.3">
      <c r="B2922" s="10"/>
      <c r="I2922" s="11"/>
      <c r="K2922" s="12"/>
      <c r="L2922" s="12"/>
      <c r="M2922" s="12"/>
      <c r="N2922" s="12"/>
      <c r="O2922" s="12"/>
    </row>
    <row r="2923" spans="2:15" x14ac:dyDescent="0.3">
      <c r="B2923" s="10"/>
      <c r="I2923" s="11"/>
      <c r="K2923" s="12"/>
      <c r="L2923" s="12"/>
      <c r="M2923" s="12"/>
      <c r="N2923" s="12"/>
      <c r="O2923" s="12"/>
    </row>
    <row r="2924" spans="2:15" x14ac:dyDescent="0.3">
      <c r="B2924" s="10"/>
      <c r="I2924" s="11"/>
      <c r="K2924" s="12"/>
      <c r="L2924" s="12"/>
      <c r="M2924" s="12"/>
      <c r="N2924" s="12"/>
      <c r="O2924" s="12"/>
    </row>
    <row r="2925" spans="2:15" x14ac:dyDescent="0.3">
      <c r="B2925" s="10"/>
      <c r="I2925" s="11"/>
      <c r="K2925" s="12"/>
      <c r="L2925" s="12"/>
      <c r="M2925" s="12"/>
      <c r="N2925" s="12"/>
      <c r="O2925" s="12"/>
    </row>
    <row r="2926" spans="2:15" x14ac:dyDescent="0.3">
      <c r="B2926" s="10"/>
      <c r="I2926" s="11"/>
      <c r="K2926" s="12"/>
      <c r="L2926" s="12"/>
      <c r="M2926" s="12"/>
      <c r="N2926" s="12"/>
      <c r="O2926" s="12"/>
    </row>
    <row r="2927" spans="2:15" x14ac:dyDescent="0.3">
      <c r="B2927" s="10"/>
      <c r="I2927" s="11"/>
      <c r="K2927" s="12"/>
      <c r="L2927" s="12"/>
      <c r="M2927" s="12"/>
      <c r="N2927" s="12"/>
      <c r="O2927" s="12"/>
    </row>
    <row r="2928" spans="2:15" x14ac:dyDescent="0.3">
      <c r="B2928" s="10"/>
      <c r="I2928" s="11"/>
      <c r="K2928" s="12"/>
      <c r="L2928" s="12"/>
      <c r="M2928" s="12"/>
      <c r="N2928" s="12"/>
      <c r="O2928" s="12"/>
    </row>
    <row r="2929" spans="2:15" x14ac:dyDescent="0.3">
      <c r="B2929" s="10"/>
      <c r="I2929" s="11"/>
      <c r="K2929" s="12"/>
      <c r="L2929" s="12"/>
      <c r="M2929" s="12"/>
      <c r="N2929" s="12"/>
      <c r="O2929" s="12"/>
    </row>
    <row r="2930" spans="2:15" x14ac:dyDescent="0.3">
      <c r="B2930" s="10"/>
      <c r="I2930" s="11"/>
      <c r="K2930" s="12"/>
      <c r="L2930" s="12"/>
      <c r="M2930" s="12"/>
      <c r="N2930" s="12"/>
      <c r="O2930" s="12"/>
    </row>
    <row r="2931" spans="2:15" x14ac:dyDescent="0.3">
      <c r="B2931" s="10"/>
      <c r="I2931" s="11"/>
      <c r="K2931" s="12"/>
      <c r="L2931" s="12"/>
      <c r="M2931" s="12"/>
      <c r="N2931" s="12"/>
      <c r="O2931" s="12"/>
    </row>
    <row r="2932" spans="2:15" x14ac:dyDescent="0.3">
      <c r="B2932" s="10"/>
      <c r="I2932" s="11"/>
      <c r="K2932" s="12"/>
      <c r="L2932" s="12"/>
      <c r="M2932" s="12"/>
      <c r="N2932" s="12"/>
      <c r="O2932" s="12"/>
    </row>
    <row r="2933" spans="2:15" x14ac:dyDescent="0.3">
      <c r="B2933" s="10"/>
      <c r="I2933" s="11"/>
      <c r="K2933" s="12"/>
      <c r="L2933" s="12"/>
      <c r="M2933" s="12"/>
      <c r="N2933" s="12"/>
      <c r="O2933" s="12"/>
    </row>
    <row r="2934" spans="2:15" x14ac:dyDescent="0.3">
      <c r="B2934" s="10"/>
      <c r="I2934" s="11"/>
      <c r="K2934" s="12"/>
      <c r="L2934" s="12"/>
      <c r="M2934" s="12"/>
      <c r="N2934" s="12"/>
      <c r="O2934" s="12"/>
    </row>
    <row r="2935" spans="2:15" x14ac:dyDescent="0.3">
      <c r="B2935" s="10"/>
      <c r="I2935" s="11"/>
      <c r="K2935" s="12"/>
      <c r="L2935" s="12"/>
      <c r="M2935" s="12"/>
      <c r="N2935" s="12"/>
      <c r="O2935" s="12"/>
    </row>
    <row r="2936" spans="2:15" x14ac:dyDescent="0.3">
      <c r="B2936" s="10"/>
      <c r="I2936" s="11"/>
      <c r="K2936" s="12"/>
      <c r="L2936" s="12"/>
      <c r="M2936" s="12"/>
      <c r="N2936" s="12"/>
      <c r="O2936" s="12"/>
    </row>
    <row r="2937" spans="2:15" x14ac:dyDescent="0.3">
      <c r="B2937" s="10"/>
      <c r="I2937" s="11"/>
      <c r="K2937" s="12"/>
      <c r="L2937" s="12"/>
      <c r="M2937" s="12"/>
      <c r="N2937" s="12"/>
      <c r="O2937" s="12"/>
    </row>
    <row r="2938" spans="2:15" x14ac:dyDescent="0.3">
      <c r="B2938" s="10"/>
      <c r="I2938" s="11"/>
      <c r="K2938" s="12"/>
      <c r="L2938" s="12"/>
      <c r="M2938" s="12"/>
      <c r="N2938" s="12"/>
      <c r="O2938" s="12"/>
    </row>
    <row r="2939" spans="2:15" x14ac:dyDescent="0.3">
      <c r="B2939" s="10"/>
      <c r="I2939" s="11"/>
      <c r="K2939" s="12"/>
      <c r="L2939" s="12"/>
      <c r="M2939" s="12"/>
      <c r="N2939" s="12"/>
      <c r="O2939" s="12"/>
    </row>
    <row r="2940" spans="2:15" x14ac:dyDescent="0.3">
      <c r="B2940" s="10"/>
      <c r="I2940" s="11"/>
      <c r="K2940" s="12"/>
      <c r="L2940" s="12"/>
      <c r="M2940" s="12"/>
      <c r="N2940" s="12"/>
      <c r="O2940" s="12"/>
    </row>
    <row r="2941" spans="2:15" x14ac:dyDescent="0.3">
      <c r="B2941" s="10"/>
      <c r="I2941" s="11"/>
      <c r="K2941" s="12"/>
      <c r="L2941" s="12"/>
      <c r="M2941" s="12"/>
      <c r="N2941" s="12"/>
      <c r="O2941" s="12"/>
    </row>
    <row r="2942" spans="2:15" x14ac:dyDescent="0.3">
      <c r="B2942" s="10"/>
      <c r="I2942" s="11"/>
      <c r="K2942" s="12"/>
      <c r="L2942" s="12"/>
      <c r="M2942" s="12"/>
      <c r="N2942" s="12"/>
      <c r="O2942" s="12"/>
    </row>
    <row r="2943" spans="2:15" x14ac:dyDescent="0.3">
      <c r="B2943" s="10"/>
      <c r="I2943" s="11"/>
      <c r="K2943" s="12"/>
      <c r="L2943" s="12"/>
      <c r="M2943" s="12"/>
      <c r="N2943" s="12"/>
      <c r="O2943" s="12"/>
    </row>
    <row r="2944" spans="2:15" x14ac:dyDescent="0.3">
      <c r="B2944" s="10"/>
      <c r="I2944" s="11"/>
      <c r="K2944" s="12"/>
      <c r="L2944" s="12"/>
      <c r="M2944" s="12"/>
      <c r="N2944" s="12"/>
      <c r="O2944" s="12"/>
    </row>
    <row r="2945" spans="2:15" x14ac:dyDescent="0.3">
      <c r="B2945" s="10"/>
      <c r="I2945" s="11"/>
      <c r="K2945" s="12"/>
      <c r="L2945" s="12"/>
      <c r="M2945" s="12"/>
      <c r="N2945" s="12"/>
      <c r="O2945" s="12"/>
    </row>
    <row r="2946" spans="2:15" x14ac:dyDescent="0.3">
      <c r="B2946" s="10"/>
      <c r="I2946" s="11"/>
      <c r="K2946" s="12"/>
      <c r="L2946" s="12"/>
      <c r="M2946" s="12"/>
      <c r="N2946" s="12"/>
      <c r="O2946" s="12"/>
    </row>
    <row r="2947" spans="2:15" x14ac:dyDescent="0.3">
      <c r="B2947" s="10"/>
      <c r="I2947" s="11"/>
      <c r="K2947" s="12"/>
      <c r="L2947" s="12"/>
      <c r="M2947" s="12"/>
      <c r="N2947" s="12"/>
      <c r="O2947" s="12"/>
    </row>
    <row r="2948" spans="2:15" x14ac:dyDescent="0.3">
      <c r="B2948" s="10"/>
      <c r="I2948" s="11"/>
      <c r="K2948" s="12"/>
      <c r="L2948" s="12"/>
      <c r="M2948" s="12"/>
      <c r="N2948" s="12"/>
      <c r="O2948" s="12"/>
    </row>
    <row r="2949" spans="2:15" x14ac:dyDescent="0.3">
      <c r="B2949" s="10"/>
      <c r="I2949" s="11"/>
      <c r="K2949" s="12"/>
      <c r="L2949" s="12"/>
      <c r="M2949" s="12"/>
      <c r="N2949" s="12"/>
      <c r="O2949" s="12"/>
    </row>
    <row r="2950" spans="2:15" x14ac:dyDescent="0.3">
      <c r="B2950" s="10"/>
      <c r="I2950" s="11"/>
      <c r="K2950" s="12"/>
      <c r="L2950" s="12"/>
      <c r="M2950" s="12"/>
      <c r="N2950" s="12"/>
      <c r="O2950" s="12"/>
    </row>
    <row r="2951" spans="2:15" x14ac:dyDescent="0.3">
      <c r="B2951" s="10"/>
      <c r="I2951" s="11"/>
      <c r="K2951" s="12"/>
      <c r="L2951" s="12"/>
      <c r="M2951" s="12"/>
      <c r="N2951" s="12"/>
      <c r="O2951" s="12"/>
    </row>
    <row r="2952" spans="2:15" x14ac:dyDescent="0.3">
      <c r="B2952" s="10"/>
      <c r="I2952" s="11"/>
      <c r="K2952" s="12"/>
      <c r="L2952" s="12"/>
      <c r="M2952" s="12"/>
      <c r="N2952" s="12"/>
      <c r="O2952" s="12"/>
    </row>
    <row r="2953" spans="2:15" x14ac:dyDescent="0.3">
      <c r="B2953" s="10"/>
      <c r="I2953" s="11"/>
      <c r="K2953" s="12"/>
      <c r="L2953" s="12"/>
      <c r="M2953" s="12"/>
      <c r="N2953" s="12"/>
      <c r="O2953" s="12"/>
    </row>
    <row r="2954" spans="2:15" x14ac:dyDescent="0.3">
      <c r="B2954" s="10"/>
      <c r="I2954" s="11"/>
      <c r="K2954" s="12"/>
      <c r="L2954" s="12"/>
      <c r="M2954" s="12"/>
      <c r="N2954" s="12"/>
      <c r="O2954" s="12"/>
    </row>
    <row r="2955" spans="2:15" x14ac:dyDescent="0.3">
      <c r="B2955" s="10"/>
      <c r="I2955" s="11"/>
      <c r="K2955" s="12"/>
      <c r="L2955" s="12"/>
      <c r="M2955" s="12"/>
      <c r="N2955" s="12"/>
      <c r="O2955" s="12"/>
    </row>
    <row r="2956" spans="2:15" x14ac:dyDescent="0.3">
      <c r="B2956" s="10"/>
      <c r="I2956" s="11"/>
      <c r="K2956" s="12"/>
      <c r="L2956" s="12"/>
      <c r="M2956" s="12"/>
      <c r="N2956" s="12"/>
      <c r="O2956" s="12"/>
    </row>
    <row r="2957" spans="2:15" x14ac:dyDescent="0.3">
      <c r="B2957" s="10"/>
      <c r="I2957" s="11"/>
      <c r="K2957" s="12"/>
      <c r="L2957" s="12"/>
      <c r="M2957" s="12"/>
      <c r="N2957" s="12"/>
      <c r="O2957" s="12"/>
    </row>
    <row r="2958" spans="2:15" x14ac:dyDescent="0.3">
      <c r="B2958" s="10"/>
      <c r="I2958" s="11"/>
      <c r="K2958" s="12"/>
      <c r="L2958" s="12"/>
      <c r="M2958" s="12"/>
      <c r="N2958" s="12"/>
      <c r="O2958" s="12"/>
    </row>
    <row r="2959" spans="2:15" x14ac:dyDescent="0.3">
      <c r="B2959" s="10"/>
      <c r="I2959" s="11"/>
      <c r="K2959" s="12"/>
      <c r="L2959" s="12"/>
      <c r="M2959" s="12"/>
      <c r="N2959" s="12"/>
      <c r="O2959" s="12"/>
    </row>
    <row r="2960" spans="2:15" x14ac:dyDescent="0.3">
      <c r="B2960" s="10"/>
      <c r="I2960" s="11"/>
      <c r="K2960" s="12"/>
      <c r="L2960" s="12"/>
      <c r="M2960" s="12"/>
      <c r="N2960" s="12"/>
      <c r="O2960" s="12"/>
    </row>
    <row r="2961" spans="2:15" x14ac:dyDescent="0.3">
      <c r="B2961" s="10"/>
      <c r="I2961" s="11"/>
      <c r="K2961" s="12"/>
      <c r="L2961" s="12"/>
      <c r="M2961" s="12"/>
      <c r="N2961" s="12"/>
      <c r="O2961" s="12"/>
    </row>
    <row r="2962" spans="2:15" x14ac:dyDescent="0.3">
      <c r="B2962" s="10"/>
      <c r="I2962" s="11"/>
      <c r="K2962" s="12"/>
      <c r="L2962" s="12"/>
      <c r="M2962" s="12"/>
      <c r="N2962" s="12"/>
      <c r="O2962" s="12"/>
    </row>
    <row r="2963" spans="2:15" x14ac:dyDescent="0.3">
      <c r="B2963" s="10"/>
      <c r="I2963" s="11"/>
      <c r="K2963" s="12"/>
      <c r="L2963" s="12"/>
      <c r="M2963" s="12"/>
      <c r="N2963" s="12"/>
      <c r="O2963" s="12"/>
    </row>
    <row r="2964" spans="2:15" x14ac:dyDescent="0.3">
      <c r="B2964" s="10"/>
      <c r="I2964" s="11"/>
      <c r="K2964" s="12"/>
      <c r="L2964" s="12"/>
      <c r="M2964" s="12"/>
      <c r="N2964" s="12"/>
      <c r="O2964" s="12"/>
    </row>
    <row r="2965" spans="2:15" x14ac:dyDescent="0.3">
      <c r="B2965" s="10"/>
      <c r="I2965" s="11"/>
      <c r="K2965" s="12"/>
      <c r="L2965" s="12"/>
      <c r="M2965" s="12"/>
      <c r="N2965" s="12"/>
      <c r="O2965" s="12"/>
    </row>
    <row r="2966" spans="2:15" x14ac:dyDescent="0.3">
      <c r="B2966" s="10"/>
      <c r="I2966" s="11"/>
      <c r="K2966" s="12"/>
      <c r="L2966" s="12"/>
      <c r="M2966" s="12"/>
      <c r="N2966" s="12"/>
      <c r="O2966" s="12"/>
    </row>
    <row r="2967" spans="2:15" x14ac:dyDescent="0.3">
      <c r="B2967" s="10"/>
      <c r="I2967" s="11"/>
      <c r="K2967" s="12"/>
      <c r="L2967" s="12"/>
      <c r="M2967" s="12"/>
      <c r="N2967" s="12"/>
      <c r="O2967" s="12"/>
    </row>
    <row r="2968" spans="2:15" x14ac:dyDescent="0.3">
      <c r="B2968" s="10"/>
      <c r="I2968" s="11"/>
      <c r="K2968" s="12"/>
      <c r="L2968" s="12"/>
      <c r="M2968" s="12"/>
      <c r="N2968" s="12"/>
      <c r="O2968" s="12"/>
    </row>
    <row r="2969" spans="2:15" x14ac:dyDescent="0.3">
      <c r="B2969" s="10"/>
      <c r="I2969" s="11"/>
      <c r="K2969" s="12"/>
      <c r="L2969" s="12"/>
      <c r="M2969" s="12"/>
      <c r="N2969" s="12"/>
      <c r="O2969" s="12"/>
    </row>
    <row r="2970" spans="2:15" x14ac:dyDescent="0.3">
      <c r="B2970" s="10"/>
      <c r="I2970" s="11"/>
      <c r="K2970" s="12"/>
      <c r="L2970" s="12"/>
      <c r="M2970" s="12"/>
      <c r="N2970" s="12"/>
      <c r="O2970" s="12"/>
    </row>
    <row r="2971" spans="2:15" x14ac:dyDescent="0.3">
      <c r="B2971" s="10"/>
      <c r="I2971" s="11"/>
      <c r="K2971" s="12"/>
      <c r="L2971" s="12"/>
      <c r="M2971" s="12"/>
      <c r="N2971" s="12"/>
      <c r="O2971" s="12"/>
    </row>
    <row r="2972" spans="2:15" x14ac:dyDescent="0.3">
      <c r="B2972" s="10"/>
      <c r="I2972" s="11"/>
      <c r="K2972" s="12"/>
      <c r="L2972" s="12"/>
      <c r="M2972" s="12"/>
      <c r="N2972" s="12"/>
      <c r="O2972" s="12"/>
    </row>
    <row r="2973" spans="2:15" x14ac:dyDescent="0.3">
      <c r="B2973" s="10"/>
      <c r="I2973" s="11"/>
      <c r="K2973" s="12"/>
      <c r="L2973" s="12"/>
      <c r="M2973" s="12"/>
      <c r="N2973" s="12"/>
      <c r="O2973" s="12"/>
    </row>
    <row r="2974" spans="2:15" x14ac:dyDescent="0.3">
      <c r="B2974" s="10"/>
      <c r="I2974" s="11"/>
      <c r="K2974" s="12"/>
      <c r="L2974" s="12"/>
      <c r="M2974" s="12"/>
      <c r="N2974" s="12"/>
      <c r="O2974" s="12"/>
    </row>
    <row r="2975" spans="2:15" x14ac:dyDescent="0.3">
      <c r="B2975" s="10"/>
      <c r="I2975" s="11"/>
      <c r="K2975" s="12"/>
      <c r="L2975" s="12"/>
      <c r="M2975" s="12"/>
      <c r="N2975" s="12"/>
      <c r="O2975" s="12"/>
    </row>
    <row r="2976" spans="2:15" x14ac:dyDescent="0.3">
      <c r="B2976" s="10"/>
      <c r="I2976" s="11"/>
      <c r="K2976" s="12"/>
      <c r="L2976" s="12"/>
      <c r="M2976" s="12"/>
      <c r="N2976" s="12"/>
      <c r="O2976" s="12"/>
    </row>
    <row r="2977" spans="2:15" x14ac:dyDescent="0.3">
      <c r="B2977" s="10"/>
      <c r="I2977" s="11"/>
      <c r="K2977" s="12"/>
      <c r="L2977" s="12"/>
      <c r="M2977" s="12"/>
      <c r="N2977" s="12"/>
      <c r="O2977" s="12"/>
    </row>
    <row r="2978" spans="2:15" x14ac:dyDescent="0.3">
      <c r="B2978" s="10"/>
      <c r="I2978" s="11"/>
      <c r="K2978" s="12"/>
      <c r="L2978" s="12"/>
      <c r="M2978" s="12"/>
      <c r="N2978" s="12"/>
      <c r="O2978" s="12"/>
    </row>
    <row r="2979" spans="2:15" x14ac:dyDescent="0.3">
      <c r="B2979" s="10"/>
      <c r="I2979" s="11"/>
      <c r="K2979" s="12"/>
      <c r="L2979" s="12"/>
      <c r="M2979" s="12"/>
      <c r="N2979" s="12"/>
      <c r="O2979" s="12"/>
    </row>
    <row r="2980" spans="2:15" x14ac:dyDescent="0.3">
      <c r="B2980" s="10"/>
      <c r="I2980" s="11"/>
      <c r="K2980" s="12"/>
      <c r="L2980" s="12"/>
      <c r="M2980" s="12"/>
      <c r="N2980" s="12"/>
      <c r="O2980" s="12"/>
    </row>
    <row r="2981" spans="2:15" x14ac:dyDescent="0.3">
      <c r="B2981" s="10"/>
      <c r="I2981" s="11"/>
      <c r="K2981" s="12"/>
      <c r="L2981" s="12"/>
      <c r="M2981" s="12"/>
      <c r="N2981" s="12"/>
      <c r="O2981" s="12"/>
    </row>
    <row r="2982" spans="2:15" x14ac:dyDescent="0.3">
      <c r="B2982" s="10"/>
      <c r="I2982" s="11"/>
      <c r="K2982" s="12"/>
      <c r="L2982" s="12"/>
      <c r="M2982" s="12"/>
      <c r="N2982" s="12"/>
      <c r="O2982" s="12"/>
    </row>
    <row r="2983" spans="2:15" x14ac:dyDescent="0.3">
      <c r="B2983" s="10"/>
      <c r="I2983" s="11"/>
      <c r="K2983" s="12"/>
      <c r="L2983" s="12"/>
      <c r="M2983" s="12"/>
      <c r="N2983" s="12"/>
      <c r="O2983" s="12"/>
    </row>
    <row r="2984" spans="2:15" x14ac:dyDescent="0.3">
      <c r="B2984" s="10"/>
      <c r="I2984" s="11"/>
      <c r="K2984" s="12"/>
      <c r="L2984" s="12"/>
      <c r="M2984" s="12"/>
      <c r="N2984" s="12"/>
      <c r="O2984" s="12"/>
    </row>
    <row r="2985" spans="2:15" x14ac:dyDescent="0.3">
      <c r="B2985" s="10"/>
      <c r="I2985" s="11"/>
      <c r="K2985" s="12"/>
      <c r="L2985" s="12"/>
      <c r="M2985" s="12"/>
      <c r="N2985" s="12"/>
      <c r="O2985" s="12"/>
    </row>
    <row r="2986" spans="2:15" x14ac:dyDescent="0.3">
      <c r="B2986" s="10"/>
      <c r="I2986" s="11"/>
      <c r="K2986" s="12"/>
      <c r="L2986" s="12"/>
      <c r="M2986" s="12"/>
      <c r="N2986" s="12"/>
      <c r="O2986" s="12"/>
    </row>
    <row r="2987" spans="2:15" x14ac:dyDescent="0.3">
      <c r="B2987" s="10"/>
      <c r="I2987" s="11"/>
      <c r="K2987" s="12"/>
      <c r="L2987" s="12"/>
      <c r="M2987" s="12"/>
      <c r="N2987" s="12"/>
      <c r="O2987" s="12"/>
    </row>
    <row r="2988" spans="2:15" x14ac:dyDescent="0.3">
      <c r="B2988" s="10"/>
      <c r="I2988" s="11"/>
      <c r="K2988" s="12"/>
      <c r="L2988" s="12"/>
      <c r="M2988" s="12"/>
      <c r="N2988" s="12"/>
      <c r="O2988" s="12"/>
    </row>
    <row r="2989" spans="2:15" x14ac:dyDescent="0.3">
      <c r="B2989" s="10"/>
      <c r="I2989" s="11"/>
      <c r="K2989" s="12"/>
      <c r="L2989" s="12"/>
      <c r="M2989" s="12"/>
      <c r="N2989" s="12"/>
      <c r="O2989" s="12"/>
    </row>
    <row r="2990" spans="2:15" x14ac:dyDescent="0.3">
      <c r="B2990" s="10"/>
      <c r="I2990" s="11"/>
      <c r="K2990" s="12"/>
      <c r="L2990" s="12"/>
      <c r="M2990" s="12"/>
      <c r="N2990" s="12"/>
      <c r="O2990" s="12"/>
    </row>
    <row r="2991" spans="2:15" x14ac:dyDescent="0.3">
      <c r="B2991" s="10"/>
      <c r="I2991" s="11"/>
      <c r="K2991" s="12"/>
      <c r="L2991" s="12"/>
      <c r="M2991" s="12"/>
      <c r="N2991" s="12"/>
      <c r="O2991" s="12"/>
    </row>
    <row r="2992" spans="2:15" x14ac:dyDescent="0.3">
      <c r="B2992" s="10"/>
      <c r="I2992" s="11"/>
      <c r="K2992" s="12"/>
      <c r="L2992" s="12"/>
      <c r="M2992" s="12"/>
      <c r="N2992" s="12"/>
      <c r="O2992" s="12"/>
    </row>
    <row r="2993" spans="2:15" x14ac:dyDescent="0.3">
      <c r="B2993" s="10"/>
      <c r="I2993" s="11"/>
      <c r="K2993" s="12"/>
      <c r="L2993" s="12"/>
      <c r="M2993" s="12"/>
      <c r="N2993" s="12"/>
      <c r="O2993" s="12"/>
    </row>
    <row r="2994" spans="2:15" x14ac:dyDescent="0.3">
      <c r="B2994" s="10"/>
      <c r="I2994" s="11"/>
      <c r="K2994" s="12"/>
      <c r="L2994" s="12"/>
      <c r="M2994" s="12"/>
      <c r="N2994" s="12"/>
      <c r="O2994" s="12"/>
    </row>
    <row r="2995" spans="2:15" x14ac:dyDescent="0.3">
      <c r="B2995" s="10"/>
      <c r="I2995" s="11"/>
      <c r="K2995" s="12"/>
      <c r="L2995" s="12"/>
      <c r="M2995" s="12"/>
      <c r="N2995" s="12"/>
      <c r="O2995" s="12"/>
    </row>
    <row r="2996" spans="2:15" x14ac:dyDescent="0.3">
      <c r="B2996" s="10"/>
      <c r="I2996" s="11"/>
      <c r="K2996" s="12"/>
      <c r="L2996" s="12"/>
      <c r="M2996" s="12"/>
      <c r="N2996" s="12"/>
      <c r="O2996" s="12"/>
    </row>
    <row r="2997" spans="2:15" x14ac:dyDescent="0.3">
      <c r="B2997" s="10"/>
      <c r="I2997" s="11"/>
      <c r="K2997" s="12"/>
      <c r="L2997" s="12"/>
      <c r="M2997" s="12"/>
      <c r="N2997" s="12"/>
      <c r="O2997" s="12"/>
    </row>
    <row r="2998" spans="2:15" x14ac:dyDescent="0.3">
      <c r="B2998" s="10"/>
      <c r="I2998" s="11"/>
      <c r="K2998" s="12"/>
      <c r="L2998" s="12"/>
      <c r="M2998" s="12"/>
      <c r="N2998" s="12"/>
      <c r="O2998" s="12"/>
    </row>
    <row r="2999" spans="2:15" x14ac:dyDescent="0.3">
      <c r="B2999" s="10"/>
      <c r="I2999" s="11"/>
      <c r="K2999" s="12"/>
      <c r="L2999" s="12"/>
      <c r="M2999" s="12"/>
      <c r="N2999" s="12"/>
      <c r="O2999" s="12"/>
    </row>
    <row r="3000" spans="2:15" x14ac:dyDescent="0.3">
      <c r="B3000" s="10"/>
      <c r="I3000" s="11"/>
      <c r="K3000" s="12"/>
      <c r="L3000" s="12"/>
      <c r="M3000" s="12"/>
      <c r="N3000" s="12"/>
      <c r="O3000" s="12"/>
    </row>
    <row r="3001" spans="2:15" x14ac:dyDescent="0.3">
      <c r="B3001" s="10"/>
      <c r="I3001" s="11"/>
      <c r="K3001" s="12"/>
      <c r="L3001" s="12"/>
      <c r="M3001" s="12"/>
      <c r="N3001" s="12"/>
      <c r="O3001" s="12"/>
    </row>
    <row r="3002" spans="2:15" x14ac:dyDescent="0.3">
      <c r="B3002" s="10"/>
      <c r="I3002" s="11"/>
      <c r="K3002" s="12"/>
      <c r="L3002" s="12"/>
      <c r="M3002" s="12"/>
      <c r="N3002" s="12"/>
      <c r="O3002" s="12"/>
    </row>
    <row r="3003" spans="2:15" x14ac:dyDescent="0.3">
      <c r="B3003" s="10"/>
      <c r="I3003" s="11"/>
      <c r="K3003" s="12"/>
      <c r="L3003" s="12"/>
      <c r="M3003" s="12"/>
      <c r="N3003" s="12"/>
      <c r="O3003" s="12"/>
    </row>
    <row r="3004" spans="2:15" x14ac:dyDescent="0.3">
      <c r="B3004" s="10"/>
      <c r="I3004" s="11"/>
      <c r="K3004" s="12"/>
      <c r="L3004" s="12"/>
      <c r="M3004" s="12"/>
      <c r="N3004" s="12"/>
      <c r="O3004" s="12"/>
    </row>
    <row r="3005" spans="2:15" x14ac:dyDescent="0.3">
      <c r="B3005" s="10"/>
      <c r="I3005" s="11"/>
      <c r="K3005" s="12"/>
      <c r="L3005" s="12"/>
      <c r="M3005" s="12"/>
      <c r="N3005" s="12"/>
      <c r="O3005" s="12"/>
    </row>
    <row r="3006" spans="2:15" x14ac:dyDescent="0.3">
      <c r="B3006" s="10"/>
      <c r="I3006" s="11"/>
      <c r="K3006" s="12"/>
      <c r="L3006" s="12"/>
      <c r="M3006" s="12"/>
      <c r="N3006" s="12"/>
      <c r="O3006" s="12"/>
    </row>
    <row r="3007" spans="2:15" x14ac:dyDescent="0.3">
      <c r="B3007" s="10"/>
      <c r="I3007" s="11"/>
      <c r="K3007" s="12"/>
      <c r="L3007" s="12"/>
      <c r="M3007" s="12"/>
      <c r="N3007" s="12"/>
      <c r="O3007" s="12"/>
    </row>
    <row r="3008" spans="2:15" x14ac:dyDescent="0.3">
      <c r="B3008" s="10"/>
      <c r="I3008" s="11"/>
      <c r="K3008" s="12"/>
      <c r="L3008" s="12"/>
      <c r="M3008" s="12"/>
      <c r="N3008" s="12"/>
      <c r="O3008" s="12"/>
    </row>
    <row r="3009" spans="2:15" x14ac:dyDescent="0.3">
      <c r="B3009" s="10"/>
      <c r="I3009" s="11"/>
      <c r="K3009" s="12"/>
      <c r="L3009" s="12"/>
      <c r="M3009" s="12"/>
      <c r="N3009" s="12"/>
      <c r="O3009" s="12"/>
    </row>
    <row r="3010" spans="2:15" x14ac:dyDescent="0.3">
      <c r="B3010" s="10"/>
      <c r="I3010" s="11"/>
      <c r="K3010" s="12"/>
      <c r="L3010" s="12"/>
      <c r="M3010" s="12"/>
      <c r="N3010" s="12"/>
      <c r="O3010" s="12"/>
    </row>
    <row r="3011" spans="2:15" x14ac:dyDescent="0.3">
      <c r="B3011" s="10"/>
      <c r="I3011" s="11"/>
      <c r="K3011" s="12"/>
      <c r="L3011" s="12"/>
      <c r="M3011" s="12"/>
      <c r="N3011" s="12"/>
      <c r="O3011" s="12"/>
    </row>
    <row r="3012" spans="2:15" x14ac:dyDescent="0.3">
      <c r="B3012" s="10"/>
      <c r="I3012" s="11"/>
      <c r="K3012" s="12"/>
      <c r="L3012" s="12"/>
      <c r="M3012" s="12"/>
      <c r="N3012" s="12"/>
      <c r="O3012" s="12"/>
    </row>
    <row r="3013" spans="2:15" x14ac:dyDescent="0.3">
      <c r="B3013" s="10"/>
      <c r="I3013" s="11"/>
      <c r="K3013" s="12"/>
      <c r="L3013" s="12"/>
      <c r="M3013" s="12"/>
      <c r="N3013" s="12"/>
      <c r="O3013" s="12"/>
    </row>
    <row r="3014" spans="2:15" x14ac:dyDescent="0.3">
      <c r="B3014" s="10"/>
      <c r="I3014" s="11"/>
      <c r="K3014" s="12"/>
      <c r="L3014" s="12"/>
      <c r="M3014" s="12"/>
      <c r="N3014" s="12"/>
      <c r="O3014" s="12"/>
    </row>
    <row r="3015" spans="2:15" x14ac:dyDescent="0.3">
      <c r="B3015" s="10"/>
      <c r="I3015" s="11"/>
      <c r="K3015" s="12"/>
      <c r="L3015" s="12"/>
      <c r="M3015" s="12"/>
      <c r="N3015" s="12"/>
      <c r="O3015" s="12"/>
    </row>
    <row r="3016" spans="2:15" x14ac:dyDescent="0.3">
      <c r="B3016" s="10"/>
      <c r="I3016" s="11"/>
      <c r="K3016" s="12"/>
      <c r="L3016" s="12"/>
      <c r="M3016" s="12"/>
      <c r="N3016" s="12"/>
      <c r="O3016" s="12"/>
    </row>
    <row r="3017" spans="2:15" x14ac:dyDescent="0.3">
      <c r="B3017" s="10"/>
      <c r="I3017" s="11"/>
      <c r="K3017" s="12"/>
      <c r="L3017" s="12"/>
      <c r="M3017" s="12"/>
      <c r="N3017" s="12"/>
      <c r="O3017" s="12"/>
    </row>
    <row r="3018" spans="2:15" x14ac:dyDescent="0.3">
      <c r="B3018" s="10"/>
      <c r="I3018" s="11"/>
      <c r="K3018" s="12"/>
      <c r="L3018" s="12"/>
      <c r="M3018" s="12"/>
      <c r="N3018" s="12"/>
      <c r="O3018" s="12"/>
    </row>
    <row r="3019" spans="2:15" x14ac:dyDescent="0.3">
      <c r="B3019" s="10"/>
      <c r="I3019" s="11"/>
      <c r="K3019" s="12"/>
      <c r="L3019" s="12"/>
      <c r="M3019" s="12"/>
      <c r="N3019" s="12"/>
      <c r="O3019" s="12"/>
    </row>
    <row r="3020" spans="2:15" x14ac:dyDescent="0.3">
      <c r="B3020" s="10"/>
      <c r="I3020" s="11"/>
      <c r="K3020" s="12"/>
      <c r="L3020" s="12"/>
      <c r="M3020" s="12"/>
      <c r="N3020" s="12"/>
      <c r="O3020" s="12"/>
    </row>
    <row r="3021" spans="2:15" x14ac:dyDescent="0.3">
      <c r="B3021" s="10"/>
      <c r="I3021" s="11"/>
      <c r="K3021" s="12"/>
      <c r="L3021" s="12"/>
      <c r="M3021" s="12"/>
      <c r="N3021" s="12"/>
      <c r="O3021" s="12"/>
    </row>
    <row r="3022" spans="2:15" x14ac:dyDescent="0.3">
      <c r="B3022" s="10"/>
      <c r="I3022" s="11"/>
      <c r="K3022" s="12"/>
      <c r="L3022" s="12"/>
      <c r="M3022" s="12"/>
      <c r="N3022" s="12"/>
      <c r="O3022" s="12"/>
    </row>
    <row r="3023" spans="2:15" x14ac:dyDescent="0.3">
      <c r="B3023" s="10"/>
      <c r="I3023" s="11"/>
      <c r="K3023" s="12"/>
      <c r="L3023" s="12"/>
      <c r="M3023" s="12"/>
      <c r="N3023" s="12"/>
      <c r="O3023" s="12"/>
    </row>
    <row r="3024" spans="2:15" x14ac:dyDescent="0.3">
      <c r="B3024" s="10"/>
      <c r="I3024" s="11"/>
      <c r="K3024" s="12"/>
      <c r="L3024" s="12"/>
      <c r="M3024" s="12"/>
      <c r="N3024" s="12"/>
      <c r="O3024" s="12"/>
    </row>
    <row r="3025" spans="2:15" x14ac:dyDescent="0.3">
      <c r="B3025" s="10"/>
      <c r="I3025" s="11"/>
      <c r="K3025" s="12"/>
      <c r="L3025" s="12"/>
      <c r="M3025" s="12"/>
      <c r="N3025" s="12"/>
      <c r="O3025" s="12"/>
    </row>
    <row r="3026" spans="2:15" x14ac:dyDescent="0.3">
      <c r="B3026" s="10"/>
      <c r="I3026" s="11"/>
      <c r="K3026" s="12"/>
      <c r="L3026" s="12"/>
      <c r="M3026" s="12"/>
      <c r="N3026" s="12"/>
      <c r="O3026" s="12"/>
    </row>
    <row r="3027" spans="2:15" x14ac:dyDescent="0.3">
      <c r="B3027" s="10"/>
      <c r="I3027" s="11"/>
      <c r="K3027" s="12"/>
      <c r="L3027" s="12"/>
      <c r="M3027" s="12"/>
      <c r="N3027" s="12"/>
      <c r="O3027" s="12"/>
    </row>
    <row r="3028" spans="2:15" x14ac:dyDescent="0.3">
      <c r="B3028" s="10"/>
      <c r="I3028" s="11"/>
      <c r="K3028" s="12"/>
      <c r="L3028" s="12"/>
      <c r="M3028" s="12"/>
      <c r="N3028" s="12"/>
      <c r="O3028" s="12"/>
    </row>
    <row r="3029" spans="2:15" x14ac:dyDescent="0.3">
      <c r="B3029" s="10"/>
      <c r="I3029" s="11"/>
      <c r="K3029" s="12"/>
      <c r="L3029" s="12"/>
      <c r="M3029" s="12"/>
      <c r="N3029" s="12"/>
      <c r="O3029" s="12"/>
    </row>
    <row r="3030" spans="2:15" x14ac:dyDescent="0.3">
      <c r="B3030" s="10"/>
      <c r="I3030" s="11"/>
      <c r="K3030" s="12"/>
      <c r="L3030" s="12"/>
      <c r="M3030" s="12"/>
      <c r="N3030" s="12"/>
      <c r="O3030" s="12"/>
    </row>
    <row r="3031" spans="2:15" x14ac:dyDescent="0.3">
      <c r="B3031" s="10"/>
      <c r="I3031" s="11"/>
      <c r="K3031" s="12"/>
      <c r="L3031" s="12"/>
      <c r="M3031" s="12"/>
      <c r="N3031" s="12"/>
      <c r="O3031" s="12"/>
    </row>
    <row r="3032" spans="2:15" x14ac:dyDescent="0.3">
      <c r="B3032" s="10"/>
      <c r="I3032" s="11"/>
      <c r="K3032" s="12"/>
      <c r="L3032" s="12"/>
      <c r="M3032" s="12"/>
      <c r="N3032" s="12"/>
      <c r="O3032" s="12"/>
    </row>
    <row r="3033" spans="2:15" x14ac:dyDescent="0.3">
      <c r="B3033" s="10"/>
      <c r="I3033" s="11"/>
      <c r="K3033" s="12"/>
      <c r="L3033" s="12"/>
      <c r="M3033" s="12"/>
      <c r="N3033" s="12"/>
      <c r="O3033" s="12"/>
    </row>
    <row r="3034" spans="2:15" x14ac:dyDescent="0.3">
      <c r="B3034" s="10"/>
      <c r="I3034" s="11"/>
      <c r="K3034" s="12"/>
      <c r="L3034" s="12"/>
      <c r="M3034" s="12"/>
      <c r="N3034" s="12"/>
      <c r="O3034" s="12"/>
    </row>
    <row r="3035" spans="2:15" x14ac:dyDescent="0.3">
      <c r="B3035" s="10"/>
      <c r="I3035" s="11"/>
      <c r="K3035" s="12"/>
      <c r="L3035" s="12"/>
      <c r="M3035" s="12"/>
      <c r="N3035" s="12"/>
      <c r="O3035" s="12"/>
    </row>
    <row r="3036" spans="2:15" x14ac:dyDescent="0.3">
      <c r="B3036" s="10"/>
      <c r="I3036" s="11"/>
      <c r="K3036" s="12"/>
      <c r="L3036" s="12"/>
      <c r="M3036" s="12"/>
      <c r="N3036" s="12"/>
      <c r="O3036" s="12"/>
    </row>
    <row r="3037" spans="2:15" x14ac:dyDescent="0.3">
      <c r="B3037" s="10"/>
      <c r="I3037" s="11"/>
      <c r="K3037" s="12"/>
      <c r="L3037" s="12"/>
      <c r="M3037" s="12"/>
      <c r="N3037" s="12"/>
      <c r="O3037" s="12"/>
    </row>
    <row r="3038" spans="2:15" x14ac:dyDescent="0.3">
      <c r="B3038" s="10"/>
      <c r="I3038" s="11"/>
      <c r="K3038" s="12"/>
      <c r="L3038" s="12"/>
      <c r="M3038" s="12"/>
      <c r="N3038" s="12"/>
      <c r="O3038" s="12"/>
    </row>
    <row r="3039" spans="2:15" x14ac:dyDescent="0.3">
      <c r="B3039" s="10"/>
      <c r="I3039" s="11"/>
      <c r="K3039" s="12"/>
      <c r="L3039" s="12"/>
      <c r="M3039" s="12"/>
      <c r="N3039" s="12"/>
      <c r="O3039" s="12"/>
    </row>
    <row r="3040" spans="2:15" x14ac:dyDescent="0.3">
      <c r="B3040" s="10"/>
      <c r="I3040" s="11"/>
      <c r="K3040" s="12"/>
      <c r="L3040" s="12"/>
      <c r="M3040" s="12"/>
      <c r="N3040" s="12"/>
      <c r="O3040" s="12"/>
    </row>
    <row r="3041" spans="2:15" x14ac:dyDescent="0.3">
      <c r="B3041" s="10"/>
      <c r="I3041" s="11"/>
      <c r="K3041" s="12"/>
      <c r="L3041" s="12"/>
      <c r="M3041" s="12"/>
      <c r="N3041" s="12"/>
      <c r="O3041" s="12"/>
    </row>
    <row r="3042" spans="2:15" x14ac:dyDescent="0.3">
      <c r="B3042" s="10"/>
      <c r="I3042" s="11"/>
      <c r="K3042" s="12"/>
      <c r="L3042" s="12"/>
      <c r="M3042" s="12"/>
      <c r="N3042" s="12"/>
      <c r="O3042" s="12"/>
    </row>
    <row r="3043" spans="2:15" x14ac:dyDescent="0.3">
      <c r="B3043" s="10"/>
      <c r="I3043" s="11"/>
      <c r="K3043" s="12"/>
      <c r="L3043" s="12"/>
      <c r="M3043" s="12"/>
      <c r="N3043" s="12"/>
      <c r="O3043" s="12"/>
    </row>
    <row r="3044" spans="2:15" x14ac:dyDescent="0.3">
      <c r="B3044" s="10"/>
      <c r="I3044" s="11"/>
      <c r="K3044" s="12"/>
      <c r="L3044" s="12"/>
      <c r="M3044" s="12"/>
      <c r="N3044" s="12"/>
      <c r="O3044" s="12"/>
    </row>
    <row r="3045" spans="2:15" x14ac:dyDescent="0.3">
      <c r="B3045" s="10"/>
      <c r="I3045" s="11"/>
      <c r="K3045" s="12"/>
      <c r="L3045" s="12"/>
      <c r="M3045" s="12"/>
      <c r="N3045" s="12"/>
      <c r="O3045" s="12"/>
    </row>
    <row r="3046" spans="2:15" x14ac:dyDescent="0.3">
      <c r="B3046" s="10"/>
      <c r="I3046" s="11"/>
      <c r="K3046" s="12"/>
      <c r="L3046" s="12"/>
      <c r="M3046" s="12"/>
      <c r="N3046" s="12"/>
      <c r="O3046" s="12"/>
    </row>
    <row r="3047" spans="2:15" x14ac:dyDescent="0.3">
      <c r="B3047" s="10"/>
      <c r="I3047" s="11"/>
      <c r="K3047" s="12"/>
      <c r="L3047" s="12"/>
      <c r="M3047" s="12"/>
      <c r="N3047" s="12"/>
      <c r="O3047" s="12"/>
    </row>
    <row r="3048" spans="2:15" x14ac:dyDescent="0.3">
      <c r="B3048" s="10"/>
      <c r="I3048" s="11"/>
      <c r="K3048" s="12"/>
      <c r="L3048" s="12"/>
      <c r="M3048" s="12"/>
      <c r="N3048" s="12"/>
      <c r="O3048" s="12"/>
    </row>
    <row r="3049" spans="2:15" x14ac:dyDescent="0.3">
      <c r="B3049" s="10"/>
      <c r="I3049" s="11"/>
      <c r="K3049" s="12"/>
      <c r="L3049" s="12"/>
      <c r="M3049" s="12"/>
      <c r="N3049" s="12"/>
      <c r="O3049" s="12"/>
    </row>
    <row r="3050" spans="2:15" x14ac:dyDescent="0.3">
      <c r="B3050" s="10"/>
      <c r="I3050" s="11"/>
      <c r="K3050" s="12"/>
      <c r="L3050" s="12"/>
      <c r="M3050" s="12"/>
      <c r="N3050" s="12"/>
      <c r="O3050" s="12"/>
    </row>
    <row r="3051" spans="2:15" x14ac:dyDescent="0.3">
      <c r="B3051" s="10"/>
      <c r="I3051" s="11"/>
      <c r="K3051" s="12"/>
      <c r="L3051" s="12"/>
      <c r="M3051" s="12"/>
      <c r="N3051" s="12"/>
      <c r="O3051" s="12"/>
    </row>
    <row r="3052" spans="2:15" x14ac:dyDescent="0.3">
      <c r="B3052" s="10"/>
      <c r="I3052" s="11"/>
      <c r="K3052" s="12"/>
      <c r="L3052" s="12"/>
      <c r="M3052" s="12"/>
      <c r="N3052" s="12"/>
      <c r="O3052" s="12"/>
    </row>
    <row r="3053" spans="2:15" x14ac:dyDescent="0.3">
      <c r="B3053" s="10"/>
      <c r="I3053" s="11"/>
      <c r="K3053" s="12"/>
      <c r="L3053" s="12"/>
      <c r="M3053" s="12"/>
      <c r="N3053" s="12"/>
      <c r="O3053" s="12"/>
    </row>
    <row r="3054" spans="2:15" x14ac:dyDescent="0.3">
      <c r="B3054" s="10"/>
      <c r="I3054" s="11"/>
      <c r="K3054" s="12"/>
      <c r="L3054" s="12"/>
      <c r="M3054" s="12"/>
      <c r="N3054" s="12"/>
      <c r="O3054" s="12"/>
    </row>
    <row r="3055" spans="2:15" x14ac:dyDescent="0.3">
      <c r="B3055" s="10"/>
      <c r="I3055" s="11"/>
      <c r="K3055" s="12"/>
      <c r="L3055" s="12"/>
      <c r="M3055" s="12"/>
      <c r="N3055" s="12"/>
      <c r="O3055" s="12"/>
    </row>
    <row r="3056" spans="2:15" x14ac:dyDescent="0.3">
      <c r="B3056" s="10"/>
      <c r="I3056" s="11"/>
      <c r="K3056" s="12"/>
      <c r="L3056" s="12"/>
      <c r="M3056" s="12"/>
      <c r="N3056" s="12"/>
      <c r="O3056" s="12"/>
    </row>
    <row r="3057" spans="2:15" x14ac:dyDescent="0.3">
      <c r="B3057" s="10"/>
      <c r="I3057" s="11"/>
      <c r="K3057" s="12"/>
      <c r="L3057" s="12"/>
      <c r="M3057" s="12"/>
      <c r="N3057" s="12"/>
      <c r="O3057" s="12"/>
    </row>
    <row r="3058" spans="2:15" x14ac:dyDescent="0.3">
      <c r="B3058" s="10"/>
      <c r="I3058" s="11"/>
      <c r="K3058" s="12"/>
      <c r="L3058" s="12"/>
      <c r="M3058" s="12"/>
      <c r="N3058" s="12"/>
      <c r="O3058" s="12"/>
    </row>
    <row r="3059" spans="2:15" x14ac:dyDescent="0.3">
      <c r="B3059" s="10"/>
      <c r="I3059" s="11"/>
      <c r="K3059" s="12"/>
      <c r="L3059" s="12"/>
      <c r="M3059" s="12"/>
      <c r="N3059" s="12"/>
      <c r="O3059" s="12"/>
    </row>
    <row r="3060" spans="2:15" x14ac:dyDescent="0.3">
      <c r="B3060" s="10"/>
      <c r="I3060" s="11"/>
      <c r="K3060" s="12"/>
      <c r="L3060" s="12"/>
      <c r="M3060" s="12"/>
      <c r="N3060" s="12"/>
      <c r="O3060" s="12"/>
    </row>
    <row r="3061" spans="2:15" x14ac:dyDescent="0.3">
      <c r="B3061" s="10"/>
      <c r="I3061" s="11"/>
      <c r="K3061" s="12"/>
      <c r="L3061" s="12"/>
      <c r="M3061" s="12"/>
      <c r="N3061" s="12"/>
      <c r="O3061" s="12"/>
    </row>
    <row r="3062" spans="2:15" x14ac:dyDescent="0.3">
      <c r="B3062" s="10"/>
      <c r="I3062" s="11"/>
      <c r="K3062" s="12"/>
      <c r="L3062" s="12"/>
      <c r="M3062" s="12"/>
      <c r="N3062" s="12"/>
      <c r="O3062" s="12"/>
    </row>
    <row r="3063" spans="2:15" x14ac:dyDescent="0.3">
      <c r="B3063" s="10"/>
      <c r="I3063" s="11"/>
      <c r="K3063" s="12"/>
      <c r="L3063" s="12"/>
      <c r="M3063" s="12"/>
      <c r="N3063" s="12"/>
      <c r="O3063" s="12"/>
    </row>
    <row r="3064" spans="2:15" x14ac:dyDescent="0.3">
      <c r="B3064" s="10"/>
      <c r="I3064" s="11"/>
      <c r="K3064" s="12"/>
      <c r="L3064" s="12"/>
      <c r="M3064" s="12"/>
      <c r="N3064" s="12"/>
      <c r="O3064" s="12"/>
    </row>
    <row r="3065" spans="2:15" x14ac:dyDescent="0.3">
      <c r="B3065" s="10"/>
      <c r="I3065" s="11"/>
      <c r="K3065" s="12"/>
      <c r="L3065" s="12"/>
      <c r="M3065" s="12"/>
      <c r="N3065" s="12"/>
      <c r="O3065" s="12"/>
    </row>
    <row r="3066" spans="2:15" x14ac:dyDescent="0.3">
      <c r="B3066" s="10"/>
      <c r="I3066" s="11"/>
      <c r="K3066" s="12"/>
      <c r="L3066" s="12"/>
      <c r="M3066" s="12"/>
      <c r="N3066" s="12"/>
      <c r="O3066" s="12"/>
    </row>
    <row r="3067" spans="2:15" x14ac:dyDescent="0.3">
      <c r="B3067" s="10"/>
      <c r="I3067" s="11"/>
      <c r="K3067" s="12"/>
      <c r="L3067" s="12"/>
      <c r="M3067" s="12"/>
      <c r="N3067" s="12"/>
      <c r="O3067" s="12"/>
    </row>
    <row r="3068" spans="2:15" x14ac:dyDescent="0.3">
      <c r="B3068" s="10"/>
      <c r="I3068" s="11"/>
      <c r="K3068" s="12"/>
      <c r="L3068" s="12"/>
      <c r="M3068" s="12"/>
      <c r="N3068" s="12"/>
      <c r="O3068" s="12"/>
    </row>
    <row r="3069" spans="2:15" x14ac:dyDescent="0.3">
      <c r="B3069" s="10"/>
      <c r="I3069" s="11"/>
      <c r="K3069" s="12"/>
      <c r="L3069" s="12"/>
      <c r="M3069" s="12"/>
      <c r="N3069" s="12"/>
      <c r="O3069" s="12"/>
    </row>
    <row r="3070" spans="2:15" x14ac:dyDescent="0.3">
      <c r="B3070" s="10"/>
      <c r="I3070" s="11"/>
      <c r="K3070" s="12"/>
      <c r="L3070" s="12"/>
      <c r="M3070" s="12"/>
      <c r="N3070" s="12"/>
      <c r="O3070" s="12"/>
    </row>
    <row r="3071" spans="2:15" x14ac:dyDescent="0.3">
      <c r="B3071" s="10"/>
      <c r="I3071" s="11"/>
      <c r="K3071" s="12"/>
      <c r="L3071" s="12"/>
      <c r="M3071" s="12"/>
      <c r="N3071" s="12"/>
      <c r="O3071" s="12"/>
    </row>
    <row r="3072" spans="2:15" x14ac:dyDescent="0.3">
      <c r="B3072" s="10"/>
      <c r="I3072" s="11"/>
      <c r="K3072" s="12"/>
      <c r="L3072" s="12"/>
      <c r="M3072" s="12"/>
      <c r="N3072" s="12"/>
      <c r="O3072" s="12"/>
    </row>
    <row r="3073" spans="2:15" x14ac:dyDescent="0.3">
      <c r="B3073" s="10"/>
      <c r="I3073" s="11"/>
      <c r="K3073" s="12"/>
      <c r="L3073" s="12"/>
      <c r="M3073" s="12"/>
      <c r="N3073" s="12"/>
      <c r="O3073" s="12"/>
    </row>
    <row r="3074" spans="2:15" x14ac:dyDescent="0.3">
      <c r="B3074" s="10"/>
      <c r="I3074" s="11"/>
      <c r="K3074" s="12"/>
      <c r="L3074" s="12"/>
      <c r="M3074" s="12"/>
      <c r="N3074" s="12"/>
      <c r="O3074" s="12"/>
    </row>
    <row r="3075" spans="2:15" x14ac:dyDescent="0.3">
      <c r="B3075" s="10"/>
      <c r="I3075" s="11"/>
      <c r="K3075" s="12"/>
      <c r="L3075" s="12"/>
      <c r="M3075" s="12"/>
      <c r="N3075" s="12"/>
      <c r="O3075" s="12"/>
    </row>
    <row r="3076" spans="2:15" x14ac:dyDescent="0.3">
      <c r="B3076" s="10"/>
      <c r="I3076" s="11"/>
      <c r="K3076" s="12"/>
      <c r="L3076" s="12"/>
      <c r="M3076" s="12"/>
      <c r="N3076" s="12"/>
      <c r="O3076" s="12"/>
    </row>
    <row r="3077" spans="2:15" x14ac:dyDescent="0.3">
      <c r="B3077" s="10"/>
      <c r="I3077" s="11"/>
      <c r="K3077" s="12"/>
      <c r="L3077" s="12"/>
      <c r="M3077" s="12"/>
      <c r="N3077" s="12"/>
      <c r="O3077" s="12"/>
    </row>
    <row r="3078" spans="2:15" x14ac:dyDescent="0.3">
      <c r="B3078" s="10"/>
      <c r="I3078" s="11"/>
      <c r="K3078" s="12"/>
      <c r="L3078" s="12"/>
      <c r="M3078" s="12"/>
      <c r="N3078" s="12"/>
      <c r="O3078" s="12"/>
    </row>
    <row r="3079" spans="2:15" x14ac:dyDescent="0.3">
      <c r="B3079" s="10"/>
      <c r="I3079" s="11"/>
      <c r="K3079" s="12"/>
      <c r="L3079" s="12"/>
      <c r="M3079" s="12"/>
      <c r="N3079" s="12"/>
      <c r="O3079" s="12"/>
    </row>
    <row r="3080" spans="2:15" x14ac:dyDescent="0.3">
      <c r="B3080" s="10"/>
      <c r="I3080" s="11"/>
      <c r="K3080" s="12"/>
      <c r="L3080" s="12"/>
      <c r="M3080" s="12"/>
      <c r="N3080" s="12"/>
      <c r="O3080" s="12"/>
    </row>
    <row r="3081" spans="2:15" x14ac:dyDescent="0.3">
      <c r="B3081" s="10"/>
      <c r="I3081" s="11"/>
      <c r="K3081" s="12"/>
      <c r="L3081" s="12"/>
      <c r="M3081" s="12"/>
      <c r="N3081" s="12"/>
      <c r="O3081" s="12"/>
    </row>
    <row r="3082" spans="2:15" x14ac:dyDescent="0.3">
      <c r="B3082" s="10"/>
      <c r="I3082" s="11"/>
      <c r="K3082" s="12"/>
      <c r="L3082" s="12"/>
      <c r="M3082" s="12"/>
      <c r="N3082" s="12"/>
      <c r="O3082" s="12"/>
    </row>
    <row r="3083" spans="2:15" x14ac:dyDescent="0.3">
      <c r="B3083" s="10"/>
      <c r="I3083" s="11"/>
      <c r="K3083" s="12"/>
      <c r="L3083" s="12"/>
      <c r="M3083" s="12"/>
      <c r="N3083" s="12"/>
      <c r="O3083" s="12"/>
    </row>
    <row r="3084" spans="2:15" x14ac:dyDescent="0.3">
      <c r="B3084" s="10"/>
      <c r="I3084" s="11"/>
      <c r="K3084" s="12"/>
      <c r="L3084" s="12"/>
      <c r="M3084" s="12"/>
      <c r="N3084" s="12"/>
      <c r="O3084" s="12"/>
    </row>
    <row r="3085" spans="2:15" x14ac:dyDescent="0.3">
      <c r="B3085" s="10"/>
      <c r="I3085" s="11"/>
      <c r="K3085" s="12"/>
      <c r="L3085" s="12"/>
      <c r="M3085" s="12"/>
      <c r="N3085" s="12"/>
      <c r="O3085" s="12"/>
    </row>
    <row r="3086" spans="2:15" x14ac:dyDescent="0.3">
      <c r="B3086" s="10"/>
      <c r="I3086" s="11"/>
      <c r="K3086" s="12"/>
      <c r="L3086" s="12"/>
      <c r="M3086" s="12"/>
      <c r="N3086" s="12"/>
      <c r="O3086" s="12"/>
    </row>
    <row r="3087" spans="2:15" x14ac:dyDescent="0.3">
      <c r="B3087" s="10"/>
      <c r="I3087" s="11"/>
      <c r="K3087" s="12"/>
      <c r="L3087" s="12"/>
      <c r="M3087" s="12"/>
      <c r="N3087" s="12"/>
      <c r="O3087" s="12"/>
    </row>
    <row r="3088" spans="2:15" x14ac:dyDescent="0.3">
      <c r="B3088" s="10"/>
      <c r="I3088" s="11"/>
      <c r="K3088" s="12"/>
      <c r="L3088" s="12"/>
      <c r="M3088" s="12"/>
      <c r="N3088" s="12"/>
      <c r="O3088" s="12"/>
    </row>
    <row r="3089" spans="2:15" x14ac:dyDescent="0.3">
      <c r="B3089" s="10"/>
      <c r="I3089" s="11"/>
      <c r="K3089" s="12"/>
      <c r="L3089" s="12"/>
      <c r="M3089" s="12"/>
      <c r="N3089" s="12"/>
      <c r="O3089" s="12"/>
    </row>
    <row r="3090" spans="2:15" x14ac:dyDescent="0.3">
      <c r="B3090" s="10"/>
      <c r="I3090" s="11"/>
      <c r="K3090" s="12"/>
      <c r="L3090" s="12"/>
      <c r="M3090" s="12"/>
      <c r="N3090" s="12"/>
      <c r="O3090" s="12"/>
    </row>
    <row r="3091" spans="2:15" x14ac:dyDescent="0.3">
      <c r="B3091" s="10"/>
      <c r="I3091" s="11"/>
      <c r="K3091" s="12"/>
      <c r="L3091" s="12"/>
      <c r="M3091" s="12"/>
      <c r="N3091" s="12"/>
      <c r="O3091" s="12"/>
    </row>
    <row r="3092" spans="2:15" x14ac:dyDescent="0.3">
      <c r="B3092" s="10"/>
      <c r="I3092" s="11"/>
      <c r="K3092" s="12"/>
      <c r="L3092" s="12"/>
      <c r="M3092" s="12"/>
      <c r="N3092" s="12"/>
      <c r="O3092" s="12"/>
    </row>
    <row r="3093" spans="2:15" x14ac:dyDescent="0.3">
      <c r="B3093" s="10"/>
      <c r="I3093" s="11"/>
      <c r="K3093" s="12"/>
      <c r="L3093" s="12"/>
      <c r="M3093" s="12"/>
      <c r="N3093" s="12"/>
      <c r="O3093" s="12"/>
    </row>
    <row r="3094" spans="2:15" x14ac:dyDescent="0.3">
      <c r="B3094" s="10"/>
      <c r="I3094" s="11"/>
      <c r="K3094" s="12"/>
      <c r="L3094" s="12"/>
      <c r="M3094" s="12"/>
      <c r="N3094" s="12"/>
      <c r="O3094" s="12"/>
    </row>
    <row r="3095" spans="2:15" x14ac:dyDescent="0.3">
      <c r="B3095" s="10"/>
      <c r="I3095" s="11"/>
      <c r="K3095" s="12"/>
      <c r="L3095" s="12"/>
      <c r="M3095" s="12"/>
      <c r="N3095" s="12"/>
      <c r="O3095" s="12"/>
    </row>
    <row r="3096" spans="2:15" x14ac:dyDescent="0.3">
      <c r="B3096" s="10"/>
      <c r="I3096" s="11"/>
      <c r="K3096" s="12"/>
      <c r="L3096" s="12"/>
      <c r="M3096" s="12"/>
      <c r="N3096" s="12"/>
      <c r="O3096" s="12"/>
    </row>
    <row r="3097" spans="2:15" x14ac:dyDescent="0.3">
      <c r="B3097" s="10"/>
      <c r="I3097" s="11"/>
      <c r="K3097" s="12"/>
      <c r="L3097" s="12"/>
      <c r="M3097" s="12"/>
      <c r="N3097" s="12"/>
      <c r="O3097" s="12"/>
    </row>
    <row r="3098" spans="2:15" x14ac:dyDescent="0.3">
      <c r="B3098" s="10"/>
      <c r="I3098" s="11"/>
      <c r="K3098" s="12"/>
      <c r="L3098" s="12"/>
      <c r="M3098" s="12"/>
      <c r="N3098" s="12"/>
      <c r="O3098" s="12"/>
    </row>
    <row r="3099" spans="2:15" x14ac:dyDescent="0.3">
      <c r="B3099" s="10"/>
      <c r="I3099" s="11"/>
      <c r="K3099" s="12"/>
      <c r="L3099" s="12"/>
      <c r="M3099" s="12"/>
      <c r="N3099" s="12"/>
      <c r="O3099" s="12"/>
    </row>
    <row r="3100" spans="2:15" x14ac:dyDescent="0.3">
      <c r="B3100" s="10"/>
      <c r="I3100" s="11"/>
      <c r="K3100" s="12"/>
      <c r="L3100" s="12"/>
      <c r="M3100" s="12"/>
      <c r="N3100" s="12"/>
      <c r="O3100" s="12"/>
    </row>
    <row r="3101" spans="2:15" x14ac:dyDescent="0.3">
      <c r="B3101" s="10"/>
      <c r="I3101" s="11"/>
      <c r="K3101" s="12"/>
      <c r="L3101" s="12"/>
      <c r="M3101" s="12"/>
      <c r="N3101" s="12"/>
      <c r="O3101" s="12"/>
    </row>
    <row r="3102" spans="2:15" x14ac:dyDescent="0.3">
      <c r="B3102" s="10"/>
      <c r="I3102" s="11"/>
      <c r="K3102" s="12"/>
      <c r="L3102" s="12"/>
      <c r="M3102" s="12"/>
      <c r="N3102" s="12"/>
      <c r="O3102" s="12"/>
    </row>
    <row r="3103" spans="2:15" x14ac:dyDescent="0.3">
      <c r="B3103" s="10"/>
      <c r="I3103" s="11"/>
      <c r="K3103" s="12"/>
      <c r="L3103" s="12"/>
      <c r="M3103" s="12"/>
      <c r="N3103" s="12"/>
      <c r="O3103" s="12"/>
    </row>
    <row r="3104" spans="2:15" x14ac:dyDescent="0.3">
      <c r="B3104" s="10"/>
      <c r="I3104" s="11"/>
      <c r="K3104" s="12"/>
      <c r="L3104" s="12"/>
      <c r="M3104" s="12"/>
      <c r="N3104" s="12"/>
      <c r="O3104" s="12"/>
    </row>
    <row r="3105" spans="2:15" x14ac:dyDescent="0.3">
      <c r="B3105" s="10"/>
      <c r="I3105" s="11"/>
      <c r="K3105" s="12"/>
      <c r="L3105" s="12"/>
      <c r="M3105" s="12"/>
      <c r="N3105" s="12"/>
      <c r="O3105" s="12"/>
    </row>
    <row r="3106" spans="2:15" x14ac:dyDescent="0.3">
      <c r="B3106" s="10"/>
      <c r="I3106" s="11"/>
      <c r="K3106" s="12"/>
      <c r="L3106" s="12"/>
      <c r="M3106" s="12"/>
      <c r="N3106" s="12"/>
      <c r="O3106" s="12"/>
    </row>
    <row r="3107" spans="2:15" x14ac:dyDescent="0.3">
      <c r="B3107" s="10"/>
      <c r="I3107" s="11"/>
      <c r="K3107" s="12"/>
      <c r="L3107" s="12"/>
      <c r="M3107" s="12"/>
      <c r="N3107" s="12"/>
      <c r="O3107" s="12"/>
    </row>
    <row r="3108" spans="2:15" x14ac:dyDescent="0.3">
      <c r="B3108" s="10"/>
      <c r="I3108" s="11"/>
      <c r="K3108" s="12"/>
      <c r="L3108" s="12"/>
      <c r="M3108" s="12"/>
      <c r="N3108" s="12"/>
      <c r="O3108" s="12"/>
    </row>
    <row r="3109" spans="2:15" x14ac:dyDescent="0.3">
      <c r="B3109" s="10"/>
      <c r="I3109" s="11"/>
      <c r="K3109" s="12"/>
      <c r="L3109" s="12"/>
      <c r="M3109" s="12"/>
      <c r="N3109" s="12"/>
      <c r="O3109" s="12"/>
    </row>
    <row r="3110" spans="2:15" x14ac:dyDescent="0.3">
      <c r="B3110" s="10"/>
      <c r="I3110" s="11"/>
      <c r="K3110" s="12"/>
      <c r="L3110" s="12"/>
      <c r="M3110" s="12"/>
      <c r="N3110" s="12"/>
      <c r="O3110" s="12"/>
    </row>
    <row r="3111" spans="2:15" x14ac:dyDescent="0.3">
      <c r="B3111" s="10"/>
      <c r="I3111" s="11"/>
      <c r="K3111" s="12"/>
      <c r="L3111" s="12"/>
      <c r="M3111" s="12"/>
      <c r="N3111" s="12"/>
      <c r="O3111" s="12"/>
    </row>
    <row r="3112" spans="2:15" x14ac:dyDescent="0.3">
      <c r="B3112" s="10"/>
      <c r="I3112" s="11"/>
      <c r="K3112" s="12"/>
      <c r="L3112" s="12"/>
      <c r="M3112" s="12"/>
      <c r="N3112" s="12"/>
      <c r="O3112" s="12"/>
    </row>
    <row r="3113" spans="2:15" x14ac:dyDescent="0.3">
      <c r="B3113" s="10"/>
      <c r="I3113" s="11"/>
      <c r="K3113" s="12"/>
      <c r="L3113" s="12"/>
      <c r="M3113" s="12"/>
      <c r="N3113" s="12"/>
      <c r="O3113" s="12"/>
    </row>
    <row r="3114" spans="2:15" x14ac:dyDescent="0.3">
      <c r="B3114" s="10"/>
      <c r="I3114" s="11"/>
      <c r="K3114" s="12"/>
      <c r="L3114" s="12"/>
      <c r="M3114" s="12"/>
      <c r="N3114" s="12"/>
      <c r="O3114" s="12"/>
    </row>
    <row r="3115" spans="2:15" x14ac:dyDescent="0.3">
      <c r="B3115" s="10"/>
      <c r="I3115" s="11"/>
      <c r="K3115" s="12"/>
      <c r="L3115" s="12"/>
      <c r="M3115" s="12"/>
      <c r="N3115" s="12"/>
      <c r="O3115" s="12"/>
    </row>
    <row r="3116" spans="2:15" x14ac:dyDescent="0.3">
      <c r="B3116" s="10"/>
      <c r="I3116" s="11"/>
      <c r="K3116" s="12"/>
      <c r="L3116" s="12"/>
      <c r="M3116" s="12"/>
      <c r="N3116" s="12"/>
      <c r="O3116" s="12"/>
    </row>
    <row r="3117" spans="2:15" x14ac:dyDescent="0.3">
      <c r="B3117" s="10"/>
      <c r="I3117" s="11"/>
      <c r="K3117" s="12"/>
      <c r="L3117" s="12"/>
      <c r="M3117" s="12"/>
      <c r="N3117" s="12"/>
      <c r="O3117" s="12"/>
    </row>
    <row r="3118" spans="2:15" x14ac:dyDescent="0.3">
      <c r="B3118" s="10"/>
      <c r="I3118" s="11"/>
      <c r="K3118" s="12"/>
      <c r="L3118" s="12"/>
      <c r="M3118" s="12"/>
      <c r="N3118" s="12"/>
      <c r="O3118" s="12"/>
    </row>
    <row r="3119" spans="2:15" x14ac:dyDescent="0.3">
      <c r="B3119" s="10"/>
      <c r="I3119" s="11"/>
      <c r="K3119" s="12"/>
      <c r="L3119" s="12"/>
      <c r="M3119" s="12"/>
      <c r="N3119" s="12"/>
      <c r="O3119" s="12"/>
    </row>
    <row r="3120" spans="2:15" x14ac:dyDescent="0.3">
      <c r="B3120" s="10"/>
      <c r="I3120" s="11"/>
      <c r="K3120" s="12"/>
      <c r="L3120" s="12"/>
      <c r="M3120" s="12"/>
      <c r="N3120" s="12"/>
      <c r="O3120" s="12"/>
    </row>
    <row r="3121" spans="2:15" x14ac:dyDescent="0.3">
      <c r="B3121" s="10"/>
      <c r="I3121" s="11"/>
      <c r="K3121" s="12"/>
      <c r="L3121" s="12"/>
      <c r="M3121" s="12"/>
      <c r="N3121" s="12"/>
      <c r="O3121" s="12"/>
    </row>
    <row r="3122" spans="2:15" x14ac:dyDescent="0.3">
      <c r="B3122" s="10"/>
      <c r="I3122" s="11"/>
      <c r="K3122" s="12"/>
      <c r="L3122" s="12"/>
      <c r="M3122" s="12"/>
      <c r="N3122" s="12"/>
      <c r="O3122" s="12"/>
    </row>
    <row r="3123" spans="2:15" x14ac:dyDescent="0.3">
      <c r="B3123" s="10"/>
      <c r="I3123" s="11"/>
      <c r="K3123" s="12"/>
      <c r="L3123" s="12"/>
      <c r="M3123" s="12"/>
      <c r="N3123" s="12"/>
      <c r="O3123" s="12"/>
    </row>
    <row r="3124" spans="2:15" x14ac:dyDescent="0.3">
      <c r="B3124" s="10"/>
      <c r="I3124" s="11"/>
      <c r="K3124" s="12"/>
      <c r="L3124" s="12"/>
      <c r="M3124" s="12"/>
      <c r="N3124" s="12"/>
      <c r="O3124" s="12"/>
    </row>
    <row r="3125" spans="2:15" x14ac:dyDescent="0.3">
      <c r="B3125" s="10"/>
      <c r="I3125" s="11"/>
      <c r="K3125" s="12"/>
      <c r="L3125" s="12"/>
      <c r="M3125" s="12"/>
      <c r="N3125" s="12"/>
      <c r="O3125" s="12"/>
    </row>
    <row r="3126" spans="2:15" x14ac:dyDescent="0.3">
      <c r="B3126" s="10"/>
      <c r="I3126" s="11"/>
      <c r="K3126" s="12"/>
      <c r="L3126" s="12"/>
      <c r="M3126" s="12"/>
      <c r="N3126" s="12"/>
      <c r="O3126" s="12"/>
    </row>
    <row r="3127" spans="2:15" x14ac:dyDescent="0.3">
      <c r="B3127" s="10"/>
      <c r="I3127" s="11"/>
      <c r="K3127" s="12"/>
      <c r="L3127" s="12"/>
      <c r="M3127" s="12"/>
      <c r="N3127" s="12"/>
      <c r="O3127" s="12"/>
    </row>
    <row r="3128" spans="2:15" x14ac:dyDescent="0.3">
      <c r="B3128" s="10"/>
      <c r="I3128" s="11"/>
      <c r="K3128" s="12"/>
      <c r="L3128" s="12"/>
      <c r="M3128" s="12"/>
      <c r="N3128" s="12"/>
      <c r="O3128" s="12"/>
    </row>
    <row r="3129" spans="2:15" x14ac:dyDescent="0.3">
      <c r="B3129" s="10"/>
      <c r="I3129" s="11"/>
      <c r="K3129" s="12"/>
      <c r="L3129" s="12"/>
      <c r="M3129" s="12"/>
      <c r="N3129" s="12"/>
      <c r="O3129" s="12"/>
    </row>
    <row r="3130" spans="2:15" x14ac:dyDescent="0.3">
      <c r="B3130" s="10"/>
      <c r="I3130" s="11"/>
      <c r="K3130" s="12"/>
      <c r="L3130" s="12"/>
      <c r="M3130" s="12"/>
      <c r="N3130" s="12"/>
      <c r="O3130" s="12"/>
    </row>
    <row r="3131" spans="2:15" x14ac:dyDescent="0.3">
      <c r="B3131" s="10"/>
      <c r="I3131" s="11"/>
      <c r="K3131" s="12"/>
      <c r="L3131" s="12"/>
      <c r="M3131" s="12"/>
      <c r="N3131" s="12"/>
      <c r="O3131" s="12"/>
    </row>
    <row r="3132" spans="2:15" x14ac:dyDescent="0.3">
      <c r="B3132" s="10"/>
      <c r="I3132" s="11"/>
      <c r="K3132" s="12"/>
      <c r="L3132" s="12"/>
      <c r="M3132" s="12"/>
      <c r="N3132" s="12"/>
      <c r="O3132" s="12"/>
    </row>
    <row r="3133" spans="2:15" x14ac:dyDescent="0.3">
      <c r="B3133" s="10"/>
      <c r="I3133" s="11"/>
      <c r="K3133" s="12"/>
      <c r="L3133" s="12"/>
      <c r="M3133" s="12"/>
      <c r="N3133" s="12"/>
      <c r="O3133" s="12"/>
    </row>
    <row r="3134" spans="2:15" x14ac:dyDescent="0.3">
      <c r="B3134" s="10"/>
      <c r="I3134" s="11"/>
      <c r="K3134" s="12"/>
      <c r="L3134" s="12"/>
      <c r="M3134" s="12"/>
      <c r="N3134" s="12"/>
      <c r="O3134" s="12"/>
    </row>
    <row r="3135" spans="2:15" x14ac:dyDescent="0.3">
      <c r="B3135" s="10"/>
      <c r="I3135" s="11"/>
      <c r="K3135" s="12"/>
      <c r="L3135" s="12"/>
      <c r="M3135" s="12"/>
      <c r="N3135" s="12"/>
      <c r="O3135" s="12"/>
    </row>
    <row r="3136" spans="2:15" x14ac:dyDescent="0.3">
      <c r="B3136" s="10"/>
      <c r="I3136" s="11"/>
      <c r="K3136" s="12"/>
      <c r="L3136" s="12"/>
      <c r="M3136" s="12"/>
      <c r="N3136" s="12"/>
      <c r="O3136" s="12"/>
    </row>
    <row r="3137" spans="2:15" x14ac:dyDescent="0.3">
      <c r="B3137" s="10"/>
      <c r="I3137" s="11"/>
      <c r="K3137" s="12"/>
      <c r="L3137" s="12"/>
      <c r="M3137" s="12"/>
      <c r="N3137" s="12"/>
      <c r="O3137" s="12"/>
    </row>
    <row r="3138" spans="2:15" x14ac:dyDescent="0.3">
      <c r="B3138" s="10"/>
      <c r="I3138" s="11"/>
      <c r="K3138" s="12"/>
      <c r="L3138" s="12"/>
      <c r="M3138" s="12"/>
      <c r="N3138" s="12"/>
      <c r="O3138" s="12"/>
    </row>
    <row r="3139" spans="2:15" x14ac:dyDescent="0.3">
      <c r="B3139" s="10"/>
      <c r="I3139" s="11"/>
      <c r="K3139" s="12"/>
      <c r="L3139" s="12"/>
      <c r="M3139" s="12"/>
      <c r="N3139" s="12"/>
      <c r="O3139" s="12"/>
    </row>
    <row r="3140" spans="2:15" x14ac:dyDescent="0.3">
      <c r="B3140" s="10"/>
      <c r="I3140" s="11"/>
      <c r="K3140" s="12"/>
      <c r="L3140" s="12"/>
      <c r="M3140" s="12"/>
      <c r="N3140" s="12"/>
      <c r="O3140" s="12"/>
    </row>
    <row r="3141" spans="2:15" x14ac:dyDescent="0.3">
      <c r="B3141" s="10"/>
      <c r="I3141" s="11"/>
      <c r="K3141" s="12"/>
      <c r="L3141" s="12"/>
      <c r="M3141" s="12"/>
      <c r="N3141" s="12"/>
      <c r="O3141" s="12"/>
    </row>
    <row r="3142" spans="2:15" x14ac:dyDescent="0.3">
      <c r="B3142" s="10"/>
      <c r="I3142" s="11"/>
      <c r="K3142" s="12"/>
      <c r="L3142" s="12"/>
      <c r="M3142" s="12"/>
      <c r="N3142" s="12"/>
      <c r="O3142" s="12"/>
    </row>
    <row r="3143" spans="2:15" x14ac:dyDescent="0.3">
      <c r="B3143" s="10"/>
      <c r="I3143" s="11"/>
      <c r="K3143" s="12"/>
      <c r="L3143" s="12"/>
      <c r="M3143" s="12"/>
      <c r="N3143" s="12"/>
      <c r="O3143" s="12"/>
    </row>
    <row r="3144" spans="2:15" x14ac:dyDescent="0.3">
      <c r="B3144" s="10"/>
      <c r="I3144" s="11"/>
      <c r="K3144" s="12"/>
      <c r="L3144" s="12"/>
      <c r="M3144" s="12"/>
      <c r="N3144" s="12"/>
      <c r="O3144" s="12"/>
    </row>
    <row r="3145" spans="2:15" x14ac:dyDescent="0.3">
      <c r="B3145" s="10"/>
      <c r="I3145" s="11"/>
      <c r="K3145" s="12"/>
      <c r="L3145" s="12"/>
      <c r="M3145" s="12"/>
      <c r="N3145" s="12"/>
      <c r="O3145" s="12"/>
    </row>
    <row r="3146" spans="2:15" x14ac:dyDescent="0.3">
      <c r="B3146" s="10"/>
      <c r="I3146" s="11"/>
      <c r="K3146" s="12"/>
      <c r="L3146" s="12"/>
      <c r="M3146" s="12"/>
      <c r="N3146" s="12"/>
      <c r="O3146" s="12"/>
    </row>
    <row r="3147" spans="2:15" x14ac:dyDescent="0.3">
      <c r="B3147" s="10"/>
      <c r="I3147" s="11"/>
      <c r="K3147" s="12"/>
      <c r="L3147" s="12"/>
      <c r="M3147" s="12"/>
      <c r="N3147" s="12"/>
      <c r="O3147" s="12"/>
    </row>
    <row r="3148" spans="2:15" x14ac:dyDescent="0.3">
      <c r="B3148" s="10"/>
      <c r="I3148" s="11"/>
      <c r="K3148" s="12"/>
      <c r="L3148" s="12"/>
      <c r="M3148" s="12"/>
      <c r="N3148" s="12"/>
      <c r="O3148" s="12"/>
    </row>
    <row r="3149" spans="2:15" x14ac:dyDescent="0.3">
      <c r="B3149" s="10"/>
      <c r="I3149" s="11"/>
      <c r="K3149" s="12"/>
      <c r="L3149" s="12"/>
      <c r="M3149" s="12"/>
      <c r="N3149" s="12"/>
      <c r="O3149" s="12"/>
    </row>
    <row r="3150" spans="2:15" x14ac:dyDescent="0.3">
      <c r="B3150" s="10"/>
      <c r="I3150" s="11"/>
      <c r="K3150" s="12"/>
      <c r="L3150" s="12"/>
      <c r="M3150" s="12"/>
      <c r="N3150" s="12"/>
      <c r="O3150" s="12"/>
    </row>
    <row r="3151" spans="2:15" x14ac:dyDescent="0.3">
      <c r="B3151" s="10"/>
      <c r="I3151" s="11"/>
      <c r="K3151" s="12"/>
      <c r="L3151" s="12"/>
      <c r="M3151" s="12"/>
      <c r="N3151" s="12"/>
      <c r="O3151" s="12"/>
    </row>
    <row r="3152" spans="2:15" x14ac:dyDescent="0.3">
      <c r="B3152" s="10"/>
      <c r="I3152" s="11"/>
      <c r="K3152" s="12"/>
      <c r="L3152" s="12"/>
      <c r="M3152" s="12"/>
      <c r="N3152" s="12"/>
      <c r="O3152" s="12"/>
    </row>
    <row r="3153" spans="2:15" x14ac:dyDescent="0.3">
      <c r="B3153" s="10"/>
      <c r="I3153" s="11"/>
      <c r="K3153" s="12"/>
      <c r="L3153" s="12"/>
      <c r="M3153" s="12"/>
      <c r="N3153" s="12"/>
      <c r="O3153" s="12"/>
    </row>
    <row r="3154" spans="2:15" x14ac:dyDescent="0.3">
      <c r="B3154" s="10"/>
      <c r="I3154" s="11"/>
      <c r="K3154" s="12"/>
      <c r="L3154" s="12"/>
      <c r="M3154" s="12"/>
      <c r="N3154" s="12"/>
      <c r="O3154" s="12"/>
    </row>
    <row r="3155" spans="2:15" x14ac:dyDescent="0.3">
      <c r="B3155" s="10"/>
      <c r="I3155" s="11"/>
      <c r="K3155" s="12"/>
      <c r="L3155" s="12"/>
      <c r="M3155" s="12"/>
      <c r="N3155" s="12"/>
      <c r="O3155" s="12"/>
    </row>
    <row r="3156" spans="2:15" x14ac:dyDescent="0.3">
      <c r="B3156" s="10"/>
      <c r="I3156" s="11"/>
      <c r="K3156" s="12"/>
      <c r="L3156" s="12"/>
      <c r="M3156" s="12"/>
      <c r="N3156" s="12"/>
      <c r="O3156" s="12"/>
    </row>
    <row r="3157" spans="2:15" x14ac:dyDescent="0.3">
      <c r="B3157" s="10"/>
      <c r="I3157" s="11"/>
      <c r="K3157" s="12"/>
      <c r="L3157" s="12"/>
      <c r="M3157" s="12"/>
      <c r="N3157" s="12"/>
      <c r="O3157" s="12"/>
    </row>
    <row r="3158" spans="2:15" x14ac:dyDescent="0.3">
      <c r="B3158" s="10"/>
      <c r="I3158" s="11"/>
      <c r="K3158" s="12"/>
      <c r="L3158" s="12"/>
      <c r="M3158" s="12"/>
      <c r="N3158" s="12"/>
      <c r="O3158" s="12"/>
    </row>
    <row r="3159" spans="2:15" x14ac:dyDescent="0.3">
      <c r="B3159" s="10"/>
      <c r="I3159" s="11"/>
      <c r="K3159" s="12"/>
      <c r="L3159" s="12"/>
      <c r="M3159" s="12"/>
      <c r="N3159" s="12"/>
      <c r="O3159" s="12"/>
    </row>
    <row r="3160" spans="2:15" x14ac:dyDescent="0.3">
      <c r="B3160" s="10"/>
      <c r="I3160" s="11"/>
      <c r="K3160" s="12"/>
      <c r="L3160" s="12"/>
      <c r="M3160" s="12"/>
      <c r="N3160" s="12"/>
      <c r="O3160" s="12"/>
    </row>
    <row r="3161" spans="2:15" x14ac:dyDescent="0.3">
      <c r="B3161" s="10"/>
      <c r="I3161" s="11"/>
      <c r="K3161" s="12"/>
      <c r="L3161" s="12"/>
      <c r="M3161" s="12"/>
      <c r="N3161" s="12"/>
      <c r="O3161" s="12"/>
    </row>
    <row r="3162" spans="2:15" x14ac:dyDescent="0.3">
      <c r="B3162" s="10"/>
      <c r="I3162" s="11"/>
      <c r="K3162" s="12"/>
      <c r="L3162" s="12"/>
      <c r="M3162" s="12"/>
      <c r="N3162" s="12"/>
      <c r="O3162" s="12"/>
    </row>
    <row r="3163" spans="2:15" x14ac:dyDescent="0.3">
      <c r="B3163" s="10"/>
      <c r="I3163" s="11"/>
      <c r="K3163" s="12"/>
      <c r="L3163" s="12"/>
      <c r="M3163" s="12"/>
      <c r="N3163" s="12"/>
      <c r="O3163" s="12"/>
    </row>
    <row r="3164" spans="2:15" x14ac:dyDescent="0.3">
      <c r="B3164" s="10"/>
      <c r="I3164" s="11"/>
      <c r="K3164" s="12"/>
      <c r="L3164" s="12"/>
      <c r="M3164" s="12"/>
      <c r="N3164" s="12"/>
      <c r="O3164" s="12"/>
    </row>
    <row r="3165" spans="2:15" x14ac:dyDescent="0.3">
      <c r="B3165" s="10"/>
      <c r="I3165" s="11"/>
      <c r="K3165" s="12"/>
      <c r="L3165" s="12"/>
      <c r="M3165" s="12"/>
      <c r="N3165" s="12"/>
      <c r="O3165" s="12"/>
    </row>
    <row r="3166" spans="2:15" x14ac:dyDescent="0.3">
      <c r="B3166" s="10"/>
      <c r="I3166" s="11"/>
      <c r="K3166" s="12"/>
      <c r="L3166" s="12"/>
      <c r="M3166" s="12"/>
      <c r="N3166" s="12"/>
      <c r="O3166" s="12"/>
    </row>
    <row r="3167" spans="2:15" x14ac:dyDescent="0.3">
      <c r="B3167" s="10"/>
      <c r="I3167" s="11"/>
      <c r="K3167" s="12"/>
      <c r="L3167" s="12"/>
      <c r="M3167" s="12"/>
      <c r="N3167" s="12"/>
      <c r="O3167" s="12"/>
    </row>
    <row r="3168" spans="2:15" x14ac:dyDescent="0.3">
      <c r="B3168" s="10"/>
      <c r="I3168" s="11"/>
      <c r="K3168" s="12"/>
      <c r="L3168" s="12"/>
      <c r="M3168" s="12"/>
      <c r="N3168" s="12"/>
      <c r="O3168" s="12"/>
    </row>
    <row r="3169" spans="2:15" x14ac:dyDescent="0.3">
      <c r="B3169" s="10"/>
      <c r="I3169" s="11"/>
      <c r="K3169" s="12"/>
      <c r="L3169" s="12"/>
      <c r="M3169" s="12"/>
      <c r="N3169" s="12"/>
      <c r="O3169" s="12"/>
    </row>
    <row r="3170" spans="2:15" x14ac:dyDescent="0.3">
      <c r="B3170" s="10"/>
      <c r="I3170" s="11"/>
      <c r="K3170" s="12"/>
      <c r="L3170" s="12"/>
      <c r="M3170" s="12"/>
      <c r="N3170" s="12"/>
      <c r="O3170" s="12"/>
    </row>
    <row r="3171" spans="2:15" x14ac:dyDescent="0.3">
      <c r="B3171" s="10"/>
      <c r="I3171" s="11"/>
      <c r="K3171" s="12"/>
      <c r="L3171" s="12"/>
      <c r="M3171" s="12"/>
      <c r="N3171" s="12"/>
      <c r="O3171" s="12"/>
    </row>
    <row r="3172" spans="2:15" x14ac:dyDescent="0.3">
      <c r="B3172" s="10"/>
      <c r="I3172" s="11"/>
      <c r="K3172" s="12"/>
      <c r="L3172" s="12"/>
      <c r="M3172" s="12"/>
      <c r="N3172" s="12"/>
      <c r="O3172" s="12"/>
    </row>
    <row r="3173" spans="2:15" x14ac:dyDescent="0.3">
      <c r="B3173" s="10"/>
      <c r="I3173" s="11"/>
      <c r="K3173" s="12"/>
      <c r="L3173" s="12"/>
      <c r="M3173" s="12"/>
      <c r="N3173" s="12"/>
      <c r="O3173" s="12"/>
    </row>
    <row r="3174" spans="2:15" x14ac:dyDescent="0.3">
      <c r="B3174" s="10"/>
      <c r="I3174" s="11"/>
      <c r="K3174" s="12"/>
      <c r="L3174" s="12"/>
      <c r="M3174" s="12"/>
      <c r="N3174" s="12"/>
      <c r="O3174" s="12"/>
    </row>
    <row r="3175" spans="2:15" x14ac:dyDescent="0.3">
      <c r="B3175" s="10"/>
      <c r="I3175" s="11"/>
      <c r="K3175" s="12"/>
      <c r="L3175" s="12"/>
      <c r="M3175" s="12"/>
      <c r="N3175" s="12"/>
      <c r="O3175" s="12"/>
    </row>
    <row r="3176" spans="2:15" x14ac:dyDescent="0.3">
      <c r="B3176" s="10"/>
      <c r="I3176" s="11"/>
      <c r="K3176" s="12"/>
      <c r="L3176" s="12"/>
      <c r="M3176" s="12"/>
      <c r="N3176" s="12"/>
      <c r="O3176" s="12"/>
    </row>
    <row r="3177" spans="2:15" x14ac:dyDescent="0.3">
      <c r="B3177" s="10"/>
      <c r="I3177" s="11"/>
      <c r="K3177" s="12"/>
      <c r="L3177" s="12"/>
      <c r="M3177" s="12"/>
      <c r="N3177" s="12"/>
      <c r="O3177" s="12"/>
    </row>
    <row r="3178" spans="2:15" x14ac:dyDescent="0.3">
      <c r="B3178" s="10"/>
      <c r="I3178" s="11"/>
      <c r="K3178" s="12"/>
      <c r="L3178" s="12"/>
      <c r="M3178" s="12"/>
      <c r="N3178" s="12"/>
      <c r="O3178" s="12"/>
    </row>
    <row r="3179" spans="2:15" x14ac:dyDescent="0.3">
      <c r="B3179" s="10"/>
      <c r="I3179" s="11"/>
      <c r="K3179" s="12"/>
      <c r="L3179" s="12"/>
      <c r="M3179" s="12"/>
      <c r="N3179" s="12"/>
      <c r="O3179" s="12"/>
    </row>
    <row r="3180" spans="2:15" x14ac:dyDescent="0.3">
      <c r="B3180" s="10"/>
      <c r="I3180" s="11"/>
      <c r="K3180" s="12"/>
      <c r="L3180" s="12"/>
      <c r="M3180" s="12"/>
      <c r="N3180" s="12"/>
      <c r="O3180" s="12"/>
    </row>
    <row r="3181" spans="2:15" x14ac:dyDescent="0.3">
      <c r="B3181" s="10"/>
      <c r="I3181" s="11"/>
      <c r="K3181" s="12"/>
      <c r="L3181" s="12"/>
      <c r="M3181" s="12"/>
      <c r="N3181" s="12"/>
      <c r="O3181" s="12"/>
    </row>
    <row r="3182" spans="2:15" x14ac:dyDescent="0.3">
      <c r="B3182" s="10"/>
      <c r="I3182" s="11"/>
      <c r="K3182" s="12"/>
      <c r="L3182" s="12"/>
      <c r="M3182" s="12"/>
      <c r="N3182" s="12"/>
      <c r="O3182" s="12"/>
    </row>
    <row r="3183" spans="2:15" x14ac:dyDescent="0.3">
      <c r="B3183" s="10"/>
      <c r="I3183" s="11"/>
      <c r="K3183" s="12"/>
      <c r="L3183" s="12"/>
      <c r="M3183" s="12"/>
      <c r="N3183" s="12"/>
      <c r="O3183" s="12"/>
    </row>
    <row r="3184" spans="2:15" x14ac:dyDescent="0.3">
      <c r="B3184" s="10"/>
      <c r="I3184" s="11"/>
      <c r="K3184" s="12"/>
      <c r="L3184" s="12"/>
      <c r="M3184" s="12"/>
      <c r="N3184" s="12"/>
      <c r="O3184" s="12"/>
    </row>
    <row r="3185" spans="2:15" x14ac:dyDescent="0.3">
      <c r="B3185" s="10"/>
      <c r="I3185" s="11"/>
      <c r="K3185" s="12"/>
      <c r="L3185" s="12"/>
      <c r="M3185" s="12"/>
      <c r="N3185" s="12"/>
      <c r="O3185" s="12"/>
    </row>
    <row r="3186" spans="2:15" x14ac:dyDescent="0.3">
      <c r="B3186" s="10"/>
      <c r="I3186" s="11"/>
      <c r="K3186" s="12"/>
      <c r="L3186" s="12"/>
      <c r="M3186" s="12"/>
      <c r="N3186" s="12"/>
      <c r="O3186" s="12"/>
    </row>
    <row r="3187" spans="2:15" x14ac:dyDescent="0.3">
      <c r="B3187" s="10"/>
      <c r="I3187" s="11"/>
      <c r="K3187" s="12"/>
      <c r="L3187" s="12"/>
      <c r="M3187" s="12"/>
      <c r="N3187" s="12"/>
      <c r="O3187" s="12"/>
    </row>
    <row r="3188" spans="2:15" x14ac:dyDescent="0.3">
      <c r="B3188" s="10"/>
      <c r="I3188" s="11"/>
      <c r="K3188" s="12"/>
      <c r="L3188" s="12"/>
      <c r="M3188" s="12"/>
      <c r="N3188" s="12"/>
      <c r="O3188" s="12"/>
    </row>
    <row r="3189" spans="2:15" x14ac:dyDescent="0.3">
      <c r="B3189" s="10"/>
      <c r="I3189" s="11"/>
      <c r="K3189" s="12"/>
      <c r="L3189" s="12"/>
      <c r="M3189" s="12"/>
      <c r="N3189" s="12"/>
      <c r="O3189" s="12"/>
    </row>
    <row r="3190" spans="2:15" x14ac:dyDescent="0.3">
      <c r="B3190" s="10"/>
      <c r="I3190" s="11"/>
      <c r="K3190" s="12"/>
      <c r="L3190" s="12"/>
      <c r="M3190" s="12"/>
      <c r="N3190" s="12"/>
      <c r="O3190" s="12"/>
    </row>
    <row r="3191" spans="2:15" x14ac:dyDescent="0.3">
      <c r="B3191" s="10"/>
      <c r="I3191" s="11"/>
      <c r="K3191" s="12"/>
      <c r="L3191" s="12"/>
      <c r="M3191" s="12"/>
      <c r="N3191" s="12"/>
      <c r="O3191" s="12"/>
    </row>
    <row r="3192" spans="2:15" x14ac:dyDescent="0.3">
      <c r="B3192" s="10"/>
      <c r="I3192" s="11"/>
      <c r="K3192" s="12"/>
      <c r="L3192" s="12"/>
      <c r="M3192" s="12"/>
      <c r="N3192" s="12"/>
      <c r="O3192" s="12"/>
    </row>
    <row r="3193" spans="2:15" x14ac:dyDescent="0.3">
      <c r="B3193" s="10"/>
      <c r="I3193" s="11"/>
      <c r="K3193" s="12"/>
      <c r="L3193" s="12"/>
      <c r="M3193" s="12"/>
      <c r="N3193" s="12"/>
      <c r="O3193" s="12"/>
    </row>
    <row r="3194" spans="2:15" x14ac:dyDescent="0.3">
      <c r="B3194" s="10"/>
      <c r="I3194" s="11"/>
      <c r="K3194" s="12"/>
      <c r="L3194" s="12"/>
      <c r="M3194" s="12"/>
      <c r="N3194" s="12"/>
      <c r="O3194" s="12"/>
    </row>
    <row r="3195" spans="2:15" x14ac:dyDescent="0.3">
      <c r="B3195" s="10"/>
      <c r="I3195" s="11"/>
      <c r="K3195" s="12"/>
      <c r="L3195" s="12"/>
      <c r="M3195" s="12"/>
      <c r="N3195" s="12"/>
      <c r="O3195" s="12"/>
    </row>
    <row r="3196" spans="2:15" x14ac:dyDescent="0.3">
      <c r="B3196" s="10"/>
      <c r="I3196" s="11"/>
      <c r="K3196" s="12"/>
      <c r="L3196" s="12"/>
      <c r="M3196" s="12"/>
      <c r="N3196" s="12"/>
      <c r="O3196" s="12"/>
    </row>
    <row r="3197" spans="2:15" x14ac:dyDescent="0.3">
      <c r="B3197" s="10"/>
      <c r="I3197" s="11"/>
      <c r="K3197" s="12"/>
      <c r="L3197" s="12"/>
      <c r="M3197" s="12"/>
      <c r="N3197" s="12"/>
      <c r="O3197" s="12"/>
    </row>
    <row r="3198" spans="2:15" x14ac:dyDescent="0.3">
      <c r="B3198" s="10"/>
      <c r="I3198" s="11"/>
      <c r="K3198" s="12"/>
      <c r="L3198" s="12"/>
      <c r="M3198" s="12"/>
      <c r="N3198" s="12"/>
      <c r="O3198" s="12"/>
    </row>
    <row r="3199" spans="2:15" x14ac:dyDescent="0.3">
      <c r="B3199" s="10"/>
      <c r="I3199" s="11"/>
      <c r="K3199" s="12"/>
      <c r="L3199" s="12"/>
      <c r="M3199" s="12"/>
      <c r="N3199" s="12"/>
      <c r="O3199" s="12"/>
    </row>
    <row r="3200" spans="2:15" x14ac:dyDescent="0.3">
      <c r="B3200" s="10"/>
      <c r="I3200" s="11"/>
      <c r="K3200" s="12"/>
      <c r="L3200" s="12"/>
      <c r="M3200" s="12"/>
      <c r="N3200" s="12"/>
      <c r="O3200" s="12"/>
    </row>
    <row r="3201" spans="2:15" x14ac:dyDescent="0.3">
      <c r="B3201" s="10"/>
      <c r="I3201" s="11"/>
      <c r="K3201" s="12"/>
      <c r="L3201" s="12"/>
      <c r="M3201" s="12"/>
      <c r="N3201" s="12"/>
      <c r="O3201" s="12"/>
    </row>
    <row r="3202" spans="2:15" x14ac:dyDescent="0.3">
      <c r="B3202" s="10"/>
      <c r="I3202" s="11"/>
      <c r="K3202" s="12"/>
      <c r="L3202" s="12"/>
      <c r="M3202" s="12"/>
      <c r="N3202" s="12"/>
      <c r="O3202" s="12"/>
    </row>
    <row r="3203" spans="2:15" x14ac:dyDescent="0.3">
      <c r="B3203" s="10"/>
      <c r="I3203" s="11"/>
      <c r="K3203" s="12"/>
      <c r="L3203" s="12"/>
      <c r="M3203" s="12"/>
      <c r="N3203" s="12"/>
      <c r="O3203" s="12"/>
    </row>
    <row r="3204" spans="2:15" x14ac:dyDescent="0.3">
      <c r="B3204" s="10"/>
      <c r="I3204" s="11"/>
      <c r="K3204" s="12"/>
      <c r="L3204" s="12"/>
      <c r="M3204" s="12"/>
      <c r="N3204" s="12"/>
      <c r="O3204" s="12"/>
    </row>
    <row r="3205" spans="2:15" x14ac:dyDescent="0.3">
      <c r="B3205" s="10"/>
      <c r="I3205" s="11"/>
      <c r="K3205" s="12"/>
      <c r="L3205" s="12"/>
      <c r="M3205" s="12"/>
      <c r="N3205" s="12"/>
      <c r="O3205" s="12"/>
    </row>
    <row r="3206" spans="2:15" x14ac:dyDescent="0.3">
      <c r="B3206" s="10"/>
      <c r="I3206" s="11"/>
      <c r="K3206" s="12"/>
      <c r="L3206" s="12"/>
      <c r="M3206" s="12"/>
      <c r="N3206" s="12"/>
      <c r="O3206" s="12"/>
    </row>
    <row r="3207" spans="2:15" x14ac:dyDescent="0.3">
      <c r="B3207" s="10"/>
      <c r="I3207" s="11"/>
      <c r="K3207" s="12"/>
      <c r="L3207" s="12"/>
      <c r="M3207" s="12"/>
      <c r="N3207" s="12"/>
      <c r="O3207" s="12"/>
    </row>
    <row r="3208" spans="2:15" x14ac:dyDescent="0.3">
      <c r="B3208" s="10"/>
      <c r="I3208" s="11"/>
      <c r="K3208" s="12"/>
      <c r="L3208" s="12"/>
      <c r="M3208" s="12"/>
      <c r="N3208" s="12"/>
      <c r="O3208" s="12"/>
    </row>
    <row r="3209" spans="2:15" x14ac:dyDescent="0.3">
      <c r="B3209" s="10"/>
      <c r="I3209" s="11"/>
      <c r="K3209" s="12"/>
      <c r="L3209" s="12"/>
      <c r="M3209" s="12"/>
      <c r="N3209" s="12"/>
      <c r="O3209" s="12"/>
    </row>
    <row r="3210" spans="2:15" x14ac:dyDescent="0.3">
      <c r="B3210" s="10"/>
      <c r="I3210" s="11"/>
      <c r="K3210" s="12"/>
      <c r="L3210" s="12"/>
      <c r="M3210" s="12"/>
      <c r="N3210" s="12"/>
      <c r="O3210" s="12"/>
    </row>
    <row r="3211" spans="2:15" x14ac:dyDescent="0.3">
      <c r="B3211" s="10"/>
      <c r="I3211" s="11"/>
      <c r="K3211" s="12"/>
      <c r="L3211" s="12"/>
      <c r="M3211" s="12"/>
      <c r="N3211" s="12"/>
      <c r="O3211" s="12"/>
    </row>
    <row r="3212" spans="2:15" x14ac:dyDescent="0.3">
      <c r="B3212" s="10"/>
      <c r="I3212" s="11"/>
      <c r="K3212" s="12"/>
      <c r="L3212" s="12"/>
      <c r="M3212" s="12"/>
      <c r="N3212" s="12"/>
      <c r="O3212" s="12"/>
    </row>
    <row r="3213" spans="2:15" x14ac:dyDescent="0.3">
      <c r="B3213" s="10"/>
      <c r="I3213" s="11"/>
      <c r="K3213" s="12"/>
      <c r="L3213" s="12"/>
      <c r="M3213" s="12"/>
      <c r="N3213" s="12"/>
      <c r="O3213" s="12"/>
    </row>
    <row r="3214" spans="2:15" x14ac:dyDescent="0.3">
      <c r="B3214" s="10"/>
      <c r="I3214" s="11"/>
      <c r="K3214" s="12"/>
      <c r="L3214" s="12"/>
      <c r="M3214" s="12"/>
      <c r="N3214" s="12"/>
      <c r="O3214" s="12"/>
    </row>
    <row r="3215" spans="2:15" x14ac:dyDescent="0.3">
      <c r="B3215" s="10"/>
      <c r="I3215" s="11"/>
      <c r="K3215" s="12"/>
      <c r="L3215" s="12"/>
      <c r="M3215" s="12"/>
      <c r="N3215" s="12"/>
      <c r="O3215" s="12"/>
    </row>
    <row r="3216" spans="2:15" x14ac:dyDescent="0.3">
      <c r="B3216" s="10"/>
      <c r="I3216" s="11"/>
      <c r="K3216" s="12"/>
      <c r="L3216" s="12"/>
      <c r="M3216" s="12"/>
      <c r="N3216" s="12"/>
      <c r="O3216" s="12"/>
    </row>
    <row r="3217" spans="2:15" x14ac:dyDescent="0.3">
      <c r="B3217" s="10"/>
      <c r="I3217" s="11"/>
      <c r="K3217" s="12"/>
      <c r="L3217" s="12"/>
      <c r="M3217" s="12"/>
      <c r="N3217" s="12"/>
      <c r="O3217" s="12"/>
    </row>
    <row r="3218" spans="2:15" x14ac:dyDescent="0.3">
      <c r="B3218" s="10"/>
      <c r="I3218" s="11"/>
      <c r="K3218" s="12"/>
      <c r="L3218" s="12"/>
      <c r="M3218" s="12"/>
      <c r="N3218" s="12"/>
      <c r="O3218" s="12"/>
    </row>
    <row r="3219" spans="2:15" x14ac:dyDescent="0.3">
      <c r="B3219" s="10"/>
      <c r="I3219" s="11"/>
      <c r="K3219" s="12"/>
      <c r="L3219" s="12"/>
      <c r="M3219" s="12"/>
      <c r="N3219" s="12"/>
      <c r="O3219" s="12"/>
    </row>
    <row r="3220" spans="2:15" x14ac:dyDescent="0.3">
      <c r="B3220" s="10"/>
      <c r="I3220" s="11"/>
      <c r="K3220" s="12"/>
      <c r="L3220" s="12"/>
      <c r="M3220" s="12"/>
      <c r="N3220" s="12"/>
      <c r="O3220" s="12"/>
    </row>
    <row r="3221" spans="2:15" x14ac:dyDescent="0.3">
      <c r="B3221" s="10"/>
      <c r="I3221" s="11"/>
      <c r="K3221" s="12"/>
      <c r="L3221" s="12"/>
      <c r="M3221" s="12"/>
      <c r="N3221" s="12"/>
      <c r="O3221" s="12"/>
    </row>
    <row r="3222" spans="2:15" x14ac:dyDescent="0.3">
      <c r="B3222" s="10"/>
      <c r="I3222" s="11"/>
      <c r="K3222" s="12"/>
      <c r="L3222" s="12"/>
      <c r="M3222" s="12"/>
      <c r="N3222" s="12"/>
      <c r="O3222" s="12"/>
    </row>
    <row r="3223" spans="2:15" x14ac:dyDescent="0.3">
      <c r="B3223" s="10"/>
      <c r="I3223" s="11"/>
      <c r="K3223" s="12"/>
      <c r="L3223" s="12"/>
      <c r="M3223" s="12"/>
      <c r="N3223" s="12"/>
      <c r="O3223" s="12"/>
    </row>
    <row r="3224" spans="2:15" x14ac:dyDescent="0.3">
      <c r="B3224" s="10"/>
      <c r="I3224" s="11"/>
      <c r="K3224" s="12"/>
      <c r="L3224" s="12"/>
      <c r="M3224" s="12"/>
      <c r="N3224" s="12"/>
      <c r="O3224" s="12"/>
    </row>
    <row r="3225" spans="2:15" x14ac:dyDescent="0.3">
      <c r="B3225" s="10"/>
      <c r="I3225" s="11"/>
      <c r="K3225" s="12"/>
      <c r="L3225" s="12"/>
      <c r="M3225" s="12"/>
      <c r="N3225" s="12"/>
      <c r="O3225" s="12"/>
    </row>
    <row r="3226" spans="2:15" x14ac:dyDescent="0.3">
      <c r="B3226" s="10"/>
      <c r="I3226" s="11"/>
      <c r="K3226" s="12"/>
      <c r="L3226" s="12"/>
      <c r="M3226" s="12"/>
      <c r="N3226" s="12"/>
      <c r="O3226" s="12"/>
    </row>
    <row r="3227" spans="2:15" x14ac:dyDescent="0.3">
      <c r="B3227" s="10"/>
      <c r="I3227" s="11"/>
      <c r="K3227" s="12"/>
      <c r="L3227" s="12"/>
      <c r="M3227" s="12"/>
      <c r="N3227" s="12"/>
      <c r="O3227" s="12"/>
    </row>
    <row r="3228" spans="2:15" x14ac:dyDescent="0.3">
      <c r="B3228" s="10"/>
      <c r="I3228" s="11"/>
      <c r="K3228" s="12"/>
      <c r="L3228" s="12"/>
      <c r="M3228" s="12"/>
      <c r="N3228" s="12"/>
      <c r="O3228" s="12"/>
    </row>
    <row r="3229" spans="2:15" x14ac:dyDescent="0.3">
      <c r="B3229" s="10"/>
      <c r="I3229" s="11"/>
      <c r="K3229" s="12"/>
      <c r="L3229" s="12"/>
      <c r="M3229" s="12"/>
      <c r="N3229" s="12"/>
      <c r="O3229" s="12"/>
    </row>
    <row r="3230" spans="2:15" x14ac:dyDescent="0.3">
      <c r="B3230" s="10"/>
      <c r="I3230" s="11"/>
      <c r="K3230" s="12"/>
      <c r="L3230" s="12"/>
      <c r="M3230" s="12"/>
      <c r="N3230" s="12"/>
      <c r="O3230" s="12"/>
    </row>
    <row r="3231" spans="2:15" x14ac:dyDescent="0.3">
      <c r="B3231" s="10"/>
      <c r="I3231" s="11"/>
      <c r="K3231" s="12"/>
      <c r="L3231" s="12"/>
      <c r="M3231" s="12"/>
      <c r="N3231" s="12"/>
      <c r="O3231" s="12"/>
    </row>
    <row r="3232" spans="2:15" x14ac:dyDescent="0.3">
      <c r="B3232" s="10"/>
      <c r="I3232" s="11"/>
      <c r="K3232" s="12"/>
      <c r="L3232" s="12"/>
      <c r="M3232" s="12"/>
      <c r="N3232" s="12"/>
      <c r="O3232" s="12"/>
    </row>
    <row r="3233" spans="2:15" x14ac:dyDescent="0.3">
      <c r="B3233" s="10"/>
      <c r="I3233" s="11"/>
      <c r="K3233" s="12"/>
      <c r="L3233" s="12"/>
      <c r="M3233" s="12"/>
      <c r="N3233" s="12"/>
      <c r="O3233" s="12"/>
    </row>
    <row r="3234" spans="2:15" x14ac:dyDescent="0.3">
      <c r="B3234" s="10"/>
      <c r="I3234" s="11"/>
      <c r="K3234" s="12"/>
      <c r="L3234" s="12"/>
      <c r="M3234" s="12"/>
      <c r="N3234" s="12"/>
      <c r="O3234" s="12"/>
    </row>
    <row r="3235" spans="2:15" x14ac:dyDescent="0.3">
      <c r="B3235" s="10"/>
      <c r="I3235" s="11"/>
      <c r="K3235" s="12"/>
      <c r="L3235" s="12"/>
      <c r="M3235" s="12"/>
      <c r="N3235" s="12"/>
      <c r="O3235" s="12"/>
    </row>
    <row r="3236" spans="2:15" x14ac:dyDescent="0.3">
      <c r="B3236" s="10"/>
      <c r="I3236" s="11"/>
      <c r="K3236" s="12"/>
      <c r="L3236" s="12"/>
      <c r="M3236" s="12"/>
      <c r="N3236" s="12"/>
      <c r="O3236" s="12"/>
    </row>
    <row r="3237" spans="2:15" x14ac:dyDescent="0.3">
      <c r="B3237" s="10"/>
      <c r="I3237" s="11"/>
      <c r="K3237" s="12"/>
      <c r="L3237" s="12"/>
      <c r="M3237" s="12"/>
      <c r="N3237" s="12"/>
      <c r="O3237" s="12"/>
    </row>
    <row r="3238" spans="2:15" x14ac:dyDescent="0.3">
      <c r="B3238" s="10"/>
      <c r="I3238" s="11"/>
      <c r="K3238" s="12"/>
      <c r="L3238" s="12"/>
      <c r="M3238" s="12"/>
      <c r="N3238" s="12"/>
      <c r="O3238" s="12"/>
    </row>
    <row r="3239" spans="2:15" x14ac:dyDescent="0.3">
      <c r="B3239" s="10"/>
      <c r="I3239" s="11"/>
      <c r="K3239" s="12"/>
      <c r="L3239" s="12"/>
      <c r="M3239" s="12"/>
      <c r="N3239" s="12"/>
      <c r="O3239" s="12"/>
    </row>
    <row r="3240" spans="2:15" x14ac:dyDescent="0.3">
      <c r="B3240" s="10"/>
      <c r="I3240" s="11"/>
      <c r="K3240" s="12"/>
      <c r="L3240" s="12"/>
      <c r="M3240" s="12"/>
      <c r="N3240" s="12"/>
      <c r="O3240" s="12"/>
    </row>
    <row r="3241" spans="2:15" x14ac:dyDescent="0.3">
      <c r="B3241" s="10"/>
      <c r="I3241" s="11"/>
      <c r="K3241" s="12"/>
      <c r="L3241" s="12"/>
      <c r="M3241" s="12"/>
      <c r="N3241" s="12"/>
      <c r="O3241" s="12"/>
    </row>
    <row r="3242" spans="2:15" x14ac:dyDescent="0.3">
      <c r="B3242" s="10"/>
      <c r="I3242" s="11"/>
      <c r="K3242" s="12"/>
      <c r="L3242" s="12"/>
      <c r="M3242" s="12"/>
      <c r="N3242" s="12"/>
      <c r="O3242" s="12"/>
    </row>
    <row r="3243" spans="2:15" x14ac:dyDescent="0.3">
      <c r="B3243" s="10"/>
      <c r="I3243" s="11"/>
      <c r="K3243" s="12"/>
      <c r="L3243" s="12"/>
      <c r="M3243" s="12"/>
      <c r="N3243" s="12"/>
      <c r="O3243" s="12"/>
    </row>
    <row r="3244" spans="2:15" x14ac:dyDescent="0.3">
      <c r="B3244" s="10"/>
      <c r="I3244" s="11"/>
      <c r="K3244" s="12"/>
      <c r="L3244" s="12"/>
      <c r="M3244" s="12"/>
      <c r="N3244" s="12"/>
      <c r="O3244" s="12"/>
    </row>
    <row r="3245" spans="2:15" x14ac:dyDescent="0.3">
      <c r="B3245" s="10"/>
      <c r="I3245" s="11"/>
      <c r="K3245" s="12"/>
      <c r="L3245" s="12"/>
      <c r="M3245" s="12"/>
      <c r="N3245" s="12"/>
      <c r="O3245" s="12"/>
    </row>
    <row r="3246" spans="2:15" x14ac:dyDescent="0.3">
      <c r="B3246" s="10"/>
      <c r="I3246" s="11"/>
      <c r="K3246" s="12"/>
      <c r="L3246" s="12"/>
      <c r="M3246" s="12"/>
      <c r="N3246" s="12"/>
      <c r="O3246" s="12"/>
    </row>
    <row r="3247" spans="2:15" x14ac:dyDescent="0.3">
      <c r="B3247" s="10"/>
      <c r="I3247" s="11"/>
      <c r="K3247" s="12"/>
      <c r="L3247" s="12"/>
      <c r="M3247" s="12"/>
      <c r="N3247" s="12"/>
      <c r="O3247" s="12"/>
    </row>
    <row r="3248" spans="2:15" x14ac:dyDescent="0.3">
      <c r="B3248" s="10"/>
      <c r="I3248" s="11"/>
      <c r="K3248" s="12"/>
      <c r="L3248" s="12"/>
      <c r="M3248" s="12"/>
      <c r="N3248" s="12"/>
      <c r="O3248" s="12"/>
    </row>
    <row r="3249" spans="2:15" x14ac:dyDescent="0.3">
      <c r="B3249" s="10"/>
      <c r="I3249" s="11"/>
      <c r="K3249" s="12"/>
      <c r="L3249" s="12"/>
      <c r="M3249" s="12"/>
      <c r="N3249" s="12"/>
      <c r="O3249" s="12"/>
    </row>
    <row r="3250" spans="2:15" x14ac:dyDescent="0.3">
      <c r="B3250" s="10"/>
      <c r="I3250" s="11"/>
      <c r="K3250" s="12"/>
      <c r="L3250" s="12"/>
      <c r="M3250" s="12"/>
      <c r="N3250" s="12"/>
      <c r="O3250" s="12"/>
    </row>
    <row r="3251" spans="2:15" x14ac:dyDescent="0.3">
      <c r="B3251" s="10"/>
      <c r="I3251" s="11"/>
      <c r="K3251" s="12"/>
      <c r="L3251" s="12"/>
      <c r="M3251" s="12"/>
      <c r="N3251" s="12"/>
      <c r="O3251" s="12"/>
    </row>
    <row r="3252" spans="2:15" x14ac:dyDescent="0.3">
      <c r="B3252" s="10"/>
      <c r="I3252" s="11"/>
      <c r="K3252" s="12"/>
      <c r="L3252" s="12"/>
      <c r="M3252" s="12"/>
      <c r="N3252" s="12"/>
      <c r="O3252" s="12"/>
    </row>
    <row r="3253" spans="2:15" x14ac:dyDescent="0.3">
      <c r="B3253" s="10"/>
      <c r="I3253" s="11"/>
      <c r="K3253" s="12"/>
      <c r="L3253" s="12"/>
      <c r="M3253" s="12"/>
      <c r="N3253" s="12"/>
      <c r="O3253" s="12"/>
    </row>
    <row r="3254" spans="2:15" x14ac:dyDescent="0.3">
      <c r="B3254" s="10"/>
      <c r="I3254" s="11"/>
      <c r="K3254" s="12"/>
      <c r="L3254" s="12"/>
      <c r="M3254" s="12"/>
      <c r="N3254" s="12"/>
      <c r="O3254" s="12"/>
    </row>
    <row r="3255" spans="2:15" x14ac:dyDescent="0.3">
      <c r="B3255" s="10"/>
      <c r="I3255" s="11"/>
      <c r="K3255" s="12"/>
      <c r="L3255" s="12"/>
      <c r="M3255" s="12"/>
      <c r="N3255" s="12"/>
      <c r="O3255" s="12"/>
    </row>
    <row r="3256" spans="2:15" x14ac:dyDescent="0.3">
      <c r="B3256" s="10"/>
      <c r="I3256" s="11"/>
      <c r="K3256" s="12"/>
      <c r="L3256" s="12"/>
      <c r="M3256" s="12"/>
      <c r="N3256" s="12"/>
      <c r="O3256" s="12"/>
    </row>
    <row r="3257" spans="2:15" x14ac:dyDescent="0.3">
      <c r="B3257" s="10"/>
      <c r="I3257" s="11"/>
      <c r="K3257" s="12"/>
      <c r="L3257" s="12"/>
      <c r="M3257" s="12"/>
      <c r="N3257" s="12"/>
      <c r="O3257" s="12"/>
    </row>
    <row r="3258" spans="2:15" x14ac:dyDescent="0.3">
      <c r="B3258" s="10"/>
      <c r="I3258" s="11"/>
      <c r="K3258" s="12"/>
      <c r="L3258" s="12"/>
      <c r="M3258" s="12"/>
      <c r="N3258" s="12"/>
      <c r="O3258" s="12"/>
    </row>
    <row r="3259" spans="2:15" x14ac:dyDescent="0.3">
      <c r="B3259" s="10"/>
      <c r="I3259" s="11"/>
      <c r="K3259" s="12"/>
      <c r="L3259" s="12"/>
      <c r="M3259" s="12"/>
      <c r="N3259" s="12"/>
      <c r="O3259" s="12"/>
    </row>
    <row r="3260" spans="2:15" x14ac:dyDescent="0.3">
      <c r="B3260" s="10"/>
      <c r="I3260" s="11"/>
      <c r="K3260" s="12"/>
      <c r="L3260" s="12"/>
      <c r="M3260" s="12"/>
      <c r="N3260" s="12"/>
      <c r="O3260" s="12"/>
    </row>
    <row r="3261" spans="2:15" x14ac:dyDescent="0.3">
      <c r="B3261" s="10"/>
      <c r="I3261" s="11"/>
      <c r="K3261" s="12"/>
      <c r="L3261" s="12"/>
      <c r="M3261" s="12"/>
      <c r="N3261" s="12"/>
      <c r="O3261" s="12"/>
    </row>
    <row r="3262" spans="2:15" x14ac:dyDescent="0.3">
      <c r="B3262" s="10"/>
      <c r="I3262" s="11"/>
      <c r="K3262" s="12"/>
      <c r="L3262" s="12"/>
      <c r="M3262" s="12"/>
      <c r="N3262" s="12"/>
      <c r="O3262" s="12"/>
    </row>
    <row r="3263" spans="2:15" x14ac:dyDescent="0.3">
      <c r="B3263" s="10"/>
      <c r="I3263" s="11"/>
      <c r="K3263" s="12"/>
      <c r="L3263" s="12"/>
      <c r="M3263" s="12"/>
      <c r="N3263" s="12"/>
      <c r="O3263" s="12"/>
    </row>
    <row r="3264" spans="2:15" x14ac:dyDescent="0.3">
      <c r="B3264" s="10"/>
      <c r="I3264" s="11"/>
      <c r="K3264" s="12"/>
      <c r="L3264" s="12"/>
      <c r="M3264" s="12"/>
      <c r="N3264" s="12"/>
      <c r="O3264" s="12"/>
    </row>
    <row r="3265" spans="2:15" x14ac:dyDescent="0.3">
      <c r="B3265" s="10"/>
      <c r="I3265" s="11"/>
      <c r="K3265" s="12"/>
      <c r="L3265" s="12"/>
      <c r="M3265" s="12"/>
      <c r="N3265" s="12"/>
      <c r="O3265" s="12"/>
    </row>
    <row r="3266" spans="2:15" x14ac:dyDescent="0.3">
      <c r="B3266" s="10"/>
      <c r="I3266" s="11"/>
      <c r="K3266" s="12"/>
      <c r="L3266" s="12"/>
      <c r="M3266" s="12"/>
      <c r="N3266" s="12"/>
      <c r="O3266" s="12"/>
    </row>
    <row r="3267" spans="2:15" x14ac:dyDescent="0.3">
      <c r="B3267" s="10"/>
      <c r="I3267" s="11"/>
      <c r="K3267" s="12"/>
      <c r="L3267" s="12"/>
      <c r="M3267" s="12"/>
      <c r="N3267" s="12"/>
      <c r="O3267" s="12"/>
    </row>
    <row r="3268" spans="2:15" x14ac:dyDescent="0.3">
      <c r="B3268" s="10"/>
      <c r="I3268" s="11"/>
      <c r="K3268" s="12"/>
      <c r="L3268" s="12"/>
      <c r="M3268" s="12"/>
      <c r="N3268" s="12"/>
      <c r="O3268" s="12"/>
    </row>
    <row r="3269" spans="2:15" x14ac:dyDescent="0.3">
      <c r="B3269" s="10"/>
      <c r="I3269" s="11"/>
      <c r="K3269" s="12"/>
      <c r="L3269" s="12"/>
      <c r="M3269" s="12"/>
      <c r="N3269" s="12"/>
      <c r="O3269" s="12"/>
    </row>
    <row r="3270" spans="2:15" x14ac:dyDescent="0.3">
      <c r="B3270" s="10"/>
      <c r="I3270" s="11"/>
      <c r="K3270" s="12"/>
      <c r="L3270" s="12"/>
      <c r="M3270" s="12"/>
      <c r="N3270" s="12"/>
      <c r="O3270" s="12"/>
    </row>
    <row r="3271" spans="2:15" x14ac:dyDescent="0.3">
      <c r="B3271" s="10"/>
      <c r="I3271" s="11"/>
      <c r="K3271" s="12"/>
      <c r="L3271" s="12"/>
      <c r="M3271" s="12"/>
      <c r="N3271" s="12"/>
      <c r="O3271" s="12"/>
    </row>
    <row r="3272" spans="2:15" x14ac:dyDescent="0.3">
      <c r="B3272" s="10"/>
      <c r="I3272" s="11"/>
      <c r="K3272" s="12"/>
      <c r="L3272" s="12"/>
      <c r="M3272" s="12"/>
      <c r="N3272" s="12"/>
      <c r="O3272" s="12"/>
    </row>
    <row r="3273" spans="2:15" x14ac:dyDescent="0.3">
      <c r="B3273" s="10"/>
      <c r="I3273" s="11"/>
      <c r="K3273" s="12"/>
      <c r="L3273" s="12"/>
      <c r="M3273" s="12"/>
      <c r="N3273" s="12"/>
      <c r="O3273" s="12"/>
    </row>
    <row r="3274" spans="2:15" x14ac:dyDescent="0.3">
      <c r="B3274" s="10"/>
      <c r="I3274" s="11"/>
      <c r="K3274" s="12"/>
      <c r="L3274" s="12"/>
      <c r="M3274" s="12"/>
      <c r="N3274" s="12"/>
      <c r="O3274" s="12"/>
    </row>
    <row r="3275" spans="2:15" x14ac:dyDescent="0.3">
      <c r="B3275" s="10"/>
      <c r="I3275" s="11"/>
      <c r="K3275" s="12"/>
      <c r="L3275" s="12"/>
      <c r="M3275" s="12"/>
      <c r="N3275" s="12"/>
      <c r="O3275" s="12"/>
    </row>
    <row r="3276" spans="2:15" x14ac:dyDescent="0.3">
      <c r="B3276" s="10"/>
      <c r="I3276" s="11"/>
      <c r="K3276" s="12"/>
      <c r="L3276" s="12"/>
      <c r="M3276" s="12"/>
      <c r="N3276" s="12"/>
      <c r="O3276" s="12"/>
    </row>
    <row r="3277" spans="2:15" x14ac:dyDescent="0.3">
      <c r="B3277" s="10"/>
      <c r="I3277" s="11"/>
      <c r="K3277" s="12"/>
      <c r="L3277" s="12"/>
      <c r="M3277" s="12"/>
      <c r="N3277" s="12"/>
      <c r="O3277" s="12"/>
    </row>
    <row r="3278" spans="2:15" x14ac:dyDescent="0.3">
      <c r="B3278" s="10"/>
      <c r="I3278" s="11"/>
      <c r="K3278" s="12"/>
      <c r="L3278" s="12"/>
      <c r="M3278" s="12"/>
      <c r="N3278" s="12"/>
      <c r="O3278" s="12"/>
    </row>
    <row r="3279" spans="2:15" x14ac:dyDescent="0.3">
      <c r="B3279" s="10"/>
      <c r="I3279" s="11"/>
      <c r="K3279" s="12"/>
      <c r="L3279" s="12"/>
      <c r="M3279" s="12"/>
      <c r="N3279" s="12"/>
      <c r="O3279" s="12"/>
    </row>
    <row r="3280" spans="2:15" x14ac:dyDescent="0.3">
      <c r="B3280" s="10"/>
      <c r="I3280" s="11"/>
      <c r="K3280" s="12"/>
      <c r="L3280" s="12"/>
      <c r="M3280" s="12"/>
      <c r="N3280" s="12"/>
      <c r="O3280" s="12"/>
    </row>
    <row r="3281" spans="2:15" x14ac:dyDescent="0.3">
      <c r="B3281" s="10"/>
      <c r="I3281" s="11"/>
      <c r="K3281" s="12"/>
      <c r="L3281" s="12"/>
      <c r="M3281" s="12"/>
      <c r="N3281" s="12"/>
      <c r="O3281" s="12"/>
    </row>
    <row r="3282" spans="2:15" x14ac:dyDescent="0.3">
      <c r="B3282" s="10"/>
      <c r="I3282" s="11"/>
      <c r="K3282" s="12"/>
      <c r="L3282" s="12"/>
      <c r="M3282" s="12"/>
      <c r="N3282" s="12"/>
      <c r="O3282" s="12"/>
    </row>
    <row r="3283" spans="2:15" x14ac:dyDescent="0.3">
      <c r="B3283" s="10"/>
      <c r="I3283" s="11"/>
      <c r="K3283" s="12"/>
      <c r="L3283" s="12"/>
      <c r="M3283" s="12"/>
      <c r="N3283" s="12"/>
      <c r="O3283" s="12"/>
    </row>
    <row r="3284" spans="2:15" x14ac:dyDescent="0.3">
      <c r="B3284" s="10"/>
      <c r="I3284" s="11"/>
      <c r="K3284" s="12"/>
      <c r="L3284" s="12"/>
      <c r="M3284" s="12"/>
      <c r="N3284" s="12"/>
      <c r="O3284" s="12"/>
    </row>
    <row r="3285" spans="2:15" x14ac:dyDescent="0.3">
      <c r="B3285" s="10"/>
      <c r="I3285" s="11"/>
      <c r="K3285" s="12"/>
      <c r="L3285" s="12"/>
      <c r="M3285" s="12"/>
      <c r="N3285" s="12"/>
      <c r="O3285" s="12"/>
    </row>
    <row r="3286" spans="2:15" x14ac:dyDescent="0.3">
      <c r="B3286" s="10"/>
      <c r="I3286" s="11"/>
      <c r="K3286" s="12"/>
      <c r="L3286" s="12"/>
      <c r="M3286" s="12"/>
      <c r="N3286" s="12"/>
      <c r="O3286" s="12"/>
    </row>
    <row r="3287" spans="2:15" x14ac:dyDescent="0.3">
      <c r="B3287" s="10"/>
      <c r="I3287" s="11"/>
      <c r="K3287" s="12"/>
      <c r="L3287" s="12"/>
      <c r="M3287" s="12"/>
      <c r="N3287" s="12"/>
      <c r="O3287" s="12"/>
    </row>
    <row r="3288" spans="2:15" x14ac:dyDescent="0.3">
      <c r="B3288" s="10"/>
      <c r="I3288" s="11"/>
      <c r="K3288" s="12"/>
      <c r="L3288" s="12"/>
      <c r="M3288" s="12"/>
      <c r="N3288" s="12"/>
      <c r="O3288" s="12"/>
    </row>
    <row r="3289" spans="2:15" x14ac:dyDescent="0.3">
      <c r="B3289" s="10"/>
      <c r="I3289" s="11"/>
      <c r="K3289" s="12"/>
      <c r="L3289" s="12"/>
      <c r="M3289" s="12"/>
      <c r="N3289" s="12"/>
      <c r="O3289" s="12"/>
    </row>
    <row r="3290" spans="2:15" x14ac:dyDescent="0.3">
      <c r="B3290" s="10"/>
      <c r="I3290" s="11"/>
      <c r="K3290" s="12"/>
      <c r="L3290" s="12"/>
      <c r="M3290" s="12"/>
      <c r="N3290" s="12"/>
      <c r="O3290" s="12"/>
    </row>
    <row r="3291" spans="2:15" x14ac:dyDescent="0.3">
      <c r="B3291" s="10"/>
      <c r="I3291" s="11"/>
      <c r="K3291" s="12"/>
      <c r="L3291" s="12"/>
      <c r="M3291" s="12"/>
      <c r="N3291" s="12"/>
      <c r="O3291" s="12"/>
    </row>
    <row r="3292" spans="2:15" x14ac:dyDescent="0.3">
      <c r="B3292" s="10"/>
      <c r="I3292" s="11"/>
      <c r="K3292" s="12"/>
      <c r="L3292" s="12"/>
      <c r="M3292" s="12"/>
      <c r="N3292" s="12"/>
      <c r="O3292" s="12"/>
    </row>
    <row r="3293" spans="2:15" x14ac:dyDescent="0.3">
      <c r="B3293" s="10"/>
      <c r="I3293" s="11"/>
      <c r="K3293" s="12"/>
      <c r="L3293" s="12"/>
      <c r="M3293" s="12"/>
      <c r="N3293" s="12"/>
      <c r="O3293" s="12"/>
    </row>
    <row r="3294" spans="2:15" x14ac:dyDescent="0.3">
      <c r="B3294" s="10"/>
      <c r="I3294" s="11"/>
      <c r="K3294" s="12"/>
      <c r="L3294" s="12"/>
      <c r="M3294" s="12"/>
      <c r="N3294" s="12"/>
      <c r="O3294" s="12"/>
    </row>
    <row r="3295" spans="2:15" x14ac:dyDescent="0.3">
      <c r="B3295" s="10"/>
      <c r="I3295" s="11"/>
      <c r="K3295" s="12"/>
      <c r="L3295" s="12"/>
      <c r="M3295" s="12"/>
      <c r="N3295" s="12"/>
      <c r="O3295" s="12"/>
    </row>
    <row r="3296" spans="2:15" x14ac:dyDescent="0.3">
      <c r="B3296" s="10"/>
      <c r="I3296" s="11"/>
      <c r="K3296" s="12"/>
      <c r="L3296" s="12"/>
      <c r="M3296" s="12"/>
      <c r="N3296" s="12"/>
      <c r="O3296" s="12"/>
    </row>
    <row r="3297" spans="2:15" x14ac:dyDescent="0.3">
      <c r="B3297" s="10"/>
      <c r="I3297" s="11"/>
      <c r="K3297" s="12"/>
      <c r="L3297" s="12"/>
      <c r="M3297" s="12"/>
      <c r="N3297" s="12"/>
      <c r="O3297" s="12"/>
    </row>
    <row r="3298" spans="2:15" x14ac:dyDescent="0.3">
      <c r="B3298" s="10"/>
      <c r="I3298" s="11"/>
      <c r="K3298" s="12"/>
      <c r="L3298" s="12"/>
      <c r="M3298" s="12"/>
      <c r="N3298" s="12"/>
      <c r="O3298" s="12"/>
    </row>
    <row r="3299" spans="2:15" x14ac:dyDescent="0.3">
      <c r="B3299" s="10"/>
      <c r="I3299" s="11"/>
      <c r="K3299" s="12"/>
      <c r="L3299" s="12"/>
      <c r="M3299" s="12"/>
      <c r="N3299" s="12"/>
      <c r="O3299" s="12"/>
    </row>
    <row r="3300" spans="2:15" x14ac:dyDescent="0.3">
      <c r="B3300" s="10"/>
      <c r="I3300" s="11"/>
      <c r="K3300" s="12"/>
      <c r="L3300" s="12"/>
      <c r="M3300" s="12"/>
      <c r="N3300" s="12"/>
      <c r="O3300" s="12"/>
    </row>
    <row r="3301" spans="2:15" x14ac:dyDescent="0.3">
      <c r="B3301" s="10"/>
      <c r="I3301" s="11"/>
      <c r="K3301" s="12"/>
      <c r="L3301" s="12"/>
      <c r="M3301" s="12"/>
      <c r="N3301" s="12"/>
      <c r="O3301" s="12"/>
    </row>
    <row r="3302" spans="2:15" x14ac:dyDescent="0.3">
      <c r="B3302" s="10"/>
      <c r="I3302" s="11"/>
      <c r="K3302" s="12"/>
      <c r="L3302" s="12"/>
      <c r="M3302" s="12"/>
      <c r="N3302" s="12"/>
      <c r="O3302" s="12"/>
    </row>
    <row r="3303" spans="2:15" x14ac:dyDescent="0.3">
      <c r="B3303" s="10"/>
      <c r="I3303" s="11"/>
      <c r="K3303" s="12"/>
      <c r="L3303" s="12"/>
      <c r="M3303" s="12"/>
      <c r="N3303" s="12"/>
      <c r="O3303" s="12"/>
    </row>
    <row r="3304" spans="2:15" x14ac:dyDescent="0.3">
      <c r="B3304" s="10"/>
      <c r="I3304" s="11"/>
      <c r="K3304" s="12"/>
      <c r="L3304" s="12"/>
      <c r="M3304" s="12"/>
      <c r="N3304" s="12"/>
      <c r="O3304" s="12"/>
    </row>
    <row r="3305" spans="2:15" x14ac:dyDescent="0.3">
      <c r="B3305" s="10"/>
      <c r="I3305" s="11"/>
      <c r="K3305" s="12"/>
      <c r="L3305" s="12"/>
      <c r="M3305" s="12"/>
      <c r="N3305" s="12"/>
      <c r="O3305" s="12"/>
    </row>
    <row r="3306" spans="2:15" x14ac:dyDescent="0.3">
      <c r="B3306" s="10"/>
      <c r="I3306" s="11"/>
      <c r="K3306" s="12"/>
      <c r="L3306" s="12"/>
      <c r="M3306" s="12"/>
      <c r="N3306" s="12"/>
      <c r="O3306" s="12"/>
    </row>
    <row r="3307" spans="2:15" x14ac:dyDescent="0.3">
      <c r="B3307" s="10"/>
      <c r="I3307" s="11"/>
      <c r="K3307" s="12"/>
      <c r="L3307" s="12"/>
      <c r="M3307" s="12"/>
      <c r="N3307" s="12"/>
      <c r="O3307" s="12"/>
    </row>
    <row r="3308" spans="2:15" x14ac:dyDescent="0.3">
      <c r="B3308" s="10"/>
      <c r="I3308" s="11"/>
      <c r="K3308" s="12"/>
      <c r="L3308" s="12"/>
      <c r="M3308" s="12"/>
      <c r="N3308" s="12"/>
      <c r="O3308" s="12"/>
    </row>
    <row r="3309" spans="2:15" x14ac:dyDescent="0.3">
      <c r="B3309" s="10"/>
      <c r="I3309" s="11"/>
      <c r="K3309" s="12"/>
      <c r="L3309" s="12"/>
      <c r="M3309" s="12"/>
      <c r="N3309" s="12"/>
      <c r="O3309" s="12"/>
    </row>
    <row r="3310" spans="2:15" x14ac:dyDescent="0.3">
      <c r="B3310" s="10"/>
      <c r="I3310" s="11"/>
      <c r="K3310" s="12"/>
      <c r="L3310" s="12"/>
      <c r="M3310" s="12"/>
      <c r="N3310" s="12"/>
      <c r="O3310" s="12"/>
    </row>
    <row r="3311" spans="2:15" x14ac:dyDescent="0.3">
      <c r="B3311" s="10"/>
      <c r="I3311" s="11"/>
      <c r="K3311" s="12"/>
      <c r="L3311" s="12"/>
      <c r="M3311" s="12"/>
      <c r="N3311" s="12"/>
      <c r="O3311" s="12"/>
    </row>
    <row r="3312" spans="2:15" x14ac:dyDescent="0.3">
      <c r="B3312" s="10"/>
      <c r="I3312" s="11"/>
      <c r="K3312" s="12"/>
      <c r="L3312" s="12"/>
      <c r="M3312" s="12"/>
      <c r="N3312" s="12"/>
      <c r="O3312" s="12"/>
    </row>
    <row r="3313" spans="2:15" x14ac:dyDescent="0.3">
      <c r="B3313" s="10"/>
      <c r="I3313" s="11"/>
      <c r="K3313" s="12"/>
      <c r="L3313" s="12"/>
      <c r="M3313" s="12"/>
      <c r="N3313" s="12"/>
      <c r="O3313" s="12"/>
    </row>
    <row r="3314" spans="2:15" x14ac:dyDescent="0.3">
      <c r="B3314" s="10"/>
      <c r="I3314" s="11"/>
      <c r="K3314" s="12"/>
      <c r="L3314" s="12"/>
      <c r="M3314" s="12"/>
      <c r="N3314" s="12"/>
      <c r="O3314" s="12"/>
    </row>
    <row r="3315" spans="2:15" x14ac:dyDescent="0.3">
      <c r="B3315" s="10"/>
      <c r="I3315" s="11"/>
      <c r="K3315" s="12"/>
      <c r="L3315" s="12"/>
      <c r="M3315" s="12"/>
      <c r="N3315" s="12"/>
      <c r="O3315" s="12"/>
    </row>
    <row r="3316" spans="2:15" x14ac:dyDescent="0.3">
      <c r="B3316" s="10"/>
      <c r="I3316" s="11"/>
      <c r="K3316" s="12"/>
      <c r="L3316" s="12"/>
      <c r="M3316" s="12"/>
      <c r="N3316" s="12"/>
      <c r="O3316" s="12"/>
    </row>
    <row r="3317" spans="2:15" x14ac:dyDescent="0.3">
      <c r="B3317" s="10"/>
      <c r="I3317" s="11"/>
      <c r="K3317" s="12"/>
      <c r="L3317" s="12"/>
      <c r="M3317" s="12"/>
      <c r="N3317" s="12"/>
      <c r="O3317" s="12"/>
    </row>
    <row r="3318" spans="2:15" x14ac:dyDescent="0.3">
      <c r="B3318" s="10"/>
      <c r="I3318" s="11"/>
      <c r="K3318" s="12"/>
      <c r="L3318" s="12"/>
      <c r="M3318" s="12"/>
      <c r="N3318" s="12"/>
      <c r="O3318" s="12"/>
    </row>
    <row r="3319" spans="2:15" x14ac:dyDescent="0.3">
      <c r="B3319" s="10"/>
      <c r="I3319" s="11"/>
      <c r="K3319" s="12"/>
      <c r="L3319" s="12"/>
      <c r="M3319" s="12"/>
      <c r="N3319" s="12"/>
      <c r="O3319" s="12"/>
    </row>
    <row r="3320" spans="2:15" x14ac:dyDescent="0.3">
      <c r="B3320" s="10"/>
      <c r="I3320" s="11"/>
      <c r="K3320" s="12"/>
      <c r="L3320" s="12"/>
      <c r="M3320" s="12"/>
      <c r="N3320" s="12"/>
      <c r="O3320" s="12"/>
    </row>
    <row r="3321" spans="2:15" x14ac:dyDescent="0.3">
      <c r="B3321" s="10"/>
      <c r="I3321" s="11"/>
      <c r="K3321" s="12"/>
      <c r="L3321" s="12"/>
      <c r="M3321" s="12"/>
      <c r="N3321" s="12"/>
      <c r="O3321" s="12"/>
    </row>
    <row r="3322" spans="2:15" x14ac:dyDescent="0.3">
      <c r="B3322" s="10"/>
      <c r="I3322" s="11"/>
      <c r="K3322" s="12"/>
      <c r="L3322" s="12"/>
      <c r="M3322" s="12"/>
      <c r="N3322" s="12"/>
      <c r="O3322" s="12"/>
    </row>
    <row r="3323" spans="2:15" x14ac:dyDescent="0.3">
      <c r="B3323" s="10"/>
      <c r="I3323" s="11"/>
      <c r="K3323" s="12"/>
      <c r="L3323" s="12"/>
      <c r="M3323" s="12"/>
      <c r="N3323" s="12"/>
      <c r="O3323" s="12"/>
    </row>
    <row r="3324" spans="2:15" x14ac:dyDescent="0.3">
      <c r="B3324" s="10"/>
      <c r="I3324" s="11"/>
      <c r="K3324" s="12"/>
      <c r="L3324" s="12"/>
      <c r="M3324" s="12"/>
      <c r="N3324" s="12"/>
      <c r="O3324" s="12"/>
    </row>
    <row r="3325" spans="2:15" x14ac:dyDescent="0.3">
      <c r="B3325" s="10"/>
      <c r="I3325" s="11"/>
      <c r="K3325" s="12"/>
      <c r="L3325" s="12"/>
      <c r="M3325" s="12"/>
      <c r="N3325" s="12"/>
      <c r="O3325" s="12"/>
    </row>
    <row r="3326" spans="2:15" x14ac:dyDescent="0.3">
      <c r="B3326" s="10"/>
      <c r="I3326" s="11"/>
      <c r="K3326" s="12"/>
      <c r="L3326" s="12"/>
      <c r="M3326" s="12"/>
      <c r="N3326" s="12"/>
      <c r="O3326" s="12"/>
    </row>
    <row r="3327" spans="2:15" x14ac:dyDescent="0.3">
      <c r="B3327" s="10"/>
      <c r="I3327" s="11"/>
      <c r="K3327" s="12"/>
      <c r="L3327" s="12"/>
      <c r="M3327" s="12"/>
      <c r="N3327" s="12"/>
      <c r="O3327" s="12"/>
    </row>
    <row r="3328" spans="2:15" x14ac:dyDescent="0.3">
      <c r="B3328" s="10"/>
      <c r="I3328" s="11"/>
      <c r="K3328" s="12"/>
      <c r="L3328" s="12"/>
      <c r="M3328" s="12"/>
      <c r="N3328" s="12"/>
      <c r="O3328" s="12"/>
    </row>
    <row r="3329" spans="2:15" x14ac:dyDescent="0.3">
      <c r="B3329" s="10"/>
      <c r="I3329" s="11"/>
      <c r="K3329" s="12"/>
      <c r="L3329" s="12"/>
      <c r="M3329" s="12"/>
      <c r="N3329" s="12"/>
      <c r="O3329" s="12"/>
    </row>
    <row r="3330" spans="2:15" x14ac:dyDescent="0.3">
      <c r="B3330" s="10"/>
      <c r="I3330" s="11"/>
      <c r="K3330" s="12"/>
      <c r="L3330" s="12"/>
      <c r="M3330" s="12"/>
      <c r="N3330" s="12"/>
      <c r="O3330" s="12"/>
    </row>
    <row r="3331" spans="2:15" x14ac:dyDescent="0.3">
      <c r="B3331" s="10"/>
      <c r="I3331" s="11"/>
      <c r="K3331" s="12"/>
      <c r="L3331" s="12"/>
      <c r="M3331" s="12"/>
      <c r="N3331" s="12"/>
      <c r="O3331" s="12"/>
    </row>
    <row r="3332" spans="2:15" x14ac:dyDescent="0.3">
      <c r="B3332" s="10"/>
      <c r="I3332" s="11"/>
      <c r="K3332" s="12"/>
      <c r="L3332" s="12"/>
      <c r="M3332" s="12"/>
      <c r="N3332" s="12"/>
      <c r="O3332" s="12"/>
    </row>
    <row r="3333" spans="2:15" x14ac:dyDescent="0.3">
      <c r="B3333" s="10"/>
      <c r="I3333" s="11"/>
      <c r="K3333" s="12"/>
      <c r="L3333" s="12"/>
      <c r="M3333" s="12"/>
      <c r="N3333" s="12"/>
      <c r="O3333" s="12"/>
    </row>
    <row r="3334" spans="2:15" x14ac:dyDescent="0.3">
      <c r="B3334" s="10"/>
      <c r="I3334" s="11"/>
      <c r="K3334" s="12"/>
      <c r="L3334" s="12"/>
      <c r="M3334" s="12"/>
      <c r="N3334" s="12"/>
      <c r="O3334" s="12"/>
    </row>
    <row r="3335" spans="2:15" x14ac:dyDescent="0.3">
      <c r="B3335" s="10"/>
      <c r="I3335" s="11"/>
      <c r="K3335" s="12"/>
      <c r="L3335" s="12"/>
      <c r="M3335" s="12"/>
      <c r="N3335" s="12"/>
      <c r="O3335" s="12"/>
    </row>
    <row r="3336" spans="2:15" x14ac:dyDescent="0.3">
      <c r="B3336" s="10"/>
      <c r="I3336" s="11"/>
      <c r="K3336" s="12"/>
      <c r="L3336" s="12"/>
      <c r="M3336" s="12"/>
      <c r="N3336" s="12"/>
      <c r="O3336" s="12"/>
    </row>
    <row r="3337" spans="2:15" x14ac:dyDescent="0.3">
      <c r="B3337" s="10"/>
      <c r="I3337" s="11"/>
      <c r="K3337" s="12"/>
      <c r="L3337" s="12"/>
      <c r="M3337" s="12"/>
      <c r="N3337" s="12"/>
      <c r="O3337" s="12"/>
    </row>
    <row r="3338" spans="2:15" x14ac:dyDescent="0.3">
      <c r="B3338" s="10"/>
      <c r="I3338" s="11"/>
      <c r="K3338" s="12"/>
      <c r="L3338" s="12"/>
      <c r="M3338" s="12"/>
      <c r="N3338" s="12"/>
      <c r="O3338" s="12"/>
    </row>
    <row r="3339" spans="2:15" x14ac:dyDescent="0.3">
      <c r="B3339" s="10"/>
      <c r="I3339" s="11"/>
      <c r="K3339" s="12"/>
      <c r="L3339" s="12"/>
      <c r="M3339" s="12"/>
      <c r="N3339" s="12"/>
      <c r="O3339" s="12"/>
    </row>
    <row r="3340" spans="2:15" x14ac:dyDescent="0.3">
      <c r="B3340" s="10"/>
      <c r="I3340" s="11"/>
      <c r="K3340" s="12"/>
      <c r="L3340" s="12"/>
      <c r="M3340" s="12"/>
      <c r="N3340" s="12"/>
      <c r="O3340" s="12"/>
    </row>
    <row r="3341" spans="2:15" x14ac:dyDescent="0.3">
      <c r="B3341" s="10"/>
      <c r="I3341" s="11"/>
      <c r="K3341" s="12"/>
      <c r="L3341" s="12"/>
      <c r="M3341" s="12"/>
      <c r="N3341" s="12"/>
      <c r="O3341" s="12"/>
    </row>
    <row r="3342" spans="2:15" x14ac:dyDescent="0.3">
      <c r="B3342" s="10"/>
      <c r="I3342" s="11"/>
      <c r="K3342" s="12"/>
      <c r="L3342" s="12"/>
      <c r="M3342" s="12"/>
      <c r="N3342" s="12"/>
      <c r="O3342" s="12"/>
    </row>
    <row r="3343" spans="2:15" x14ac:dyDescent="0.3">
      <c r="B3343" s="10"/>
      <c r="I3343" s="11"/>
      <c r="K3343" s="12"/>
      <c r="L3343" s="12"/>
      <c r="M3343" s="12"/>
      <c r="N3343" s="12"/>
      <c r="O3343" s="12"/>
    </row>
    <row r="3344" spans="2:15" x14ac:dyDescent="0.3">
      <c r="B3344" s="10"/>
      <c r="I3344" s="11"/>
      <c r="K3344" s="12"/>
      <c r="L3344" s="12"/>
      <c r="M3344" s="12"/>
      <c r="N3344" s="12"/>
      <c r="O3344" s="12"/>
    </row>
    <row r="3345" spans="2:15" x14ac:dyDescent="0.3">
      <c r="B3345" s="10"/>
      <c r="I3345" s="11"/>
      <c r="K3345" s="12"/>
      <c r="L3345" s="12"/>
      <c r="M3345" s="12"/>
      <c r="N3345" s="12"/>
      <c r="O3345" s="12"/>
    </row>
    <row r="3346" spans="2:15" x14ac:dyDescent="0.3">
      <c r="B3346" s="10"/>
      <c r="I3346" s="11"/>
      <c r="K3346" s="12"/>
      <c r="L3346" s="12"/>
      <c r="M3346" s="12"/>
      <c r="N3346" s="12"/>
      <c r="O3346" s="12"/>
    </row>
    <row r="3347" spans="2:15" x14ac:dyDescent="0.3">
      <c r="B3347" s="10"/>
      <c r="I3347" s="11"/>
      <c r="K3347" s="12"/>
      <c r="L3347" s="12"/>
      <c r="M3347" s="12"/>
      <c r="N3347" s="12"/>
      <c r="O3347" s="12"/>
    </row>
    <row r="3348" spans="2:15" x14ac:dyDescent="0.3">
      <c r="B3348" s="10"/>
      <c r="I3348" s="11"/>
      <c r="K3348" s="12"/>
      <c r="L3348" s="12"/>
      <c r="M3348" s="12"/>
      <c r="N3348" s="12"/>
      <c r="O3348" s="12"/>
    </row>
    <row r="3349" spans="2:15" x14ac:dyDescent="0.3">
      <c r="B3349" s="10"/>
      <c r="I3349" s="11"/>
      <c r="K3349" s="12"/>
      <c r="L3349" s="12"/>
      <c r="M3349" s="12"/>
      <c r="N3349" s="12"/>
      <c r="O3349" s="12"/>
    </row>
    <row r="3350" spans="2:15" x14ac:dyDescent="0.3">
      <c r="B3350" s="10"/>
      <c r="I3350" s="11"/>
      <c r="K3350" s="12"/>
      <c r="L3350" s="12"/>
      <c r="M3350" s="12"/>
      <c r="N3350" s="12"/>
      <c r="O3350" s="12"/>
    </row>
    <row r="3351" spans="2:15" x14ac:dyDescent="0.3">
      <c r="B3351" s="10"/>
      <c r="I3351" s="11"/>
      <c r="K3351" s="12"/>
      <c r="L3351" s="12"/>
      <c r="M3351" s="12"/>
      <c r="N3351" s="12"/>
      <c r="O3351" s="12"/>
    </row>
    <row r="3352" spans="2:15" x14ac:dyDescent="0.3">
      <c r="B3352" s="10"/>
      <c r="I3352" s="11"/>
      <c r="K3352" s="12"/>
      <c r="L3352" s="12"/>
      <c r="M3352" s="12"/>
      <c r="N3352" s="12"/>
      <c r="O3352" s="12"/>
    </row>
    <row r="3353" spans="2:15" x14ac:dyDescent="0.3">
      <c r="B3353" s="10"/>
      <c r="I3353" s="11"/>
      <c r="K3353" s="12"/>
      <c r="L3353" s="12"/>
      <c r="M3353" s="12"/>
      <c r="N3353" s="12"/>
      <c r="O3353" s="12"/>
    </row>
    <row r="3354" spans="2:15" x14ac:dyDescent="0.3">
      <c r="B3354" s="10"/>
      <c r="I3354" s="11"/>
      <c r="K3354" s="12"/>
      <c r="L3354" s="12"/>
      <c r="M3354" s="12"/>
      <c r="N3354" s="12"/>
      <c r="O3354" s="12"/>
    </row>
    <row r="3355" spans="2:15" x14ac:dyDescent="0.3">
      <c r="B3355" s="10"/>
      <c r="I3355" s="11"/>
      <c r="K3355" s="12"/>
      <c r="L3355" s="12"/>
      <c r="M3355" s="12"/>
      <c r="N3355" s="12"/>
      <c r="O3355" s="12"/>
    </row>
    <row r="3356" spans="2:15" x14ac:dyDescent="0.3">
      <c r="B3356" s="10"/>
      <c r="I3356" s="11"/>
      <c r="K3356" s="12"/>
      <c r="L3356" s="12"/>
      <c r="M3356" s="12"/>
      <c r="N3356" s="12"/>
      <c r="O3356" s="12"/>
    </row>
    <row r="3357" spans="2:15" x14ac:dyDescent="0.3">
      <c r="B3357" s="10"/>
      <c r="I3357" s="11"/>
      <c r="K3357" s="12"/>
      <c r="L3357" s="12"/>
      <c r="M3357" s="12"/>
      <c r="N3357" s="12"/>
      <c r="O3357" s="12"/>
    </row>
    <row r="3358" spans="2:15" x14ac:dyDescent="0.3">
      <c r="B3358" s="10"/>
      <c r="I3358" s="11"/>
      <c r="K3358" s="12"/>
      <c r="L3358" s="12"/>
      <c r="M3358" s="12"/>
      <c r="N3358" s="12"/>
      <c r="O3358" s="12"/>
    </row>
    <row r="3359" spans="2:15" x14ac:dyDescent="0.3">
      <c r="B3359" s="10"/>
      <c r="I3359" s="11"/>
      <c r="K3359" s="12"/>
      <c r="L3359" s="12"/>
      <c r="M3359" s="12"/>
      <c r="N3359" s="12"/>
      <c r="O3359" s="12"/>
    </row>
    <row r="3360" spans="2:15" x14ac:dyDescent="0.3">
      <c r="B3360" s="10"/>
      <c r="I3360" s="11"/>
      <c r="K3360" s="12"/>
      <c r="L3360" s="12"/>
      <c r="M3360" s="12"/>
      <c r="N3360" s="12"/>
      <c r="O3360" s="12"/>
    </row>
    <row r="3361" spans="2:15" x14ac:dyDescent="0.3">
      <c r="B3361" s="10"/>
      <c r="I3361" s="11"/>
      <c r="K3361" s="12"/>
      <c r="L3361" s="12"/>
      <c r="M3361" s="12"/>
      <c r="N3361" s="12"/>
      <c r="O3361" s="12"/>
    </row>
    <row r="3362" spans="2:15" x14ac:dyDescent="0.3">
      <c r="B3362" s="10"/>
      <c r="I3362" s="11"/>
      <c r="K3362" s="12"/>
      <c r="L3362" s="12"/>
      <c r="M3362" s="12"/>
      <c r="N3362" s="12"/>
      <c r="O3362" s="12"/>
    </row>
    <row r="3363" spans="2:15" x14ac:dyDescent="0.3">
      <c r="B3363" s="10"/>
      <c r="I3363" s="11"/>
      <c r="K3363" s="12"/>
      <c r="L3363" s="12"/>
      <c r="M3363" s="12"/>
      <c r="N3363" s="12"/>
      <c r="O3363" s="12"/>
    </row>
    <row r="3364" spans="2:15" x14ac:dyDescent="0.3">
      <c r="B3364" s="10"/>
      <c r="I3364" s="11"/>
      <c r="K3364" s="12"/>
      <c r="L3364" s="12"/>
      <c r="M3364" s="12"/>
      <c r="N3364" s="12"/>
      <c r="O3364" s="12"/>
    </row>
    <row r="3365" spans="2:15" x14ac:dyDescent="0.3">
      <c r="B3365" s="10"/>
      <c r="I3365" s="11"/>
      <c r="K3365" s="12"/>
      <c r="L3365" s="12"/>
      <c r="M3365" s="12"/>
      <c r="N3365" s="12"/>
      <c r="O3365" s="12"/>
    </row>
    <row r="3366" spans="2:15" x14ac:dyDescent="0.3">
      <c r="B3366" s="10"/>
      <c r="I3366" s="11"/>
      <c r="K3366" s="12"/>
      <c r="L3366" s="12"/>
      <c r="M3366" s="12"/>
      <c r="N3366" s="12"/>
      <c r="O3366" s="12"/>
    </row>
    <row r="3367" spans="2:15" x14ac:dyDescent="0.3">
      <c r="B3367" s="10"/>
      <c r="I3367" s="11"/>
      <c r="K3367" s="12"/>
      <c r="L3367" s="12"/>
      <c r="M3367" s="12"/>
      <c r="N3367" s="12"/>
      <c r="O3367" s="12"/>
    </row>
    <row r="3368" spans="2:15" x14ac:dyDescent="0.3">
      <c r="B3368" s="10"/>
      <c r="I3368" s="11"/>
      <c r="K3368" s="12"/>
      <c r="L3368" s="12"/>
      <c r="M3368" s="12"/>
      <c r="N3368" s="12"/>
      <c r="O3368" s="12"/>
    </row>
    <row r="3369" spans="2:15" x14ac:dyDescent="0.3">
      <c r="B3369" s="10"/>
      <c r="I3369" s="11"/>
      <c r="K3369" s="12"/>
      <c r="L3369" s="12"/>
      <c r="M3369" s="12"/>
      <c r="N3369" s="12"/>
      <c r="O3369" s="12"/>
    </row>
    <row r="3370" spans="2:15" x14ac:dyDescent="0.3">
      <c r="B3370" s="10"/>
      <c r="I3370" s="11"/>
      <c r="K3370" s="12"/>
      <c r="L3370" s="12"/>
      <c r="M3370" s="12"/>
      <c r="N3370" s="12"/>
      <c r="O3370" s="12"/>
    </row>
    <row r="3371" spans="2:15" x14ac:dyDescent="0.3">
      <c r="B3371" s="10"/>
      <c r="I3371" s="11"/>
      <c r="K3371" s="12"/>
      <c r="L3371" s="12"/>
      <c r="M3371" s="12"/>
      <c r="N3371" s="12"/>
      <c r="O3371" s="12"/>
    </row>
    <row r="3372" spans="2:15" x14ac:dyDescent="0.3">
      <c r="B3372" s="10"/>
      <c r="I3372" s="11"/>
      <c r="K3372" s="12"/>
      <c r="L3372" s="12"/>
      <c r="M3372" s="12"/>
      <c r="N3372" s="12"/>
      <c r="O3372" s="12"/>
    </row>
    <row r="3373" spans="2:15" x14ac:dyDescent="0.3">
      <c r="B3373" s="10"/>
      <c r="I3373" s="11"/>
      <c r="K3373" s="12"/>
      <c r="L3373" s="12"/>
      <c r="M3373" s="12"/>
      <c r="N3373" s="12"/>
      <c r="O3373" s="12"/>
    </row>
    <row r="3374" spans="2:15" x14ac:dyDescent="0.3">
      <c r="B3374" s="10"/>
      <c r="I3374" s="11"/>
      <c r="K3374" s="12"/>
      <c r="L3374" s="12"/>
      <c r="M3374" s="12"/>
      <c r="N3374" s="12"/>
      <c r="O3374" s="12"/>
    </row>
    <row r="3375" spans="2:15" x14ac:dyDescent="0.3">
      <c r="B3375" s="10"/>
      <c r="I3375" s="11"/>
      <c r="K3375" s="12"/>
      <c r="L3375" s="12"/>
      <c r="M3375" s="12"/>
      <c r="N3375" s="12"/>
      <c r="O3375" s="12"/>
    </row>
    <row r="3376" spans="2:15" x14ac:dyDescent="0.3">
      <c r="B3376" s="10"/>
      <c r="I3376" s="11"/>
      <c r="K3376" s="12"/>
      <c r="L3376" s="12"/>
      <c r="M3376" s="12"/>
      <c r="N3376" s="12"/>
      <c r="O3376" s="12"/>
    </row>
    <row r="3377" spans="2:15" x14ac:dyDescent="0.3">
      <c r="B3377" s="10"/>
      <c r="I3377" s="11"/>
      <c r="K3377" s="12"/>
      <c r="L3377" s="12"/>
      <c r="M3377" s="12"/>
      <c r="N3377" s="12"/>
      <c r="O3377" s="12"/>
    </row>
    <row r="3378" spans="2:15" x14ac:dyDescent="0.3">
      <c r="B3378" s="10"/>
      <c r="I3378" s="11"/>
      <c r="K3378" s="12"/>
      <c r="L3378" s="12"/>
      <c r="M3378" s="12"/>
      <c r="N3378" s="12"/>
      <c r="O3378" s="12"/>
    </row>
    <row r="3379" spans="2:15" x14ac:dyDescent="0.3">
      <c r="B3379" s="10"/>
      <c r="I3379" s="11"/>
      <c r="K3379" s="12"/>
      <c r="L3379" s="12"/>
      <c r="M3379" s="12"/>
      <c r="N3379" s="12"/>
      <c r="O3379" s="12"/>
    </row>
    <row r="3380" spans="2:15" x14ac:dyDescent="0.3">
      <c r="B3380" s="10"/>
      <c r="I3380" s="11"/>
      <c r="K3380" s="12"/>
      <c r="L3380" s="12"/>
      <c r="M3380" s="12"/>
      <c r="N3380" s="12"/>
      <c r="O3380" s="12"/>
    </row>
    <row r="3381" spans="2:15" x14ac:dyDescent="0.3">
      <c r="B3381" s="10"/>
      <c r="I3381" s="11"/>
      <c r="K3381" s="12"/>
      <c r="L3381" s="12"/>
      <c r="M3381" s="12"/>
      <c r="N3381" s="12"/>
      <c r="O3381" s="12"/>
    </row>
    <row r="3382" spans="2:15" x14ac:dyDescent="0.3">
      <c r="B3382" s="10"/>
      <c r="I3382" s="11"/>
      <c r="K3382" s="12"/>
      <c r="L3382" s="12"/>
      <c r="M3382" s="12"/>
      <c r="N3382" s="12"/>
      <c r="O3382" s="12"/>
    </row>
    <row r="3383" spans="2:15" x14ac:dyDescent="0.3">
      <c r="B3383" s="10"/>
      <c r="I3383" s="11"/>
      <c r="K3383" s="12"/>
      <c r="L3383" s="12"/>
      <c r="M3383" s="12"/>
      <c r="N3383" s="12"/>
      <c r="O3383" s="12"/>
    </row>
    <row r="3384" spans="2:15" x14ac:dyDescent="0.3">
      <c r="B3384" s="10"/>
      <c r="I3384" s="11"/>
      <c r="K3384" s="12"/>
      <c r="L3384" s="12"/>
      <c r="M3384" s="12"/>
      <c r="N3384" s="12"/>
      <c r="O3384" s="12"/>
    </row>
    <row r="3385" spans="2:15" x14ac:dyDescent="0.3">
      <c r="B3385" s="10"/>
      <c r="I3385" s="11"/>
      <c r="K3385" s="12"/>
      <c r="L3385" s="12"/>
      <c r="M3385" s="12"/>
      <c r="N3385" s="12"/>
      <c r="O3385" s="12"/>
    </row>
    <row r="3386" spans="2:15" x14ac:dyDescent="0.3">
      <c r="B3386" s="10"/>
      <c r="I3386" s="11"/>
      <c r="K3386" s="12"/>
      <c r="L3386" s="12"/>
      <c r="M3386" s="12"/>
      <c r="N3386" s="12"/>
      <c r="O3386" s="12"/>
    </row>
    <row r="3387" spans="2:15" x14ac:dyDescent="0.3">
      <c r="B3387" s="10"/>
      <c r="I3387" s="11"/>
      <c r="K3387" s="12"/>
      <c r="L3387" s="12"/>
      <c r="M3387" s="12"/>
      <c r="N3387" s="12"/>
      <c r="O3387" s="12"/>
    </row>
    <row r="3388" spans="2:15" x14ac:dyDescent="0.3">
      <c r="B3388" s="10"/>
      <c r="I3388" s="11"/>
      <c r="K3388" s="12"/>
      <c r="L3388" s="12"/>
      <c r="M3388" s="12"/>
      <c r="N3388" s="12"/>
      <c r="O3388" s="12"/>
    </row>
    <row r="3389" spans="2:15" x14ac:dyDescent="0.3">
      <c r="B3389" s="10"/>
      <c r="I3389" s="11"/>
      <c r="K3389" s="12"/>
      <c r="L3389" s="12"/>
      <c r="M3389" s="12"/>
      <c r="N3389" s="12"/>
      <c r="O3389" s="12"/>
    </row>
    <row r="3390" spans="2:15" x14ac:dyDescent="0.3">
      <c r="B3390" s="10"/>
      <c r="I3390" s="11"/>
      <c r="K3390" s="12"/>
      <c r="L3390" s="12"/>
      <c r="M3390" s="12"/>
      <c r="N3390" s="12"/>
      <c r="O3390" s="12"/>
    </row>
    <row r="3391" spans="2:15" x14ac:dyDescent="0.3">
      <c r="B3391" s="10"/>
      <c r="I3391" s="11"/>
      <c r="K3391" s="12"/>
      <c r="L3391" s="12"/>
      <c r="M3391" s="12"/>
      <c r="N3391" s="12"/>
      <c r="O3391" s="12"/>
    </row>
    <row r="3392" spans="2:15" x14ac:dyDescent="0.3">
      <c r="B3392" s="10"/>
      <c r="I3392" s="11"/>
      <c r="K3392" s="12"/>
      <c r="L3392" s="12"/>
      <c r="M3392" s="12"/>
      <c r="N3392" s="12"/>
      <c r="O3392" s="12"/>
    </row>
    <row r="3393" spans="2:15" x14ac:dyDescent="0.3">
      <c r="B3393" s="10"/>
      <c r="I3393" s="11"/>
      <c r="K3393" s="12"/>
      <c r="L3393" s="12"/>
      <c r="M3393" s="12"/>
      <c r="N3393" s="12"/>
      <c r="O3393" s="12"/>
    </row>
    <row r="3394" spans="2:15" x14ac:dyDescent="0.3">
      <c r="B3394" s="10"/>
      <c r="I3394" s="11"/>
      <c r="K3394" s="12"/>
      <c r="L3394" s="12"/>
      <c r="M3394" s="12"/>
      <c r="N3394" s="12"/>
      <c r="O3394" s="12"/>
    </row>
    <row r="3395" spans="2:15" x14ac:dyDescent="0.3">
      <c r="B3395" s="10"/>
      <c r="I3395" s="11"/>
      <c r="K3395" s="12"/>
      <c r="L3395" s="12"/>
      <c r="M3395" s="12"/>
      <c r="N3395" s="12"/>
      <c r="O3395" s="12"/>
    </row>
    <row r="3396" spans="2:15" x14ac:dyDescent="0.3">
      <c r="B3396" s="10"/>
      <c r="I3396" s="11"/>
      <c r="K3396" s="12"/>
      <c r="L3396" s="12"/>
      <c r="M3396" s="12"/>
      <c r="N3396" s="12"/>
      <c r="O3396" s="12"/>
    </row>
    <row r="3397" spans="2:15" x14ac:dyDescent="0.3">
      <c r="B3397" s="10"/>
      <c r="I3397" s="11"/>
      <c r="K3397" s="12"/>
      <c r="L3397" s="12"/>
      <c r="M3397" s="12"/>
      <c r="N3397" s="12"/>
      <c r="O3397" s="12"/>
    </row>
    <row r="3398" spans="2:15" x14ac:dyDescent="0.3">
      <c r="B3398" s="10"/>
      <c r="I3398" s="11"/>
      <c r="K3398" s="12"/>
      <c r="L3398" s="12"/>
      <c r="M3398" s="12"/>
      <c r="N3398" s="12"/>
      <c r="O3398" s="12"/>
    </row>
    <row r="3399" spans="2:15" x14ac:dyDescent="0.3">
      <c r="B3399" s="10"/>
      <c r="I3399" s="11"/>
      <c r="K3399" s="12"/>
      <c r="L3399" s="12"/>
      <c r="M3399" s="12"/>
      <c r="N3399" s="12"/>
      <c r="O3399" s="12"/>
    </row>
    <row r="3400" spans="2:15" x14ac:dyDescent="0.3">
      <c r="B3400" s="10"/>
      <c r="I3400" s="11"/>
      <c r="K3400" s="12"/>
      <c r="L3400" s="12"/>
      <c r="M3400" s="12"/>
      <c r="N3400" s="12"/>
      <c r="O3400" s="12"/>
    </row>
    <row r="3401" spans="2:15" x14ac:dyDescent="0.3">
      <c r="B3401" s="10"/>
      <c r="I3401" s="11"/>
      <c r="K3401" s="12"/>
      <c r="L3401" s="12"/>
      <c r="M3401" s="12"/>
      <c r="N3401" s="12"/>
      <c r="O3401" s="12"/>
    </row>
    <row r="3402" spans="2:15" x14ac:dyDescent="0.3">
      <c r="B3402" s="10"/>
      <c r="I3402" s="11"/>
      <c r="K3402" s="12"/>
      <c r="L3402" s="12"/>
      <c r="M3402" s="12"/>
      <c r="N3402" s="12"/>
      <c r="O3402" s="12"/>
    </row>
    <row r="3403" spans="2:15" x14ac:dyDescent="0.3">
      <c r="B3403" s="10"/>
      <c r="I3403" s="11"/>
      <c r="K3403" s="12"/>
      <c r="L3403" s="12"/>
      <c r="M3403" s="12"/>
      <c r="N3403" s="12"/>
      <c r="O3403" s="12"/>
    </row>
    <row r="3404" spans="2:15" x14ac:dyDescent="0.3">
      <c r="B3404" s="10"/>
      <c r="I3404" s="11"/>
      <c r="K3404" s="12"/>
      <c r="L3404" s="12"/>
      <c r="M3404" s="12"/>
      <c r="N3404" s="12"/>
      <c r="O3404" s="12"/>
    </row>
    <row r="3405" spans="2:15" x14ac:dyDescent="0.3">
      <c r="B3405" s="10"/>
      <c r="I3405" s="11"/>
      <c r="K3405" s="12"/>
      <c r="L3405" s="12"/>
      <c r="M3405" s="12"/>
      <c r="N3405" s="12"/>
      <c r="O3405" s="12"/>
    </row>
    <row r="3406" spans="2:15" x14ac:dyDescent="0.3">
      <c r="B3406" s="10"/>
      <c r="I3406" s="11"/>
      <c r="K3406" s="12"/>
      <c r="L3406" s="12"/>
      <c r="M3406" s="12"/>
      <c r="N3406" s="12"/>
      <c r="O3406" s="12"/>
    </row>
    <row r="3407" spans="2:15" x14ac:dyDescent="0.3">
      <c r="B3407" s="10"/>
      <c r="I3407" s="11"/>
      <c r="K3407" s="12"/>
      <c r="L3407" s="12"/>
      <c r="M3407" s="12"/>
      <c r="N3407" s="12"/>
      <c r="O3407" s="12"/>
    </row>
    <row r="3408" spans="2:15" x14ac:dyDescent="0.3">
      <c r="B3408" s="10"/>
      <c r="I3408" s="11"/>
      <c r="K3408" s="12"/>
      <c r="L3408" s="12"/>
      <c r="M3408" s="12"/>
      <c r="N3408" s="12"/>
      <c r="O3408" s="12"/>
    </row>
    <row r="3409" spans="2:15" x14ac:dyDescent="0.3">
      <c r="B3409" s="10"/>
      <c r="I3409" s="11"/>
      <c r="K3409" s="12"/>
      <c r="L3409" s="12"/>
      <c r="M3409" s="12"/>
      <c r="N3409" s="12"/>
      <c r="O3409" s="12"/>
    </row>
    <row r="3410" spans="2:15" x14ac:dyDescent="0.3">
      <c r="B3410" s="10"/>
      <c r="I3410" s="11"/>
      <c r="K3410" s="12"/>
      <c r="L3410" s="12"/>
      <c r="M3410" s="12"/>
      <c r="N3410" s="12"/>
      <c r="O3410" s="12"/>
    </row>
    <row r="3411" spans="2:15" x14ac:dyDescent="0.3">
      <c r="B3411" s="10"/>
      <c r="I3411" s="11"/>
      <c r="K3411" s="12"/>
      <c r="L3411" s="12"/>
      <c r="M3411" s="12"/>
      <c r="N3411" s="12"/>
      <c r="O3411" s="12"/>
    </row>
    <row r="3412" spans="2:15" x14ac:dyDescent="0.3">
      <c r="B3412" s="10"/>
      <c r="I3412" s="11"/>
      <c r="K3412" s="12"/>
      <c r="L3412" s="12"/>
      <c r="M3412" s="12"/>
      <c r="N3412" s="12"/>
      <c r="O3412" s="12"/>
    </row>
    <row r="3413" spans="2:15" x14ac:dyDescent="0.3">
      <c r="B3413" s="10"/>
      <c r="I3413" s="11"/>
      <c r="K3413" s="12"/>
      <c r="L3413" s="12"/>
      <c r="M3413" s="12"/>
      <c r="N3413" s="12"/>
      <c r="O3413" s="12"/>
    </row>
    <row r="3414" spans="2:15" x14ac:dyDescent="0.3">
      <c r="B3414" s="10"/>
      <c r="I3414" s="11"/>
      <c r="K3414" s="12"/>
      <c r="L3414" s="12"/>
      <c r="M3414" s="12"/>
      <c r="N3414" s="12"/>
      <c r="O3414" s="12"/>
    </row>
    <row r="3415" spans="2:15" x14ac:dyDescent="0.3">
      <c r="B3415" s="10"/>
      <c r="I3415" s="11"/>
      <c r="K3415" s="12"/>
      <c r="L3415" s="12"/>
      <c r="M3415" s="12"/>
      <c r="N3415" s="12"/>
      <c r="O3415" s="12"/>
    </row>
    <row r="3416" spans="2:15" x14ac:dyDescent="0.3">
      <c r="B3416" s="10"/>
      <c r="I3416" s="11"/>
      <c r="K3416" s="12"/>
      <c r="L3416" s="12"/>
      <c r="M3416" s="12"/>
      <c r="N3416" s="12"/>
      <c r="O3416" s="12"/>
    </row>
    <row r="3417" spans="2:15" x14ac:dyDescent="0.3">
      <c r="B3417" s="10"/>
      <c r="I3417" s="11"/>
      <c r="K3417" s="12"/>
      <c r="L3417" s="12"/>
      <c r="M3417" s="12"/>
      <c r="N3417" s="12"/>
      <c r="O3417" s="12"/>
    </row>
    <row r="3418" spans="2:15" x14ac:dyDescent="0.3">
      <c r="B3418" s="10"/>
      <c r="I3418" s="11"/>
      <c r="K3418" s="12"/>
      <c r="L3418" s="12"/>
      <c r="M3418" s="12"/>
      <c r="N3418" s="12"/>
      <c r="O3418" s="12"/>
    </row>
    <row r="3419" spans="2:15" x14ac:dyDescent="0.3">
      <c r="B3419" s="10"/>
      <c r="I3419" s="11"/>
      <c r="K3419" s="12"/>
      <c r="L3419" s="12"/>
      <c r="M3419" s="12"/>
      <c r="N3419" s="12"/>
      <c r="O3419" s="12"/>
    </row>
    <row r="3420" spans="2:15" x14ac:dyDescent="0.3">
      <c r="B3420" s="10"/>
      <c r="I3420" s="11"/>
      <c r="K3420" s="12"/>
      <c r="L3420" s="12"/>
      <c r="M3420" s="12"/>
      <c r="N3420" s="12"/>
      <c r="O3420" s="12"/>
    </row>
    <row r="3421" spans="2:15" x14ac:dyDescent="0.3">
      <c r="B3421" s="10"/>
      <c r="I3421" s="11"/>
      <c r="K3421" s="12"/>
      <c r="L3421" s="12"/>
      <c r="M3421" s="12"/>
      <c r="N3421" s="12"/>
      <c r="O3421" s="12"/>
    </row>
    <row r="3422" spans="2:15" x14ac:dyDescent="0.3">
      <c r="B3422" s="10"/>
      <c r="I3422" s="11"/>
      <c r="K3422" s="12"/>
      <c r="L3422" s="12"/>
      <c r="M3422" s="12"/>
      <c r="N3422" s="12"/>
      <c r="O3422" s="12"/>
    </row>
    <row r="3423" spans="2:15" x14ac:dyDescent="0.3">
      <c r="B3423" s="10"/>
      <c r="I3423" s="11"/>
      <c r="K3423" s="12"/>
      <c r="L3423" s="12"/>
      <c r="M3423" s="12"/>
      <c r="N3423" s="12"/>
      <c r="O3423" s="12"/>
    </row>
    <row r="3424" spans="2:15" x14ac:dyDescent="0.3">
      <c r="B3424" s="10"/>
      <c r="I3424" s="11"/>
      <c r="K3424" s="12"/>
      <c r="L3424" s="12"/>
      <c r="M3424" s="12"/>
      <c r="N3424" s="12"/>
      <c r="O3424" s="12"/>
    </row>
    <row r="3425" spans="2:15" x14ac:dyDescent="0.3">
      <c r="B3425" s="10"/>
      <c r="I3425" s="11"/>
      <c r="K3425" s="12"/>
      <c r="L3425" s="12"/>
      <c r="M3425" s="12"/>
      <c r="N3425" s="12"/>
      <c r="O3425" s="12"/>
    </row>
    <row r="3426" spans="2:15" x14ac:dyDescent="0.3">
      <c r="B3426" s="10"/>
      <c r="I3426" s="11"/>
      <c r="K3426" s="12"/>
      <c r="L3426" s="12"/>
      <c r="M3426" s="12"/>
      <c r="N3426" s="12"/>
      <c r="O3426" s="12"/>
    </row>
    <row r="3427" spans="2:15" x14ac:dyDescent="0.3">
      <c r="B3427" s="10"/>
      <c r="I3427" s="11"/>
      <c r="K3427" s="12"/>
      <c r="L3427" s="12"/>
      <c r="M3427" s="12"/>
      <c r="N3427" s="12"/>
      <c r="O3427" s="12"/>
    </row>
    <row r="3428" spans="2:15" x14ac:dyDescent="0.3">
      <c r="B3428" s="10"/>
      <c r="I3428" s="11"/>
      <c r="K3428" s="12"/>
      <c r="L3428" s="12"/>
      <c r="M3428" s="12"/>
      <c r="N3428" s="12"/>
      <c r="O3428" s="12"/>
    </row>
    <row r="3429" spans="2:15" x14ac:dyDescent="0.3">
      <c r="B3429" s="10"/>
      <c r="I3429" s="11"/>
      <c r="K3429" s="12"/>
      <c r="L3429" s="12"/>
      <c r="M3429" s="12"/>
      <c r="N3429" s="12"/>
      <c r="O3429" s="12"/>
    </row>
    <row r="3430" spans="2:15" x14ac:dyDescent="0.3">
      <c r="B3430" s="10"/>
      <c r="I3430" s="11"/>
      <c r="K3430" s="12"/>
      <c r="L3430" s="12"/>
      <c r="M3430" s="12"/>
      <c r="N3430" s="12"/>
      <c r="O3430" s="12"/>
    </row>
    <row r="3431" spans="2:15" x14ac:dyDescent="0.3">
      <c r="B3431" s="10"/>
      <c r="I3431" s="11"/>
      <c r="K3431" s="12"/>
      <c r="L3431" s="12"/>
      <c r="M3431" s="12"/>
      <c r="N3431" s="12"/>
      <c r="O3431" s="12"/>
    </row>
    <row r="3432" spans="2:15" x14ac:dyDescent="0.3">
      <c r="B3432" s="10"/>
      <c r="I3432" s="11"/>
      <c r="K3432" s="12"/>
      <c r="L3432" s="12"/>
      <c r="M3432" s="12"/>
      <c r="N3432" s="12"/>
      <c r="O3432" s="12"/>
    </row>
    <row r="3433" spans="2:15" x14ac:dyDescent="0.3">
      <c r="B3433" s="10"/>
      <c r="I3433" s="11"/>
      <c r="K3433" s="12"/>
      <c r="L3433" s="12"/>
      <c r="M3433" s="12"/>
      <c r="N3433" s="12"/>
      <c r="O3433" s="12"/>
    </row>
    <row r="3434" spans="2:15" x14ac:dyDescent="0.3">
      <c r="B3434" s="10"/>
      <c r="I3434" s="11"/>
      <c r="K3434" s="12"/>
      <c r="L3434" s="12"/>
      <c r="M3434" s="12"/>
      <c r="N3434" s="12"/>
      <c r="O3434" s="12"/>
    </row>
    <row r="3435" spans="2:15" x14ac:dyDescent="0.3">
      <c r="B3435" s="10"/>
      <c r="I3435" s="11"/>
      <c r="K3435" s="12"/>
      <c r="L3435" s="12"/>
      <c r="M3435" s="12"/>
      <c r="N3435" s="12"/>
      <c r="O3435" s="12"/>
    </row>
    <row r="3436" spans="2:15" x14ac:dyDescent="0.3">
      <c r="B3436" s="10"/>
      <c r="I3436" s="11"/>
      <c r="K3436" s="12"/>
      <c r="L3436" s="12"/>
      <c r="M3436" s="12"/>
      <c r="N3436" s="12"/>
      <c r="O3436" s="12"/>
    </row>
    <row r="3437" spans="2:15" x14ac:dyDescent="0.3">
      <c r="B3437" s="10"/>
      <c r="I3437" s="11"/>
      <c r="K3437" s="12"/>
      <c r="L3437" s="12"/>
      <c r="M3437" s="12"/>
      <c r="N3437" s="12"/>
      <c r="O3437" s="12"/>
    </row>
    <row r="3438" spans="2:15" x14ac:dyDescent="0.3">
      <c r="B3438" s="10"/>
      <c r="I3438" s="11"/>
      <c r="K3438" s="12"/>
      <c r="L3438" s="12"/>
      <c r="M3438" s="12"/>
      <c r="N3438" s="12"/>
      <c r="O3438" s="12"/>
    </row>
    <row r="3439" spans="2:15" x14ac:dyDescent="0.3">
      <c r="B3439" s="10"/>
      <c r="I3439" s="11"/>
      <c r="K3439" s="12"/>
      <c r="L3439" s="12"/>
      <c r="M3439" s="12"/>
      <c r="N3439" s="12"/>
      <c r="O3439" s="12"/>
    </row>
    <row r="3440" spans="2:15" x14ac:dyDescent="0.3">
      <c r="B3440" s="10"/>
      <c r="I3440" s="11"/>
      <c r="K3440" s="12"/>
      <c r="L3440" s="12"/>
      <c r="M3440" s="12"/>
      <c r="N3440" s="12"/>
      <c r="O3440" s="12"/>
    </row>
    <row r="3441" spans="2:15" x14ac:dyDescent="0.3">
      <c r="B3441" s="10"/>
      <c r="I3441" s="11"/>
      <c r="K3441" s="12"/>
      <c r="L3441" s="12"/>
      <c r="M3441" s="12"/>
      <c r="N3441" s="12"/>
      <c r="O3441" s="12"/>
    </row>
    <row r="3442" spans="2:15" x14ac:dyDescent="0.3">
      <c r="B3442" s="10"/>
      <c r="I3442" s="11"/>
      <c r="K3442" s="12"/>
      <c r="L3442" s="12"/>
      <c r="M3442" s="12"/>
      <c r="N3442" s="12"/>
      <c r="O3442" s="12"/>
    </row>
    <row r="3443" spans="2:15" x14ac:dyDescent="0.3">
      <c r="B3443" s="10"/>
      <c r="I3443" s="11"/>
      <c r="K3443" s="12"/>
      <c r="L3443" s="12"/>
      <c r="M3443" s="12"/>
      <c r="N3443" s="12"/>
      <c r="O3443" s="12"/>
    </row>
    <row r="3444" spans="2:15" x14ac:dyDescent="0.3">
      <c r="B3444" s="10"/>
      <c r="I3444" s="11"/>
      <c r="K3444" s="12"/>
      <c r="L3444" s="12"/>
      <c r="M3444" s="12"/>
      <c r="N3444" s="12"/>
      <c r="O3444" s="12"/>
    </row>
    <row r="3445" spans="2:15" x14ac:dyDescent="0.3">
      <c r="B3445" s="10"/>
      <c r="I3445" s="11"/>
      <c r="K3445" s="12"/>
      <c r="L3445" s="12"/>
      <c r="M3445" s="12"/>
      <c r="N3445" s="12"/>
      <c r="O3445" s="12"/>
    </row>
    <row r="3446" spans="2:15" x14ac:dyDescent="0.3">
      <c r="B3446" s="10"/>
      <c r="I3446" s="11"/>
      <c r="K3446" s="12"/>
      <c r="L3446" s="12"/>
      <c r="M3446" s="12"/>
      <c r="N3446" s="12"/>
      <c r="O3446" s="12"/>
    </row>
    <row r="3447" spans="2:15" x14ac:dyDescent="0.3">
      <c r="B3447" s="10"/>
      <c r="I3447" s="11"/>
      <c r="K3447" s="12"/>
      <c r="L3447" s="12"/>
      <c r="M3447" s="12"/>
      <c r="N3447" s="12"/>
      <c r="O3447" s="12"/>
    </row>
    <row r="3448" spans="2:15" x14ac:dyDescent="0.3">
      <c r="B3448" s="10"/>
      <c r="I3448" s="11"/>
      <c r="K3448" s="12"/>
      <c r="L3448" s="12"/>
      <c r="M3448" s="12"/>
      <c r="N3448" s="12"/>
      <c r="O3448" s="12"/>
    </row>
    <row r="3449" spans="2:15" x14ac:dyDescent="0.3">
      <c r="B3449" s="10"/>
      <c r="I3449" s="11"/>
      <c r="K3449" s="12"/>
      <c r="L3449" s="12"/>
      <c r="M3449" s="12"/>
      <c r="N3449" s="12"/>
      <c r="O3449" s="12"/>
    </row>
    <row r="3450" spans="2:15" x14ac:dyDescent="0.3">
      <c r="B3450" s="10"/>
      <c r="I3450" s="11"/>
      <c r="K3450" s="12"/>
      <c r="L3450" s="12"/>
      <c r="M3450" s="12"/>
      <c r="N3450" s="12"/>
      <c r="O3450" s="12"/>
    </row>
    <row r="3451" spans="2:15" x14ac:dyDescent="0.3">
      <c r="B3451" s="10"/>
      <c r="I3451" s="11"/>
      <c r="K3451" s="12"/>
      <c r="L3451" s="12"/>
      <c r="M3451" s="12"/>
      <c r="N3451" s="12"/>
      <c r="O3451" s="12"/>
    </row>
    <row r="3452" spans="2:15" x14ac:dyDescent="0.3">
      <c r="B3452" s="10"/>
      <c r="I3452" s="11"/>
      <c r="K3452" s="12"/>
      <c r="L3452" s="12"/>
      <c r="M3452" s="12"/>
      <c r="N3452" s="12"/>
      <c r="O3452" s="12"/>
    </row>
    <row r="3453" spans="2:15" x14ac:dyDescent="0.3">
      <c r="B3453" s="10"/>
      <c r="I3453" s="11"/>
      <c r="K3453" s="12"/>
      <c r="L3453" s="12"/>
      <c r="M3453" s="12"/>
      <c r="N3453" s="12"/>
      <c r="O3453" s="12"/>
    </row>
    <row r="3454" spans="2:15" x14ac:dyDescent="0.3">
      <c r="B3454" s="10"/>
      <c r="I3454" s="11"/>
      <c r="K3454" s="12"/>
      <c r="L3454" s="12"/>
      <c r="M3454" s="12"/>
      <c r="N3454" s="12"/>
      <c r="O3454" s="12"/>
    </row>
    <row r="3455" spans="2:15" x14ac:dyDescent="0.3">
      <c r="B3455" s="10"/>
      <c r="I3455" s="11"/>
      <c r="K3455" s="12"/>
      <c r="L3455" s="12"/>
      <c r="M3455" s="12"/>
      <c r="N3455" s="12"/>
      <c r="O3455" s="12"/>
    </row>
    <row r="3456" spans="2:15" x14ac:dyDescent="0.3">
      <c r="B3456" s="10"/>
      <c r="I3456" s="11"/>
      <c r="K3456" s="12"/>
      <c r="L3456" s="12"/>
      <c r="M3456" s="12"/>
      <c r="N3456" s="12"/>
      <c r="O3456" s="12"/>
    </row>
    <row r="3457" spans="2:15" x14ac:dyDescent="0.3">
      <c r="B3457" s="10"/>
      <c r="I3457" s="11"/>
      <c r="K3457" s="12"/>
      <c r="L3457" s="12"/>
      <c r="M3457" s="12"/>
      <c r="N3457" s="12"/>
      <c r="O3457" s="12"/>
    </row>
    <row r="3458" spans="2:15" x14ac:dyDescent="0.3">
      <c r="B3458" s="10"/>
      <c r="I3458" s="11"/>
      <c r="K3458" s="12"/>
      <c r="L3458" s="12"/>
      <c r="M3458" s="12"/>
      <c r="N3458" s="12"/>
      <c r="O3458" s="12"/>
    </row>
    <row r="3459" spans="2:15" x14ac:dyDescent="0.3">
      <c r="B3459" s="10"/>
      <c r="I3459" s="11"/>
      <c r="K3459" s="12"/>
      <c r="L3459" s="12"/>
      <c r="M3459" s="12"/>
      <c r="N3459" s="12"/>
      <c r="O3459" s="12"/>
    </row>
    <row r="3460" spans="2:15" x14ac:dyDescent="0.3">
      <c r="B3460" s="10"/>
      <c r="I3460" s="11"/>
      <c r="K3460" s="12"/>
      <c r="L3460" s="12"/>
      <c r="M3460" s="12"/>
      <c r="N3460" s="12"/>
      <c r="O3460" s="12"/>
    </row>
    <row r="3461" spans="2:15" x14ac:dyDescent="0.3">
      <c r="B3461" s="10"/>
      <c r="I3461" s="11"/>
      <c r="K3461" s="12"/>
      <c r="L3461" s="12"/>
      <c r="M3461" s="12"/>
      <c r="N3461" s="12"/>
      <c r="O3461" s="12"/>
    </row>
    <row r="3462" spans="2:15" x14ac:dyDescent="0.3">
      <c r="B3462" s="10"/>
      <c r="I3462" s="11"/>
      <c r="K3462" s="12"/>
      <c r="L3462" s="12"/>
      <c r="M3462" s="12"/>
      <c r="N3462" s="12"/>
      <c r="O3462" s="12"/>
    </row>
    <row r="3463" spans="2:15" x14ac:dyDescent="0.3">
      <c r="B3463" s="10"/>
      <c r="I3463" s="11"/>
      <c r="K3463" s="12"/>
      <c r="L3463" s="12"/>
      <c r="M3463" s="12"/>
      <c r="N3463" s="12"/>
      <c r="O3463" s="12"/>
    </row>
    <row r="3464" spans="2:15" x14ac:dyDescent="0.3">
      <c r="B3464" s="10"/>
      <c r="I3464" s="11"/>
      <c r="K3464" s="12"/>
      <c r="L3464" s="12"/>
      <c r="M3464" s="12"/>
      <c r="N3464" s="12"/>
      <c r="O3464" s="12"/>
    </row>
    <row r="3465" spans="2:15" x14ac:dyDescent="0.3">
      <c r="B3465" s="10"/>
      <c r="I3465" s="11"/>
      <c r="K3465" s="12"/>
      <c r="L3465" s="12"/>
      <c r="M3465" s="12"/>
      <c r="N3465" s="12"/>
      <c r="O3465" s="12"/>
    </row>
    <row r="3466" spans="2:15" x14ac:dyDescent="0.3">
      <c r="B3466" s="10"/>
      <c r="I3466" s="11"/>
      <c r="K3466" s="12"/>
      <c r="L3466" s="12"/>
      <c r="M3466" s="12"/>
      <c r="N3466" s="12"/>
      <c r="O3466" s="12"/>
    </row>
    <row r="3467" spans="2:15" x14ac:dyDescent="0.3">
      <c r="B3467" s="10"/>
      <c r="I3467" s="11"/>
      <c r="K3467" s="12"/>
      <c r="L3467" s="12"/>
      <c r="M3467" s="12"/>
      <c r="N3467" s="12"/>
      <c r="O3467" s="12"/>
    </row>
    <row r="3468" spans="2:15" x14ac:dyDescent="0.3">
      <c r="B3468" s="10"/>
      <c r="I3468" s="11"/>
      <c r="K3468" s="12"/>
      <c r="L3468" s="12"/>
      <c r="M3468" s="12"/>
      <c r="N3468" s="12"/>
      <c r="O3468" s="12"/>
    </row>
    <row r="3469" spans="2:15" x14ac:dyDescent="0.3">
      <c r="B3469" s="10"/>
      <c r="I3469" s="11"/>
      <c r="K3469" s="12"/>
      <c r="L3469" s="12"/>
      <c r="M3469" s="12"/>
      <c r="N3469" s="12"/>
      <c r="O3469" s="12"/>
    </row>
    <row r="3470" spans="2:15" x14ac:dyDescent="0.3">
      <c r="B3470" s="10"/>
      <c r="I3470" s="11"/>
      <c r="K3470" s="12"/>
      <c r="L3470" s="12"/>
      <c r="M3470" s="12"/>
      <c r="N3470" s="12"/>
      <c r="O3470" s="12"/>
    </row>
    <row r="3471" spans="2:15" x14ac:dyDescent="0.3">
      <c r="B3471" s="10"/>
      <c r="I3471" s="11"/>
      <c r="K3471" s="12"/>
      <c r="L3471" s="12"/>
      <c r="M3471" s="12"/>
      <c r="N3471" s="12"/>
      <c r="O3471" s="12"/>
    </row>
    <row r="3472" spans="2:15" x14ac:dyDescent="0.3">
      <c r="B3472" s="10"/>
      <c r="I3472" s="11"/>
      <c r="K3472" s="12"/>
      <c r="L3472" s="12"/>
      <c r="M3472" s="12"/>
      <c r="N3472" s="12"/>
      <c r="O3472" s="12"/>
    </row>
    <row r="3473" spans="2:15" x14ac:dyDescent="0.3">
      <c r="B3473" s="10"/>
      <c r="I3473" s="11"/>
      <c r="K3473" s="12"/>
      <c r="L3473" s="12"/>
      <c r="M3473" s="12"/>
      <c r="N3473" s="12"/>
      <c r="O3473" s="12"/>
    </row>
    <row r="3474" spans="2:15" x14ac:dyDescent="0.3">
      <c r="B3474" s="10"/>
      <c r="I3474" s="11"/>
      <c r="K3474" s="12"/>
      <c r="L3474" s="12"/>
      <c r="M3474" s="12"/>
      <c r="N3474" s="12"/>
      <c r="O3474" s="12"/>
    </row>
    <row r="3475" spans="2:15" x14ac:dyDescent="0.3">
      <c r="B3475" s="10"/>
      <c r="I3475" s="11"/>
      <c r="K3475" s="12"/>
      <c r="L3475" s="12"/>
      <c r="M3475" s="12"/>
      <c r="N3475" s="12"/>
      <c r="O3475" s="12"/>
    </row>
    <row r="3476" spans="2:15" x14ac:dyDescent="0.3">
      <c r="B3476" s="10"/>
      <c r="I3476" s="11"/>
      <c r="K3476" s="12"/>
      <c r="L3476" s="12"/>
      <c r="M3476" s="12"/>
      <c r="N3476" s="12"/>
      <c r="O3476" s="12"/>
    </row>
    <row r="3477" spans="2:15" x14ac:dyDescent="0.3">
      <c r="B3477" s="10"/>
      <c r="I3477" s="11"/>
      <c r="K3477" s="12"/>
      <c r="L3477" s="12"/>
      <c r="M3477" s="12"/>
      <c r="N3477" s="12"/>
      <c r="O3477" s="12"/>
    </row>
    <row r="3478" spans="2:15" x14ac:dyDescent="0.3">
      <c r="B3478" s="10"/>
      <c r="I3478" s="11"/>
      <c r="K3478" s="12"/>
      <c r="L3478" s="12"/>
      <c r="M3478" s="12"/>
      <c r="N3478" s="12"/>
      <c r="O3478" s="12"/>
    </row>
    <row r="3479" spans="2:15" x14ac:dyDescent="0.3">
      <c r="B3479" s="10"/>
      <c r="I3479" s="11"/>
      <c r="K3479" s="12"/>
      <c r="L3479" s="12"/>
      <c r="M3479" s="12"/>
      <c r="N3479" s="12"/>
      <c r="O3479" s="12"/>
    </row>
    <row r="3480" spans="2:15" x14ac:dyDescent="0.3">
      <c r="B3480" s="10"/>
      <c r="I3480" s="11"/>
      <c r="K3480" s="12"/>
      <c r="L3480" s="12"/>
      <c r="M3480" s="12"/>
      <c r="N3480" s="12"/>
      <c r="O3480" s="12"/>
    </row>
    <row r="3481" spans="2:15" x14ac:dyDescent="0.3">
      <c r="B3481" s="10"/>
      <c r="I3481" s="11"/>
      <c r="K3481" s="12"/>
      <c r="L3481" s="12"/>
      <c r="M3481" s="12"/>
      <c r="N3481" s="12"/>
      <c r="O3481" s="12"/>
    </row>
    <row r="3482" spans="2:15" x14ac:dyDescent="0.3">
      <c r="B3482" s="10"/>
      <c r="I3482" s="11"/>
      <c r="K3482" s="12"/>
      <c r="L3482" s="12"/>
      <c r="M3482" s="12"/>
      <c r="N3482" s="12"/>
      <c r="O3482" s="12"/>
    </row>
    <row r="3483" spans="2:15" x14ac:dyDescent="0.3">
      <c r="B3483" s="10"/>
      <c r="I3483" s="11"/>
      <c r="K3483" s="12"/>
      <c r="L3483" s="12"/>
      <c r="M3483" s="12"/>
      <c r="N3483" s="12"/>
      <c r="O3483" s="12"/>
    </row>
    <row r="3484" spans="2:15" x14ac:dyDescent="0.3">
      <c r="B3484" s="10"/>
      <c r="I3484" s="11"/>
      <c r="K3484" s="12"/>
      <c r="L3484" s="12"/>
      <c r="M3484" s="12"/>
      <c r="N3484" s="12"/>
      <c r="O3484" s="12"/>
    </row>
    <row r="3485" spans="2:15" x14ac:dyDescent="0.3">
      <c r="B3485" s="10"/>
      <c r="I3485" s="11"/>
      <c r="K3485" s="12"/>
      <c r="L3485" s="12"/>
      <c r="M3485" s="12"/>
      <c r="N3485" s="12"/>
      <c r="O3485" s="12"/>
    </row>
    <row r="3486" spans="2:15" x14ac:dyDescent="0.3">
      <c r="B3486" s="10"/>
      <c r="I3486" s="11"/>
      <c r="K3486" s="12"/>
      <c r="L3486" s="12"/>
      <c r="M3486" s="12"/>
      <c r="N3486" s="12"/>
      <c r="O3486" s="12"/>
    </row>
    <row r="3487" spans="2:15" x14ac:dyDescent="0.3">
      <c r="B3487" s="10"/>
      <c r="I3487" s="11"/>
      <c r="K3487" s="12"/>
      <c r="L3487" s="12"/>
      <c r="M3487" s="12"/>
      <c r="N3487" s="12"/>
      <c r="O3487" s="12"/>
    </row>
    <row r="3488" spans="2:15" x14ac:dyDescent="0.3">
      <c r="B3488" s="10"/>
      <c r="I3488" s="11"/>
      <c r="K3488" s="12"/>
      <c r="L3488" s="12"/>
      <c r="M3488" s="12"/>
      <c r="N3488" s="12"/>
      <c r="O3488" s="12"/>
    </row>
    <row r="3489" spans="2:15" x14ac:dyDescent="0.3">
      <c r="B3489" s="10"/>
      <c r="I3489" s="11"/>
      <c r="K3489" s="12"/>
      <c r="L3489" s="12"/>
      <c r="M3489" s="12"/>
      <c r="N3489" s="12"/>
      <c r="O3489" s="12"/>
    </row>
    <row r="3490" spans="2:15" x14ac:dyDescent="0.3">
      <c r="B3490" s="10"/>
      <c r="I3490" s="11"/>
      <c r="K3490" s="12"/>
      <c r="L3490" s="12"/>
      <c r="M3490" s="12"/>
      <c r="N3490" s="12"/>
      <c r="O3490" s="12"/>
    </row>
    <row r="3491" spans="2:15" x14ac:dyDescent="0.3">
      <c r="B3491" s="10"/>
      <c r="I3491" s="11"/>
      <c r="K3491" s="12"/>
      <c r="L3491" s="12"/>
      <c r="M3491" s="12"/>
      <c r="N3491" s="12"/>
      <c r="O3491" s="12"/>
    </row>
    <row r="3492" spans="2:15" x14ac:dyDescent="0.3">
      <c r="B3492" s="10"/>
      <c r="I3492" s="11"/>
      <c r="K3492" s="12"/>
      <c r="L3492" s="12"/>
      <c r="M3492" s="12"/>
      <c r="N3492" s="12"/>
      <c r="O3492" s="12"/>
    </row>
    <row r="3493" spans="2:15" x14ac:dyDescent="0.3">
      <c r="B3493" s="10"/>
      <c r="I3493" s="11"/>
      <c r="K3493" s="12"/>
      <c r="L3493" s="12"/>
      <c r="M3493" s="12"/>
      <c r="N3493" s="12"/>
      <c r="O3493" s="12"/>
    </row>
    <row r="3494" spans="2:15" x14ac:dyDescent="0.3">
      <c r="B3494" s="10"/>
      <c r="I3494" s="11"/>
      <c r="K3494" s="12"/>
      <c r="L3494" s="12"/>
      <c r="M3494" s="12"/>
      <c r="N3494" s="12"/>
      <c r="O3494" s="12"/>
    </row>
    <row r="3495" spans="2:15" x14ac:dyDescent="0.3">
      <c r="B3495" s="10"/>
      <c r="I3495" s="11"/>
      <c r="K3495" s="12"/>
      <c r="L3495" s="12"/>
      <c r="M3495" s="12"/>
      <c r="N3495" s="12"/>
      <c r="O3495" s="12"/>
    </row>
    <row r="3496" spans="2:15" x14ac:dyDescent="0.3">
      <c r="B3496" s="10"/>
      <c r="I3496" s="11"/>
      <c r="K3496" s="12"/>
      <c r="L3496" s="12"/>
      <c r="M3496" s="12"/>
      <c r="N3496" s="12"/>
      <c r="O3496" s="12"/>
    </row>
    <row r="3497" spans="2:15" x14ac:dyDescent="0.3">
      <c r="B3497" s="10"/>
      <c r="I3497" s="11"/>
      <c r="K3497" s="12"/>
      <c r="L3497" s="12"/>
      <c r="M3497" s="12"/>
      <c r="N3497" s="12"/>
      <c r="O3497" s="12"/>
    </row>
    <row r="3498" spans="2:15" x14ac:dyDescent="0.3">
      <c r="B3498" s="10"/>
      <c r="I3498" s="11"/>
      <c r="K3498" s="12"/>
      <c r="L3498" s="12"/>
      <c r="M3498" s="12"/>
      <c r="N3498" s="12"/>
      <c r="O3498" s="12"/>
    </row>
    <row r="3499" spans="2:15" x14ac:dyDescent="0.3">
      <c r="B3499" s="10"/>
      <c r="I3499" s="11"/>
      <c r="K3499" s="12"/>
      <c r="L3499" s="12"/>
      <c r="M3499" s="12"/>
      <c r="N3499" s="12"/>
      <c r="O3499" s="12"/>
    </row>
    <row r="3500" spans="2:15" x14ac:dyDescent="0.3">
      <c r="B3500" s="10"/>
      <c r="I3500" s="11"/>
      <c r="K3500" s="12"/>
      <c r="L3500" s="12"/>
      <c r="M3500" s="12"/>
      <c r="N3500" s="12"/>
      <c r="O3500" s="12"/>
    </row>
    <row r="3501" spans="2:15" x14ac:dyDescent="0.3">
      <c r="B3501" s="10"/>
      <c r="I3501" s="11"/>
      <c r="K3501" s="12"/>
      <c r="L3501" s="12"/>
      <c r="M3501" s="12"/>
      <c r="N3501" s="12"/>
      <c r="O3501" s="12"/>
    </row>
    <row r="3502" spans="2:15" x14ac:dyDescent="0.3">
      <c r="B3502" s="10"/>
      <c r="I3502" s="11"/>
      <c r="K3502" s="12"/>
      <c r="L3502" s="12"/>
      <c r="M3502" s="12"/>
      <c r="N3502" s="12"/>
      <c r="O3502" s="12"/>
    </row>
    <row r="3503" spans="2:15" x14ac:dyDescent="0.3">
      <c r="B3503" s="10"/>
      <c r="I3503" s="11"/>
      <c r="K3503" s="12"/>
      <c r="L3503" s="12"/>
      <c r="M3503" s="12"/>
      <c r="N3503" s="12"/>
      <c r="O3503" s="12"/>
    </row>
    <row r="3504" spans="2:15" x14ac:dyDescent="0.3">
      <c r="B3504" s="10"/>
      <c r="I3504" s="11"/>
      <c r="K3504" s="12"/>
      <c r="L3504" s="12"/>
      <c r="M3504" s="12"/>
      <c r="N3504" s="12"/>
      <c r="O3504" s="12"/>
    </row>
    <row r="3505" spans="2:15" x14ac:dyDescent="0.3">
      <c r="B3505" s="10"/>
      <c r="I3505" s="11"/>
      <c r="K3505" s="12"/>
      <c r="L3505" s="12"/>
      <c r="M3505" s="12"/>
      <c r="N3505" s="12"/>
      <c r="O3505" s="12"/>
    </row>
    <row r="3506" spans="2:15" x14ac:dyDescent="0.3">
      <c r="B3506" s="10"/>
      <c r="I3506" s="11"/>
      <c r="K3506" s="12"/>
      <c r="L3506" s="12"/>
      <c r="M3506" s="12"/>
      <c r="N3506" s="12"/>
      <c r="O3506" s="12"/>
    </row>
    <row r="3507" spans="2:15" x14ac:dyDescent="0.3">
      <c r="B3507" s="10"/>
      <c r="I3507" s="11"/>
      <c r="K3507" s="12"/>
      <c r="L3507" s="12"/>
      <c r="M3507" s="12"/>
      <c r="N3507" s="12"/>
      <c r="O3507" s="12"/>
    </row>
    <row r="3508" spans="2:15" x14ac:dyDescent="0.3">
      <c r="B3508" s="10"/>
      <c r="I3508" s="11"/>
      <c r="K3508" s="12"/>
      <c r="L3508" s="12"/>
      <c r="M3508" s="12"/>
      <c r="N3508" s="12"/>
      <c r="O3508" s="12"/>
    </row>
    <row r="3509" spans="2:15" x14ac:dyDescent="0.3">
      <c r="B3509" s="10"/>
      <c r="I3509" s="11"/>
      <c r="K3509" s="12"/>
      <c r="L3509" s="12"/>
      <c r="M3509" s="12"/>
      <c r="N3509" s="12"/>
      <c r="O3509" s="12"/>
    </row>
    <row r="3510" spans="2:15" x14ac:dyDescent="0.3">
      <c r="B3510" s="10"/>
      <c r="I3510" s="11"/>
      <c r="K3510" s="12"/>
      <c r="L3510" s="12"/>
      <c r="M3510" s="12"/>
      <c r="N3510" s="12"/>
      <c r="O3510" s="12"/>
    </row>
    <row r="3511" spans="2:15" x14ac:dyDescent="0.3">
      <c r="B3511" s="10"/>
      <c r="I3511" s="11"/>
      <c r="K3511" s="12"/>
      <c r="L3511" s="12"/>
      <c r="M3511" s="12"/>
      <c r="N3511" s="12"/>
      <c r="O3511" s="12"/>
    </row>
    <row r="3512" spans="2:15" x14ac:dyDescent="0.3">
      <c r="B3512" s="10"/>
      <c r="I3512" s="11"/>
      <c r="K3512" s="12"/>
      <c r="L3512" s="12"/>
      <c r="M3512" s="12"/>
      <c r="N3512" s="12"/>
      <c r="O3512" s="12"/>
    </row>
    <row r="3513" spans="2:15" x14ac:dyDescent="0.3">
      <c r="B3513" s="10"/>
      <c r="I3513" s="11"/>
      <c r="K3513" s="12"/>
      <c r="L3513" s="12"/>
      <c r="M3513" s="12"/>
      <c r="N3513" s="12"/>
      <c r="O3513" s="12"/>
    </row>
    <row r="3514" spans="2:15" x14ac:dyDescent="0.3">
      <c r="B3514" s="10"/>
      <c r="I3514" s="11"/>
      <c r="K3514" s="12"/>
      <c r="L3514" s="12"/>
      <c r="M3514" s="12"/>
      <c r="N3514" s="12"/>
      <c r="O3514" s="12"/>
    </row>
    <row r="3515" spans="2:15" x14ac:dyDescent="0.3">
      <c r="B3515" s="10"/>
      <c r="I3515" s="11"/>
      <c r="K3515" s="12"/>
      <c r="L3515" s="12"/>
      <c r="M3515" s="12"/>
      <c r="N3515" s="12"/>
      <c r="O3515" s="12"/>
    </row>
    <row r="3516" spans="2:15" x14ac:dyDescent="0.3">
      <c r="B3516" s="10"/>
      <c r="I3516" s="11"/>
      <c r="K3516" s="12"/>
      <c r="L3516" s="12"/>
      <c r="M3516" s="12"/>
      <c r="N3516" s="12"/>
      <c r="O3516" s="12"/>
    </row>
    <row r="3517" spans="2:15" x14ac:dyDescent="0.3">
      <c r="B3517" s="10"/>
      <c r="I3517" s="11"/>
      <c r="K3517" s="12"/>
      <c r="L3517" s="12"/>
      <c r="M3517" s="12"/>
      <c r="N3517" s="12"/>
      <c r="O3517" s="12"/>
    </row>
    <row r="3518" spans="2:15" x14ac:dyDescent="0.3">
      <c r="B3518" s="10"/>
      <c r="I3518" s="11"/>
      <c r="K3518" s="12"/>
      <c r="L3518" s="12"/>
      <c r="M3518" s="12"/>
      <c r="N3518" s="12"/>
      <c r="O3518" s="12"/>
    </row>
    <row r="3519" spans="2:15" x14ac:dyDescent="0.3">
      <c r="B3519" s="10"/>
      <c r="I3519" s="11"/>
      <c r="K3519" s="12"/>
      <c r="L3519" s="12"/>
      <c r="M3519" s="12"/>
      <c r="N3519" s="12"/>
      <c r="O3519" s="12"/>
    </row>
    <row r="3520" spans="2:15" x14ac:dyDescent="0.3">
      <c r="B3520" s="10"/>
      <c r="I3520" s="11"/>
      <c r="K3520" s="12"/>
      <c r="L3520" s="12"/>
      <c r="M3520" s="12"/>
      <c r="N3520" s="12"/>
      <c r="O3520" s="12"/>
    </row>
    <row r="3521" spans="2:15" x14ac:dyDescent="0.3">
      <c r="B3521" s="10"/>
      <c r="I3521" s="11"/>
      <c r="K3521" s="12"/>
      <c r="L3521" s="12"/>
      <c r="M3521" s="12"/>
      <c r="N3521" s="12"/>
      <c r="O3521" s="12"/>
    </row>
    <row r="3522" spans="2:15" x14ac:dyDescent="0.3">
      <c r="B3522" s="10"/>
      <c r="I3522" s="11"/>
      <c r="K3522" s="12"/>
      <c r="L3522" s="12"/>
      <c r="M3522" s="12"/>
      <c r="N3522" s="12"/>
      <c r="O3522" s="12"/>
    </row>
    <row r="3523" spans="2:15" x14ac:dyDescent="0.3">
      <c r="B3523" s="10"/>
      <c r="I3523" s="11"/>
      <c r="K3523" s="12"/>
      <c r="L3523" s="12"/>
      <c r="M3523" s="12"/>
      <c r="N3523" s="12"/>
      <c r="O3523" s="12"/>
    </row>
    <row r="3524" spans="2:15" x14ac:dyDescent="0.3">
      <c r="B3524" s="10"/>
      <c r="I3524" s="11"/>
      <c r="K3524" s="12"/>
      <c r="L3524" s="12"/>
      <c r="M3524" s="12"/>
      <c r="N3524" s="12"/>
      <c r="O3524" s="12"/>
    </row>
    <row r="3525" spans="2:15" x14ac:dyDescent="0.3">
      <c r="B3525" s="10"/>
      <c r="I3525" s="11"/>
      <c r="K3525" s="12"/>
      <c r="L3525" s="12"/>
      <c r="M3525" s="12"/>
      <c r="N3525" s="12"/>
      <c r="O3525" s="12"/>
    </row>
    <row r="3526" spans="2:15" x14ac:dyDescent="0.3">
      <c r="B3526" s="10"/>
      <c r="I3526" s="11"/>
      <c r="K3526" s="12"/>
      <c r="L3526" s="12"/>
      <c r="M3526" s="12"/>
      <c r="N3526" s="12"/>
      <c r="O3526" s="12"/>
    </row>
    <row r="3527" spans="2:15" x14ac:dyDescent="0.3">
      <c r="B3527" s="10"/>
      <c r="I3527" s="11"/>
      <c r="K3527" s="12"/>
      <c r="L3527" s="12"/>
      <c r="M3527" s="12"/>
      <c r="N3527" s="12"/>
      <c r="O3527" s="12"/>
    </row>
    <row r="3528" spans="2:15" x14ac:dyDescent="0.3">
      <c r="B3528" s="10"/>
      <c r="I3528" s="11"/>
      <c r="K3528" s="12"/>
      <c r="L3528" s="12"/>
      <c r="M3528" s="12"/>
      <c r="N3528" s="12"/>
      <c r="O3528" s="12"/>
    </row>
    <row r="3529" spans="2:15" x14ac:dyDescent="0.3">
      <c r="B3529" s="10"/>
      <c r="I3529" s="11"/>
      <c r="K3529" s="12"/>
      <c r="L3529" s="12"/>
      <c r="M3529" s="12"/>
      <c r="N3529" s="12"/>
      <c r="O3529" s="12"/>
    </row>
    <row r="3530" spans="2:15" x14ac:dyDescent="0.3">
      <c r="B3530" s="10"/>
      <c r="I3530" s="11"/>
      <c r="K3530" s="12"/>
      <c r="L3530" s="12"/>
      <c r="M3530" s="12"/>
      <c r="N3530" s="12"/>
      <c r="O3530" s="12"/>
    </row>
    <row r="3531" spans="2:15" x14ac:dyDescent="0.3">
      <c r="B3531" s="10"/>
      <c r="I3531" s="11"/>
      <c r="K3531" s="12"/>
      <c r="L3531" s="12"/>
      <c r="M3531" s="12"/>
      <c r="N3531" s="12"/>
      <c r="O3531" s="12"/>
    </row>
    <row r="3532" spans="2:15" x14ac:dyDescent="0.3">
      <c r="B3532" s="10"/>
      <c r="I3532" s="11"/>
      <c r="K3532" s="12"/>
      <c r="L3532" s="12"/>
      <c r="M3532" s="12"/>
      <c r="N3532" s="12"/>
      <c r="O3532" s="12"/>
    </row>
    <row r="3533" spans="2:15" x14ac:dyDescent="0.3">
      <c r="B3533" s="10"/>
      <c r="I3533" s="11"/>
      <c r="K3533" s="12"/>
      <c r="L3533" s="12"/>
      <c r="M3533" s="12"/>
      <c r="N3533" s="12"/>
      <c r="O3533" s="12"/>
    </row>
    <row r="3534" spans="2:15" x14ac:dyDescent="0.3">
      <c r="B3534" s="10"/>
      <c r="I3534" s="11"/>
      <c r="K3534" s="12"/>
      <c r="L3534" s="12"/>
      <c r="M3534" s="12"/>
      <c r="N3534" s="12"/>
      <c r="O3534" s="12"/>
    </row>
    <row r="3535" spans="2:15" x14ac:dyDescent="0.3">
      <c r="B3535" s="10"/>
      <c r="I3535" s="11"/>
      <c r="K3535" s="12"/>
      <c r="L3535" s="12"/>
      <c r="M3535" s="12"/>
      <c r="N3535" s="12"/>
      <c r="O3535" s="12"/>
    </row>
    <row r="3536" spans="2:15" x14ac:dyDescent="0.3">
      <c r="B3536" s="10"/>
      <c r="I3536" s="11"/>
      <c r="K3536" s="12"/>
      <c r="L3536" s="12"/>
      <c r="M3536" s="12"/>
      <c r="N3536" s="12"/>
      <c r="O3536" s="12"/>
    </row>
    <row r="3537" spans="2:15" x14ac:dyDescent="0.3">
      <c r="B3537" s="10"/>
      <c r="I3537" s="11"/>
      <c r="K3537" s="12"/>
      <c r="L3537" s="12"/>
      <c r="M3537" s="12"/>
      <c r="N3537" s="12"/>
      <c r="O3537" s="12"/>
    </row>
    <row r="3538" spans="2:15" x14ac:dyDescent="0.3">
      <c r="B3538" s="10"/>
      <c r="I3538" s="11"/>
      <c r="K3538" s="12"/>
      <c r="L3538" s="12"/>
      <c r="M3538" s="12"/>
      <c r="N3538" s="12"/>
      <c r="O3538" s="12"/>
    </row>
    <row r="3539" spans="2:15" x14ac:dyDescent="0.3">
      <c r="B3539" s="10"/>
      <c r="I3539" s="11"/>
      <c r="K3539" s="12"/>
      <c r="L3539" s="12"/>
      <c r="M3539" s="12"/>
      <c r="N3539" s="12"/>
      <c r="O3539" s="12"/>
    </row>
    <row r="3540" spans="2:15" x14ac:dyDescent="0.3">
      <c r="B3540" s="10"/>
      <c r="I3540" s="11"/>
      <c r="K3540" s="12"/>
      <c r="L3540" s="12"/>
      <c r="M3540" s="12"/>
      <c r="N3540" s="12"/>
      <c r="O3540" s="12"/>
    </row>
    <row r="3541" spans="2:15" x14ac:dyDescent="0.3">
      <c r="B3541" s="10"/>
      <c r="I3541" s="11"/>
      <c r="K3541" s="12"/>
      <c r="L3541" s="12"/>
      <c r="M3541" s="12"/>
      <c r="N3541" s="12"/>
      <c r="O3541" s="12"/>
    </row>
    <row r="3542" spans="2:15" x14ac:dyDescent="0.3">
      <c r="B3542" s="10"/>
      <c r="I3542" s="11"/>
      <c r="K3542" s="12"/>
      <c r="L3542" s="12"/>
      <c r="M3542" s="12"/>
      <c r="N3542" s="12"/>
      <c r="O3542" s="12"/>
    </row>
    <row r="3543" spans="2:15" x14ac:dyDescent="0.3">
      <c r="B3543" s="10"/>
      <c r="I3543" s="11"/>
      <c r="K3543" s="12"/>
      <c r="L3543" s="12"/>
      <c r="M3543" s="12"/>
      <c r="N3543" s="12"/>
      <c r="O3543" s="12"/>
    </row>
    <row r="3544" spans="2:15" x14ac:dyDescent="0.3">
      <c r="B3544" s="10"/>
      <c r="I3544" s="11"/>
      <c r="K3544" s="12"/>
      <c r="L3544" s="12"/>
      <c r="M3544" s="12"/>
      <c r="N3544" s="12"/>
      <c r="O3544" s="12"/>
    </row>
    <row r="3545" spans="2:15" x14ac:dyDescent="0.3">
      <c r="B3545" s="10"/>
      <c r="I3545" s="11"/>
      <c r="K3545" s="12"/>
      <c r="L3545" s="12"/>
      <c r="M3545" s="12"/>
      <c r="N3545" s="12"/>
      <c r="O3545" s="12"/>
    </row>
    <row r="3546" spans="2:15" x14ac:dyDescent="0.3">
      <c r="B3546" s="10"/>
      <c r="I3546" s="11"/>
      <c r="K3546" s="12"/>
      <c r="L3546" s="12"/>
      <c r="M3546" s="12"/>
      <c r="N3546" s="12"/>
      <c r="O3546" s="12"/>
    </row>
    <row r="3547" spans="2:15" x14ac:dyDescent="0.3">
      <c r="B3547" s="10"/>
      <c r="I3547" s="11"/>
      <c r="K3547" s="12"/>
      <c r="L3547" s="12"/>
      <c r="M3547" s="12"/>
      <c r="N3547" s="12"/>
      <c r="O3547" s="12"/>
    </row>
    <row r="3548" spans="2:15" x14ac:dyDescent="0.3">
      <c r="B3548" s="10"/>
      <c r="I3548" s="11"/>
      <c r="K3548" s="12"/>
      <c r="L3548" s="12"/>
      <c r="M3548" s="12"/>
      <c r="N3548" s="12"/>
      <c r="O3548" s="12"/>
    </row>
    <row r="3549" spans="2:15" x14ac:dyDescent="0.3">
      <c r="B3549" s="10"/>
      <c r="I3549" s="11"/>
      <c r="K3549" s="12"/>
      <c r="L3549" s="12"/>
      <c r="M3549" s="12"/>
      <c r="N3549" s="12"/>
      <c r="O3549" s="12"/>
    </row>
    <row r="3550" spans="2:15" x14ac:dyDescent="0.3">
      <c r="B3550" s="10"/>
      <c r="I3550" s="11"/>
      <c r="K3550" s="12"/>
      <c r="L3550" s="12"/>
      <c r="M3550" s="12"/>
      <c r="N3550" s="12"/>
      <c r="O3550" s="12"/>
    </row>
    <row r="3551" spans="2:15" x14ac:dyDescent="0.3">
      <c r="B3551" s="10"/>
      <c r="I3551" s="11"/>
      <c r="K3551" s="12"/>
      <c r="L3551" s="12"/>
      <c r="M3551" s="12"/>
      <c r="N3551" s="12"/>
      <c r="O3551" s="12"/>
    </row>
    <row r="3552" spans="2:15" x14ac:dyDescent="0.3">
      <c r="B3552" s="10"/>
      <c r="I3552" s="11"/>
      <c r="K3552" s="12"/>
      <c r="L3552" s="12"/>
      <c r="M3552" s="12"/>
      <c r="N3552" s="12"/>
      <c r="O3552" s="12"/>
    </row>
    <row r="3553" spans="2:15" x14ac:dyDescent="0.3">
      <c r="B3553" s="10"/>
      <c r="I3553" s="11"/>
      <c r="K3553" s="12"/>
      <c r="L3553" s="12"/>
      <c r="M3553" s="12"/>
      <c r="N3553" s="12"/>
      <c r="O3553" s="12"/>
    </row>
    <row r="3554" spans="2:15" x14ac:dyDescent="0.3">
      <c r="B3554" s="10"/>
      <c r="I3554" s="11"/>
      <c r="K3554" s="12"/>
      <c r="L3554" s="12"/>
      <c r="M3554" s="12"/>
      <c r="N3554" s="12"/>
      <c r="O3554" s="12"/>
    </row>
    <row r="3555" spans="2:15" x14ac:dyDescent="0.3">
      <c r="B3555" s="10"/>
      <c r="I3555" s="11"/>
      <c r="K3555" s="12"/>
      <c r="L3555" s="12"/>
      <c r="M3555" s="12"/>
      <c r="N3555" s="12"/>
      <c r="O3555" s="12"/>
    </row>
    <row r="3556" spans="2:15" x14ac:dyDescent="0.3">
      <c r="B3556" s="10"/>
      <c r="I3556" s="11"/>
      <c r="K3556" s="12"/>
      <c r="L3556" s="12"/>
      <c r="M3556" s="12"/>
      <c r="N3556" s="12"/>
      <c r="O3556" s="12"/>
    </row>
    <row r="3557" spans="2:15" x14ac:dyDescent="0.3">
      <c r="B3557" s="10"/>
      <c r="I3557" s="11"/>
      <c r="K3557" s="12"/>
      <c r="L3557" s="12"/>
      <c r="M3557" s="12"/>
      <c r="N3557" s="12"/>
      <c r="O3557" s="12"/>
    </row>
    <row r="3558" spans="2:15" x14ac:dyDescent="0.3">
      <c r="B3558" s="10"/>
      <c r="I3558" s="11"/>
      <c r="K3558" s="12"/>
      <c r="L3558" s="12"/>
      <c r="M3558" s="12"/>
      <c r="N3558" s="12"/>
      <c r="O3558" s="12"/>
    </row>
    <row r="3559" spans="2:15" x14ac:dyDescent="0.3">
      <c r="B3559" s="10"/>
      <c r="I3559" s="11"/>
      <c r="K3559" s="12"/>
      <c r="L3559" s="12"/>
      <c r="M3559" s="12"/>
      <c r="N3559" s="12"/>
      <c r="O3559" s="12"/>
    </row>
    <row r="3560" spans="2:15" x14ac:dyDescent="0.3">
      <c r="B3560" s="10"/>
      <c r="I3560" s="11"/>
      <c r="K3560" s="12"/>
      <c r="L3560" s="12"/>
      <c r="M3560" s="12"/>
      <c r="N3560" s="12"/>
      <c r="O3560" s="12"/>
    </row>
    <row r="3561" spans="2:15" x14ac:dyDescent="0.3">
      <c r="B3561" s="10"/>
      <c r="I3561" s="11"/>
      <c r="K3561" s="12"/>
      <c r="L3561" s="12"/>
      <c r="M3561" s="12"/>
      <c r="N3561" s="12"/>
      <c r="O3561" s="12"/>
    </row>
    <row r="3562" spans="2:15" x14ac:dyDescent="0.3">
      <c r="B3562" s="10"/>
      <c r="I3562" s="11"/>
      <c r="K3562" s="12"/>
      <c r="L3562" s="12"/>
      <c r="M3562" s="12"/>
      <c r="N3562" s="12"/>
      <c r="O3562" s="12"/>
    </row>
    <row r="3563" spans="2:15" x14ac:dyDescent="0.3">
      <c r="B3563" s="10"/>
      <c r="I3563" s="11"/>
      <c r="K3563" s="12"/>
      <c r="L3563" s="12"/>
      <c r="M3563" s="12"/>
      <c r="N3563" s="12"/>
      <c r="O3563" s="12"/>
    </row>
    <row r="3564" spans="2:15" x14ac:dyDescent="0.3">
      <c r="B3564" s="10"/>
      <c r="I3564" s="11"/>
      <c r="K3564" s="12"/>
      <c r="L3564" s="12"/>
      <c r="M3564" s="12"/>
      <c r="N3564" s="12"/>
      <c r="O3564" s="12"/>
    </row>
    <row r="3565" spans="2:15" x14ac:dyDescent="0.3">
      <c r="B3565" s="10"/>
      <c r="I3565" s="11"/>
      <c r="K3565" s="12"/>
      <c r="L3565" s="12"/>
      <c r="M3565" s="12"/>
      <c r="N3565" s="12"/>
      <c r="O3565" s="12"/>
    </row>
    <row r="3566" spans="2:15" x14ac:dyDescent="0.3">
      <c r="B3566" s="10"/>
      <c r="I3566" s="11"/>
      <c r="K3566" s="12"/>
      <c r="L3566" s="12"/>
      <c r="M3566" s="12"/>
      <c r="N3566" s="12"/>
      <c r="O3566" s="12"/>
    </row>
    <row r="3567" spans="2:15" x14ac:dyDescent="0.3">
      <c r="B3567" s="10"/>
      <c r="I3567" s="11"/>
      <c r="K3567" s="12"/>
      <c r="L3567" s="12"/>
      <c r="M3567" s="12"/>
      <c r="N3567" s="12"/>
      <c r="O3567" s="12"/>
    </row>
    <row r="3568" spans="2:15" x14ac:dyDescent="0.3">
      <c r="B3568" s="10"/>
      <c r="I3568" s="11"/>
      <c r="K3568" s="12"/>
      <c r="L3568" s="12"/>
      <c r="M3568" s="12"/>
      <c r="N3568" s="12"/>
      <c r="O3568" s="12"/>
    </row>
    <row r="3569" spans="2:15" x14ac:dyDescent="0.3">
      <c r="B3569" s="10"/>
      <c r="I3569" s="11"/>
      <c r="K3569" s="12"/>
      <c r="L3569" s="12"/>
      <c r="M3569" s="12"/>
      <c r="N3569" s="12"/>
      <c r="O3569" s="12"/>
    </row>
    <row r="3570" spans="2:15" x14ac:dyDescent="0.3">
      <c r="B3570" s="10"/>
      <c r="I3570" s="11"/>
      <c r="K3570" s="12"/>
      <c r="L3570" s="12"/>
      <c r="M3570" s="12"/>
      <c r="N3570" s="12"/>
      <c r="O3570" s="12"/>
    </row>
    <row r="3571" spans="2:15" x14ac:dyDescent="0.3">
      <c r="B3571" s="10"/>
      <c r="I3571" s="11"/>
      <c r="K3571" s="12"/>
      <c r="L3571" s="12"/>
      <c r="M3571" s="12"/>
      <c r="N3571" s="12"/>
      <c r="O3571" s="12"/>
    </row>
    <row r="3572" spans="2:15" x14ac:dyDescent="0.3">
      <c r="B3572" s="10"/>
      <c r="I3572" s="11"/>
      <c r="K3572" s="12"/>
      <c r="L3572" s="12"/>
      <c r="M3572" s="12"/>
      <c r="N3572" s="12"/>
      <c r="O3572" s="12"/>
    </row>
    <row r="3573" spans="2:15" x14ac:dyDescent="0.3">
      <c r="B3573" s="10"/>
      <c r="I3573" s="11"/>
      <c r="K3573" s="12"/>
      <c r="L3573" s="12"/>
      <c r="M3573" s="12"/>
      <c r="N3573" s="12"/>
      <c r="O3573" s="12"/>
    </row>
    <row r="3574" spans="2:15" x14ac:dyDescent="0.3">
      <c r="B3574" s="10"/>
      <c r="I3574" s="11"/>
      <c r="K3574" s="12"/>
      <c r="L3574" s="12"/>
      <c r="M3574" s="12"/>
      <c r="N3574" s="12"/>
      <c r="O3574" s="12"/>
    </row>
    <row r="3575" spans="2:15" x14ac:dyDescent="0.3">
      <c r="B3575" s="10"/>
      <c r="I3575" s="11"/>
      <c r="K3575" s="12"/>
      <c r="L3575" s="12"/>
      <c r="M3575" s="12"/>
      <c r="N3575" s="12"/>
      <c r="O3575" s="12"/>
    </row>
    <row r="3576" spans="2:15" x14ac:dyDescent="0.3">
      <c r="B3576" s="10"/>
      <c r="I3576" s="11"/>
      <c r="K3576" s="12"/>
      <c r="L3576" s="12"/>
      <c r="M3576" s="12"/>
      <c r="N3576" s="12"/>
      <c r="O3576" s="12"/>
    </row>
    <row r="3577" spans="2:15" x14ac:dyDescent="0.3">
      <c r="B3577" s="10"/>
      <c r="I3577" s="11"/>
      <c r="K3577" s="12"/>
      <c r="L3577" s="12"/>
      <c r="M3577" s="12"/>
      <c r="N3577" s="12"/>
      <c r="O3577" s="12"/>
    </row>
    <row r="3578" spans="2:15" x14ac:dyDescent="0.3">
      <c r="B3578" s="10"/>
      <c r="I3578" s="11"/>
      <c r="K3578" s="12"/>
      <c r="L3578" s="12"/>
      <c r="M3578" s="12"/>
      <c r="N3578" s="12"/>
      <c r="O3578" s="12"/>
    </row>
    <row r="3579" spans="2:15" x14ac:dyDescent="0.3">
      <c r="B3579" s="10"/>
      <c r="I3579" s="11"/>
      <c r="K3579" s="12"/>
      <c r="L3579" s="12"/>
      <c r="M3579" s="12"/>
      <c r="N3579" s="12"/>
      <c r="O3579" s="12"/>
    </row>
    <row r="3580" spans="2:15" x14ac:dyDescent="0.3">
      <c r="B3580" s="10"/>
      <c r="I3580" s="11"/>
      <c r="K3580" s="12"/>
      <c r="L3580" s="12"/>
      <c r="M3580" s="12"/>
      <c r="N3580" s="12"/>
      <c r="O3580" s="12"/>
    </row>
    <row r="3581" spans="2:15" x14ac:dyDescent="0.3">
      <c r="B3581" s="10"/>
      <c r="I3581" s="11"/>
      <c r="K3581" s="12"/>
      <c r="L3581" s="12"/>
      <c r="M3581" s="12"/>
      <c r="N3581" s="12"/>
      <c r="O3581" s="12"/>
    </row>
    <row r="3582" spans="2:15" x14ac:dyDescent="0.3">
      <c r="B3582" s="10"/>
      <c r="I3582" s="11"/>
      <c r="K3582" s="12"/>
      <c r="L3582" s="12"/>
      <c r="M3582" s="12"/>
      <c r="N3582" s="12"/>
      <c r="O3582" s="12"/>
    </row>
    <row r="3583" spans="2:15" x14ac:dyDescent="0.3">
      <c r="B3583" s="10"/>
      <c r="I3583" s="11"/>
      <c r="K3583" s="12"/>
      <c r="L3583" s="12"/>
      <c r="M3583" s="12"/>
      <c r="N3583" s="12"/>
      <c r="O3583" s="12"/>
    </row>
    <row r="3584" spans="2:15" x14ac:dyDescent="0.3">
      <c r="B3584" s="10"/>
      <c r="I3584" s="11"/>
      <c r="K3584" s="12"/>
      <c r="L3584" s="12"/>
      <c r="M3584" s="12"/>
      <c r="N3584" s="12"/>
      <c r="O3584" s="12"/>
    </row>
    <row r="3585" spans="2:15" x14ac:dyDescent="0.3">
      <c r="B3585" s="10"/>
      <c r="I3585" s="11"/>
      <c r="K3585" s="12"/>
      <c r="L3585" s="12"/>
      <c r="M3585" s="12"/>
      <c r="N3585" s="12"/>
      <c r="O3585" s="12"/>
    </row>
    <row r="3586" spans="2:15" x14ac:dyDescent="0.3">
      <c r="B3586" s="10"/>
      <c r="I3586" s="11"/>
      <c r="K3586" s="12"/>
      <c r="L3586" s="12"/>
      <c r="M3586" s="12"/>
      <c r="N3586" s="12"/>
      <c r="O3586" s="12"/>
    </row>
    <row r="3587" spans="2:15" x14ac:dyDescent="0.3">
      <c r="B3587" s="10"/>
      <c r="I3587" s="11"/>
      <c r="K3587" s="12"/>
      <c r="L3587" s="12"/>
      <c r="M3587" s="12"/>
      <c r="N3587" s="12"/>
      <c r="O3587" s="12"/>
    </row>
    <row r="3588" spans="2:15" x14ac:dyDescent="0.3">
      <c r="B3588" s="10"/>
      <c r="I3588" s="11"/>
      <c r="K3588" s="12"/>
      <c r="L3588" s="12"/>
      <c r="M3588" s="12"/>
      <c r="N3588" s="12"/>
      <c r="O3588" s="12"/>
    </row>
    <row r="3589" spans="2:15" x14ac:dyDescent="0.3">
      <c r="B3589" s="10"/>
      <c r="I3589" s="11"/>
      <c r="K3589" s="12"/>
      <c r="L3589" s="12"/>
      <c r="M3589" s="12"/>
      <c r="N3589" s="12"/>
      <c r="O3589" s="12"/>
    </row>
    <row r="3590" spans="2:15" x14ac:dyDescent="0.3">
      <c r="B3590" s="10"/>
      <c r="I3590" s="11"/>
      <c r="K3590" s="12"/>
      <c r="L3590" s="12"/>
      <c r="M3590" s="12"/>
      <c r="N3590" s="12"/>
      <c r="O3590" s="12"/>
    </row>
    <row r="3591" spans="2:15" x14ac:dyDescent="0.3">
      <c r="B3591" s="10"/>
      <c r="I3591" s="11"/>
      <c r="K3591" s="12"/>
      <c r="L3591" s="12"/>
      <c r="M3591" s="12"/>
      <c r="N3591" s="12"/>
      <c r="O3591" s="12"/>
    </row>
    <row r="3592" spans="2:15" x14ac:dyDescent="0.3">
      <c r="B3592" s="10"/>
      <c r="I3592" s="11"/>
      <c r="K3592" s="12"/>
      <c r="L3592" s="12"/>
      <c r="M3592" s="12"/>
      <c r="N3592" s="12"/>
      <c r="O3592" s="12"/>
    </row>
    <row r="3593" spans="2:15" x14ac:dyDescent="0.3">
      <c r="B3593" s="10"/>
      <c r="I3593" s="11"/>
      <c r="K3593" s="12"/>
      <c r="L3593" s="12"/>
      <c r="M3593" s="12"/>
      <c r="N3593" s="12"/>
      <c r="O3593" s="12"/>
    </row>
    <row r="3594" spans="2:15" x14ac:dyDescent="0.3">
      <c r="B3594" s="10"/>
      <c r="I3594" s="11"/>
      <c r="K3594" s="12"/>
      <c r="L3594" s="12"/>
      <c r="M3594" s="12"/>
      <c r="N3594" s="12"/>
      <c r="O3594" s="12"/>
    </row>
    <row r="3595" spans="2:15" x14ac:dyDescent="0.3">
      <c r="B3595" s="10"/>
      <c r="I3595" s="11"/>
      <c r="K3595" s="12"/>
      <c r="L3595" s="12"/>
      <c r="M3595" s="12"/>
      <c r="N3595" s="12"/>
      <c r="O3595" s="12"/>
    </row>
    <row r="3596" spans="2:15" x14ac:dyDescent="0.3">
      <c r="B3596" s="10"/>
      <c r="I3596" s="11"/>
      <c r="K3596" s="12"/>
      <c r="L3596" s="12"/>
      <c r="M3596" s="12"/>
      <c r="N3596" s="12"/>
      <c r="O3596" s="12"/>
    </row>
    <row r="3597" spans="2:15" x14ac:dyDescent="0.3">
      <c r="B3597" s="10"/>
      <c r="I3597" s="11"/>
      <c r="K3597" s="12"/>
      <c r="L3597" s="12"/>
      <c r="M3597" s="12"/>
      <c r="N3597" s="12"/>
      <c r="O3597" s="12"/>
    </row>
    <row r="3598" spans="2:15" x14ac:dyDescent="0.3">
      <c r="B3598" s="10"/>
      <c r="I3598" s="11"/>
      <c r="K3598" s="12"/>
      <c r="L3598" s="12"/>
      <c r="M3598" s="12"/>
      <c r="N3598" s="12"/>
      <c r="O3598" s="12"/>
    </row>
    <row r="3599" spans="2:15" x14ac:dyDescent="0.3">
      <c r="B3599" s="10"/>
      <c r="I3599" s="11"/>
      <c r="K3599" s="12"/>
      <c r="L3599" s="12"/>
      <c r="M3599" s="12"/>
      <c r="N3599" s="12"/>
      <c r="O3599" s="12"/>
    </row>
    <row r="3600" spans="2:15" x14ac:dyDescent="0.3">
      <c r="B3600" s="10"/>
      <c r="I3600" s="11"/>
      <c r="K3600" s="12"/>
      <c r="L3600" s="12"/>
      <c r="M3600" s="12"/>
      <c r="N3600" s="12"/>
      <c r="O3600" s="12"/>
    </row>
    <row r="3601" spans="2:15" x14ac:dyDescent="0.3">
      <c r="B3601" s="10"/>
      <c r="I3601" s="11"/>
      <c r="K3601" s="12"/>
      <c r="L3601" s="12"/>
      <c r="M3601" s="12"/>
      <c r="N3601" s="12"/>
      <c r="O3601" s="12"/>
    </row>
    <row r="3602" spans="2:15" x14ac:dyDescent="0.3">
      <c r="B3602" s="10"/>
      <c r="I3602" s="11"/>
      <c r="K3602" s="12"/>
      <c r="L3602" s="12"/>
      <c r="M3602" s="12"/>
      <c r="N3602" s="12"/>
      <c r="O3602" s="12"/>
    </row>
    <row r="3603" spans="2:15" x14ac:dyDescent="0.3">
      <c r="B3603" s="10"/>
      <c r="I3603" s="11"/>
      <c r="K3603" s="12"/>
      <c r="L3603" s="12"/>
      <c r="M3603" s="12"/>
      <c r="N3603" s="12"/>
      <c r="O3603" s="12"/>
    </row>
    <row r="3604" spans="2:15" x14ac:dyDescent="0.3">
      <c r="B3604" s="10"/>
      <c r="I3604" s="11"/>
      <c r="K3604" s="12"/>
      <c r="L3604" s="12"/>
      <c r="M3604" s="12"/>
      <c r="N3604" s="12"/>
      <c r="O3604" s="12"/>
    </row>
    <row r="3605" spans="2:15" x14ac:dyDescent="0.3">
      <c r="B3605" s="10"/>
      <c r="I3605" s="11"/>
      <c r="K3605" s="12"/>
      <c r="L3605" s="12"/>
      <c r="M3605" s="12"/>
      <c r="N3605" s="12"/>
      <c r="O3605" s="12"/>
    </row>
    <row r="3606" spans="2:15" x14ac:dyDescent="0.3">
      <c r="B3606" s="10"/>
      <c r="I3606" s="11"/>
      <c r="K3606" s="12"/>
      <c r="L3606" s="12"/>
      <c r="M3606" s="12"/>
      <c r="N3606" s="12"/>
      <c r="O3606" s="12"/>
    </row>
    <row r="3607" spans="2:15" x14ac:dyDescent="0.3">
      <c r="B3607" s="10"/>
      <c r="I3607" s="11"/>
      <c r="K3607" s="12"/>
      <c r="L3607" s="12"/>
      <c r="M3607" s="12"/>
      <c r="N3607" s="12"/>
      <c r="O3607" s="12"/>
    </row>
    <row r="3608" spans="2:15" x14ac:dyDescent="0.3">
      <c r="B3608" s="10"/>
      <c r="I3608" s="11"/>
      <c r="K3608" s="12"/>
      <c r="L3608" s="12"/>
      <c r="M3608" s="12"/>
      <c r="N3608" s="12"/>
      <c r="O3608" s="12"/>
    </row>
    <row r="3609" spans="2:15" x14ac:dyDescent="0.3">
      <c r="B3609" s="10"/>
      <c r="I3609" s="11"/>
      <c r="K3609" s="12"/>
      <c r="L3609" s="12"/>
      <c r="M3609" s="12"/>
      <c r="N3609" s="12"/>
      <c r="O3609" s="12"/>
    </row>
    <row r="3610" spans="2:15" x14ac:dyDescent="0.3">
      <c r="B3610" s="10"/>
      <c r="I3610" s="11"/>
      <c r="K3610" s="12"/>
      <c r="L3610" s="12"/>
      <c r="M3610" s="12"/>
      <c r="N3610" s="12"/>
      <c r="O3610" s="12"/>
    </row>
    <row r="3611" spans="2:15" x14ac:dyDescent="0.3">
      <c r="B3611" s="10"/>
      <c r="I3611" s="11"/>
      <c r="K3611" s="12"/>
      <c r="L3611" s="12"/>
      <c r="M3611" s="12"/>
      <c r="N3611" s="12"/>
      <c r="O3611" s="12"/>
    </row>
    <row r="3612" spans="2:15" x14ac:dyDescent="0.3">
      <c r="B3612" s="10"/>
      <c r="I3612" s="11"/>
      <c r="K3612" s="12"/>
      <c r="L3612" s="12"/>
      <c r="M3612" s="12"/>
      <c r="N3612" s="12"/>
      <c r="O3612" s="12"/>
    </row>
    <row r="3613" spans="2:15" x14ac:dyDescent="0.3">
      <c r="B3613" s="10"/>
      <c r="I3613" s="11"/>
      <c r="K3613" s="12"/>
      <c r="L3613" s="12"/>
      <c r="M3613" s="12"/>
      <c r="N3613" s="12"/>
      <c r="O3613" s="12"/>
    </row>
    <row r="3614" spans="2:15" x14ac:dyDescent="0.3">
      <c r="B3614" s="10"/>
      <c r="I3614" s="11"/>
      <c r="K3614" s="12"/>
      <c r="L3614" s="12"/>
      <c r="M3614" s="12"/>
      <c r="N3614" s="12"/>
      <c r="O3614" s="12"/>
    </row>
    <row r="3615" spans="2:15" x14ac:dyDescent="0.3">
      <c r="B3615" s="10"/>
      <c r="I3615" s="11"/>
      <c r="K3615" s="12"/>
      <c r="L3615" s="12"/>
      <c r="M3615" s="12"/>
      <c r="N3615" s="12"/>
      <c r="O3615" s="12"/>
    </row>
    <row r="3616" spans="2:15" x14ac:dyDescent="0.3">
      <c r="B3616" s="10"/>
      <c r="I3616" s="11"/>
      <c r="K3616" s="12"/>
      <c r="L3616" s="12"/>
      <c r="M3616" s="12"/>
      <c r="N3616" s="12"/>
      <c r="O3616" s="12"/>
    </row>
    <row r="3617" spans="2:15" x14ac:dyDescent="0.3">
      <c r="B3617" s="10"/>
      <c r="I3617" s="11"/>
      <c r="K3617" s="12"/>
      <c r="L3617" s="12"/>
      <c r="M3617" s="12"/>
      <c r="N3617" s="12"/>
      <c r="O3617" s="12"/>
    </row>
    <row r="3618" spans="2:15" x14ac:dyDescent="0.3">
      <c r="B3618" s="10"/>
      <c r="I3618" s="11"/>
      <c r="K3618" s="12"/>
      <c r="L3618" s="12"/>
      <c r="M3618" s="12"/>
      <c r="N3618" s="12"/>
      <c r="O3618" s="12"/>
    </row>
    <row r="3619" spans="2:15" x14ac:dyDescent="0.3">
      <c r="B3619" s="10"/>
      <c r="I3619" s="11"/>
      <c r="K3619" s="12"/>
      <c r="L3619" s="12"/>
      <c r="M3619" s="12"/>
      <c r="N3619" s="12"/>
      <c r="O3619" s="12"/>
    </row>
    <row r="3620" spans="2:15" x14ac:dyDescent="0.3">
      <c r="B3620" s="10"/>
      <c r="I3620" s="11"/>
      <c r="K3620" s="12"/>
      <c r="L3620" s="12"/>
      <c r="M3620" s="12"/>
      <c r="N3620" s="12"/>
      <c r="O3620" s="12"/>
    </row>
    <row r="3621" spans="2:15" x14ac:dyDescent="0.3">
      <c r="B3621" s="10"/>
      <c r="I3621" s="11"/>
      <c r="K3621" s="12"/>
      <c r="L3621" s="12"/>
      <c r="M3621" s="12"/>
      <c r="N3621" s="12"/>
      <c r="O3621" s="12"/>
    </row>
    <row r="3622" spans="2:15" x14ac:dyDescent="0.3">
      <c r="B3622" s="10"/>
      <c r="I3622" s="11"/>
      <c r="K3622" s="12"/>
      <c r="L3622" s="12"/>
      <c r="M3622" s="12"/>
      <c r="N3622" s="12"/>
      <c r="O3622" s="12"/>
    </row>
    <row r="3623" spans="2:15" x14ac:dyDescent="0.3">
      <c r="B3623" s="10"/>
      <c r="I3623" s="11"/>
      <c r="K3623" s="12"/>
      <c r="L3623" s="12"/>
      <c r="M3623" s="12"/>
      <c r="N3623" s="12"/>
      <c r="O3623" s="12"/>
    </row>
    <row r="3624" spans="2:15" x14ac:dyDescent="0.3">
      <c r="B3624" s="10"/>
      <c r="I3624" s="11"/>
      <c r="K3624" s="12"/>
      <c r="L3624" s="12"/>
      <c r="M3624" s="12"/>
      <c r="N3624" s="12"/>
      <c r="O3624" s="12"/>
    </row>
    <row r="3625" spans="2:15" x14ac:dyDescent="0.3">
      <c r="B3625" s="10"/>
      <c r="I3625" s="11"/>
      <c r="K3625" s="12"/>
      <c r="L3625" s="12"/>
      <c r="M3625" s="12"/>
      <c r="N3625" s="12"/>
      <c r="O3625" s="12"/>
    </row>
    <row r="3626" spans="2:15" x14ac:dyDescent="0.3">
      <c r="B3626" s="10"/>
      <c r="I3626" s="11"/>
      <c r="K3626" s="12"/>
      <c r="L3626" s="12"/>
      <c r="M3626" s="12"/>
      <c r="N3626" s="12"/>
      <c r="O3626" s="12"/>
    </row>
    <row r="3627" spans="2:15" x14ac:dyDescent="0.3">
      <c r="B3627" s="10"/>
      <c r="I3627" s="11"/>
      <c r="K3627" s="12"/>
      <c r="L3627" s="12"/>
      <c r="M3627" s="12"/>
      <c r="N3627" s="12"/>
      <c r="O3627" s="12"/>
    </row>
    <row r="3628" spans="2:15" x14ac:dyDescent="0.3">
      <c r="B3628" s="10"/>
      <c r="I3628" s="11"/>
      <c r="K3628" s="12"/>
      <c r="L3628" s="12"/>
      <c r="M3628" s="12"/>
      <c r="N3628" s="12"/>
      <c r="O3628" s="12"/>
    </row>
    <row r="3629" spans="2:15" x14ac:dyDescent="0.3">
      <c r="B3629" s="10"/>
      <c r="I3629" s="11"/>
      <c r="K3629" s="12"/>
      <c r="L3629" s="12"/>
      <c r="M3629" s="12"/>
      <c r="N3629" s="12"/>
      <c r="O3629" s="12"/>
    </row>
    <row r="3630" spans="2:15" x14ac:dyDescent="0.3">
      <c r="B3630" s="10"/>
      <c r="I3630" s="11"/>
      <c r="K3630" s="12"/>
      <c r="L3630" s="12"/>
      <c r="M3630" s="12"/>
      <c r="N3630" s="12"/>
      <c r="O3630" s="12"/>
    </row>
    <row r="3631" spans="2:15" x14ac:dyDescent="0.3">
      <c r="B3631" s="10"/>
      <c r="I3631" s="11"/>
      <c r="K3631" s="12"/>
      <c r="L3631" s="12"/>
      <c r="M3631" s="12"/>
      <c r="N3631" s="12"/>
      <c r="O3631" s="12"/>
    </row>
    <row r="3632" spans="2:15" x14ac:dyDescent="0.3">
      <c r="B3632" s="10"/>
      <c r="I3632" s="11"/>
      <c r="K3632" s="12"/>
      <c r="L3632" s="12"/>
      <c r="M3632" s="12"/>
      <c r="N3632" s="12"/>
      <c r="O3632" s="12"/>
    </row>
    <row r="3633" spans="2:15" x14ac:dyDescent="0.3">
      <c r="B3633" s="10"/>
      <c r="I3633" s="11"/>
      <c r="K3633" s="12"/>
      <c r="L3633" s="12"/>
      <c r="M3633" s="12"/>
      <c r="N3633" s="12"/>
      <c r="O3633" s="12"/>
    </row>
    <row r="3634" spans="2:15" x14ac:dyDescent="0.3">
      <c r="B3634" s="10"/>
      <c r="I3634" s="11"/>
      <c r="K3634" s="12"/>
      <c r="L3634" s="12"/>
      <c r="M3634" s="12"/>
      <c r="N3634" s="12"/>
      <c r="O3634" s="12"/>
    </row>
    <row r="3635" spans="2:15" x14ac:dyDescent="0.3">
      <c r="B3635" s="10"/>
      <c r="I3635" s="11"/>
      <c r="K3635" s="12"/>
      <c r="L3635" s="12"/>
      <c r="M3635" s="12"/>
      <c r="N3635" s="12"/>
      <c r="O3635" s="12"/>
    </row>
    <row r="3636" spans="2:15" x14ac:dyDescent="0.3">
      <c r="B3636" s="10"/>
      <c r="I3636" s="11"/>
      <c r="K3636" s="12"/>
      <c r="L3636" s="12"/>
      <c r="M3636" s="12"/>
      <c r="N3636" s="12"/>
      <c r="O3636" s="12"/>
    </row>
    <row r="3637" spans="2:15" x14ac:dyDescent="0.3">
      <c r="B3637" s="10"/>
      <c r="I3637" s="11"/>
      <c r="K3637" s="12"/>
      <c r="L3637" s="12"/>
      <c r="M3637" s="12"/>
      <c r="N3637" s="12"/>
      <c r="O3637" s="12"/>
    </row>
    <row r="3638" spans="2:15" x14ac:dyDescent="0.3">
      <c r="B3638" s="10"/>
      <c r="I3638" s="11"/>
      <c r="K3638" s="12"/>
      <c r="L3638" s="12"/>
      <c r="M3638" s="12"/>
      <c r="N3638" s="12"/>
      <c r="O3638" s="12"/>
    </row>
    <row r="3639" spans="2:15" x14ac:dyDescent="0.3">
      <c r="B3639" s="10"/>
      <c r="I3639" s="11"/>
      <c r="K3639" s="12"/>
      <c r="L3639" s="12"/>
      <c r="M3639" s="12"/>
      <c r="N3639" s="12"/>
      <c r="O3639" s="12"/>
    </row>
    <row r="3640" spans="2:15" x14ac:dyDescent="0.3">
      <c r="B3640" s="10"/>
      <c r="I3640" s="11"/>
      <c r="K3640" s="12"/>
      <c r="L3640" s="12"/>
      <c r="M3640" s="12"/>
      <c r="N3640" s="12"/>
      <c r="O3640" s="12"/>
    </row>
    <row r="3641" spans="2:15" x14ac:dyDescent="0.3">
      <c r="B3641" s="10"/>
      <c r="I3641" s="11"/>
      <c r="K3641" s="12"/>
      <c r="L3641" s="12"/>
      <c r="M3641" s="12"/>
      <c r="N3641" s="12"/>
      <c r="O3641" s="12"/>
    </row>
    <row r="3642" spans="2:15" x14ac:dyDescent="0.3">
      <c r="B3642" s="10"/>
      <c r="I3642" s="11"/>
      <c r="K3642" s="12"/>
      <c r="L3642" s="12"/>
      <c r="M3642" s="12"/>
      <c r="N3642" s="12"/>
      <c r="O3642" s="12"/>
    </row>
    <row r="3643" spans="2:15" x14ac:dyDescent="0.3">
      <c r="B3643" s="10"/>
      <c r="I3643" s="11"/>
      <c r="K3643" s="12"/>
      <c r="L3643" s="12"/>
      <c r="M3643" s="12"/>
      <c r="N3643" s="12"/>
      <c r="O3643" s="12"/>
    </row>
    <row r="3644" spans="2:15" x14ac:dyDescent="0.3">
      <c r="B3644" s="10"/>
      <c r="I3644" s="11"/>
      <c r="K3644" s="12"/>
      <c r="L3644" s="12"/>
      <c r="M3644" s="12"/>
      <c r="N3644" s="12"/>
      <c r="O3644" s="12"/>
    </row>
    <row r="3645" spans="2:15" x14ac:dyDescent="0.3">
      <c r="B3645" s="10"/>
      <c r="I3645" s="11"/>
      <c r="K3645" s="12"/>
      <c r="L3645" s="12"/>
      <c r="M3645" s="12"/>
      <c r="N3645" s="12"/>
      <c r="O3645" s="12"/>
    </row>
    <row r="3646" spans="2:15" x14ac:dyDescent="0.3">
      <c r="B3646" s="10"/>
      <c r="I3646" s="11"/>
      <c r="K3646" s="12"/>
      <c r="L3646" s="12"/>
      <c r="M3646" s="12"/>
      <c r="N3646" s="12"/>
      <c r="O3646" s="12"/>
    </row>
    <row r="3647" spans="2:15" x14ac:dyDescent="0.3">
      <c r="B3647" s="10"/>
      <c r="I3647" s="11"/>
      <c r="K3647" s="12"/>
      <c r="L3647" s="12"/>
      <c r="M3647" s="12"/>
      <c r="N3647" s="12"/>
      <c r="O3647" s="12"/>
    </row>
    <row r="3648" spans="2:15" x14ac:dyDescent="0.3">
      <c r="B3648" s="10"/>
      <c r="I3648" s="11"/>
      <c r="K3648" s="12"/>
      <c r="L3648" s="12"/>
      <c r="M3648" s="12"/>
      <c r="N3648" s="12"/>
      <c r="O3648" s="12"/>
    </row>
    <row r="3649" spans="2:15" x14ac:dyDescent="0.3">
      <c r="B3649" s="10"/>
      <c r="I3649" s="11"/>
      <c r="K3649" s="12"/>
      <c r="L3649" s="12"/>
      <c r="M3649" s="12"/>
      <c r="N3649" s="12"/>
      <c r="O3649" s="12"/>
    </row>
    <row r="3650" spans="2:15" x14ac:dyDescent="0.3">
      <c r="B3650" s="10"/>
      <c r="I3650" s="11"/>
      <c r="K3650" s="12"/>
      <c r="L3650" s="12"/>
      <c r="M3650" s="12"/>
      <c r="N3650" s="12"/>
      <c r="O3650" s="12"/>
    </row>
    <row r="3651" spans="2:15" x14ac:dyDescent="0.3">
      <c r="B3651" s="10"/>
      <c r="I3651" s="11"/>
      <c r="K3651" s="12"/>
      <c r="L3651" s="12"/>
      <c r="M3651" s="12"/>
      <c r="N3651" s="12"/>
      <c r="O3651" s="12"/>
    </row>
    <row r="3652" spans="2:15" x14ac:dyDescent="0.3">
      <c r="B3652" s="10"/>
      <c r="I3652" s="11"/>
      <c r="K3652" s="12"/>
      <c r="L3652" s="12"/>
      <c r="M3652" s="12"/>
      <c r="N3652" s="12"/>
      <c r="O3652" s="12"/>
    </row>
    <row r="3653" spans="2:15" x14ac:dyDescent="0.3">
      <c r="B3653" s="10"/>
      <c r="I3653" s="11"/>
      <c r="K3653" s="12"/>
      <c r="L3653" s="12"/>
      <c r="M3653" s="12"/>
      <c r="N3653" s="12"/>
      <c r="O3653" s="12"/>
    </row>
    <row r="3654" spans="2:15" x14ac:dyDescent="0.3">
      <c r="B3654" s="10"/>
      <c r="I3654" s="11"/>
      <c r="K3654" s="12"/>
      <c r="L3654" s="12"/>
      <c r="M3654" s="12"/>
      <c r="N3654" s="12"/>
      <c r="O3654" s="12"/>
    </row>
    <row r="3655" spans="2:15" x14ac:dyDescent="0.3">
      <c r="B3655" s="10"/>
      <c r="I3655" s="11"/>
      <c r="K3655" s="12"/>
      <c r="L3655" s="12"/>
      <c r="M3655" s="12"/>
      <c r="N3655" s="12"/>
      <c r="O3655" s="12"/>
    </row>
    <row r="3656" spans="2:15" x14ac:dyDescent="0.3">
      <c r="B3656" s="10"/>
      <c r="I3656" s="11"/>
      <c r="K3656" s="12"/>
      <c r="L3656" s="12"/>
      <c r="M3656" s="12"/>
      <c r="N3656" s="12"/>
      <c r="O3656" s="12"/>
    </row>
    <row r="3657" spans="2:15" x14ac:dyDescent="0.3">
      <c r="B3657" s="10"/>
      <c r="I3657" s="11"/>
      <c r="K3657" s="12"/>
      <c r="L3657" s="12"/>
      <c r="M3657" s="12"/>
      <c r="N3657" s="12"/>
      <c r="O3657" s="12"/>
    </row>
    <row r="3658" spans="2:15" x14ac:dyDescent="0.3">
      <c r="B3658" s="10"/>
      <c r="I3658" s="11"/>
      <c r="K3658" s="12"/>
      <c r="L3658" s="12"/>
      <c r="M3658" s="12"/>
      <c r="N3658" s="12"/>
      <c r="O3658" s="12"/>
    </row>
    <row r="3659" spans="2:15" x14ac:dyDescent="0.3">
      <c r="B3659" s="10"/>
      <c r="I3659" s="11"/>
      <c r="K3659" s="12"/>
      <c r="L3659" s="12"/>
      <c r="M3659" s="12"/>
      <c r="N3659" s="12"/>
      <c r="O3659" s="12"/>
    </row>
    <row r="3660" spans="2:15" x14ac:dyDescent="0.3">
      <c r="B3660" s="10"/>
      <c r="I3660" s="11"/>
      <c r="K3660" s="12"/>
      <c r="L3660" s="12"/>
      <c r="M3660" s="12"/>
      <c r="N3660" s="12"/>
      <c r="O3660" s="12"/>
    </row>
    <row r="3661" spans="2:15" x14ac:dyDescent="0.3">
      <c r="B3661" s="10"/>
      <c r="I3661" s="11"/>
      <c r="K3661" s="12"/>
      <c r="L3661" s="12"/>
      <c r="M3661" s="12"/>
      <c r="N3661" s="12"/>
      <c r="O3661" s="12"/>
    </row>
    <row r="3662" spans="2:15" x14ac:dyDescent="0.3">
      <c r="B3662" s="10"/>
      <c r="I3662" s="11"/>
      <c r="K3662" s="12"/>
      <c r="L3662" s="12"/>
      <c r="M3662" s="12"/>
      <c r="N3662" s="12"/>
      <c r="O3662" s="12"/>
    </row>
    <row r="3663" spans="2:15" x14ac:dyDescent="0.3">
      <c r="B3663" s="10"/>
      <c r="I3663" s="11"/>
      <c r="K3663" s="12"/>
      <c r="L3663" s="12"/>
      <c r="M3663" s="12"/>
      <c r="N3663" s="12"/>
      <c r="O3663" s="12"/>
    </row>
    <row r="3664" spans="2:15" x14ac:dyDescent="0.3">
      <c r="B3664" s="10"/>
      <c r="I3664" s="11"/>
      <c r="K3664" s="12"/>
      <c r="L3664" s="12"/>
      <c r="M3664" s="12"/>
      <c r="N3664" s="12"/>
      <c r="O3664" s="12"/>
    </row>
    <row r="3665" spans="2:15" x14ac:dyDescent="0.3">
      <c r="B3665" s="10"/>
      <c r="I3665" s="11"/>
      <c r="K3665" s="12"/>
      <c r="L3665" s="12"/>
      <c r="M3665" s="12"/>
      <c r="N3665" s="12"/>
      <c r="O3665" s="12"/>
    </row>
    <row r="3666" spans="2:15" x14ac:dyDescent="0.3">
      <c r="B3666" s="10"/>
      <c r="I3666" s="11"/>
      <c r="K3666" s="12"/>
      <c r="L3666" s="12"/>
      <c r="M3666" s="12"/>
      <c r="N3666" s="12"/>
      <c r="O3666" s="12"/>
    </row>
    <row r="3667" spans="2:15" x14ac:dyDescent="0.3">
      <c r="B3667" s="10"/>
      <c r="I3667" s="11"/>
      <c r="K3667" s="12"/>
      <c r="L3667" s="12"/>
      <c r="M3667" s="12"/>
      <c r="N3667" s="12"/>
      <c r="O3667" s="12"/>
    </row>
    <row r="3668" spans="2:15" x14ac:dyDescent="0.3">
      <c r="B3668" s="10"/>
      <c r="I3668" s="11"/>
      <c r="K3668" s="12"/>
      <c r="L3668" s="12"/>
      <c r="M3668" s="12"/>
      <c r="N3668" s="12"/>
      <c r="O3668" s="12"/>
    </row>
    <row r="3669" spans="2:15" x14ac:dyDescent="0.3">
      <c r="B3669" s="10"/>
      <c r="I3669" s="11"/>
      <c r="K3669" s="12"/>
      <c r="L3669" s="12"/>
      <c r="M3669" s="12"/>
      <c r="N3669" s="12"/>
      <c r="O3669" s="12"/>
    </row>
    <row r="3670" spans="2:15" x14ac:dyDescent="0.3">
      <c r="B3670" s="10"/>
      <c r="I3670" s="11"/>
      <c r="K3670" s="12"/>
      <c r="L3670" s="12"/>
      <c r="M3670" s="12"/>
      <c r="N3670" s="12"/>
      <c r="O3670" s="12"/>
    </row>
    <row r="3671" spans="2:15" x14ac:dyDescent="0.3">
      <c r="B3671" s="10"/>
      <c r="I3671" s="11"/>
      <c r="K3671" s="12"/>
      <c r="L3671" s="12"/>
      <c r="M3671" s="12"/>
      <c r="N3671" s="12"/>
      <c r="O3671" s="12"/>
    </row>
    <row r="3672" spans="2:15" x14ac:dyDescent="0.3">
      <c r="B3672" s="10"/>
      <c r="I3672" s="11"/>
      <c r="K3672" s="12"/>
      <c r="L3672" s="12"/>
      <c r="M3672" s="12"/>
      <c r="N3672" s="12"/>
      <c r="O3672" s="12"/>
    </row>
    <row r="3673" spans="2:15" x14ac:dyDescent="0.3">
      <c r="B3673" s="10"/>
      <c r="I3673" s="11"/>
      <c r="K3673" s="12"/>
      <c r="L3673" s="12"/>
      <c r="M3673" s="12"/>
      <c r="N3673" s="12"/>
      <c r="O3673" s="12"/>
    </row>
    <row r="3674" spans="2:15" x14ac:dyDescent="0.3">
      <c r="B3674" s="10"/>
      <c r="I3674" s="11"/>
      <c r="K3674" s="12"/>
      <c r="L3674" s="12"/>
      <c r="M3674" s="12"/>
      <c r="N3674" s="12"/>
      <c r="O3674" s="12"/>
    </row>
    <row r="3675" spans="2:15" x14ac:dyDescent="0.3">
      <c r="B3675" s="10"/>
      <c r="I3675" s="11"/>
      <c r="K3675" s="12"/>
      <c r="L3675" s="12"/>
      <c r="M3675" s="12"/>
      <c r="N3675" s="12"/>
      <c r="O3675" s="12"/>
    </row>
    <row r="3676" spans="2:15" x14ac:dyDescent="0.3">
      <c r="B3676" s="10"/>
      <c r="I3676" s="11"/>
      <c r="K3676" s="12"/>
      <c r="L3676" s="12"/>
      <c r="M3676" s="12"/>
      <c r="N3676" s="12"/>
      <c r="O3676" s="12"/>
    </row>
    <row r="3677" spans="2:15" x14ac:dyDescent="0.3">
      <c r="B3677" s="10"/>
      <c r="I3677" s="11"/>
      <c r="K3677" s="12"/>
      <c r="L3677" s="12"/>
      <c r="M3677" s="12"/>
      <c r="N3677" s="12"/>
      <c r="O3677" s="12"/>
    </row>
    <row r="3678" spans="2:15" x14ac:dyDescent="0.3">
      <c r="B3678" s="10"/>
      <c r="I3678" s="11"/>
      <c r="K3678" s="12"/>
      <c r="L3678" s="12"/>
      <c r="M3678" s="12"/>
      <c r="N3678" s="12"/>
      <c r="O3678" s="12"/>
    </row>
    <row r="3679" spans="2:15" x14ac:dyDescent="0.3">
      <c r="B3679" s="10"/>
      <c r="I3679" s="11"/>
      <c r="K3679" s="12"/>
      <c r="L3679" s="12"/>
      <c r="M3679" s="12"/>
      <c r="N3679" s="12"/>
      <c r="O3679" s="12"/>
    </row>
    <row r="3680" spans="2:15" x14ac:dyDescent="0.3">
      <c r="B3680" s="10"/>
      <c r="I3680" s="11"/>
      <c r="K3680" s="12"/>
      <c r="L3680" s="12"/>
      <c r="M3680" s="12"/>
      <c r="N3680" s="12"/>
      <c r="O3680" s="12"/>
    </row>
    <row r="3681" spans="2:15" x14ac:dyDescent="0.3">
      <c r="B3681" s="10"/>
      <c r="I3681" s="11"/>
      <c r="K3681" s="12"/>
      <c r="L3681" s="12"/>
      <c r="M3681" s="12"/>
      <c r="N3681" s="12"/>
      <c r="O3681" s="12"/>
    </row>
    <row r="3682" spans="2:15" x14ac:dyDescent="0.3">
      <c r="B3682" s="10"/>
      <c r="I3682" s="11"/>
      <c r="K3682" s="12"/>
      <c r="L3682" s="12"/>
      <c r="M3682" s="12"/>
      <c r="N3682" s="12"/>
      <c r="O3682" s="12"/>
    </row>
    <row r="3683" spans="2:15" x14ac:dyDescent="0.3">
      <c r="B3683" s="10"/>
      <c r="I3683" s="11"/>
      <c r="K3683" s="12"/>
      <c r="L3683" s="12"/>
      <c r="M3683" s="12"/>
      <c r="N3683" s="12"/>
      <c r="O3683" s="12"/>
    </row>
    <row r="3684" spans="2:15" x14ac:dyDescent="0.3">
      <c r="B3684" s="10"/>
      <c r="I3684" s="11"/>
      <c r="K3684" s="12"/>
      <c r="L3684" s="12"/>
      <c r="M3684" s="12"/>
      <c r="N3684" s="12"/>
      <c r="O3684" s="12"/>
    </row>
    <row r="3685" spans="2:15" x14ac:dyDescent="0.3">
      <c r="B3685" s="10"/>
      <c r="I3685" s="11"/>
      <c r="K3685" s="12"/>
      <c r="L3685" s="12"/>
      <c r="M3685" s="12"/>
      <c r="N3685" s="12"/>
      <c r="O3685" s="12"/>
    </row>
    <row r="3686" spans="2:15" x14ac:dyDescent="0.3">
      <c r="B3686" s="10"/>
      <c r="I3686" s="11"/>
      <c r="K3686" s="12"/>
      <c r="L3686" s="12"/>
      <c r="M3686" s="12"/>
      <c r="N3686" s="12"/>
      <c r="O3686" s="12"/>
    </row>
    <row r="3687" spans="2:15" x14ac:dyDescent="0.3">
      <c r="B3687" s="10"/>
      <c r="I3687" s="11"/>
      <c r="K3687" s="12"/>
      <c r="L3687" s="12"/>
      <c r="M3687" s="12"/>
      <c r="N3687" s="12"/>
      <c r="O3687" s="12"/>
    </row>
    <row r="3688" spans="2:15" x14ac:dyDescent="0.3">
      <c r="B3688" s="10"/>
      <c r="I3688" s="11"/>
      <c r="K3688" s="12"/>
      <c r="L3688" s="12"/>
      <c r="M3688" s="12"/>
      <c r="N3688" s="12"/>
      <c r="O3688" s="12"/>
    </row>
    <row r="3689" spans="2:15" x14ac:dyDescent="0.3">
      <c r="B3689" s="10"/>
      <c r="I3689" s="11"/>
      <c r="K3689" s="12"/>
      <c r="L3689" s="12"/>
      <c r="M3689" s="12"/>
      <c r="N3689" s="12"/>
      <c r="O3689" s="12"/>
    </row>
    <row r="3690" spans="2:15" x14ac:dyDescent="0.3">
      <c r="B3690" s="10"/>
      <c r="I3690" s="11"/>
      <c r="K3690" s="12"/>
      <c r="L3690" s="12"/>
      <c r="M3690" s="12"/>
      <c r="N3690" s="12"/>
      <c r="O3690" s="12"/>
    </row>
    <row r="3691" spans="2:15" x14ac:dyDescent="0.3">
      <c r="B3691" s="10"/>
      <c r="I3691" s="11"/>
      <c r="K3691" s="12"/>
      <c r="L3691" s="12"/>
      <c r="M3691" s="12"/>
      <c r="N3691" s="12"/>
      <c r="O3691" s="12"/>
    </row>
    <row r="3692" spans="2:15" x14ac:dyDescent="0.3">
      <c r="B3692" s="10"/>
      <c r="I3692" s="11"/>
      <c r="K3692" s="12"/>
      <c r="L3692" s="12"/>
      <c r="M3692" s="12"/>
      <c r="N3692" s="12"/>
      <c r="O3692" s="12"/>
    </row>
    <row r="3693" spans="2:15" x14ac:dyDescent="0.3">
      <c r="B3693" s="10"/>
      <c r="I3693" s="11"/>
      <c r="K3693" s="12"/>
      <c r="L3693" s="12"/>
      <c r="M3693" s="12"/>
      <c r="N3693" s="12"/>
      <c r="O3693" s="12"/>
    </row>
    <row r="3694" spans="2:15" x14ac:dyDescent="0.3">
      <c r="B3694" s="10"/>
      <c r="I3694" s="11"/>
      <c r="K3694" s="12"/>
      <c r="L3694" s="12"/>
      <c r="M3694" s="12"/>
      <c r="N3694" s="12"/>
      <c r="O3694" s="12"/>
    </row>
    <row r="3695" spans="2:15" x14ac:dyDescent="0.3">
      <c r="B3695" s="10"/>
      <c r="I3695" s="11"/>
      <c r="K3695" s="12"/>
      <c r="L3695" s="12"/>
      <c r="M3695" s="12"/>
      <c r="N3695" s="12"/>
      <c r="O3695" s="12"/>
    </row>
    <row r="3696" spans="2:15" x14ac:dyDescent="0.3">
      <c r="B3696" s="10"/>
      <c r="I3696" s="11"/>
      <c r="K3696" s="12"/>
      <c r="L3696" s="12"/>
      <c r="M3696" s="12"/>
      <c r="N3696" s="12"/>
      <c r="O3696" s="12"/>
    </row>
    <row r="3697" spans="2:15" x14ac:dyDescent="0.3">
      <c r="B3697" s="10"/>
      <c r="I3697" s="11"/>
      <c r="K3697" s="12"/>
      <c r="L3697" s="12"/>
      <c r="M3697" s="12"/>
      <c r="N3697" s="12"/>
      <c r="O3697" s="12"/>
    </row>
    <row r="3698" spans="2:15" x14ac:dyDescent="0.3">
      <c r="B3698" s="10"/>
      <c r="I3698" s="11"/>
      <c r="K3698" s="12"/>
      <c r="L3698" s="12"/>
      <c r="M3698" s="12"/>
      <c r="N3698" s="12"/>
      <c r="O3698" s="12"/>
    </row>
    <row r="3699" spans="2:15" x14ac:dyDescent="0.3">
      <c r="B3699" s="10"/>
      <c r="I3699" s="11"/>
      <c r="K3699" s="12"/>
      <c r="L3699" s="12"/>
      <c r="M3699" s="12"/>
      <c r="N3699" s="12"/>
      <c r="O3699" s="12"/>
    </row>
    <row r="3700" spans="2:15" x14ac:dyDescent="0.3">
      <c r="B3700" s="10"/>
      <c r="I3700" s="11"/>
      <c r="K3700" s="12"/>
      <c r="L3700" s="12"/>
      <c r="M3700" s="12"/>
      <c r="N3700" s="12"/>
      <c r="O3700" s="12"/>
    </row>
    <row r="3701" spans="2:15" x14ac:dyDescent="0.3">
      <c r="B3701" s="10"/>
      <c r="I3701" s="11"/>
      <c r="K3701" s="12"/>
      <c r="L3701" s="12"/>
      <c r="M3701" s="12"/>
      <c r="N3701" s="12"/>
      <c r="O3701" s="12"/>
    </row>
    <row r="3702" spans="2:15" x14ac:dyDescent="0.3">
      <c r="B3702" s="10"/>
      <c r="I3702" s="11"/>
      <c r="K3702" s="12"/>
      <c r="L3702" s="12"/>
      <c r="M3702" s="12"/>
      <c r="N3702" s="12"/>
      <c r="O3702" s="12"/>
    </row>
    <row r="3703" spans="2:15" x14ac:dyDescent="0.3">
      <c r="B3703" s="10"/>
      <c r="I3703" s="11"/>
      <c r="K3703" s="12"/>
      <c r="L3703" s="12"/>
      <c r="M3703" s="12"/>
      <c r="N3703" s="12"/>
      <c r="O3703" s="12"/>
    </row>
    <row r="3704" spans="2:15" x14ac:dyDescent="0.3">
      <c r="B3704" s="10"/>
      <c r="I3704" s="11"/>
      <c r="K3704" s="12"/>
      <c r="L3704" s="12"/>
      <c r="M3704" s="12"/>
      <c r="N3704" s="12"/>
      <c r="O3704" s="12"/>
    </row>
    <row r="3705" spans="2:15" x14ac:dyDescent="0.3">
      <c r="B3705" s="10"/>
      <c r="I3705" s="11"/>
      <c r="K3705" s="12"/>
      <c r="L3705" s="12"/>
      <c r="M3705" s="12"/>
      <c r="N3705" s="12"/>
      <c r="O3705" s="12"/>
    </row>
    <row r="3706" spans="2:15" x14ac:dyDescent="0.3">
      <c r="B3706" s="10"/>
      <c r="I3706" s="11"/>
      <c r="K3706" s="12"/>
      <c r="L3706" s="12"/>
      <c r="M3706" s="12"/>
      <c r="N3706" s="12"/>
      <c r="O3706" s="12"/>
    </row>
    <row r="3707" spans="2:15" x14ac:dyDescent="0.3">
      <c r="B3707" s="10"/>
      <c r="I3707" s="11"/>
      <c r="K3707" s="12"/>
      <c r="L3707" s="12"/>
      <c r="M3707" s="12"/>
      <c r="N3707" s="12"/>
      <c r="O3707" s="12"/>
    </row>
    <row r="3708" spans="2:15" x14ac:dyDescent="0.3">
      <c r="B3708" s="10"/>
      <c r="I3708" s="11"/>
      <c r="K3708" s="12"/>
      <c r="L3708" s="12"/>
      <c r="M3708" s="12"/>
      <c r="N3708" s="12"/>
      <c r="O3708" s="12"/>
    </row>
    <row r="3709" spans="2:15" x14ac:dyDescent="0.3">
      <c r="B3709" s="10"/>
      <c r="I3709" s="11"/>
      <c r="K3709" s="12"/>
      <c r="L3709" s="12"/>
      <c r="M3709" s="12"/>
      <c r="N3709" s="12"/>
      <c r="O3709" s="12"/>
    </row>
    <row r="3710" spans="2:15" x14ac:dyDescent="0.3">
      <c r="B3710" s="10"/>
      <c r="I3710" s="11"/>
      <c r="K3710" s="12"/>
      <c r="L3710" s="12"/>
      <c r="M3710" s="12"/>
      <c r="N3710" s="12"/>
      <c r="O3710" s="12"/>
    </row>
    <row r="3711" spans="2:15" x14ac:dyDescent="0.3">
      <c r="B3711" s="10"/>
      <c r="I3711" s="11"/>
      <c r="K3711" s="12"/>
      <c r="L3711" s="12"/>
      <c r="M3711" s="12"/>
      <c r="N3711" s="12"/>
      <c r="O3711" s="12"/>
    </row>
    <row r="3712" spans="2:15" x14ac:dyDescent="0.3">
      <c r="B3712" s="10"/>
      <c r="I3712" s="11"/>
      <c r="K3712" s="12"/>
      <c r="L3712" s="12"/>
      <c r="M3712" s="12"/>
      <c r="N3712" s="12"/>
      <c r="O3712" s="12"/>
    </row>
    <row r="3713" spans="2:15" x14ac:dyDescent="0.3">
      <c r="B3713" s="10"/>
      <c r="I3713" s="11"/>
      <c r="K3713" s="12"/>
      <c r="L3713" s="12"/>
      <c r="M3713" s="12"/>
      <c r="N3713" s="12"/>
      <c r="O3713" s="12"/>
    </row>
    <row r="3714" spans="2:15" x14ac:dyDescent="0.3">
      <c r="B3714" s="10"/>
      <c r="I3714" s="11"/>
      <c r="K3714" s="12"/>
      <c r="L3714" s="12"/>
      <c r="M3714" s="12"/>
      <c r="N3714" s="12"/>
      <c r="O3714" s="12"/>
    </row>
    <row r="3715" spans="2:15" x14ac:dyDescent="0.3">
      <c r="B3715" s="10"/>
      <c r="I3715" s="11"/>
      <c r="K3715" s="12"/>
      <c r="L3715" s="12"/>
      <c r="M3715" s="12"/>
      <c r="N3715" s="12"/>
      <c r="O3715" s="12"/>
    </row>
    <row r="3716" spans="2:15" x14ac:dyDescent="0.3">
      <c r="B3716" s="10"/>
      <c r="I3716" s="11"/>
      <c r="K3716" s="12"/>
      <c r="L3716" s="12"/>
      <c r="M3716" s="12"/>
      <c r="N3716" s="12"/>
      <c r="O3716" s="12"/>
    </row>
    <row r="3717" spans="2:15" x14ac:dyDescent="0.3">
      <c r="B3717" s="10"/>
      <c r="I3717" s="11"/>
      <c r="K3717" s="12"/>
      <c r="L3717" s="12"/>
      <c r="M3717" s="12"/>
      <c r="N3717" s="12"/>
      <c r="O3717" s="12"/>
    </row>
    <row r="3718" spans="2:15" x14ac:dyDescent="0.3">
      <c r="B3718" s="10"/>
      <c r="I3718" s="11"/>
      <c r="K3718" s="12"/>
      <c r="L3718" s="12"/>
      <c r="M3718" s="12"/>
      <c r="N3718" s="12"/>
      <c r="O3718" s="12"/>
    </row>
    <row r="3719" spans="2:15" x14ac:dyDescent="0.3">
      <c r="B3719" s="10"/>
      <c r="I3719" s="11"/>
      <c r="K3719" s="12"/>
      <c r="L3719" s="12"/>
      <c r="M3719" s="12"/>
      <c r="N3719" s="12"/>
      <c r="O3719" s="12"/>
    </row>
    <row r="3720" spans="2:15" x14ac:dyDescent="0.3">
      <c r="B3720" s="10"/>
      <c r="I3720" s="11"/>
      <c r="K3720" s="12"/>
      <c r="L3720" s="12"/>
      <c r="M3720" s="12"/>
      <c r="N3720" s="12"/>
      <c r="O3720" s="12"/>
    </row>
    <row r="3721" spans="2:15" x14ac:dyDescent="0.3">
      <c r="B3721" s="10"/>
      <c r="I3721" s="11"/>
      <c r="K3721" s="12"/>
      <c r="L3721" s="12"/>
      <c r="M3721" s="12"/>
      <c r="N3721" s="12"/>
      <c r="O3721" s="12"/>
    </row>
    <row r="3722" spans="2:15" x14ac:dyDescent="0.3">
      <c r="B3722" s="10"/>
      <c r="I3722" s="11"/>
      <c r="K3722" s="12"/>
      <c r="L3722" s="12"/>
      <c r="M3722" s="12"/>
      <c r="N3722" s="12"/>
      <c r="O3722" s="12"/>
    </row>
    <row r="3723" spans="2:15" x14ac:dyDescent="0.3">
      <c r="B3723" s="10"/>
      <c r="I3723" s="11"/>
      <c r="K3723" s="12"/>
      <c r="L3723" s="12"/>
      <c r="M3723" s="12"/>
      <c r="N3723" s="12"/>
      <c r="O3723" s="12"/>
    </row>
    <row r="3724" spans="2:15" x14ac:dyDescent="0.3">
      <c r="B3724" s="10"/>
      <c r="I3724" s="11"/>
      <c r="K3724" s="12"/>
      <c r="L3724" s="12"/>
      <c r="M3724" s="12"/>
      <c r="N3724" s="12"/>
      <c r="O3724" s="12"/>
    </row>
    <row r="3725" spans="2:15" x14ac:dyDescent="0.3">
      <c r="B3725" s="10"/>
      <c r="I3725" s="11"/>
      <c r="K3725" s="12"/>
      <c r="L3725" s="12"/>
      <c r="M3725" s="12"/>
      <c r="N3725" s="12"/>
      <c r="O3725" s="12"/>
    </row>
    <row r="3726" spans="2:15" x14ac:dyDescent="0.3">
      <c r="B3726" s="10"/>
      <c r="I3726" s="11"/>
      <c r="K3726" s="12"/>
      <c r="L3726" s="12"/>
      <c r="M3726" s="12"/>
      <c r="N3726" s="12"/>
      <c r="O3726" s="12"/>
    </row>
    <row r="3727" spans="2:15" x14ac:dyDescent="0.3">
      <c r="B3727" s="10"/>
      <c r="I3727" s="11"/>
      <c r="K3727" s="12"/>
      <c r="L3727" s="12"/>
      <c r="M3727" s="12"/>
      <c r="N3727" s="12"/>
      <c r="O3727" s="12"/>
    </row>
    <row r="3728" spans="2:15" x14ac:dyDescent="0.3">
      <c r="B3728" s="10"/>
      <c r="I3728" s="11"/>
      <c r="K3728" s="12"/>
      <c r="L3728" s="12"/>
      <c r="M3728" s="12"/>
      <c r="N3728" s="12"/>
      <c r="O3728" s="12"/>
    </row>
    <row r="3729" spans="2:15" x14ac:dyDescent="0.3">
      <c r="B3729" s="10"/>
      <c r="I3729" s="11"/>
      <c r="K3729" s="12"/>
      <c r="L3729" s="12"/>
      <c r="M3729" s="12"/>
      <c r="N3729" s="12"/>
      <c r="O3729" s="12"/>
    </row>
    <row r="3730" spans="2:15" x14ac:dyDescent="0.3">
      <c r="B3730" s="10"/>
      <c r="I3730" s="11"/>
      <c r="K3730" s="12"/>
      <c r="L3730" s="12"/>
      <c r="M3730" s="12"/>
      <c r="N3730" s="12"/>
      <c r="O3730" s="12"/>
    </row>
    <row r="3731" spans="2:15" x14ac:dyDescent="0.3">
      <c r="B3731" s="10"/>
      <c r="I3731" s="11"/>
      <c r="K3731" s="12"/>
      <c r="L3731" s="12"/>
      <c r="M3731" s="12"/>
      <c r="N3731" s="12"/>
      <c r="O3731" s="12"/>
    </row>
    <row r="3732" spans="2:15" x14ac:dyDescent="0.3">
      <c r="B3732" s="10"/>
      <c r="I3732" s="11"/>
      <c r="K3732" s="12"/>
      <c r="L3732" s="12"/>
      <c r="M3732" s="12"/>
      <c r="N3732" s="12"/>
      <c r="O3732" s="12"/>
    </row>
    <row r="3733" spans="2:15" x14ac:dyDescent="0.3">
      <c r="B3733" s="10"/>
      <c r="I3733" s="11"/>
      <c r="K3733" s="12"/>
      <c r="L3733" s="12"/>
      <c r="M3733" s="12"/>
      <c r="N3733" s="12"/>
      <c r="O3733" s="12"/>
    </row>
    <row r="3734" spans="2:15" x14ac:dyDescent="0.3">
      <c r="B3734" s="10"/>
      <c r="I3734" s="11"/>
      <c r="K3734" s="12"/>
      <c r="L3734" s="12"/>
      <c r="M3734" s="12"/>
      <c r="N3734" s="12"/>
      <c r="O3734" s="12"/>
    </row>
    <row r="3735" spans="2:15" x14ac:dyDescent="0.3">
      <c r="B3735" s="10"/>
      <c r="I3735" s="11"/>
      <c r="K3735" s="12"/>
      <c r="L3735" s="12"/>
      <c r="M3735" s="12"/>
      <c r="N3735" s="12"/>
      <c r="O3735" s="12"/>
    </row>
    <row r="3736" spans="2:15" x14ac:dyDescent="0.3">
      <c r="B3736" s="10"/>
      <c r="I3736" s="11"/>
      <c r="K3736" s="12"/>
      <c r="L3736" s="12"/>
      <c r="M3736" s="12"/>
      <c r="N3736" s="12"/>
      <c r="O3736" s="12"/>
    </row>
    <row r="3737" spans="2:15" x14ac:dyDescent="0.3">
      <c r="B3737" s="10"/>
      <c r="I3737" s="11"/>
      <c r="K3737" s="12"/>
      <c r="L3737" s="12"/>
      <c r="M3737" s="12"/>
      <c r="N3737" s="12"/>
      <c r="O3737" s="12"/>
    </row>
    <row r="3738" spans="2:15" x14ac:dyDescent="0.3">
      <c r="B3738" s="10"/>
      <c r="I3738" s="11"/>
      <c r="K3738" s="12"/>
      <c r="L3738" s="12"/>
      <c r="M3738" s="12"/>
      <c r="N3738" s="12"/>
      <c r="O3738" s="12"/>
    </row>
    <row r="3739" spans="2:15" x14ac:dyDescent="0.3">
      <c r="B3739" s="10"/>
      <c r="I3739" s="11"/>
      <c r="K3739" s="12"/>
      <c r="L3739" s="12"/>
      <c r="M3739" s="12"/>
      <c r="N3739" s="12"/>
      <c r="O3739" s="12"/>
    </row>
    <row r="3740" spans="2:15" x14ac:dyDescent="0.3">
      <c r="B3740" s="10"/>
      <c r="I3740" s="11"/>
      <c r="K3740" s="12"/>
      <c r="L3740" s="12"/>
      <c r="M3740" s="12"/>
      <c r="N3740" s="12"/>
      <c r="O3740" s="12"/>
    </row>
    <row r="3741" spans="2:15" x14ac:dyDescent="0.3">
      <c r="B3741" s="10"/>
      <c r="I3741" s="11"/>
      <c r="K3741" s="12"/>
      <c r="L3741" s="12"/>
      <c r="M3741" s="12"/>
      <c r="N3741" s="12"/>
      <c r="O3741" s="12"/>
    </row>
    <row r="3742" spans="2:15" x14ac:dyDescent="0.3">
      <c r="B3742" s="10"/>
      <c r="I3742" s="11"/>
      <c r="K3742" s="12"/>
      <c r="L3742" s="12"/>
      <c r="M3742" s="12"/>
      <c r="N3742" s="12"/>
      <c r="O3742" s="12"/>
    </row>
    <row r="3743" spans="2:15" x14ac:dyDescent="0.3">
      <c r="B3743" s="10"/>
      <c r="I3743" s="11"/>
      <c r="K3743" s="12"/>
      <c r="L3743" s="12"/>
      <c r="M3743" s="12"/>
      <c r="N3743" s="12"/>
      <c r="O3743" s="12"/>
    </row>
    <row r="3744" spans="2:15" x14ac:dyDescent="0.3">
      <c r="B3744" s="10"/>
      <c r="I3744" s="11"/>
      <c r="K3744" s="12"/>
      <c r="L3744" s="12"/>
      <c r="M3744" s="12"/>
      <c r="N3744" s="12"/>
      <c r="O3744" s="12"/>
    </row>
    <row r="3745" spans="2:15" x14ac:dyDescent="0.3">
      <c r="B3745" s="10"/>
      <c r="I3745" s="11"/>
      <c r="K3745" s="12"/>
      <c r="L3745" s="12"/>
      <c r="M3745" s="12"/>
      <c r="N3745" s="12"/>
      <c r="O3745" s="12"/>
    </row>
    <row r="3746" spans="2:15" x14ac:dyDescent="0.3">
      <c r="B3746" s="10"/>
      <c r="I3746" s="11"/>
      <c r="K3746" s="12"/>
      <c r="L3746" s="12"/>
      <c r="M3746" s="12"/>
      <c r="N3746" s="12"/>
      <c r="O3746" s="12"/>
    </row>
    <row r="3747" spans="2:15" x14ac:dyDescent="0.3">
      <c r="B3747" s="10"/>
      <c r="I3747" s="11"/>
      <c r="K3747" s="12"/>
      <c r="L3747" s="12"/>
      <c r="M3747" s="12"/>
      <c r="N3747" s="12"/>
      <c r="O3747" s="12"/>
    </row>
    <row r="3748" spans="2:15" x14ac:dyDescent="0.3">
      <c r="B3748" s="10"/>
      <c r="I3748" s="11"/>
      <c r="K3748" s="12"/>
      <c r="L3748" s="12"/>
      <c r="M3748" s="12"/>
      <c r="N3748" s="12"/>
      <c r="O3748" s="12"/>
    </row>
    <row r="3749" spans="2:15" x14ac:dyDescent="0.3">
      <c r="B3749" s="10"/>
      <c r="I3749" s="11"/>
      <c r="K3749" s="12"/>
      <c r="L3749" s="12"/>
      <c r="M3749" s="12"/>
      <c r="N3749" s="12"/>
      <c r="O3749" s="12"/>
    </row>
    <row r="3750" spans="2:15" x14ac:dyDescent="0.3">
      <c r="B3750" s="10"/>
      <c r="I3750" s="11"/>
      <c r="K3750" s="12"/>
      <c r="L3750" s="12"/>
      <c r="M3750" s="12"/>
      <c r="N3750" s="12"/>
      <c r="O3750" s="12"/>
    </row>
    <row r="3751" spans="2:15" x14ac:dyDescent="0.3">
      <c r="B3751" s="10"/>
      <c r="I3751" s="11"/>
      <c r="K3751" s="12"/>
      <c r="L3751" s="12"/>
      <c r="M3751" s="12"/>
      <c r="N3751" s="12"/>
      <c r="O3751" s="12"/>
    </row>
    <row r="3752" spans="2:15" x14ac:dyDescent="0.3">
      <c r="B3752" s="10"/>
      <c r="I3752" s="11"/>
      <c r="K3752" s="12"/>
      <c r="L3752" s="12"/>
      <c r="M3752" s="12"/>
      <c r="N3752" s="12"/>
      <c r="O3752" s="12"/>
    </row>
    <row r="3753" spans="2:15" x14ac:dyDescent="0.3">
      <c r="B3753" s="10"/>
      <c r="I3753" s="11"/>
      <c r="K3753" s="12"/>
      <c r="L3753" s="12"/>
      <c r="M3753" s="12"/>
      <c r="N3753" s="12"/>
      <c r="O3753" s="12"/>
    </row>
    <row r="3754" spans="2:15" x14ac:dyDescent="0.3">
      <c r="B3754" s="10"/>
      <c r="I3754" s="11"/>
      <c r="K3754" s="12"/>
      <c r="L3754" s="12"/>
      <c r="M3754" s="12"/>
      <c r="N3754" s="12"/>
      <c r="O3754" s="12"/>
    </row>
    <row r="3755" spans="2:15" x14ac:dyDescent="0.3">
      <c r="B3755" s="10"/>
      <c r="I3755" s="11"/>
      <c r="K3755" s="12"/>
      <c r="L3755" s="12"/>
      <c r="M3755" s="12"/>
      <c r="N3755" s="12"/>
      <c r="O3755" s="12"/>
    </row>
    <row r="3756" spans="2:15" x14ac:dyDescent="0.3">
      <c r="B3756" s="10"/>
      <c r="I3756" s="11"/>
      <c r="K3756" s="12"/>
      <c r="L3756" s="12"/>
      <c r="M3756" s="12"/>
      <c r="N3756" s="12"/>
      <c r="O3756" s="12"/>
    </row>
    <row r="3757" spans="2:15" x14ac:dyDescent="0.3">
      <c r="B3757" s="10"/>
      <c r="I3757" s="11"/>
      <c r="K3757" s="12"/>
      <c r="L3757" s="12"/>
      <c r="M3757" s="12"/>
      <c r="N3757" s="12"/>
      <c r="O3757" s="12"/>
    </row>
    <row r="3758" spans="2:15" x14ac:dyDescent="0.3">
      <c r="B3758" s="10"/>
      <c r="I3758" s="11"/>
      <c r="K3758" s="12"/>
      <c r="L3758" s="12"/>
      <c r="M3758" s="12"/>
      <c r="N3758" s="12"/>
      <c r="O3758" s="12"/>
    </row>
    <row r="3759" spans="2:15" x14ac:dyDescent="0.3">
      <c r="B3759" s="10"/>
      <c r="I3759" s="11"/>
      <c r="K3759" s="12"/>
      <c r="L3759" s="12"/>
      <c r="M3759" s="12"/>
      <c r="N3759" s="12"/>
      <c r="O3759" s="12"/>
    </row>
    <row r="3760" spans="2:15" x14ac:dyDescent="0.3">
      <c r="B3760" s="10"/>
      <c r="I3760" s="11"/>
      <c r="K3760" s="12"/>
      <c r="L3760" s="12"/>
      <c r="M3760" s="12"/>
      <c r="N3760" s="12"/>
      <c r="O3760" s="12"/>
    </row>
    <row r="3761" spans="2:15" x14ac:dyDescent="0.3">
      <c r="B3761" s="10"/>
      <c r="I3761" s="11"/>
      <c r="K3761" s="12"/>
      <c r="L3761" s="12"/>
      <c r="M3761" s="12"/>
      <c r="N3761" s="12"/>
      <c r="O3761" s="12"/>
    </row>
    <row r="3762" spans="2:15" x14ac:dyDescent="0.3">
      <c r="B3762" s="10"/>
      <c r="I3762" s="11"/>
      <c r="K3762" s="12"/>
      <c r="L3762" s="12"/>
      <c r="M3762" s="12"/>
      <c r="N3762" s="12"/>
      <c r="O3762" s="12"/>
    </row>
    <row r="3763" spans="2:15" x14ac:dyDescent="0.3">
      <c r="B3763" s="10"/>
      <c r="I3763" s="11"/>
      <c r="K3763" s="12"/>
      <c r="L3763" s="12"/>
      <c r="M3763" s="12"/>
      <c r="N3763" s="12"/>
      <c r="O3763" s="12"/>
    </row>
    <row r="3764" spans="2:15" x14ac:dyDescent="0.3">
      <c r="B3764" s="10"/>
      <c r="I3764" s="11"/>
      <c r="K3764" s="12"/>
      <c r="L3764" s="12"/>
      <c r="M3764" s="12"/>
      <c r="N3764" s="12"/>
      <c r="O3764" s="12"/>
    </row>
    <row r="3765" spans="2:15" x14ac:dyDescent="0.3">
      <c r="B3765" s="10"/>
      <c r="I3765" s="11"/>
      <c r="K3765" s="12"/>
      <c r="L3765" s="12"/>
      <c r="M3765" s="12"/>
      <c r="N3765" s="12"/>
      <c r="O3765" s="12"/>
    </row>
    <row r="3766" spans="2:15" x14ac:dyDescent="0.3">
      <c r="B3766" s="10"/>
      <c r="I3766" s="11"/>
      <c r="K3766" s="12"/>
      <c r="L3766" s="12"/>
      <c r="M3766" s="12"/>
      <c r="N3766" s="12"/>
      <c r="O3766" s="12"/>
    </row>
    <row r="3767" spans="2:15" x14ac:dyDescent="0.3">
      <c r="B3767" s="10"/>
      <c r="I3767" s="11"/>
      <c r="K3767" s="12"/>
      <c r="L3767" s="12"/>
      <c r="M3767" s="12"/>
      <c r="N3767" s="12"/>
      <c r="O3767" s="12"/>
    </row>
    <row r="3768" spans="2:15" x14ac:dyDescent="0.3">
      <c r="B3768" s="10"/>
      <c r="I3768" s="11"/>
      <c r="K3768" s="12"/>
      <c r="L3768" s="12"/>
      <c r="M3768" s="12"/>
      <c r="N3768" s="12"/>
      <c r="O3768" s="12"/>
    </row>
    <row r="3769" spans="2:15" x14ac:dyDescent="0.3">
      <c r="B3769" s="10"/>
      <c r="I3769" s="11"/>
      <c r="K3769" s="12"/>
      <c r="L3769" s="12"/>
      <c r="M3769" s="12"/>
      <c r="N3769" s="12"/>
      <c r="O3769" s="12"/>
    </row>
    <row r="3770" spans="2:15" x14ac:dyDescent="0.3">
      <c r="B3770" s="10"/>
      <c r="I3770" s="11"/>
      <c r="K3770" s="12"/>
      <c r="L3770" s="12"/>
      <c r="M3770" s="12"/>
      <c r="N3770" s="12"/>
      <c r="O3770" s="12"/>
    </row>
    <row r="3771" spans="2:15" x14ac:dyDescent="0.3">
      <c r="B3771" s="10"/>
      <c r="I3771" s="11"/>
      <c r="K3771" s="12"/>
      <c r="L3771" s="12"/>
      <c r="M3771" s="12"/>
      <c r="N3771" s="12"/>
      <c r="O3771" s="12"/>
    </row>
    <row r="3772" spans="2:15" x14ac:dyDescent="0.3">
      <c r="B3772" s="10"/>
      <c r="I3772" s="11"/>
      <c r="K3772" s="12"/>
      <c r="L3772" s="12"/>
      <c r="M3772" s="12"/>
      <c r="N3772" s="12"/>
      <c r="O3772" s="12"/>
    </row>
    <row r="3773" spans="2:15" x14ac:dyDescent="0.3">
      <c r="B3773" s="10"/>
      <c r="I3773" s="11"/>
      <c r="K3773" s="12"/>
      <c r="L3773" s="12"/>
      <c r="M3773" s="12"/>
      <c r="N3773" s="12"/>
      <c r="O3773" s="12"/>
    </row>
    <row r="3774" spans="2:15" x14ac:dyDescent="0.3">
      <c r="B3774" s="10"/>
      <c r="I3774" s="11"/>
      <c r="K3774" s="12"/>
      <c r="L3774" s="12"/>
      <c r="M3774" s="12"/>
      <c r="N3774" s="12"/>
      <c r="O3774" s="12"/>
    </row>
    <row r="3775" spans="2:15" x14ac:dyDescent="0.3">
      <c r="B3775" s="10"/>
      <c r="I3775" s="11"/>
      <c r="K3775" s="12"/>
      <c r="L3775" s="12"/>
      <c r="M3775" s="12"/>
      <c r="N3775" s="12"/>
      <c r="O3775" s="12"/>
    </row>
    <row r="3776" spans="2:15" x14ac:dyDescent="0.3">
      <c r="B3776" s="10"/>
      <c r="I3776" s="11"/>
      <c r="K3776" s="12"/>
      <c r="L3776" s="12"/>
      <c r="M3776" s="12"/>
      <c r="N3776" s="12"/>
      <c r="O3776" s="12"/>
    </row>
    <row r="3777" spans="2:15" x14ac:dyDescent="0.3">
      <c r="B3777" s="10"/>
      <c r="I3777" s="11"/>
      <c r="K3777" s="12"/>
      <c r="L3777" s="12"/>
      <c r="M3777" s="12"/>
      <c r="N3777" s="12"/>
      <c r="O3777" s="12"/>
    </row>
    <row r="3778" spans="2:15" x14ac:dyDescent="0.3">
      <c r="B3778" s="10"/>
      <c r="I3778" s="11"/>
      <c r="K3778" s="12"/>
      <c r="L3778" s="12"/>
      <c r="M3778" s="12"/>
      <c r="N3778" s="12"/>
      <c r="O3778" s="12"/>
    </row>
    <row r="3779" spans="2:15" x14ac:dyDescent="0.3">
      <c r="B3779" s="10"/>
      <c r="I3779" s="11"/>
      <c r="K3779" s="12"/>
      <c r="L3779" s="12"/>
      <c r="M3779" s="12"/>
      <c r="N3779" s="12"/>
      <c r="O3779" s="12"/>
    </row>
    <row r="3780" spans="2:15" x14ac:dyDescent="0.3">
      <c r="B3780" s="10"/>
      <c r="I3780" s="11"/>
      <c r="K3780" s="12"/>
      <c r="L3780" s="12"/>
      <c r="M3780" s="12"/>
      <c r="N3780" s="12"/>
      <c r="O3780" s="12"/>
    </row>
    <row r="3781" spans="2:15" x14ac:dyDescent="0.3">
      <c r="B3781" s="10"/>
      <c r="I3781" s="11"/>
      <c r="K3781" s="12"/>
      <c r="L3781" s="12"/>
      <c r="M3781" s="12"/>
      <c r="N3781" s="12"/>
      <c r="O3781" s="12"/>
    </row>
    <row r="3782" spans="2:15" x14ac:dyDescent="0.3">
      <c r="B3782" s="10"/>
      <c r="I3782" s="11"/>
      <c r="K3782" s="12"/>
      <c r="L3782" s="12"/>
      <c r="M3782" s="12"/>
      <c r="N3782" s="12"/>
      <c r="O3782" s="12"/>
    </row>
    <row r="3783" spans="2:15" x14ac:dyDescent="0.3">
      <c r="B3783" s="10"/>
      <c r="I3783" s="11"/>
      <c r="K3783" s="12"/>
      <c r="L3783" s="12"/>
      <c r="M3783" s="12"/>
      <c r="N3783" s="12"/>
      <c r="O3783" s="12"/>
    </row>
    <row r="3784" spans="2:15" x14ac:dyDescent="0.3">
      <c r="B3784" s="10"/>
      <c r="I3784" s="11"/>
      <c r="K3784" s="12"/>
      <c r="L3784" s="12"/>
      <c r="M3784" s="12"/>
      <c r="N3784" s="12"/>
      <c r="O3784" s="12"/>
    </row>
    <row r="3785" spans="2:15" x14ac:dyDescent="0.3">
      <c r="B3785" s="10"/>
      <c r="I3785" s="11"/>
      <c r="K3785" s="12"/>
      <c r="L3785" s="12"/>
      <c r="M3785" s="12"/>
      <c r="N3785" s="12"/>
      <c r="O3785" s="12"/>
    </row>
    <row r="3786" spans="2:15" x14ac:dyDescent="0.3">
      <c r="B3786" s="10"/>
      <c r="I3786" s="11"/>
      <c r="K3786" s="12"/>
      <c r="L3786" s="12"/>
      <c r="M3786" s="12"/>
      <c r="N3786" s="12"/>
      <c r="O3786" s="12"/>
    </row>
    <row r="3787" spans="2:15" x14ac:dyDescent="0.3">
      <c r="B3787" s="10"/>
      <c r="I3787" s="11"/>
      <c r="K3787" s="12"/>
      <c r="L3787" s="12"/>
      <c r="M3787" s="12"/>
      <c r="N3787" s="12"/>
      <c r="O3787" s="12"/>
    </row>
    <row r="3788" spans="2:15" x14ac:dyDescent="0.3">
      <c r="B3788" s="10"/>
      <c r="I3788" s="11"/>
      <c r="K3788" s="12"/>
      <c r="L3788" s="12"/>
      <c r="M3788" s="12"/>
      <c r="N3788" s="12"/>
      <c r="O3788" s="12"/>
    </row>
    <row r="3789" spans="2:15" x14ac:dyDescent="0.3">
      <c r="B3789" s="10"/>
      <c r="I3789" s="11"/>
      <c r="K3789" s="12"/>
      <c r="L3789" s="12"/>
      <c r="M3789" s="12"/>
      <c r="N3789" s="12"/>
      <c r="O3789" s="12"/>
    </row>
    <row r="3790" spans="2:15" x14ac:dyDescent="0.3">
      <c r="B3790" s="10"/>
      <c r="I3790" s="11"/>
      <c r="K3790" s="12"/>
      <c r="L3790" s="12"/>
      <c r="M3790" s="12"/>
      <c r="N3790" s="12"/>
      <c r="O3790" s="12"/>
    </row>
    <row r="3791" spans="2:15" x14ac:dyDescent="0.3">
      <c r="B3791" s="10"/>
      <c r="I3791" s="11"/>
      <c r="K3791" s="12"/>
      <c r="L3791" s="12"/>
      <c r="M3791" s="12"/>
      <c r="N3791" s="12"/>
      <c r="O3791" s="12"/>
    </row>
    <row r="3792" spans="2:15" x14ac:dyDescent="0.3">
      <c r="B3792" s="10"/>
      <c r="I3792" s="11"/>
      <c r="K3792" s="12"/>
      <c r="L3792" s="12"/>
      <c r="M3792" s="12"/>
      <c r="N3792" s="12"/>
      <c r="O3792" s="12"/>
    </row>
    <row r="3793" spans="2:15" x14ac:dyDescent="0.3">
      <c r="B3793" s="10"/>
      <c r="I3793" s="11"/>
      <c r="K3793" s="12"/>
      <c r="L3793" s="12"/>
      <c r="M3793" s="12"/>
      <c r="N3793" s="12"/>
      <c r="O3793" s="12"/>
    </row>
    <row r="3794" spans="2:15" x14ac:dyDescent="0.3">
      <c r="B3794" s="10"/>
      <c r="I3794" s="11"/>
      <c r="K3794" s="12"/>
      <c r="L3794" s="12"/>
      <c r="M3794" s="12"/>
      <c r="N3794" s="12"/>
      <c r="O3794" s="12"/>
    </row>
    <row r="3795" spans="2:15" x14ac:dyDescent="0.3">
      <c r="B3795" s="10"/>
      <c r="I3795" s="11"/>
      <c r="K3795" s="12"/>
      <c r="L3795" s="12"/>
      <c r="M3795" s="12"/>
      <c r="N3795" s="12"/>
      <c r="O3795" s="12"/>
    </row>
    <row r="3796" spans="2:15" x14ac:dyDescent="0.3">
      <c r="B3796" s="10"/>
      <c r="I3796" s="11"/>
      <c r="K3796" s="12"/>
      <c r="L3796" s="12"/>
      <c r="M3796" s="12"/>
      <c r="N3796" s="12"/>
      <c r="O3796" s="12"/>
    </row>
    <row r="3797" spans="2:15" x14ac:dyDescent="0.3">
      <c r="B3797" s="10"/>
      <c r="I3797" s="11"/>
      <c r="K3797" s="12"/>
      <c r="L3797" s="12"/>
      <c r="M3797" s="12"/>
      <c r="N3797" s="12"/>
      <c r="O3797" s="12"/>
    </row>
    <row r="3798" spans="2:15" x14ac:dyDescent="0.3">
      <c r="B3798" s="10"/>
      <c r="I3798" s="11"/>
      <c r="K3798" s="12"/>
      <c r="L3798" s="12"/>
      <c r="M3798" s="12"/>
      <c r="N3798" s="12"/>
      <c r="O3798" s="12"/>
    </row>
    <row r="3799" spans="2:15" x14ac:dyDescent="0.3">
      <c r="B3799" s="10"/>
      <c r="I3799" s="11"/>
      <c r="K3799" s="12"/>
      <c r="L3799" s="12"/>
      <c r="M3799" s="12"/>
      <c r="N3799" s="12"/>
      <c r="O3799" s="12"/>
    </row>
    <row r="3800" spans="2:15" x14ac:dyDescent="0.3">
      <c r="B3800" s="10"/>
      <c r="I3800" s="11"/>
      <c r="K3800" s="12"/>
      <c r="L3800" s="12"/>
      <c r="M3800" s="12"/>
      <c r="N3800" s="12"/>
      <c r="O3800" s="12"/>
    </row>
    <row r="3801" spans="2:15" x14ac:dyDescent="0.3">
      <c r="B3801" s="10"/>
      <c r="I3801" s="11"/>
      <c r="K3801" s="12"/>
      <c r="L3801" s="12"/>
      <c r="M3801" s="12"/>
      <c r="N3801" s="12"/>
      <c r="O3801" s="12"/>
    </row>
    <row r="3802" spans="2:15" x14ac:dyDescent="0.3">
      <c r="B3802" s="10"/>
      <c r="I3802" s="11"/>
      <c r="K3802" s="12"/>
      <c r="L3802" s="12"/>
      <c r="M3802" s="12"/>
      <c r="N3802" s="12"/>
      <c r="O3802" s="12"/>
    </row>
    <row r="3803" spans="2:15" x14ac:dyDescent="0.3">
      <c r="B3803" s="10"/>
      <c r="I3803" s="11"/>
      <c r="K3803" s="12"/>
      <c r="L3803" s="12"/>
      <c r="M3803" s="12"/>
      <c r="N3803" s="12"/>
      <c r="O3803" s="12"/>
    </row>
    <row r="3804" spans="2:15" x14ac:dyDescent="0.3">
      <c r="B3804" s="10"/>
      <c r="I3804" s="11"/>
      <c r="K3804" s="12"/>
      <c r="L3804" s="12"/>
      <c r="M3804" s="12"/>
      <c r="N3804" s="12"/>
      <c r="O3804" s="12"/>
    </row>
    <row r="3805" spans="2:15" x14ac:dyDescent="0.3">
      <c r="B3805" s="10"/>
      <c r="I3805" s="11"/>
      <c r="K3805" s="12"/>
      <c r="L3805" s="12"/>
      <c r="M3805" s="12"/>
      <c r="N3805" s="12"/>
      <c r="O3805" s="12"/>
    </row>
    <row r="3806" spans="2:15" x14ac:dyDescent="0.3">
      <c r="B3806" s="10"/>
      <c r="I3806" s="11"/>
      <c r="K3806" s="12"/>
      <c r="L3806" s="12"/>
      <c r="M3806" s="12"/>
      <c r="N3806" s="12"/>
      <c r="O3806" s="12"/>
    </row>
    <row r="3807" spans="2:15" x14ac:dyDescent="0.3">
      <c r="B3807" s="10"/>
      <c r="I3807" s="11"/>
      <c r="K3807" s="12"/>
      <c r="L3807" s="12"/>
      <c r="M3807" s="12"/>
      <c r="N3807" s="12"/>
      <c r="O3807" s="12"/>
    </row>
    <row r="3808" spans="2:15" x14ac:dyDescent="0.3">
      <c r="B3808" s="10"/>
      <c r="I3808" s="11"/>
      <c r="K3808" s="12"/>
      <c r="L3808" s="12"/>
      <c r="M3808" s="12"/>
      <c r="N3808" s="12"/>
      <c r="O3808" s="12"/>
    </row>
    <row r="3809" spans="2:15" x14ac:dyDescent="0.3">
      <c r="B3809" s="10"/>
      <c r="I3809" s="11"/>
      <c r="K3809" s="12"/>
      <c r="L3809" s="12"/>
      <c r="M3809" s="12"/>
      <c r="N3809" s="12"/>
      <c r="O3809" s="12"/>
    </row>
    <row r="3810" spans="2:15" x14ac:dyDescent="0.3">
      <c r="B3810" s="10"/>
      <c r="I3810" s="11"/>
      <c r="K3810" s="12"/>
      <c r="L3810" s="12"/>
      <c r="M3810" s="12"/>
      <c r="N3810" s="12"/>
      <c r="O3810" s="12"/>
    </row>
    <row r="3811" spans="2:15" x14ac:dyDescent="0.3">
      <c r="B3811" s="10"/>
      <c r="I3811" s="11"/>
      <c r="K3811" s="12"/>
      <c r="L3811" s="12"/>
      <c r="M3811" s="12"/>
      <c r="N3811" s="12"/>
      <c r="O3811" s="12"/>
    </row>
    <row r="3812" spans="2:15" x14ac:dyDescent="0.3">
      <c r="B3812" s="10"/>
      <c r="I3812" s="11"/>
      <c r="K3812" s="12"/>
      <c r="L3812" s="12"/>
      <c r="M3812" s="12"/>
      <c r="N3812" s="12"/>
      <c r="O3812" s="12"/>
    </row>
    <row r="3813" spans="2:15" x14ac:dyDescent="0.3">
      <c r="B3813" s="10"/>
      <c r="I3813" s="11"/>
      <c r="K3813" s="12"/>
      <c r="L3813" s="12"/>
      <c r="M3813" s="12"/>
      <c r="N3813" s="12"/>
      <c r="O3813" s="12"/>
    </row>
    <row r="3814" spans="2:15" x14ac:dyDescent="0.3">
      <c r="B3814" s="10"/>
      <c r="I3814" s="11"/>
      <c r="K3814" s="12"/>
      <c r="L3814" s="12"/>
      <c r="M3814" s="12"/>
      <c r="N3814" s="12"/>
      <c r="O3814" s="12"/>
    </row>
    <row r="3815" spans="2:15" x14ac:dyDescent="0.3">
      <c r="B3815" s="10"/>
      <c r="I3815" s="11"/>
      <c r="K3815" s="12"/>
      <c r="L3815" s="12"/>
      <c r="M3815" s="12"/>
      <c r="N3815" s="12"/>
      <c r="O3815" s="12"/>
    </row>
    <row r="3816" spans="2:15" x14ac:dyDescent="0.3">
      <c r="B3816" s="10"/>
      <c r="I3816" s="11"/>
      <c r="K3816" s="12"/>
      <c r="L3816" s="12"/>
      <c r="M3816" s="12"/>
      <c r="N3816" s="12"/>
      <c r="O3816" s="12"/>
    </row>
    <row r="3817" spans="2:15" x14ac:dyDescent="0.3">
      <c r="B3817" s="10"/>
      <c r="I3817" s="11"/>
      <c r="K3817" s="12"/>
      <c r="L3817" s="12"/>
      <c r="M3817" s="12"/>
      <c r="N3817" s="12"/>
      <c r="O3817" s="12"/>
    </row>
    <row r="3818" spans="2:15" x14ac:dyDescent="0.3">
      <c r="B3818" s="10"/>
      <c r="I3818" s="11"/>
      <c r="K3818" s="12"/>
      <c r="L3818" s="12"/>
      <c r="M3818" s="12"/>
      <c r="N3818" s="12"/>
      <c r="O3818" s="12"/>
    </row>
    <row r="3819" spans="2:15" x14ac:dyDescent="0.3">
      <c r="B3819" s="10"/>
      <c r="I3819" s="11"/>
      <c r="K3819" s="12"/>
      <c r="L3819" s="12"/>
      <c r="M3819" s="12"/>
      <c r="N3819" s="12"/>
      <c r="O3819" s="12"/>
    </row>
    <row r="3820" spans="2:15" x14ac:dyDescent="0.3">
      <c r="B3820" s="10"/>
      <c r="I3820" s="11"/>
      <c r="K3820" s="12"/>
      <c r="L3820" s="12"/>
      <c r="M3820" s="12"/>
      <c r="N3820" s="12"/>
      <c r="O3820" s="12"/>
    </row>
    <row r="3821" spans="2:15" x14ac:dyDescent="0.3">
      <c r="B3821" s="10"/>
      <c r="I3821" s="11"/>
      <c r="K3821" s="12"/>
      <c r="L3821" s="12"/>
      <c r="M3821" s="12"/>
      <c r="N3821" s="12"/>
      <c r="O3821" s="12"/>
    </row>
    <row r="3822" spans="2:15" x14ac:dyDescent="0.3">
      <c r="B3822" s="10"/>
      <c r="I3822" s="11"/>
      <c r="K3822" s="12"/>
      <c r="L3822" s="12"/>
      <c r="M3822" s="12"/>
      <c r="N3822" s="12"/>
      <c r="O3822" s="12"/>
    </row>
    <row r="3823" spans="2:15" x14ac:dyDescent="0.3">
      <c r="B3823" s="10"/>
      <c r="I3823" s="11"/>
      <c r="K3823" s="12"/>
      <c r="L3823" s="12"/>
      <c r="M3823" s="12"/>
      <c r="N3823" s="12"/>
      <c r="O3823" s="12"/>
    </row>
    <row r="3824" spans="2:15" x14ac:dyDescent="0.3">
      <c r="B3824" s="10"/>
      <c r="I3824" s="11"/>
      <c r="K3824" s="12"/>
      <c r="L3824" s="12"/>
      <c r="M3824" s="12"/>
      <c r="N3824" s="12"/>
      <c r="O3824" s="12"/>
    </row>
    <row r="3825" spans="2:15" x14ac:dyDescent="0.3">
      <c r="B3825" s="10"/>
      <c r="I3825" s="11"/>
      <c r="K3825" s="12"/>
      <c r="L3825" s="12"/>
      <c r="M3825" s="12"/>
      <c r="N3825" s="12"/>
      <c r="O3825" s="12"/>
    </row>
    <row r="3826" spans="2:15" x14ac:dyDescent="0.3">
      <c r="B3826" s="10"/>
      <c r="I3826" s="11"/>
      <c r="K3826" s="12"/>
      <c r="L3826" s="12"/>
      <c r="M3826" s="12"/>
      <c r="N3826" s="12"/>
      <c r="O3826" s="12"/>
    </row>
    <row r="3827" spans="2:15" x14ac:dyDescent="0.3">
      <c r="B3827" s="10"/>
      <c r="I3827" s="11"/>
      <c r="K3827" s="12"/>
      <c r="L3827" s="12"/>
      <c r="M3827" s="12"/>
      <c r="N3827" s="12"/>
      <c r="O3827" s="12"/>
    </row>
    <row r="3828" spans="2:15" x14ac:dyDescent="0.3">
      <c r="B3828" s="10"/>
      <c r="I3828" s="11"/>
      <c r="K3828" s="12"/>
      <c r="L3828" s="12"/>
      <c r="M3828" s="12"/>
      <c r="N3828" s="12"/>
      <c r="O3828" s="12"/>
    </row>
    <row r="3829" spans="2:15" x14ac:dyDescent="0.3">
      <c r="B3829" s="10"/>
      <c r="I3829" s="11"/>
      <c r="K3829" s="12"/>
      <c r="L3829" s="12"/>
      <c r="M3829" s="12"/>
      <c r="N3829" s="12"/>
      <c r="O3829" s="12"/>
    </row>
    <row r="3830" spans="2:15" x14ac:dyDescent="0.3">
      <c r="B3830" s="10"/>
      <c r="I3830" s="11"/>
      <c r="K3830" s="12"/>
      <c r="L3830" s="12"/>
      <c r="M3830" s="12"/>
      <c r="N3830" s="12"/>
      <c r="O3830" s="12"/>
    </row>
    <row r="3831" spans="2:15" x14ac:dyDescent="0.3">
      <c r="B3831" s="10"/>
      <c r="I3831" s="11"/>
      <c r="K3831" s="12"/>
      <c r="L3831" s="12"/>
      <c r="M3831" s="12"/>
      <c r="N3831" s="12"/>
      <c r="O3831" s="12"/>
    </row>
    <row r="3832" spans="2:15" x14ac:dyDescent="0.3">
      <c r="B3832" s="10"/>
      <c r="I3832" s="11"/>
      <c r="K3832" s="12"/>
      <c r="L3832" s="12"/>
      <c r="M3832" s="12"/>
      <c r="N3832" s="12"/>
      <c r="O3832" s="12"/>
    </row>
    <row r="3833" spans="2:15" x14ac:dyDescent="0.3">
      <c r="B3833" s="10"/>
      <c r="I3833" s="11"/>
      <c r="K3833" s="12"/>
      <c r="L3833" s="12"/>
      <c r="M3833" s="12"/>
      <c r="N3833" s="12"/>
      <c r="O3833" s="12"/>
    </row>
    <row r="3834" spans="2:15" x14ac:dyDescent="0.3">
      <c r="B3834" s="10"/>
      <c r="I3834" s="11"/>
      <c r="K3834" s="12"/>
      <c r="L3834" s="12"/>
      <c r="M3834" s="12"/>
      <c r="N3834" s="12"/>
      <c r="O3834" s="12"/>
    </row>
    <row r="3835" spans="2:15" x14ac:dyDescent="0.3">
      <c r="B3835" s="10"/>
      <c r="I3835" s="11"/>
      <c r="K3835" s="12"/>
      <c r="L3835" s="12"/>
      <c r="M3835" s="12"/>
      <c r="N3835" s="12"/>
      <c r="O3835" s="12"/>
    </row>
    <row r="3836" spans="2:15" x14ac:dyDescent="0.3">
      <c r="B3836" s="10"/>
      <c r="I3836" s="11"/>
      <c r="K3836" s="12"/>
      <c r="L3836" s="12"/>
      <c r="M3836" s="12"/>
      <c r="N3836" s="12"/>
      <c r="O3836" s="12"/>
    </row>
    <row r="3837" spans="2:15" x14ac:dyDescent="0.3">
      <c r="B3837" s="10"/>
      <c r="I3837" s="11"/>
      <c r="K3837" s="12"/>
      <c r="L3837" s="12"/>
      <c r="M3837" s="12"/>
      <c r="N3837" s="12"/>
      <c r="O3837" s="12"/>
    </row>
    <row r="3838" spans="2:15" x14ac:dyDescent="0.3">
      <c r="B3838" s="10"/>
      <c r="I3838" s="11"/>
      <c r="K3838" s="12"/>
      <c r="L3838" s="12"/>
      <c r="M3838" s="12"/>
      <c r="N3838" s="12"/>
      <c r="O3838" s="12"/>
    </row>
    <row r="3839" spans="2:15" x14ac:dyDescent="0.3">
      <c r="B3839" s="10"/>
      <c r="I3839" s="11"/>
      <c r="K3839" s="12"/>
      <c r="L3839" s="12"/>
      <c r="M3839" s="12"/>
      <c r="N3839" s="12"/>
      <c r="O3839" s="12"/>
    </row>
    <row r="3840" spans="2:15" x14ac:dyDescent="0.3">
      <c r="B3840" s="10"/>
      <c r="I3840" s="11"/>
      <c r="K3840" s="12"/>
      <c r="L3840" s="12"/>
      <c r="M3840" s="12"/>
      <c r="N3840" s="12"/>
      <c r="O3840" s="12"/>
    </row>
    <row r="3841" spans="2:15" x14ac:dyDescent="0.3">
      <c r="B3841" s="10"/>
      <c r="I3841" s="11"/>
      <c r="K3841" s="12"/>
      <c r="L3841" s="12"/>
      <c r="M3841" s="12"/>
      <c r="N3841" s="12"/>
      <c r="O3841" s="12"/>
    </row>
    <row r="3842" spans="2:15" x14ac:dyDescent="0.3">
      <c r="B3842" s="10"/>
      <c r="I3842" s="11"/>
      <c r="K3842" s="12"/>
      <c r="L3842" s="12"/>
      <c r="M3842" s="12"/>
      <c r="N3842" s="12"/>
      <c r="O3842" s="12"/>
    </row>
    <row r="3843" spans="2:15" x14ac:dyDescent="0.3">
      <c r="B3843" s="10"/>
      <c r="I3843" s="11"/>
      <c r="K3843" s="12"/>
      <c r="L3843" s="12"/>
      <c r="M3843" s="12"/>
      <c r="N3843" s="12"/>
      <c r="O3843" s="12"/>
    </row>
    <row r="3844" spans="2:15" x14ac:dyDescent="0.3">
      <c r="B3844" s="10"/>
      <c r="I3844" s="11"/>
      <c r="K3844" s="12"/>
      <c r="L3844" s="12"/>
      <c r="M3844" s="12"/>
      <c r="N3844" s="12"/>
      <c r="O3844" s="12"/>
    </row>
    <row r="3845" spans="2:15" x14ac:dyDescent="0.3">
      <c r="B3845" s="10"/>
      <c r="I3845" s="11"/>
      <c r="K3845" s="12"/>
      <c r="L3845" s="12"/>
      <c r="M3845" s="12"/>
      <c r="N3845" s="12"/>
      <c r="O3845" s="12"/>
    </row>
    <row r="3846" spans="2:15" x14ac:dyDescent="0.3">
      <c r="B3846" s="10"/>
      <c r="I3846" s="11"/>
      <c r="K3846" s="12"/>
      <c r="L3846" s="12"/>
      <c r="M3846" s="12"/>
      <c r="N3846" s="12"/>
      <c r="O3846" s="12"/>
    </row>
    <row r="3847" spans="2:15" x14ac:dyDescent="0.3">
      <c r="B3847" s="10"/>
      <c r="I3847" s="11"/>
      <c r="K3847" s="12"/>
      <c r="L3847" s="12"/>
      <c r="M3847" s="12"/>
      <c r="N3847" s="12"/>
      <c r="O3847" s="12"/>
    </row>
    <row r="3848" spans="2:15" x14ac:dyDescent="0.3">
      <c r="B3848" s="10"/>
      <c r="I3848" s="11"/>
      <c r="K3848" s="12"/>
      <c r="L3848" s="12"/>
      <c r="M3848" s="12"/>
      <c r="N3848" s="12"/>
      <c r="O3848" s="12"/>
    </row>
    <row r="3849" spans="2:15" x14ac:dyDescent="0.3">
      <c r="B3849" s="10"/>
      <c r="I3849" s="11"/>
      <c r="K3849" s="12"/>
      <c r="L3849" s="12"/>
      <c r="M3849" s="12"/>
      <c r="N3849" s="12"/>
      <c r="O3849" s="12"/>
    </row>
    <row r="3850" spans="2:15" x14ac:dyDescent="0.3">
      <c r="B3850" s="10"/>
      <c r="I3850" s="11"/>
      <c r="K3850" s="12"/>
      <c r="L3850" s="12"/>
      <c r="M3850" s="12"/>
      <c r="N3850" s="12"/>
      <c r="O3850" s="12"/>
    </row>
    <row r="3851" spans="2:15" x14ac:dyDescent="0.3">
      <c r="B3851" s="10"/>
      <c r="I3851" s="11"/>
      <c r="K3851" s="12"/>
      <c r="L3851" s="12"/>
      <c r="M3851" s="12"/>
      <c r="N3851" s="12"/>
      <c r="O3851" s="12"/>
    </row>
    <row r="3852" spans="2:15" x14ac:dyDescent="0.3">
      <c r="B3852" s="10"/>
      <c r="I3852" s="11"/>
      <c r="K3852" s="12"/>
      <c r="L3852" s="12"/>
      <c r="M3852" s="12"/>
      <c r="N3852" s="12"/>
      <c r="O3852" s="12"/>
    </row>
    <row r="3853" spans="2:15" x14ac:dyDescent="0.3">
      <c r="B3853" s="10"/>
      <c r="I3853" s="11"/>
      <c r="K3853" s="12"/>
      <c r="L3853" s="12"/>
      <c r="M3853" s="12"/>
      <c r="N3853" s="12"/>
      <c r="O3853" s="12"/>
    </row>
    <row r="3854" spans="2:15" x14ac:dyDescent="0.3">
      <c r="B3854" s="10"/>
      <c r="I3854" s="11"/>
      <c r="K3854" s="12"/>
      <c r="L3854" s="12"/>
      <c r="M3854" s="12"/>
      <c r="N3854" s="12"/>
      <c r="O3854" s="12"/>
    </row>
    <row r="3855" spans="2:15" x14ac:dyDescent="0.3">
      <c r="B3855" s="10"/>
      <c r="I3855" s="11"/>
      <c r="K3855" s="12"/>
      <c r="L3855" s="12"/>
      <c r="M3855" s="12"/>
      <c r="N3855" s="12"/>
      <c r="O3855" s="12"/>
    </row>
    <row r="3856" spans="2:15" x14ac:dyDescent="0.3">
      <c r="B3856" s="10"/>
      <c r="I3856" s="11"/>
      <c r="K3856" s="12"/>
      <c r="L3856" s="12"/>
      <c r="M3856" s="12"/>
      <c r="N3856" s="12"/>
      <c r="O3856" s="12"/>
    </row>
    <row r="3857" spans="2:15" x14ac:dyDescent="0.3">
      <c r="B3857" s="10"/>
      <c r="I3857" s="11"/>
      <c r="K3857" s="12"/>
      <c r="L3857" s="12"/>
      <c r="M3857" s="12"/>
      <c r="N3857" s="12"/>
      <c r="O3857" s="12"/>
    </row>
    <row r="3858" spans="2:15" x14ac:dyDescent="0.3">
      <c r="B3858" s="10"/>
      <c r="I3858" s="11"/>
      <c r="K3858" s="12"/>
      <c r="L3858" s="12"/>
      <c r="M3858" s="12"/>
      <c r="N3858" s="12"/>
      <c r="O3858" s="12"/>
    </row>
    <row r="3859" spans="2:15" x14ac:dyDescent="0.3">
      <c r="B3859" s="10"/>
      <c r="I3859" s="11"/>
      <c r="K3859" s="12"/>
      <c r="L3859" s="12"/>
      <c r="M3859" s="12"/>
      <c r="N3859" s="12"/>
      <c r="O3859" s="12"/>
    </row>
    <row r="3860" spans="2:15" x14ac:dyDescent="0.3">
      <c r="B3860" s="10"/>
      <c r="I3860" s="11"/>
      <c r="K3860" s="12"/>
      <c r="L3860" s="12"/>
      <c r="M3860" s="12"/>
      <c r="N3860" s="12"/>
      <c r="O3860" s="12"/>
    </row>
    <row r="3861" spans="2:15" x14ac:dyDescent="0.3">
      <c r="B3861" s="10"/>
      <c r="I3861" s="11"/>
      <c r="K3861" s="12"/>
      <c r="L3861" s="12"/>
      <c r="M3861" s="12"/>
      <c r="N3861" s="12"/>
      <c r="O3861" s="12"/>
    </row>
    <row r="3862" spans="2:15" x14ac:dyDescent="0.3">
      <c r="B3862" s="10"/>
      <c r="I3862" s="11"/>
      <c r="K3862" s="12"/>
      <c r="L3862" s="12"/>
      <c r="M3862" s="12"/>
      <c r="N3862" s="12"/>
      <c r="O3862" s="12"/>
    </row>
    <row r="3863" spans="2:15" x14ac:dyDescent="0.3">
      <c r="B3863" s="10"/>
      <c r="I3863" s="11"/>
      <c r="K3863" s="12"/>
      <c r="L3863" s="12"/>
      <c r="M3863" s="12"/>
      <c r="N3863" s="12"/>
      <c r="O3863" s="12"/>
    </row>
    <row r="3864" spans="2:15" x14ac:dyDescent="0.3">
      <c r="B3864" s="10"/>
      <c r="I3864" s="11"/>
      <c r="K3864" s="12"/>
      <c r="L3864" s="12"/>
      <c r="M3864" s="12"/>
      <c r="N3864" s="12"/>
      <c r="O3864" s="12"/>
    </row>
    <row r="3865" spans="2:15" x14ac:dyDescent="0.3">
      <c r="B3865" s="10"/>
      <c r="I3865" s="11"/>
      <c r="K3865" s="12"/>
      <c r="L3865" s="12"/>
      <c r="M3865" s="12"/>
      <c r="N3865" s="12"/>
      <c r="O3865" s="12"/>
    </row>
    <row r="3866" spans="2:15" x14ac:dyDescent="0.3">
      <c r="B3866" s="10"/>
      <c r="I3866" s="11"/>
      <c r="K3866" s="12"/>
      <c r="L3866" s="12"/>
      <c r="M3866" s="12"/>
      <c r="N3866" s="12"/>
      <c r="O3866" s="12"/>
    </row>
    <row r="3867" spans="2:15" x14ac:dyDescent="0.3">
      <c r="B3867" s="10"/>
      <c r="I3867" s="11"/>
      <c r="K3867" s="12"/>
      <c r="L3867" s="12"/>
      <c r="M3867" s="12"/>
      <c r="N3867" s="12"/>
      <c r="O3867" s="12"/>
    </row>
    <row r="3868" spans="2:15" x14ac:dyDescent="0.3">
      <c r="B3868" s="10"/>
      <c r="I3868" s="11"/>
      <c r="K3868" s="12"/>
      <c r="L3868" s="12"/>
      <c r="M3868" s="12"/>
      <c r="N3868" s="12"/>
      <c r="O3868" s="12"/>
    </row>
    <row r="3869" spans="2:15" x14ac:dyDescent="0.3">
      <c r="B3869" s="10"/>
      <c r="I3869" s="11"/>
      <c r="K3869" s="12"/>
      <c r="L3869" s="12"/>
      <c r="M3869" s="12"/>
      <c r="N3869" s="12"/>
      <c r="O3869" s="12"/>
    </row>
    <row r="3870" spans="2:15" x14ac:dyDescent="0.3">
      <c r="B3870" s="10"/>
      <c r="I3870" s="11"/>
      <c r="K3870" s="12"/>
      <c r="L3870" s="12"/>
      <c r="M3870" s="12"/>
      <c r="N3870" s="12"/>
      <c r="O3870" s="12"/>
    </row>
    <row r="3871" spans="2:15" x14ac:dyDescent="0.3">
      <c r="B3871" s="10"/>
      <c r="I3871" s="11"/>
      <c r="K3871" s="12"/>
      <c r="L3871" s="12"/>
      <c r="M3871" s="12"/>
      <c r="N3871" s="12"/>
      <c r="O3871" s="12"/>
    </row>
    <row r="3872" spans="2:15" x14ac:dyDescent="0.3">
      <c r="B3872" s="10"/>
      <c r="I3872" s="11"/>
      <c r="K3872" s="12"/>
      <c r="L3872" s="12"/>
      <c r="M3872" s="12"/>
      <c r="N3872" s="12"/>
      <c r="O3872" s="12"/>
    </row>
    <row r="3873" spans="2:15" x14ac:dyDescent="0.3">
      <c r="B3873" s="10"/>
      <c r="I3873" s="11"/>
      <c r="K3873" s="12"/>
      <c r="L3873" s="12"/>
      <c r="M3873" s="12"/>
      <c r="N3873" s="12"/>
      <c r="O3873" s="12"/>
    </row>
    <row r="3874" spans="2:15" x14ac:dyDescent="0.3">
      <c r="B3874" s="10"/>
      <c r="I3874" s="11"/>
      <c r="K3874" s="12"/>
      <c r="L3874" s="12"/>
      <c r="M3874" s="12"/>
      <c r="N3874" s="12"/>
      <c r="O3874" s="12"/>
    </row>
    <row r="3875" spans="2:15" x14ac:dyDescent="0.3">
      <c r="B3875" s="10"/>
      <c r="I3875" s="11"/>
      <c r="K3875" s="12"/>
      <c r="L3875" s="12"/>
      <c r="M3875" s="12"/>
      <c r="N3875" s="12"/>
      <c r="O3875" s="12"/>
    </row>
    <row r="3876" spans="2:15" x14ac:dyDescent="0.3">
      <c r="B3876" s="10"/>
      <c r="I3876" s="11"/>
      <c r="K3876" s="12"/>
      <c r="L3876" s="12"/>
      <c r="M3876" s="12"/>
      <c r="N3876" s="12"/>
      <c r="O3876" s="12"/>
    </row>
    <row r="3877" spans="2:15" x14ac:dyDescent="0.3">
      <c r="B3877" s="10"/>
      <c r="I3877" s="11"/>
      <c r="K3877" s="12"/>
      <c r="L3877" s="12"/>
      <c r="M3877" s="12"/>
      <c r="N3877" s="12"/>
      <c r="O3877" s="12"/>
    </row>
    <row r="3878" spans="2:15" x14ac:dyDescent="0.3">
      <c r="B3878" s="10"/>
      <c r="I3878" s="11"/>
      <c r="K3878" s="12"/>
      <c r="L3878" s="12"/>
      <c r="M3878" s="12"/>
      <c r="N3878" s="12"/>
      <c r="O3878" s="12"/>
    </row>
    <row r="3879" spans="2:15" x14ac:dyDescent="0.3">
      <c r="B3879" s="10"/>
      <c r="I3879" s="11"/>
      <c r="K3879" s="12"/>
      <c r="L3879" s="12"/>
      <c r="M3879" s="12"/>
      <c r="N3879" s="12"/>
      <c r="O3879" s="12"/>
    </row>
    <row r="3880" spans="2:15" x14ac:dyDescent="0.3">
      <c r="B3880" s="10"/>
      <c r="I3880" s="11"/>
      <c r="K3880" s="12"/>
      <c r="L3880" s="12"/>
      <c r="M3880" s="12"/>
      <c r="N3880" s="12"/>
      <c r="O3880" s="12"/>
    </row>
    <row r="3881" spans="2:15" x14ac:dyDescent="0.3">
      <c r="B3881" s="10"/>
      <c r="I3881" s="11"/>
      <c r="K3881" s="12"/>
      <c r="L3881" s="12"/>
      <c r="M3881" s="12"/>
      <c r="N3881" s="12"/>
      <c r="O3881" s="12"/>
    </row>
    <row r="3882" spans="2:15" x14ac:dyDescent="0.3">
      <c r="B3882" s="10"/>
      <c r="I3882" s="11"/>
      <c r="K3882" s="12"/>
      <c r="L3882" s="12"/>
      <c r="M3882" s="12"/>
      <c r="N3882" s="12"/>
      <c r="O3882" s="12"/>
    </row>
    <row r="3883" spans="2:15" x14ac:dyDescent="0.3">
      <c r="B3883" s="10"/>
      <c r="I3883" s="11"/>
      <c r="K3883" s="12"/>
      <c r="L3883" s="12"/>
      <c r="M3883" s="12"/>
      <c r="N3883" s="12"/>
      <c r="O3883" s="12"/>
    </row>
    <row r="3884" spans="2:15" x14ac:dyDescent="0.3">
      <c r="B3884" s="10"/>
      <c r="I3884" s="11"/>
      <c r="K3884" s="12"/>
      <c r="L3884" s="12"/>
      <c r="M3884" s="12"/>
      <c r="N3884" s="12"/>
      <c r="O3884" s="12"/>
    </row>
    <row r="3885" spans="2:15" x14ac:dyDescent="0.3">
      <c r="B3885" s="10"/>
      <c r="I3885" s="11"/>
      <c r="K3885" s="12"/>
      <c r="L3885" s="12"/>
      <c r="M3885" s="12"/>
      <c r="N3885" s="12"/>
      <c r="O3885" s="12"/>
    </row>
    <row r="3886" spans="2:15" x14ac:dyDescent="0.3">
      <c r="B3886" s="10"/>
      <c r="I3886" s="11"/>
      <c r="K3886" s="12"/>
      <c r="L3886" s="12"/>
      <c r="M3886" s="12"/>
      <c r="N3886" s="12"/>
      <c r="O3886" s="12"/>
    </row>
    <row r="3887" spans="2:15" x14ac:dyDescent="0.3">
      <c r="B3887" s="10"/>
      <c r="I3887" s="11"/>
      <c r="K3887" s="12"/>
      <c r="L3887" s="12"/>
      <c r="M3887" s="12"/>
      <c r="N3887" s="12"/>
      <c r="O3887" s="12"/>
    </row>
    <row r="3888" spans="2:15" x14ac:dyDescent="0.3">
      <c r="B3888" s="10"/>
      <c r="I3888" s="11"/>
      <c r="K3888" s="12"/>
      <c r="L3888" s="12"/>
      <c r="M3888" s="12"/>
      <c r="N3888" s="12"/>
      <c r="O3888" s="12"/>
    </row>
    <row r="3889" spans="2:15" x14ac:dyDescent="0.3">
      <c r="B3889" s="10"/>
      <c r="I3889" s="11"/>
      <c r="K3889" s="12"/>
      <c r="L3889" s="12"/>
      <c r="M3889" s="12"/>
      <c r="N3889" s="12"/>
      <c r="O3889" s="12"/>
    </row>
    <row r="3890" spans="2:15" x14ac:dyDescent="0.3">
      <c r="B3890" s="10"/>
      <c r="I3890" s="11"/>
      <c r="K3890" s="12"/>
      <c r="L3890" s="12"/>
      <c r="M3890" s="12"/>
      <c r="N3890" s="12"/>
      <c r="O3890" s="12"/>
    </row>
    <row r="3891" spans="2:15" x14ac:dyDescent="0.3">
      <c r="B3891" s="10"/>
      <c r="I3891" s="11"/>
      <c r="K3891" s="12"/>
      <c r="L3891" s="12"/>
      <c r="M3891" s="12"/>
      <c r="N3891" s="12"/>
      <c r="O3891" s="12"/>
    </row>
    <row r="3892" spans="2:15" x14ac:dyDescent="0.3">
      <c r="B3892" s="10"/>
      <c r="I3892" s="11"/>
      <c r="K3892" s="12"/>
      <c r="L3892" s="12"/>
      <c r="M3892" s="12"/>
      <c r="N3892" s="12"/>
      <c r="O3892" s="12"/>
    </row>
    <row r="3893" spans="2:15" x14ac:dyDescent="0.3">
      <c r="B3893" s="10"/>
      <c r="I3893" s="11"/>
      <c r="K3893" s="12"/>
      <c r="L3893" s="12"/>
      <c r="M3893" s="12"/>
      <c r="N3893" s="12"/>
      <c r="O3893" s="12"/>
    </row>
    <row r="3894" spans="2:15" x14ac:dyDescent="0.3">
      <c r="B3894" s="10"/>
      <c r="I3894" s="11"/>
      <c r="K3894" s="12"/>
      <c r="L3894" s="12"/>
      <c r="M3894" s="12"/>
      <c r="N3894" s="12"/>
      <c r="O3894" s="12"/>
    </row>
    <row r="3895" spans="2:15" x14ac:dyDescent="0.3">
      <c r="B3895" s="10"/>
      <c r="I3895" s="11"/>
      <c r="K3895" s="12"/>
      <c r="L3895" s="12"/>
      <c r="M3895" s="12"/>
      <c r="N3895" s="12"/>
      <c r="O3895" s="12"/>
    </row>
    <row r="3896" spans="2:15" x14ac:dyDescent="0.3">
      <c r="B3896" s="10"/>
      <c r="I3896" s="11"/>
      <c r="K3896" s="12"/>
      <c r="L3896" s="12"/>
      <c r="M3896" s="12"/>
      <c r="N3896" s="12"/>
      <c r="O3896" s="12"/>
    </row>
    <row r="3897" spans="2:15" x14ac:dyDescent="0.3">
      <c r="B3897" s="10"/>
      <c r="I3897" s="11"/>
      <c r="K3897" s="12"/>
      <c r="L3897" s="12"/>
      <c r="M3897" s="12"/>
      <c r="N3897" s="12"/>
      <c r="O3897" s="12"/>
    </row>
    <row r="3898" spans="2:15" x14ac:dyDescent="0.3">
      <c r="B3898" s="10"/>
      <c r="I3898" s="11"/>
      <c r="K3898" s="12"/>
      <c r="L3898" s="12"/>
      <c r="M3898" s="12"/>
      <c r="N3898" s="12"/>
      <c r="O3898" s="12"/>
    </row>
    <row r="3899" spans="2:15" x14ac:dyDescent="0.3">
      <c r="B3899" s="10"/>
      <c r="I3899" s="11"/>
      <c r="K3899" s="12"/>
      <c r="L3899" s="12"/>
      <c r="M3899" s="12"/>
      <c r="N3899" s="12"/>
      <c r="O3899" s="12"/>
    </row>
    <row r="3900" spans="2:15" x14ac:dyDescent="0.3">
      <c r="B3900" s="10"/>
      <c r="I3900" s="11"/>
      <c r="K3900" s="12"/>
      <c r="L3900" s="12"/>
      <c r="M3900" s="12"/>
      <c r="N3900" s="12"/>
      <c r="O3900" s="12"/>
    </row>
    <row r="3901" spans="2:15" x14ac:dyDescent="0.3">
      <c r="B3901" s="10"/>
      <c r="I3901" s="11"/>
      <c r="K3901" s="12"/>
      <c r="L3901" s="12"/>
      <c r="M3901" s="12"/>
      <c r="N3901" s="12"/>
      <c r="O3901" s="12"/>
    </row>
    <row r="3902" spans="2:15" x14ac:dyDescent="0.3">
      <c r="B3902" s="10"/>
      <c r="I3902" s="11"/>
      <c r="K3902" s="12"/>
      <c r="L3902" s="12"/>
      <c r="M3902" s="12"/>
      <c r="N3902" s="12"/>
      <c r="O3902" s="12"/>
    </row>
    <row r="3903" spans="2:15" x14ac:dyDescent="0.3">
      <c r="B3903" s="10"/>
      <c r="I3903" s="11"/>
      <c r="K3903" s="12"/>
      <c r="L3903" s="12"/>
      <c r="M3903" s="12"/>
      <c r="N3903" s="12"/>
      <c r="O3903" s="12"/>
    </row>
    <row r="3904" spans="2:15" x14ac:dyDescent="0.3">
      <c r="B3904" s="10"/>
      <c r="I3904" s="11"/>
      <c r="K3904" s="12"/>
      <c r="L3904" s="12"/>
      <c r="M3904" s="12"/>
      <c r="N3904" s="12"/>
      <c r="O3904" s="12"/>
    </row>
    <row r="3905" spans="2:15" x14ac:dyDescent="0.3">
      <c r="B3905" s="10"/>
      <c r="I3905" s="11"/>
      <c r="K3905" s="12"/>
      <c r="L3905" s="12"/>
      <c r="M3905" s="12"/>
      <c r="N3905" s="12"/>
      <c r="O3905" s="12"/>
    </row>
    <row r="3906" spans="2:15" x14ac:dyDescent="0.3">
      <c r="B3906" s="10"/>
      <c r="I3906" s="11"/>
      <c r="K3906" s="12"/>
      <c r="L3906" s="12"/>
      <c r="M3906" s="12"/>
      <c r="N3906" s="12"/>
      <c r="O3906" s="12"/>
    </row>
    <row r="3907" spans="2:15" x14ac:dyDescent="0.3">
      <c r="B3907" s="10"/>
      <c r="I3907" s="11"/>
      <c r="K3907" s="12"/>
      <c r="L3907" s="12"/>
      <c r="M3907" s="12"/>
      <c r="N3907" s="12"/>
      <c r="O3907" s="12"/>
    </row>
    <row r="3908" spans="2:15" x14ac:dyDescent="0.3">
      <c r="B3908" s="10"/>
      <c r="I3908" s="11"/>
      <c r="K3908" s="12"/>
      <c r="L3908" s="12"/>
      <c r="M3908" s="12"/>
      <c r="N3908" s="12"/>
      <c r="O3908" s="12"/>
    </row>
    <row r="3909" spans="2:15" x14ac:dyDescent="0.3">
      <c r="B3909" s="10"/>
      <c r="I3909" s="11"/>
      <c r="K3909" s="12"/>
      <c r="L3909" s="12"/>
      <c r="M3909" s="12"/>
      <c r="N3909" s="12"/>
      <c r="O3909" s="12"/>
    </row>
    <row r="3910" spans="2:15" x14ac:dyDescent="0.3">
      <c r="B3910" s="10"/>
      <c r="I3910" s="11"/>
      <c r="K3910" s="12"/>
      <c r="L3910" s="12"/>
      <c r="M3910" s="12"/>
      <c r="N3910" s="12"/>
      <c r="O3910" s="12"/>
    </row>
    <row r="3911" spans="2:15" x14ac:dyDescent="0.3">
      <c r="B3911" s="10"/>
      <c r="I3911" s="11"/>
      <c r="K3911" s="12"/>
      <c r="L3911" s="12"/>
      <c r="M3911" s="12"/>
      <c r="N3911" s="12"/>
      <c r="O3911" s="12"/>
    </row>
    <row r="3912" spans="2:15" x14ac:dyDescent="0.3">
      <c r="B3912" s="10"/>
      <c r="I3912" s="11"/>
      <c r="K3912" s="12"/>
      <c r="L3912" s="12"/>
      <c r="M3912" s="12"/>
      <c r="N3912" s="12"/>
      <c r="O3912" s="12"/>
    </row>
    <row r="3913" spans="2:15" x14ac:dyDescent="0.3">
      <c r="B3913" s="10"/>
      <c r="I3913" s="11"/>
      <c r="K3913" s="12"/>
      <c r="L3913" s="12"/>
      <c r="M3913" s="12"/>
      <c r="N3913" s="12"/>
      <c r="O3913" s="12"/>
    </row>
    <row r="3914" spans="2:15" x14ac:dyDescent="0.3">
      <c r="B3914" s="10"/>
      <c r="I3914" s="11"/>
      <c r="K3914" s="12"/>
      <c r="L3914" s="12"/>
      <c r="M3914" s="12"/>
      <c r="N3914" s="12"/>
      <c r="O3914" s="12"/>
    </row>
    <row r="3915" spans="2:15" x14ac:dyDescent="0.3">
      <c r="B3915" s="10"/>
      <c r="I3915" s="11"/>
      <c r="K3915" s="12"/>
      <c r="L3915" s="12"/>
      <c r="M3915" s="12"/>
      <c r="N3915" s="12"/>
      <c r="O3915" s="12"/>
    </row>
    <row r="3916" spans="2:15" x14ac:dyDescent="0.3">
      <c r="B3916" s="10"/>
      <c r="I3916" s="11"/>
      <c r="K3916" s="12"/>
      <c r="L3916" s="12"/>
      <c r="M3916" s="12"/>
      <c r="N3916" s="12"/>
      <c r="O3916" s="12"/>
    </row>
    <row r="3917" spans="2:15" x14ac:dyDescent="0.3">
      <c r="B3917" s="10"/>
      <c r="I3917" s="11"/>
      <c r="K3917" s="12"/>
      <c r="L3917" s="12"/>
      <c r="M3917" s="12"/>
      <c r="N3917" s="12"/>
      <c r="O3917" s="12"/>
    </row>
    <row r="3918" spans="2:15" x14ac:dyDescent="0.3">
      <c r="B3918" s="10"/>
      <c r="I3918" s="11"/>
      <c r="K3918" s="12"/>
      <c r="L3918" s="12"/>
      <c r="M3918" s="12"/>
      <c r="N3918" s="12"/>
      <c r="O3918" s="12"/>
    </row>
    <row r="3919" spans="2:15" x14ac:dyDescent="0.3">
      <c r="B3919" s="10"/>
      <c r="I3919" s="11"/>
      <c r="K3919" s="12"/>
      <c r="L3919" s="12"/>
      <c r="M3919" s="12"/>
      <c r="N3919" s="12"/>
      <c r="O3919" s="12"/>
    </row>
    <row r="3920" spans="2:15" x14ac:dyDescent="0.3">
      <c r="B3920" s="10"/>
      <c r="I3920" s="11"/>
      <c r="K3920" s="12"/>
      <c r="L3920" s="12"/>
      <c r="M3920" s="12"/>
      <c r="N3920" s="12"/>
      <c r="O3920" s="12"/>
    </row>
    <row r="3921" spans="2:15" x14ac:dyDescent="0.3">
      <c r="B3921" s="10"/>
      <c r="I3921" s="11"/>
      <c r="K3921" s="12"/>
      <c r="L3921" s="12"/>
      <c r="M3921" s="12"/>
      <c r="N3921" s="12"/>
      <c r="O3921" s="12"/>
    </row>
    <row r="3922" spans="2:15" x14ac:dyDescent="0.3">
      <c r="B3922" s="10"/>
      <c r="I3922" s="11"/>
      <c r="K3922" s="12"/>
      <c r="L3922" s="12"/>
      <c r="M3922" s="12"/>
      <c r="N3922" s="12"/>
      <c r="O3922" s="12"/>
    </row>
    <row r="3923" spans="2:15" x14ac:dyDescent="0.3">
      <c r="B3923" s="10"/>
      <c r="I3923" s="11"/>
      <c r="K3923" s="12"/>
      <c r="L3923" s="12"/>
      <c r="M3923" s="12"/>
      <c r="N3923" s="12"/>
      <c r="O3923" s="12"/>
    </row>
    <row r="3924" spans="2:15" x14ac:dyDescent="0.3">
      <c r="B3924" s="10"/>
      <c r="I3924" s="11"/>
      <c r="K3924" s="12"/>
      <c r="L3924" s="12"/>
      <c r="M3924" s="12"/>
      <c r="N3924" s="12"/>
      <c r="O3924" s="12"/>
    </row>
    <row r="3925" spans="2:15" x14ac:dyDescent="0.3">
      <c r="B3925" s="10"/>
      <c r="I3925" s="11"/>
      <c r="K3925" s="12"/>
      <c r="L3925" s="12"/>
      <c r="M3925" s="12"/>
      <c r="N3925" s="12"/>
      <c r="O3925" s="12"/>
    </row>
    <row r="3926" spans="2:15" x14ac:dyDescent="0.3">
      <c r="B3926" s="10"/>
      <c r="I3926" s="11"/>
      <c r="K3926" s="12"/>
      <c r="L3926" s="12"/>
      <c r="M3926" s="12"/>
      <c r="N3926" s="12"/>
      <c r="O3926" s="12"/>
    </row>
    <row r="3927" spans="2:15" x14ac:dyDescent="0.3">
      <c r="B3927" s="10"/>
      <c r="I3927" s="11"/>
      <c r="K3927" s="12"/>
      <c r="L3927" s="12"/>
      <c r="M3927" s="12"/>
      <c r="N3927" s="12"/>
      <c r="O3927" s="12"/>
    </row>
    <row r="3928" spans="2:15" x14ac:dyDescent="0.3">
      <c r="B3928" s="10"/>
      <c r="I3928" s="11"/>
      <c r="K3928" s="12"/>
      <c r="L3928" s="12"/>
      <c r="M3928" s="12"/>
      <c r="N3928" s="12"/>
      <c r="O3928" s="12"/>
    </row>
    <row r="3929" spans="2:15" x14ac:dyDescent="0.3">
      <c r="B3929" s="10"/>
      <c r="I3929" s="11"/>
      <c r="K3929" s="12"/>
      <c r="L3929" s="12"/>
      <c r="M3929" s="12"/>
      <c r="N3929" s="12"/>
      <c r="O3929" s="12"/>
    </row>
    <row r="3930" spans="2:15" x14ac:dyDescent="0.3">
      <c r="B3930" s="10"/>
      <c r="I3930" s="11"/>
      <c r="K3930" s="12"/>
      <c r="L3930" s="12"/>
      <c r="M3930" s="12"/>
      <c r="N3930" s="12"/>
      <c r="O3930" s="12"/>
    </row>
    <row r="3931" spans="2:15" x14ac:dyDescent="0.3">
      <c r="B3931" s="10"/>
      <c r="I3931" s="11"/>
      <c r="K3931" s="12"/>
      <c r="L3931" s="12"/>
      <c r="M3931" s="12"/>
      <c r="N3931" s="12"/>
      <c r="O3931" s="12"/>
    </row>
    <row r="3932" spans="2:15" x14ac:dyDescent="0.3">
      <c r="B3932" s="10"/>
      <c r="I3932" s="11"/>
      <c r="K3932" s="12"/>
      <c r="L3932" s="12"/>
      <c r="M3932" s="12"/>
      <c r="N3932" s="12"/>
      <c r="O3932" s="12"/>
    </row>
    <row r="3933" spans="2:15" x14ac:dyDescent="0.3">
      <c r="B3933" s="10"/>
      <c r="I3933" s="11"/>
      <c r="K3933" s="12"/>
      <c r="L3933" s="12"/>
      <c r="M3933" s="12"/>
      <c r="N3933" s="12"/>
      <c r="O3933" s="12"/>
    </row>
    <row r="3934" spans="2:15" x14ac:dyDescent="0.3">
      <c r="B3934" s="10"/>
      <c r="I3934" s="11"/>
      <c r="K3934" s="12"/>
      <c r="L3934" s="12"/>
      <c r="M3934" s="12"/>
      <c r="N3934" s="12"/>
      <c r="O3934" s="12"/>
    </row>
    <row r="3935" spans="2:15" x14ac:dyDescent="0.3">
      <c r="B3935" s="10"/>
      <c r="I3935" s="11"/>
      <c r="K3935" s="12"/>
      <c r="L3935" s="12"/>
      <c r="M3935" s="12"/>
      <c r="N3935" s="12"/>
      <c r="O3935" s="12"/>
    </row>
    <row r="3936" spans="2:15" x14ac:dyDescent="0.3">
      <c r="B3936" s="10"/>
      <c r="I3936" s="11"/>
      <c r="K3936" s="12"/>
      <c r="L3936" s="12"/>
      <c r="M3936" s="12"/>
      <c r="N3936" s="12"/>
      <c r="O3936" s="12"/>
    </row>
    <row r="3937" spans="2:15" x14ac:dyDescent="0.3">
      <c r="B3937" s="10"/>
      <c r="I3937" s="11"/>
      <c r="K3937" s="12"/>
      <c r="L3937" s="12"/>
      <c r="M3937" s="12"/>
      <c r="N3937" s="12"/>
      <c r="O3937" s="12"/>
    </row>
    <row r="3938" spans="2:15" x14ac:dyDescent="0.3">
      <c r="B3938" s="10"/>
      <c r="I3938" s="11"/>
      <c r="K3938" s="12"/>
      <c r="L3938" s="12"/>
      <c r="M3938" s="12"/>
      <c r="N3938" s="12"/>
      <c r="O3938" s="12"/>
    </row>
    <row r="3939" spans="2:15" x14ac:dyDescent="0.3">
      <c r="B3939" s="10"/>
      <c r="I3939" s="11"/>
      <c r="K3939" s="12"/>
      <c r="L3939" s="12"/>
      <c r="M3939" s="12"/>
      <c r="N3939" s="12"/>
      <c r="O3939" s="12"/>
    </row>
    <row r="3940" spans="2:15" x14ac:dyDescent="0.3">
      <c r="B3940" s="10"/>
      <c r="I3940" s="11"/>
      <c r="K3940" s="12"/>
      <c r="L3940" s="12"/>
      <c r="M3940" s="12"/>
      <c r="N3940" s="12"/>
      <c r="O3940" s="12"/>
    </row>
    <row r="3941" spans="2:15" x14ac:dyDescent="0.3">
      <c r="B3941" s="10"/>
      <c r="I3941" s="11"/>
      <c r="K3941" s="12"/>
      <c r="L3941" s="12"/>
      <c r="M3941" s="12"/>
      <c r="N3941" s="12"/>
      <c r="O3941" s="12"/>
    </row>
    <row r="3942" spans="2:15" x14ac:dyDescent="0.3">
      <c r="B3942" s="10"/>
      <c r="I3942" s="11"/>
      <c r="K3942" s="12"/>
      <c r="L3942" s="12"/>
      <c r="M3942" s="12"/>
      <c r="N3942" s="12"/>
      <c r="O3942" s="12"/>
    </row>
    <row r="3943" spans="2:15" x14ac:dyDescent="0.3">
      <c r="B3943" s="10"/>
      <c r="I3943" s="11"/>
      <c r="K3943" s="12"/>
      <c r="L3943" s="12"/>
      <c r="M3943" s="12"/>
      <c r="N3943" s="12"/>
      <c r="O3943" s="12"/>
    </row>
    <row r="3944" spans="2:15" x14ac:dyDescent="0.3">
      <c r="B3944" s="10"/>
      <c r="I3944" s="11"/>
      <c r="K3944" s="12"/>
      <c r="L3944" s="12"/>
      <c r="M3944" s="12"/>
      <c r="N3944" s="12"/>
      <c r="O3944" s="12"/>
    </row>
    <row r="3945" spans="2:15" x14ac:dyDescent="0.3">
      <c r="B3945" s="10"/>
      <c r="I3945" s="11"/>
      <c r="K3945" s="12"/>
      <c r="L3945" s="12"/>
      <c r="M3945" s="12"/>
      <c r="N3945" s="12"/>
      <c r="O3945" s="12"/>
    </row>
    <row r="3946" spans="2:15" x14ac:dyDescent="0.3">
      <c r="B3946" s="10"/>
      <c r="I3946" s="11"/>
      <c r="K3946" s="12"/>
      <c r="L3946" s="12"/>
      <c r="M3946" s="12"/>
      <c r="N3946" s="12"/>
      <c r="O3946" s="12"/>
    </row>
    <row r="3947" spans="2:15" x14ac:dyDescent="0.3">
      <c r="B3947" s="10"/>
      <c r="I3947" s="11"/>
      <c r="K3947" s="12"/>
      <c r="L3947" s="12"/>
      <c r="M3947" s="12"/>
      <c r="N3947" s="12"/>
      <c r="O3947" s="12"/>
    </row>
    <row r="3948" spans="2:15" x14ac:dyDescent="0.3">
      <c r="B3948" s="10"/>
      <c r="I3948" s="11"/>
      <c r="K3948" s="12"/>
      <c r="L3948" s="12"/>
      <c r="M3948" s="12"/>
      <c r="N3948" s="12"/>
      <c r="O3948" s="12"/>
    </row>
    <row r="3949" spans="2:15" x14ac:dyDescent="0.3">
      <c r="B3949" s="10"/>
      <c r="I3949" s="11"/>
      <c r="K3949" s="12"/>
      <c r="L3949" s="12"/>
      <c r="M3949" s="12"/>
      <c r="N3949" s="12"/>
      <c r="O3949" s="12"/>
    </row>
    <row r="3950" spans="2:15" x14ac:dyDescent="0.3">
      <c r="B3950" s="10"/>
      <c r="I3950" s="11"/>
      <c r="K3950" s="12"/>
      <c r="L3950" s="12"/>
      <c r="M3950" s="12"/>
      <c r="N3950" s="12"/>
      <c r="O3950" s="12"/>
    </row>
    <row r="3951" spans="2:15" x14ac:dyDescent="0.3">
      <c r="B3951" s="10"/>
      <c r="I3951" s="11"/>
      <c r="K3951" s="12"/>
      <c r="L3951" s="12"/>
      <c r="M3951" s="12"/>
      <c r="N3951" s="12"/>
      <c r="O3951" s="12"/>
    </row>
    <row r="3952" spans="2:15" x14ac:dyDescent="0.3">
      <c r="B3952" s="10"/>
      <c r="I3952" s="11"/>
      <c r="K3952" s="12"/>
      <c r="L3952" s="12"/>
      <c r="M3952" s="12"/>
      <c r="N3952" s="12"/>
      <c r="O3952" s="12"/>
    </row>
    <row r="3953" spans="2:15" x14ac:dyDescent="0.3">
      <c r="B3953" s="10"/>
      <c r="I3953" s="11"/>
      <c r="K3953" s="12"/>
      <c r="L3953" s="12"/>
      <c r="M3953" s="12"/>
      <c r="N3953" s="12"/>
      <c r="O3953" s="12"/>
    </row>
    <row r="3954" spans="2:15" x14ac:dyDescent="0.3">
      <c r="B3954" s="10"/>
      <c r="I3954" s="11"/>
      <c r="K3954" s="12"/>
      <c r="L3954" s="12"/>
      <c r="M3954" s="12"/>
      <c r="N3954" s="12"/>
      <c r="O3954" s="12"/>
    </row>
    <row r="3955" spans="2:15" x14ac:dyDescent="0.3">
      <c r="B3955" s="10"/>
      <c r="I3955" s="11"/>
      <c r="K3955" s="12"/>
      <c r="L3955" s="12"/>
      <c r="M3955" s="12"/>
      <c r="N3955" s="12"/>
      <c r="O3955" s="12"/>
    </row>
    <row r="3956" spans="2:15" x14ac:dyDescent="0.3">
      <c r="B3956" s="10"/>
      <c r="I3956" s="11"/>
      <c r="K3956" s="12"/>
      <c r="L3956" s="12"/>
      <c r="M3956" s="12"/>
      <c r="N3956" s="12"/>
      <c r="O3956" s="12"/>
    </row>
    <row r="3957" spans="2:15" x14ac:dyDescent="0.3">
      <c r="B3957" s="10"/>
      <c r="I3957" s="11"/>
      <c r="K3957" s="12"/>
      <c r="L3957" s="12"/>
      <c r="M3957" s="12"/>
      <c r="N3957" s="12"/>
      <c r="O3957" s="12"/>
    </row>
    <row r="3958" spans="2:15" x14ac:dyDescent="0.3">
      <c r="B3958" s="10"/>
      <c r="I3958" s="11"/>
      <c r="K3958" s="12"/>
      <c r="L3958" s="12"/>
      <c r="M3958" s="12"/>
      <c r="N3958" s="12"/>
      <c r="O3958" s="12"/>
    </row>
    <row r="3959" spans="2:15" x14ac:dyDescent="0.3">
      <c r="B3959" s="10"/>
      <c r="I3959" s="11"/>
      <c r="K3959" s="12"/>
      <c r="L3959" s="12"/>
      <c r="M3959" s="12"/>
      <c r="N3959" s="12"/>
      <c r="O3959" s="12"/>
    </row>
    <row r="3960" spans="2:15" x14ac:dyDescent="0.3">
      <c r="B3960" s="10"/>
      <c r="I3960" s="11"/>
      <c r="K3960" s="12"/>
      <c r="L3960" s="12"/>
      <c r="M3960" s="12"/>
      <c r="N3960" s="12"/>
      <c r="O3960" s="12"/>
    </row>
    <row r="3961" spans="2:15" x14ac:dyDescent="0.3">
      <c r="B3961" s="10"/>
      <c r="I3961" s="11"/>
      <c r="K3961" s="12"/>
      <c r="L3961" s="12"/>
      <c r="M3961" s="12"/>
      <c r="N3961" s="12"/>
      <c r="O3961" s="12"/>
    </row>
    <row r="3962" spans="2:15" x14ac:dyDescent="0.3">
      <c r="B3962" s="10"/>
      <c r="I3962" s="11"/>
      <c r="K3962" s="12"/>
      <c r="L3962" s="12"/>
      <c r="M3962" s="12"/>
      <c r="N3962" s="12"/>
      <c r="O3962" s="12"/>
    </row>
    <row r="3963" spans="2:15" x14ac:dyDescent="0.3">
      <c r="B3963" s="10"/>
      <c r="I3963" s="11"/>
      <c r="K3963" s="12"/>
      <c r="L3963" s="12"/>
      <c r="M3963" s="12"/>
      <c r="N3963" s="12"/>
      <c r="O3963" s="12"/>
    </row>
    <row r="3964" spans="2:15" x14ac:dyDescent="0.3">
      <c r="B3964" s="10"/>
      <c r="I3964" s="11"/>
      <c r="K3964" s="12"/>
      <c r="L3964" s="12"/>
      <c r="M3964" s="12"/>
      <c r="N3964" s="12"/>
      <c r="O3964" s="12"/>
    </row>
    <row r="3965" spans="2:15" x14ac:dyDescent="0.3">
      <c r="B3965" s="10"/>
      <c r="I3965" s="11"/>
      <c r="K3965" s="12"/>
      <c r="L3965" s="12"/>
      <c r="M3965" s="12"/>
      <c r="N3965" s="12"/>
      <c r="O3965" s="12"/>
    </row>
    <row r="3966" spans="2:15" x14ac:dyDescent="0.3">
      <c r="B3966" s="10"/>
      <c r="I3966" s="11"/>
      <c r="K3966" s="12"/>
      <c r="L3966" s="12"/>
      <c r="M3966" s="12"/>
      <c r="N3966" s="12"/>
      <c r="O3966" s="12"/>
    </row>
    <row r="3967" spans="2:15" x14ac:dyDescent="0.3">
      <c r="B3967" s="10"/>
      <c r="I3967" s="11"/>
      <c r="K3967" s="12"/>
      <c r="L3967" s="12"/>
      <c r="M3967" s="12"/>
      <c r="N3967" s="12"/>
      <c r="O3967" s="12"/>
    </row>
    <row r="3968" spans="2:15" x14ac:dyDescent="0.3">
      <c r="B3968" s="10"/>
      <c r="I3968" s="11"/>
      <c r="K3968" s="12"/>
      <c r="L3968" s="12"/>
      <c r="M3968" s="12"/>
      <c r="N3968" s="12"/>
      <c r="O3968" s="12"/>
    </row>
    <row r="3969" spans="2:15" x14ac:dyDescent="0.3">
      <c r="B3969" s="10"/>
      <c r="I3969" s="11"/>
      <c r="K3969" s="12"/>
      <c r="L3969" s="12"/>
      <c r="M3969" s="12"/>
      <c r="N3969" s="12"/>
      <c r="O3969" s="12"/>
    </row>
    <row r="3970" spans="2:15" x14ac:dyDescent="0.3">
      <c r="B3970" s="10"/>
      <c r="I3970" s="11"/>
      <c r="K3970" s="12"/>
      <c r="L3970" s="12"/>
      <c r="M3970" s="12"/>
      <c r="N3970" s="12"/>
      <c r="O3970" s="12"/>
    </row>
    <row r="3971" spans="2:15" x14ac:dyDescent="0.3">
      <c r="B3971" s="10"/>
      <c r="I3971" s="11"/>
      <c r="K3971" s="12"/>
      <c r="L3971" s="12"/>
      <c r="M3971" s="12"/>
      <c r="N3971" s="12"/>
      <c r="O3971" s="12"/>
    </row>
    <row r="3972" spans="2:15" x14ac:dyDescent="0.3">
      <c r="B3972" s="10"/>
      <c r="I3972" s="11"/>
      <c r="K3972" s="12"/>
      <c r="L3972" s="12"/>
      <c r="M3972" s="12"/>
      <c r="N3972" s="12"/>
      <c r="O3972" s="12"/>
    </row>
    <row r="3973" spans="2:15" x14ac:dyDescent="0.3">
      <c r="B3973" s="10"/>
      <c r="I3973" s="11"/>
      <c r="K3973" s="12"/>
      <c r="L3973" s="12"/>
      <c r="M3973" s="12"/>
      <c r="N3973" s="12"/>
      <c r="O3973" s="12"/>
    </row>
    <row r="3974" spans="2:15" x14ac:dyDescent="0.3">
      <c r="B3974" s="10"/>
      <c r="I3974" s="11"/>
      <c r="K3974" s="12"/>
      <c r="L3974" s="12"/>
      <c r="M3974" s="12"/>
      <c r="N3974" s="12"/>
      <c r="O3974" s="12"/>
    </row>
    <row r="3975" spans="2:15" x14ac:dyDescent="0.3">
      <c r="B3975" s="10"/>
      <c r="I3975" s="11"/>
      <c r="K3975" s="12"/>
      <c r="L3975" s="12"/>
      <c r="M3975" s="12"/>
      <c r="N3975" s="12"/>
      <c r="O3975" s="12"/>
    </row>
    <row r="3976" spans="2:15" x14ac:dyDescent="0.3">
      <c r="B3976" s="10"/>
      <c r="I3976" s="11"/>
      <c r="K3976" s="12"/>
      <c r="L3976" s="12"/>
      <c r="M3976" s="12"/>
      <c r="N3976" s="12"/>
      <c r="O3976" s="12"/>
    </row>
    <row r="3977" spans="2:15" x14ac:dyDescent="0.3">
      <c r="B3977" s="10"/>
      <c r="I3977" s="11"/>
      <c r="K3977" s="12"/>
      <c r="L3977" s="12"/>
      <c r="M3977" s="12"/>
      <c r="N3977" s="12"/>
      <c r="O3977" s="12"/>
    </row>
    <row r="3978" spans="2:15" x14ac:dyDescent="0.3">
      <c r="B3978" s="10"/>
      <c r="I3978" s="11"/>
      <c r="K3978" s="12"/>
      <c r="L3978" s="12"/>
      <c r="M3978" s="12"/>
      <c r="N3978" s="12"/>
      <c r="O3978" s="12"/>
    </row>
    <row r="3979" spans="2:15" x14ac:dyDescent="0.3">
      <c r="B3979" s="10"/>
      <c r="I3979" s="11"/>
      <c r="K3979" s="12"/>
      <c r="L3979" s="12"/>
      <c r="M3979" s="12"/>
      <c r="N3979" s="12"/>
      <c r="O3979" s="12"/>
    </row>
    <row r="3980" spans="2:15" x14ac:dyDescent="0.3">
      <c r="B3980" s="10"/>
      <c r="I3980" s="11"/>
      <c r="K3980" s="12"/>
      <c r="L3980" s="12"/>
      <c r="M3980" s="12"/>
      <c r="N3980" s="12"/>
      <c r="O3980" s="12"/>
    </row>
    <row r="3981" spans="2:15" x14ac:dyDescent="0.3">
      <c r="B3981" s="10"/>
      <c r="I3981" s="11"/>
      <c r="K3981" s="12"/>
      <c r="L3981" s="12"/>
      <c r="M3981" s="12"/>
      <c r="N3981" s="12"/>
      <c r="O3981" s="12"/>
    </row>
    <row r="3982" spans="2:15" x14ac:dyDescent="0.3">
      <c r="B3982" s="10"/>
      <c r="I3982" s="11"/>
      <c r="K3982" s="12"/>
      <c r="L3982" s="12"/>
      <c r="M3982" s="12"/>
      <c r="N3982" s="12"/>
      <c r="O3982" s="12"/>
    </row>
    <row r="3983" spans="2:15" x14ac:dyDescent="0.3">
      <c r="B3983" s="10"/>
      <c r="I3983" s="11"/>
      <c r="K3983" s="12"/>
      <c r="L3983" s="12"/>
      <c r="M3983" s="12"/>
      <c r="N3983" s="12"/>
      <c r="O3983" s="12"/>
    </row>
    <row r="3984" spans="2:15" x14ac:dyDescent="0.3">
      <c r="B3984" s="10"/>
      <c r="I3984" s="11"/>
      <c r="K3984" s="12"/>
      <c r="L3984" s="12"/>
      <c r="M3984" s="12"/>
      <c r="N3984" s="12"/>
      <c r="O3984" s="12"/>
    </row>
    <row r="3985" spans="2:15" x14ac:dyDescent="0.3">
      <c r="B3985" s="10"/>
      <c r="I3985" s="11"/>
      <c r="K3985" s="12"/>
      <c r="L3985" s="12"/>
      <c r="M3985" s="12"/>
      <c r="N3985" s="12"/>
      <c r="O3985" s="12"/>
    </row>
    <row r="3986" spans="2:15" x14ac:dyDescent="0.3">
      <c r="B3986" s="10"/>
      <c r="I3986" s="11"/>
      <c r="K3986" s="12"/>
      <c r="L3986" s="12"/>
      <c r="M3986" s="12"/>
      <c r="N3986" s="12"/>
      <c r="O3986" s="12"/>
    </row>
    <row r="3987" spans="2:15" x14ac:dyDescent="0.3">
      <c r="B3987" s="10"/>
      <c r="I3987" s="11"/>
      <c r="K3987" s="12"/>
      <c r="L3987" s="12"/>
      <c r="M3987" s="12"/>
      <c r="N3987" s="12"/>
      <c r="O3987" s="12"/>
    </row>
    <row r="3988" spans="2:15" x14ac:dyDescent="0.3">
      <c r="B3988" s="10"/>
      <c r="I3988" s="11"/>
      <c r="K3988" s="12"/>
      <c r="L3988" s="12"/>
      <c r="M3988" s="12"/>
      <c r="N3988" s="12"/>
      <c r="O3988" s="12"/>
    </row>
    <row r="3989" spans="2:15" x14ac:dyDescent="0.3">
      <c r="B3989" s="10"/>
      <c r="I3989" s="11"/>
      <c r="K3989" s="12"/>
      <c r="L3989" s="12"/>
      <c r="M3989" s="12"/>
      <c r="N3989" s="12"/>
      <c r="O3989" s="12"/>
    </row>
    <row r="3990" spans="2:15" x14ac:dyDescent="0.3">
      <c r="B3990" s="10"/>
      <c r="I3990" s="11"/>
      <c r="K3990" s="12"/>
      <c r="L3990" s="12"/>
      <c r="M3990" s="12"/>
      <c r="N3990" s="12"/>
      <c r="O3990" s="12"/>
    </row>
    <row r="3991" spans="2:15" x14ac:dyDescent="0.3">
      <c r="B3991" s="10"/>
      <c r="I3991" s="11"/>
      <c r="K3991" s="12"/>
      <c r="L3991" s="12"/>
      <c r="M3991" s="12"/>
      <c r="N3991" s="12"/>
      <c r="O3991" s="12"/>
    </row>
    <row r="3992" spans="2:15" x14ac:dyDescent="0.3">
      <c r="B3992" s="10"/>
      <c r="I3992" s="11"/>
      <c r="K3992" s="12"/>
      <c r="L3992" s="12"/>
      <c r="M3992" s="12"/>
      <c r="N3992" s="12"/>
      <c r="O3992" s="12"/>
    </row>
    <row r="3993" spans="2:15" x14ac:dyDescent="0.3">
      <c r="B3993" s="10"/>
      <c r="I3993" s="11"/>
      <c r="K3993" s="12"/>
      <c r="L3993" s="12"/>
      <c r="M3993" s="12"/>
      <c r="N3993" s="12"/>
      <c r="O3993" s="12"/>
    </row>
    <row r="3994" spans="2:15" x14ac:dyDescent="0.3">
      <c r="B3994" s="10"/>
      <c r="I3994" s="11"/>
      <c r="K3994" s="12"/>
      <c r="L3994" s="12"/>
      <c r="M3994" s="12"/>
      <c r="N3994" s="12"/>
      <c r="O3994" s="12"/>
    </row>
    <row r="3995" spans="2:15" x14ac:dyDescent="0.3">
      <c r="B3995" s="10"/>
      <c r="I3995" s="11"/>
      <c r="K3995" s="12"/>
      <c r="L3995" s="12"/>
      <c r="M3995" s="12"/>
      <c r="N3995" s="12"/>
      <c r="O3995" s="12"/>
    </row>
    <row r="3996" spans="2:15" x14ac:dyDescent="0.3">
      <c r="B3996" s="10"/>
      <c r="I3996" s="11"/>
      <c r="K3996" s="12"/>
      <c r="L3996" s="12"/>
      <c r="M3996" s="12"/>
      <c r="N3996" s="12"/>
      <c r="O3996" s="12"/>
    </row>
    <row r="3997" spans="2:15" x14ac:dyDescent="0.3">
      <c r="B3997" s="10"/>
      <c r="I3997" s="11"/>
      <c r="K3997" s="12"/>
      <c r="L3997" s="12"/>
      <c r="M3997" s="12"/>
      <c r="N3997" s="12"/>
      <c r="O3997" s="12"/>
    </row>
    <row r="3998" spans="2:15" x14ac:dyDescent="0.3">
      <c r="B3998" s="10"/>
      <c r="I3998" s="11"/>
      <c r="K3998" s="12"/>
      <c r="L3998" s="12"/>
      <c r="M3998" s="12"/>
      <c r="N3998" s="12"/>
      <c r="O3998" s="12"/>
    </row>
    <row r="3999" spans="2:15" x14ac:dyDescent="0.3">
      <c r="B3999" s="10"/>
      <c r="I3999" s="11"/>
      <c r="K3999" s="12"/>
      <c r="L3999" s="12"/>
      <c r="M3999" s="12"/>
      <c r="N3999" s="12"/>
      <c r="O3999" s="12"/>
    </row>
    <row r="4000" spans="2:15" x14ac:dyDescent="0.3">
      <c r="B4000" s="10"/>
      <c r="I4000" s="11"/>
      <c r="K4000" s="12"/>
      <c r="L4000" s="12"/>
      <c r="M4000" s="12"/>
      <c r="N4000" s="12"/>
      <c r="O4000" s="12"/>
    </row>
  </sheetData>
  <dataValidations count="2">
    <dataValidation type="list" sqref="D2:D4000" xr:uid="{00000000-0002-0000-0200-000000000000}">
      <formula1>"OCR,CÓDIGO DE BARRAS,MANUAL"</formula1>
    </dataValidation>
    <dataValidation type="list" sqref="P2:P4000" xr:uid="{00000000-0002-0000-0200-000001000000}">
      <formula1>"PENDIENTE,CUADRA,SOBRANTE,FALTANTE,LOTE NO ENCONTRADO"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37"/>
  <sheetViews>
    <sheetView showGridLines="0" workbookViewId="0"/>
  </sheetViews>
  <sheetFormatPr baseColWidth="10" defaultColWidth="8.88671875" defaultRowHeight="14.4" x14ac:dyDescent="0.3"/>
  <cols>
    <col min="1" max="1" width="13.88671875" customWidth="1"/>
    <col min="2" max="2" width="36.6640625" customWidth="1"/>
    <col min="3" max="4" width="13.88671875" customWidth="1"/>
    <col min="5" max="5" width="23.33203125" customWidth="1"/>
    <col min="6" max="6" width="11.6640625" customWidth="1"/>
    <col min="7" max="9" width="12.21875" customWidth="1"/>
    <col min="10" max="10" width="12.77734375" customWidth="1"/>
    <col min="11" max="11" width="28.88671875" customWidth="1"/>
  </cols>
  <sheetData>
    <row r="1" spans="1:11" ht="28.8" x14ac:dyDescent="0.3">
      <c r="A1" s="4" t="s">
        <v>542</v>
      </c>
      <c r="B1" s="4" t="s">
        <v>1</v>
      </c>
      <c r="C1" s="4" t="s">
        <v>543</v>
      </c>
      <c r="D1" s="4" t="s">
        <v>544</v>
      </c>
      <c r="E1" s="4" t="s">
        <v>553</v>
      </c>
      <c r="F1" s="4" t="s">
        <v>554</v>
      </c>
      <c r="G1" s="4" t="s">
        <v>546</v>
      </c>
      <c r="H1" s="4" t="s">
        <v>555</v>
      </c>
      <c r="I1" s="4" t="s">
        <v>556</v>
      </c>
      <c r="J1" s="4" t="s">
        <v>550</v>
      </c>
      <c r="K1" s="4" t="s">
        <v>551</v>
      </c>
    </row>
    <row r="2" spans="1:11" ht="28.8" x14ac:dyDescent="0.3">
      <c r="A2" t="str">
        <f>STOCK_SISTEMA!A2</f>
        <v>EE10005</v>
      </c>
      <c r="B2" s="13" t="str">
        <f>STOCK_SISTEMA!B2</f>
        <v>[EE10005] CAJA MASTER TIYAPUY CAFÉ  # 5 X UND</v>
      </c>
      <c r="C2" t="str">
        <f>IF(STOCK_SISTEMA!C2="","",STOCK_SISTEMA!C2)</f>
        <v>16/25</v>
      </c>
      <c r="D2" s="11">
        <f>IF(STOCK_SISTEMA!D2="","",STOCK_SISTEMA!D2)</f>
        <v>46387</v>
      </c>
      <c r="E2" t="str">
        <f>STOCK_SISTEMA!E2</f>
        <v>SF-03/Materiales</v>
      </c>
      <c r="F2" t="str">
        <f>STOCK_SISTEMA!G2</f>
        <v>Unidades</v>
      </c>
      <c r="G2" s="12">
        <f>STOCK_SISTEMA!F2</f>
        <v>80</v>
      </c>
      <c r="H2" s="12">
        <f>SUMIFS(CONTEOS!$N$2:$N$4000,CONTEOS!$F$2:$F$4000,A2,CONTEOS!$H$2:$H$4000,C2)</f>
        <v>0</v>
      </c>
      <c r="I2" s="12">
        <f t="shared" ref="I2:I65" si="0">H2-G2</f>
        <v>-80</v>
      </c>
      <c r="J2" t="str">
        <f>IF(COUNTIFS(CONTEOS!$F$2:$F$4000,A2,CONTEOS!$H$2:$H$4000,C2)=0,"PENDIENTE",IF(I2=0,"CUADRA",IF(I2&gt;0,"SOBRANTE","FALTANTE")))</f>
        <v>PENDIENTE</v>
      </c>
    </row>
    <row r="3" spans="1:11" ht="28.8" x14ac:dyDescent="0.3">
      <c r="A3" t="str">
        <f>STOCK_SISTEMA!A3</f>
        <v>EE10073</v>
      </c>
      <c r="B3" s="13" t="str">
        <f>STOCK_SISTEMA!B3</f>
        <v>[EE10073] CINTA DE EMBALAJE 2" X 110 YD X ROLLO</v>
      </c>
      <c r="C3" t="str">
        <f>IF(STOCK_SISTEMA!C3="","",STOCK_SISTEMA!C3)</f>
        <v/>
      </c>
      <c r="D3" s="11" t="str">
        <f>IF(STOCK_SISTEMA!D3="","",STOCK_SISTEMA!D3)</f>
        <v/>
      </c>
      <c r="E3" t="str">
        <f>STOCK_SISTEMA!E3</f>
        <v>SF-03/Materiales</v>
      </c>
      <c r="F3" t="str">
        <f>STOCK_SISTEMA!G3</f>
        <v>Unidades</v>
      </c>
      <c r="G3" s="12">
        <f>STOCK_SISTEMA!F3</f>
        <v>462.7654</v>
      </c>
      <c r="H3" s="12">
        <f>SUMIFS(CONTEOS!$N$2:$N$4000,CONTEOS!$F$2:$F$4000,A3,CONTEOS!$H$2:$H$4000,C3)</f>
        <v>0</v>
      </c>
      <c r="I3" s="12">
        <f t="shared" si="0"/>
        <v>-462.7654</v>
      </c>
      <c r="J3" t="str">
        <f>IF(COUNTIFS(CONTEOS!$F$2:$F$4000,A3,CONTEOS!$H$2:$H$4000,C3)=0,"PENDIENTE",IF(I3=0,"CUADRA",IF(I3&gt;0,"SOBRANTE","FALTANTE")))</f>
        <v>PENDIENTE</v>
      </c>
    </row>
    <row r="4" spans="1:11" ht="28.8" x14ac:dyDescent="0.3">
      <c r="A4" t="str">
        <f>STOCK_SISTEMA!A4</f>
        <v>EE10072</v>
      </c>
      <c r="B4" s="13" t="str">
        <f>STOCK_SISTEMA!B4</f>
        <v>[EE10072] ETIQUETA BLANCA CAJA TT-50MMx100MM 1C-T1x1000</v>
      </c>
      <c r="C4" t="str">
        <f>IF(STOCK_SISTEMA!C4="","",STOCK_SISTEMA!C4)</f>
        <v/>
      </c>
      <c r="D4" s="11" t="str">
        <f>IF(STOCK_SISTEMA!D4="","",STOCK_SISTEMA!D4)</f>
        <v/>
      </c>
      <c r="E4" t="str">
        <f>STOCK_SISTEMA!E4</f>
        <v>SF-03/Materiales</v>
      </c>
      <c r="F4" t="str">
        <f>STOCK_SISTEMA!G4</f>
        <v>Unidades</v>
      </c>
      <c r="G4" s="12">
        <f>STOCK_SISTEMA!F4</f>
        <v>223</v>
      </c>
      <c r="H4" s="12">
        <f>SUMIFS(CONTEOS!$N$2:$N$4000,CONTEOS!$F$2:$F$4000,A4,CONTEOS!$H$2:$H$4000,C4)</f>
        <v>0</v>
      </c>
      <c r="I4" s="12">
        <f t="shared" si="0"/>
        <v>-223</v>
      </c>
      <c r="J4" t="str">
        <f>IF(COUNTIFS(CONTEOS!$F$2:$F$4000,A4,CONTEOS!$H$2:$H$4000,C4)=0,"PENDIENTE",IF(I4=0,"CUADRA",IF(I4&gt;0,"SOBRANTE","FALTANTE")))</f>
        <v>PENDIENTE</v>
      </c>
    </row>
    <row r="5" spans="1:11" ht="28.8" x14ac:dyDescent="0.3">
      <c r="A5" t="str">
        <f>STOCK_SISTEMA!A5</f>
        <v>EE10071</v>
      </c>
      <c r="B5" s="13" t="str">
        <f>STOCK_SISTEMA!B5</f>
        <v>[EE10071] ETIQUETA DE FECHAS TT-17 MMx23MM X ROLLO</v>
      </c>
      <c r="C5" t="str">
        <f>IF(STOCK_SISTEMA!C5="","",STOCK_SISTEMA!C5)</f>
        <v/>
      </c>
      <c r="D5" s="11" t="str">
        <f>IF(STOCK_SISTEMA!D5="","",STOCK_SISTEMA!D5)</f>
        <v/>
      </c>
      <c r="E5" t="str">
        <f>STOCK_SISTEMA!E5</f>
        <v>SF-03/Materiales</v>
      </c>
      <c r="F5" t="str">
        <f>STOCK_SISTEMA!G5</f>
        <v>Unidades</v>
      </c>
      <c r="G5" s="12">
        <f>STOCK_SISTEMA!F5</f>
        <v>16</v>
      </c>
      <c r="H5" s="12">
        <f>SUMIFS(CONTEOS!$N$2:$N$4000,CONTEOS!$F$2:$F$4000,A5,CONTEOS!$H$2:$H$4000,C5)</f>
        <v>0</v>
      </c>
      <c r="I5" s="12">
        <f t="shared" si="0"/>
        <v>-16</v>
      </c>
      <c r="J5" t="str">
        <f>IF(COUNTIFS(CONTEOS!$F$2:$F$4000,A5,CONTEOS!$H$2:$H$4000,C5)=0,"PENDIENTE",IF(I5=0,"CUADRA",IF(I5&gt;0,"SOBRANTE","FALTANTE")))</f>
        <v>PENDIENTE</v>
      </c>
    </row>
    <row r="6" spans="1:11" ht="28.8" x14ac:dyDescent="0.3">
      <c r="A6" t="str">
        <f>STOCK_SISTEMA!A6</f>
        <v>EE10076</v>
      </c>
      <c r="B6" s="13" t="str">
        <f>STOCK_SISTEMA!B6</f>
        <v>[EE10076] RIBBON 110MMx300MTS NEGRO CERA OUT</v>
      </c>
      <c r="C6" t="str">
        <f>IF(STOCK_SISTEMA!C6="","",STOCK_SISTEMA!C6)</f>
        <v/>
      </c>
      <c r="D6" s="11" t="str">
        <f>IF(STOCK_SISTEMA!D6="","",STOCK_SISTEMA!D6)</f>
        <v/>
      </c>
      <c r="E6" t="str">
        <f>STOCK_SISTEMA!E6</f>
        <v>SF-03/Materiales</v>
      </c>
      <c r="F6" t="str">
        <f>STOCK_SISTEMA!G6</f>
        <v>Unidades</v>
      </c>
      <c r="G6" s="12">
        <f>STOCK_SISTEMA!F6</f>
        <v>86.613600000000005</v>
      </c>
      <c r="H6" s="12">
        <f>SUMIFS(CONTEOS!$N$2:$N$4000,CONTEOS!$F$2:$F$4000,A6,CONTEOS!$H$2:$H$4000,C6)</f>
        <v>0</v>
      </c>
      <c r="I6" s="12">
        <f t="shared" si="0"/>
        <v>-86.613600000000005</v>
      </c>
      <c r="J6" t="str">
        <f>IF(COUNTIFS(CONTEOS!$F$2:$F$4000,A6,CONTEOS!$H$2:$H$4000,C6)=0,"PENDIENTE",IF(I6=0,"CUADRA",IF(I6&gt;0,"SOBRANTE","FALTANTE")))</f>
        <v>PENDIENTE</v>
      </c>
    </row>
    <row r="7" spans="1:11" ht="28.8" x14ac:dyDescent="0.3">
      <c r="A7" t="str">
        <f>STOCK_SISTEMA!A7</f>
        <v>EE10078</v>
      </c>
      <c r="B7" s="13" t="str">
        <f>STOCK_SISTEMA!B7</f>
        <v>[EE10078] CINTA 1" X 110 YD TRANSPARENTE X ROLLO</v>
      </c>
      <c r="C7" t="str">
        <f>IF(STOCK_SISTEMA!C7="","",STOCK_SISTEMA!C7)</f>
        <v/>
      </c>
      <c r="D7" s="11" t="str">
        <f>IF(STOCK_SISTEMA!D7="","",STOCK_SISTEMA!D7)</f>
        <v/>
      </c>
      <c r="E7" t="str">
        <f>STOCK_SISTEMA!E7</f>
        <v>SF-03/Materiales</v>
      </c>
      <c r="F7" t="str">
        <f>STOCK_SISTEMA!G7</f>
        <v>Unidades</v>
      </c>
      <c r="G7" s="12">
        <f>STOCK_SISTEMA!F7</f>
        <v>156.65799999999999</v>
      </c>
      <c r="H7" s="12">
        <f>SUMIFS(CONTEOS!$N$2:$N$4000,CONTEOS!$F$2:$F$4000,A7,CONTEOS!$H$2:$H$4000,C7)</f>
        <v>0</v>
      </c>
      <c r="I7" s="12">
        <f t="shared" si="0"/>
        <v>-156.65799999999999</v>
      </c>
      <c r="J7" t="str">
        <f>IF(COUNTIFS(CONTEOS!$F$2:$F$4000,A7,CONTEOS!$H$2:$H$4000,C7)=0,"PENDIENTE",IF(I7=0,"CUADRA",IF(I7&gt;0,"SOBRANTE","FALTANTE")))</f>
        <v>PENDIENTE</v>
      </c>
    </row>
    <row r="8" spans="1:11" ht="43.2" x14ac:dyDescent="0.3">
      <c r="A8" t="str">
        <f>STOCK_SISTEMA!A8</f>
        <v>EE10115</v>
      </c>
      <c r="B8" s="13" t="str">
        <f>STOCK_SISTEMA!B8</f>
        <v>[EE10115] CINTA CODIFICADORA TERMOIMPRESIÓN X ROLLO  34MM X 600M</v>
      </c>
      <c r="C8" t="str">
        <f>IF(STOCK_SISTEMA!C8="","",STOCK_SISTEMA!C8)</f>
        <v/>
      </c>
      <c r="D8" s="11" t="str">
        <f>IF(STOCK_SISTEMA!D8="","",STOCK_SISTEMA!D8)</f>
        <v/>
      </c>
      <c r="E8" t="str">
        <f>STOCK_SISTEMA!E8</f>
        <v>SF-03/Materiales</v>
      </c>
      <c r="F8" t="str">
        <f>STOCK_SISTEMA!G8</f>
        <v>Unidades</v>
      </c>
      <c r="G8" s="12">
        <f>STOCK_SISTEMA!F8</f>
        <v>2.8077999999999999</v>
      </c>
      <c r="H8" s="12">
        <f>SUMIFS(CONTEOS!$N$2:$N$4000,CONTEOS!$F$2:$F$4000,A8,CONTEOS!$H$2:$H$4000,C8)</f>
        <v>0</v>
      </c>
      <c r="I8" s="12">
        <f t="shared" si="0"/>
        <v>-2.8077999999999999</v>
      </c>
      <c r="J8" t="str">
        <f>IF(COUNTIFS(CONTEOS!$F$2:$F$4000,A8,CONTEOS!$H$2:$H$4000,C8)=0,"PENDIENTE",IF(I8=0,"CUADRA",IF(I8&gt;0,"SOBRANTE","FALTANTE")))</f>
        <v>PENDIENTE</v>
      </c>
    </row>
    <row r="9" spans="1:11" ht="28.8" x14ac:dyDescent="0.3">
      <c r="A9" t="str">
        <f>STOCK_SISTEMA!A9</f>
        <v>EE10079</v>
      </c>
      <c r="B9" s="13" t="str">
        <f>STOCK_SISTEMA!B9</f>
        <v>[EE10079] CINTILLOS TIRA 1.7CM X 43.5CM X UND</v>
      </c>
      <c r="C9" t="str">
        <f>IF(STOCK_SISTEMA!C9="","",STOCK_SISTEMA!C9)</f>
        <v/>
      </c>
      <c r="D9" s="11" t="str">
        <f>IF(STOCK_SISTEMA!D9="","",STOCK_SISTEMA!D9)</f>
        <v/>
      </c>
      <c r="E9" t="str">
        <f>STOCK_SISTEMA!E9</f>
        <v>SF-03/Materiales</v>
      </c>
      <c r="F9" t="str">
        <f>STOCK_SISTEMA!G9</f>
        <v>Unidades</v>
      </c>
      <c r="G9" s="12">
        <f>STOCK_SISTEMA!F9</f>
        <v>690000</v>
      </c>
      <c r="H9" s="12">
        <f>SUMIFS(CONTEOS!$N$2:$N$4000,CONTEOS!$F$2:$F$4000,A9,CONTEOS!$H$2:$H$4000,C9)</f>
        <v>0</v>
      </c>
      <c r="I9" s="12">
        <f t="shared" si="0"/>
        <v>-690000</v>
      </c>
      <c r="J9" t="str">
        <f>IF(COUNTIFS(CONTEOS!$F$2:$F$4000,A9,CONTEOS!$H$2:$H$4000,C9)=0,"PENDIENTE",IF(I9=0,"CUADRA",IF(I9&gt;0,"SOBRANTE","FALTANTE")))</f>
        <v>PENDIENTE</v>
      </c>
    </row>
    <row r="10" spans="1:11" ht="28.8" x14ac:dyDescent="0.3">
      <c r="A10" t="str">
        <f>STOCK_SISTEMA!A10</f>
        <v>EE10120</v>
      </c>
      <c r="B10" s="13" t="str">
        <f>STOCK_SISTEMA!B10</f>
        <v>[EE10120] CINTILLOS TIRA 1.7CM X 50 CM X UND</v>
      </c>
      <c r="C10" t="str">
        <f>IF(STOCK_SISTEMA!C10="","",STOCK_SISTEMA!C10)</f>
        <v/>
      </c>
      <c r="D10" s="11" t="str">
        <f>IF(STOCK_SISTEMA!D10="","",STOCK_SISTEMA!D10)</f>
        <v/>
      </c>
      <c r="E10" t="str">
        <f>STOCK_SISTEMA!E10</f>
        <v>SF-03/Materiales</v>
      </c>
      <c r="F10" t="str">
        <f>STOCK_SISTEMA!G10</f>
        <v>Unidades</v>
      </c>
      <c r="G10" s="12">
        <f>STOCK_SISTEMA!F10</f>
        <v>20000</v>
      </c>
      <c r="H10" s="12">
        <f>SUMIFS(CONTEOS!$N$2:$N$4000,CONTEOS!$F$2:$F$4000,A10,CONTEOS!$H$2:$H$4000,C10)</f>
        <v>0</v>
      </c>
      <c r="I10" s="12">
        <f t="shared" si="0"/>
        <v>-20000</v>
      </c>
      <c r="J10" t="str">
        <f>IF(COUNTIFS(CONTEOS!$F$2:$F$4000,A10,CONTEOS!$H$2:$H$4000,C10)=0,"PENDIENTE",IF(I10=0,"CUADRA",IF(I10&gt;0,"SOBRANTE","FALTANTE")))</f>
        <v>PENDIENTE</v>
      </c>
    </row>
    <row r="11" spans="1:11" ht="28.8" x14ac:dyDescent="0.3">
      <c r="A11" t="str">
        <f>STOCK_SISTEMA!A11</f>
        <v>EE10010</v>
      </c>
      <c r="B11" s="13" t="str">
        <f>STOCK_SISTEMA!B11</f>
        <v>[EE10010] CAJITA CAFÉ 86 PTOS ORG X UND</v>
      </c>
      <c r="C11" t="str">
        <f>IF(STOCK_SISTEMA!C11="","",STOCK_SISTEMA!C11)</f>
        <v>INFORME 20</v>
      </c>
      <c r="D11" s="11">
        <f>IF(STOCK_SISTEMA!D11="","",STOCK_SISTEMA!D11)</f>
        <v>46387.734837962962</v>
      </c>
      <c r="E11" t="str">
        <f>STOCK_SISTEMA!E11</f>
        <v>SF-03/Materiales</v>
      </c>
      <c r="F11" t="str">
        <f>STOCK_SISTEMA!G11</f>
        <v>Unidades</v>
      </c>
      <c r="G11" s="12">
        <f>STOCK_SISTEMA!F11</f>
        <v>800</v>
      </c>
      <c r="H11" s="12">
        <f>SUMIFS(CONTEOS!$N$2:$N$4000,CONTEOS!$F$2:$F$4000,A11,CONTEOS!$H$2:$H$4000,C11)</f>
        <v>0</v>
      </c>
      <c r="I11" s="12">
        <f t="shared" si="0"/>
        <v>-800</v>
      </c>
      <c r="J11" t="str">
        <f>IF(COUNTIFS(CONTEOS!$F$2:$F$4000,A11,CONTEOS!$H$2:$H$4000,C11)=0,"PENDIENTE",IF(I11=0,"CUADRA",IF(I11&gt;0,"SOBRANTE","FALTANTE")))</f>
        <v>PENDIENTE</v>
      </c>
    </row>
    <row r="12" spans="1:11" ht="28.8" x14ac:dyDescent="0.3">
      <c r="A12" t="str">
        <f>STOCK_SISTEMA!A12</f>
        <v>EE10010</v>
      </c>
      <c r="B12" s="13" t="str">
        <f>STOCK_SISTEMA!B12</f>
        <v>[EE10010] CAJITA CAFÉ 86 PTOS ORG X UND</v>
      </c>
      <c r="C12" t="str">
        <f>IF(STOCK_SISTEMA!C12="","",STOCK_SISTEMA!C12)</f>
        <v>INFORME 31</v>
      </c>
      <c r="D12" s="11">
        <f>IF(STOCK_SISTEMA!D12="","",STOCK_SISTEMA!D12)</f>
        <v>46387.675659722219</v>
      </c>
      <c r="E12" t="str">
        <f>STOCK_SISTEMA!E12</f>
        <v>SF-03/Materiales</v>
      </c>
      <c r="F12" t="str">
        <f>STOCK_SISTEMA!G12</f>
        <v>Unidades</v>
      </c>
      <c r="G12" s="12">
        <f>STOCK_SISTEMA!F12</f>
        <v>600</v>
      </c>
      <c r="H12" s="12">
        <f>SUMIFS(CONTEOS!$N$2:$N$4000,CONTEOS!$F$2:$F$4000,A12,CONTEOS!$H$2:$H$4000,C12)</f>
        <v>0</v>
      </c>
      <c r="I12" s="12">
        <f t="shared" si="0"/>
        <v>-600</v>
      </c>
      <c r="J12" t="str">
        <f>IF(COUNTIFS(CONTEOS!$F$2:$F$4000,A12,CONTEOS!$H$2:$H$4000,C12)=0,"PENDIENTE",IF(I12=0,"CUADRA",IF(I12&gt;0,"SOBRANTE","FALTANTE")))</f>
        <v>PENDIENTE</v>
      </c>
    </row>
    <row r="13" spans="1:11" ht="28.8" x14ac:dyDescent="0.3">
      <c r="A13" t="str">
        <f>STOCK_SISTEMA!A13</f>
        <v>EE10008</v>
      </c>
      <c r="B13" s="13" t="str">
        <f>STOCK_SISTEMA!B13</f>
        <v>[EE10008] CAJA MASTER TIYAPUY QUINUA GRANO # 8 X UND</v>
      </c>
      <c r="C13" t="str">
        <f>IF(STOCK_SISTEMA!C13="","",STOCK_SISTEMA!C13)</f>
        <v>INFORME 33</v>
      </c>
      <c r="D13" s="11" t="str">
        <f>IF(STOCK_SISTEMA!D13="","",STOCK_SISTEMA!D13)</f>
        <v/>
      </c>
      <c r="E13" t="str">
        <f>STOCK_SISTEMA!E13</f>
        <v>SF-03/Materiales</v>
      </c>
      <c r="F13" t="str">
        <f>STOCK_SISTEMA!G13</f>
        <v>Unidades</v>
      </c>
      <c r="G13" s="12">
        <f>STOCK_SISTEMA!F13</f>
        <v>625</v>
      </c>
      <c r="H13" s="12">
        <f>SUMIFS(CONTEOS!$N$2:$N$4000,CONTEOS!$F$2:$F$4000,A13,CONTEOS!$H$2:$H$4000,C13)</f>
        <v>0</v>
      </c>
      <c r="I13" s="12">
        <f t="shared" si="0"/>
        <v>-625</v>
      </c>
      <c r="J13" t="str">
        <f>IF(COUNTIFS(CONTEOS!$F$2:$F$4000,A13,CONTEOS!$H$2:$H$4000,C13)=0,"PENDIENTE",IF(I13=0,"CUADRA",IF(I13&gt;0,"SOBRANTE","FALTANTE")))</f>
        <v>PENDIENTE</v>
      </c>
    </row>
    <row r="14" spans="1:11" ht="43.2" x14ac:dyDescent="0.3">
      <c r="A14" t="str">
        <f>STOCK_SISTEMA!A14</f>
        <v>EE10137</v>
      </c>
      <c r="B14" s="13" t="str">
        <f>STOCK_SISTEMA!B14</f>
        <v>[EE10137] CINTA CODIFICADORA TERMOIMPRESIÓN X ROLLO  33MM X 700M</v>
      </c>
      <c r="C14" t="str">
        <f>IF(STOCK_SISTEMA!C14="","",STOCK_SISTEMA!C14)</f>
        <v/>
      </c>
      <c r="D14" s="11" t="str">
        <f>IF(STOCK_SISTEMA!D14="","",STOCK_SISTEMA!D14)</f>
        <v/>
      </c>
      <c r="E14" t="str">
        <f>STOCK_SISTEMA!E14</f>
        <v>SF-03/Materiales</v>
      </c>
      <c r="F14" t="str">
        <f>STOCK_SISTEMA!G14</f>
        <v>Unidades</v>
      </c>
      <c r="G14" s="12">
        <f>STOCK_SISTEMA!F14</f>
        <v>25.806999999999999</v>
      </c>
      <c r="H14" s="12">
        <f>SUMIFS(CONTEOS!$N$2:$N$4000,CONTEOS!$F$2:$F$4000,A14,CONTEOS!$H$2:$H$4000,C14)</f>
        <v>0</v>
      </c>
      <c r="I14" s="12">
        <f t="shared" si="0"/>
        <v>-25.806999999999999</v>
      </c>
      <c r="J14" t="str">
        <f>IF(COUNTIFS(CONTEOS!$F$2:$F$4000,A14,CONTEOS!$H$2:$H$4000,C14)=0,"PENDIENTE",IF(I14=0,"CUADRA",IF(I14&gt;0,"SOBRANTE","FALTANTE")))</f>
        <v>PENDIENTE</v>
      </c>
    </row>
    <row r="15" spans="1:11" ht="28.8" x14ac:dyDescent="0.3">
      <c r="A15" t="str">
        <f>STOCK_SISTEMA!A15</f>
        <v>EE10140</v>
      </c>
      <c r="B15" s="13" t="str">
        <f>STOCK_SISTEMA!B15</f>
        <v>[EE10140] LAMINA TIYAPUY NATIVA MIX 160GR ESPAÑA X KG</v>
      </c>
      <c r="C15" t="str">
        <f>IF(STOCK_SISTEMA!C15="","",STOCK_SISTEMA!C15)</f>
        <v>INFORME 39</v>
      </c>
      <c r="D15" s="11">
        <f>IF(STOCK_SISTEMA!D15="","",STOCK_SISTEMA!D15)</f>
        <v>46203.69568287037</v>
      </c>
      <c r="E15" t="str">
        <f>STOCK_SISTEMA!E15</f>
        <v>SF-03/Materiales</v>
      </c>
      <c r="F15" t="str">
        <f>STOCK_SISTEMA!G15</f>
        <v>Kilogramo</v>
      </c>
      <c r="G15" s="12">
        <f>STOCK_SISTEMA!F15</f>
        <v>282.72000000000003</v>
      </c>
      <c r="H15" s="12">
        <f>SUMIFS(CONTEOS!$N$2:$N$4000,CONTEOS!$F$2:$F$4000,A15,CONTEOS!$H$2:$H$4000,C15)</f>
        <v>0</v>
      </c>
      <c r="I15" s="12">
        <f t="shared" si="0"/>
        <v>-282.72000000000003</v>
      </c>
      <c r="J15" t="str">
        <f>IF(COUNTIFS(CONTEOS!$F$2:$F$4000,A15,CONTEOS!$H$2:$H$4000,C15)=0,"PENDIENTE",IF(I15=0,"CUADRA",IF(I15&gt;0,"SOBRANTE","FALTANTE")))</f>
        <v>PENDIENTE</v>
      </c>
    </row>
    <row r="16" spans="1:11" ht="28.8" x14ac:dyDescent="0.3">
      <c r="A16" t="str">
        <f>STOCK_SISTEMA!A16</f>
        <v>EE10141</v>
      </c>
      <c r="B16" s="13" t="str">
        <f>STOCK_SISTEMA!B16</f>
        <v>[EE10141] LAMINA TIYAPUY AMARILLA 160GR ESPAÑA X KG</v>
      </c>
      <c r="C16" t="str">
        <f>IF(STOCK_SISTEMA!C16="","",STOCK_SISTEMA!C16)</f>
        <v>INFORME 21</v>
      </c>
      <c r="D16" s="11">
        <f>IF(STOCK_SISTEMA!D16="","",STOCK_SISTEMA!D16)</f>
        <v>45771.69604166667</v>
      </c>
      <c r="E16" t="str">
        <f>STOCK_SISTEMA!E16</f>
        <v>SF-03/Materiales</v>
      </c>
      <c r="F16" t="str">
        <f>STOCK_SISTEMA!G16</f>
        <v>Kilogramo</v>
      </c>
      <c r="G16" s="12">
        <f>STOCK_SISTEMA!F16</f>
        <v>438.2</v>
      </c>
      <c r="H16" s="12">
        <f>SUMIFS(CONTEOS!$N$2:$N$4000,CONTEOS!$F$2:$F$4000,A16,CONTEOS!$H$2:$H$4000,C16)</f>
        <v>0</v>
      </c>
      <c r="I16" s="12">
        <f t="shared" si="0"/>
        <v>-438.2</v>
      </c>
      <c r="J16" t="str">
        <f>IF(COUNTIFS(CONTEOS!$F$2:$F$4000,A16,CONTEOS!$H$2:$H$4000,C16)=0,"PENDIENTE",IF(I16=0,"CUADRA",IF(I16&gt;0,"SOBRANTE","FALTANTE")))</f>
        <v>PENDIENTE</v>
      </c>
    </row>
    <row r="17" spans="1:10" ht="28.8" x14ac:dyDescent="0.3">
      <c r="A17" t="str">
        <f>STOCK_SISTEMA!A17</f>
        <v>EE10074</v>
      </c>
      <c r="B17" s="13" t="str">
        <f>STOCK_SISTEMA!B17</f>
        <v>[EE10074] CINTAS SNACK 36MM X 200 M X ROLLO</v>
      </c>
      <c r="C17" t="str">
        <f>IF(STOCK_SISTEMA!C17="","",STOCK_SISTEMA!C17)</f>
        <v/>
      </c>
      <c r="D17" s="11" t="str">
        <f>IF(STOCK_SISTEMA!D17="","",STOCK_SISTEMA!D17)</f>
        <v/>
      </c>
      <c r="E17" t="str">
        <f>STOCK_SISTEMA!E17</f>
        <v>SF-03/Materiales</v>
      </c>
      <c r="F17" t="str">
        <f>STOCK_SISTEMA!G17</f>
        <v>Unidades</v>
      </c>
      <c r="G17" s="12">
        <f>STOCK_SISTEMA!F17</f>
        <v>800.33600000000001</v>
      </c>
      <c r="H17" s="12">
        <f>SUMIFS(CONTEOS!$N$2:$N$4000,CONTEOS!$F$2:$F$4000,A17,CONTEOS!$H$2:$H$4000,C17)</f>
        <v>0</v>
      </c>
      <c r="I17" s="12">
        <f t="shared" si="0"/>
        <v>-800.33600000000001</v>
      </c>
      <c r="J17" t="str">
        <f>IF(COUNTIFS(CONTEOS!$F$2:$F$4000,A17,CONTEOS!$H$2:$H$4000,C17)=0,"PENDIENTE",IF(I17=0,"CUADRA",IF(I17&gt;0,"SOBRANTE","FALTANTE")))</f>
        <v>PENDIENTE</v>
      </c>
    </row>
    <row r="18" spans="1:10" ht="43.2" x14ac:dyDescent="0.3">
      <c r="A18" t="str">
        <f>STOCK_SISTEMA!A18</f>
        <v>EE10154</v>
      </c>
      <c r="B18" s="13" t="str">
        <f>STOCK_SISTEMA!B18</f>
        <v>[EE10154] BOLSA DE POLIETILENO ANCHO 26"x ALTO 59"x1.5 MIC ALTA NATURAL C/FUELLE 2"</v>
      </c>
      <c r="C18" t="str">
        <f>IF(STOCK_SISTEMA!C18="","",STOCK_SISTEMA!C18)</f>
        <v>LOTE 509</v>
      </c>
      <c r="D18" s="11">
        <f>IF(STOCK_SISTEMA!D18="","",STOCK_SISTEMA!D18)</f>
        <v>46037.488425925927</v>
      </c>
      <c r="E18" t="str">
        <f>STOCK_SISTEMA!E18</f>
        <v>SF-03/Materiales</v>
      </c>
      <c r="F18" t="str">
        <f>STOCK_SISTEMA!G18</f>
        <v>Unidades</v>
      </c>
      <c r="G18" s="12">
        <f>STOCK_SISTEMA!F18</f>
        <v>1450</v>
      </c>
      <c r="H18" s="12">
        <f>SUMIFS(CONTEOS!$N$2:$N$4000,CONTEOS!$F$2:$F$4000,A18,CONTEOS!$H$2:$H$4000,C18)</f>
        <v>0</v>
      </c>
      <c r="I18" s="12">
        <f t="shared" si="0"/>
        <v>-1450</v>
      </c>
      <c r="J18" t="str">
        <f>IF(COUNTIFS(CONTEOS!$F$2:$F$4000,A18,CONTEOS!$H$2:$H$4000,C18)=0,"PENDIENTE",IF(I18=0,"CUADRA",IF(I18&gt;0,"SOBRANTE","FALTANTE")))</f>
        <v>PENDIENTE</v>
      </c>
    </row>
    <row r="19" spans="1:10" ht="28.8" x14ac:dyDescent="0.3">
      <c r="A19" t="str">
        <f>STOCK_SISTEMA!A19</f>
        <v>EE10056</v>
      </c>
      <c r="B19" s="13" t="str">
        <f>STOCK_SISTEMA!B19</f>
        <v>[EE10056] BOLSA TIYAPUY SUPERPACK 142GR X UND</v>
      </c>
      <c r="C19" t="str">
        <f>IF(STOCK_SISTEMA!C19="","",STOCK_SISTEMA!C19)</f>
        <v>02/25</v>
      </c>
      <c r="D19" s="11" t="str">
        <f>IF(STOCK_SISTEMA!D19="","",STOCK_SISTEMA!D19)</f>
        <v/>
      </c>
      <c r="E19" t="str">
        <f>STOCK_SISTEMA!E19</f>
        <v>SF-03/Materiales</v>
      </c>
      <c r="F19" t="str">
        <f>STOCK_SISTEMA!G19</f>
        <v>Unidades</v>
      </c>
      <c r="G19" s="12">
        <f>STOCK_SISTEMA!F19</f>
        <v>300</v>
      </c>
      <c r="H19" s="12">
        <f>SUMIFS(CONTEOS!$N$2:$N$4000,CONTEOS!$F$2:$F$4000,A19,CONTEOS!$H$2:$H$4000,C19)</f>
        <v>0</v>
      </c>
      <c r="I19" s="12">
        <f t="shared" si="0"/>
        <v>-300</v>
      </c>
      <c r="J19" t="str">
        <f>IF(COUNTIFS(CONTEOS!$F$2:$F$4000,A19,CONTEOS!$H$2:$H$4000,C19)=0,"PENDIENTE",IF(I19=0,"CUADRA",IF(I19&gt;0,"SOBRANTE","FALTANTE")))</f>
        <v>PENDIENTE</v>
      </c>
    </row>
    <row r="20" spans="1:10" ht="28.8" x14ac:dyDescent="0.3">
      <c r="A20" t="str">
        <f>STOCK_SISTEMA!A20</f>
        <v>EE10056</v>
      </c>
      <c r="B20" s="13" t="str">
        <f>STOCK_SISTEMA!B20</f>
        <v>[EE10056] BOLSA TIYAPUY SUPERPACK 142GR X UND</v>
      </c>
      <c r="C20" t="str">
        <f>IF(STOCK_SISTEMA!C20="","",STOCK_SISTEMA!C20)</f>
        <v>01/25</v>
      </c>
      <c r="D20" s="11" t="str">
        <f>IF(STOCK_SISTEMA!D20="","",STOCK_SISTEMA!D20)</f>
        <v/>
      </c>
      <c r="E20" t="str">
        <f>STOCK_SISTEMA!E20</f>
        <v>SF-03/Materiales</v>
      </c>
      <c r="F20" t="str">
        <f>STOCK_SISTEMA!G20</f>
        <v>Unidades</v>
      </c>
      <c r="G20" s="12">
        <f>STOCK_SISTEMA!F20</f>
        <v>5500</v>
      </c>
      <c r="H20" s="12">
        <f>SUMIFS(CONTEOS!$N$2:$N$4000,CONTEOS!$F$2:$F$4000,A20,CONTEOS!$H$2:$H$4000,C20)</f>
        <v>0</v>
      </c>
      <c r="I20" s="12">
        <f t="shared" si="0"/>
        <v>-5500</v>
      </c>
      <c r="J20" t="str">
        <f>IF(COUNTIFS(CONTEOS!$F$2:$F$4000,A20,CONTEOS!$H$2:$H$4000,C20)=0,"PENDIENTE",IF(I20=0,"CUADRA",IF(I20&gt;0,"SOBRANTE","FALTANTE")))</f>
        <v>PENDIENTE</v>
      </c>
    </row>
    <row r="21" spans="1:10" ht="28.8" x14ac:dyDescent="0.3">
      <c r="A21" t="str">
        <f>STOCK_SISTEMA!A21</f>
        <v>EE10159</v>
      </c>
      <c r="B21" s="13" t="str">
        <f>STOCK_SISTEMA!B21</f>
        <v>[EE10159] LAMINA RIKY TOK 155 GR PAPAS HILO X KG</v>
      </c>
      <c r="C21" t="str">
        <f>IF(STOCK_SISTEMA!C21="","",STOCK_SISTEMA!C21)</f>
        <v>INFORME 02/25</v>
      </c>
      <c r="D21" s="11" t="str">
        <f>IF(STOCK_SISTEMA!D21="","",STOCK_SISTEMA!D21)</f>
        <v/>
      </c>
      <c r="E21" t="str">
        <f>STOCK_SISTEMA!E21</f>
        <v>SF-03/Materiales</v>
      </c>
      <c r="F21" t="str">
        <f>STOCK_SISTEMA!G21</f>
        <v>Kilogramo</v>
      </c>
      <c r="G21" s="12">
        <f>STOCK_SISTEMA!F21</f>
        <v>1085</v>
      </c>
      <c r="H21" s="12">
        <f>SUMIFS(CONTEOS!$N$2:$N$4000,CONTEOS!$F$2:$F$4000,A21,CONTEOS!$H$2:$H$4000,C21)</f>
        <v>0</v>
      </c>
      <c r="I21" s="12">
        <f t="shared" si="0"/>
        <v>-1085</v>
      </c>
      <c r="J21" t="str">
        <f>IF(COUNTIFS(CONTEOS!$F$2:$F$4000,A21,CONTEOS!$H$2:$H$4000,C21)=0,"PENDIENTE",IF(I21=0,"CUADRA",IF(I21&gt;0,"SOBRANTE","FALTANTE")))</f>
        <v>PENDIENTE</v>
      </c>
    </row>
    <row r="22" spans="1:10" ht="28.8" x14ac:dyDescent="0.3">
      <c r="A22" t="str">
        <f>STOCK_SISTEMA!A22</f>
        <v>EE10165</v>
      </c>
      <c r="B22" s="13" t="str">
        <f>STOCK_SISTEMA!B22</f>
        <v>[EE10165] PALLET LIVIANA 1.2MX1M EXPORTACION</v>
      </c>
      <c r="C22" t="str">
        <f>IF(STOCK_SISTEMA!C22="","",STOCK_SISTEMA!C22)</f>
        <v/>
      </c>
      <c r="D22" s="11" t="str">
        <f>IF(STOCK_SISTEMA!D22="","",STOCK_SISTEMA!D22)</f>
        <v/>
      </c>
      <c r="E22" t="str">
        <f>STOCK_SISTEMA!E22</f>
        <v>SF-03/Materiales</v>
      </c>
      <c r="F22" t="str">
        <f>STOCK_SISTEMA!G22</f>
        <v>Unidades</v>
      </c>
      <c r="G22" s="12">
        <f>STOCK_SISTEMA!F22</f>
        <v>194.4</v>
      </c>
      <c r="H22" s="12">
        <f>SUMIFS(CONTEOS!$N$2:$N$4000,CONTEOS!$F$2:$F$4000,A22,CONTEOS!$H$2:$H$4000,C22)</f>
        <v>0</v>
      </c>
      <c r="I22" s="12">
        <f t="shared" si="0"/>
        <v>-194.4</v>
      </c>
      <c r="J22" t="str">
        <f>IF(COUNTIFS(CONTEOS!$F$2:$F$4000,A22,CONTEOS!$H$2:$H$4000,C22)=0,"PENDIENTE",IF(I22=0,"CUADRA",IF(I22&gt;0,"SOBRANTE","FALTANTE")))</f>
        <v>PENDIENTE</v>
      </c>
    </row>
    <row r="23" spans="1:10" ht="43.2" x14ac:dyDescent="0.3">
      <c r="A23" t="str">
        <f>STOCK_SISTEMA!A23</f>
        <v>EE10154</v>
      </c>
      <c r="B23" s="13" t="str">
        <f>STOCK_SISTEMA!B23</f>
        <v>[EE10154] BOLSA DE POLIETILENO ANCHO 26"x ALTO 59"x1.5 MIC ALTA NATURAL C/FUELLE 2"</v>
      </c>
      <c r="C23" t="str">
        <f>IF(STOCK_SISTEMA!C23="","",STOCK_SISTEMA!C23)</f>
        <v>LOTE 692</v>
      </c>
      <c r="D23" s="11" t="str">
        <f>IF(STOCK_SISTEMA!D23="","",STOCK_SISTEMA!D23)</f>
        <v/>
      </c>
      <c r="E23" t="str">
        <f>STOCK_SISTEMA!E23</f>
        <v>SF-03/Materiales</v>
      </c>
      <c r="F23" t="str">
        <f>STOCK_SISTEMA!G23</f>
        <v>Unidades</v>
      </c>
      <c r="G23" s="12">
        <f>STOCK_SISTEMA!F23</f>
        <v>3200</v>
      </c>
      <c r="H23" s="12">
        <f>SUMIFS(CONTEOS!$N$2:$N$4000,CONTEOS!$F$2:$F$4000,A23,CONTEOS!$H$2:$H$4000,C23)</f>
        <v>0</v>
      </c>
      <c r="I23" s="12">
        <f t="shared" si="0"/>
        <v>-3200</v>
      </c>
      <c r="J23" t="str">
        <f>IF(COUNTIFS(CONTEOS!$F$2:$F$4000,A23,CONTEOS!$H$2:$H$4000,C23)=0,"PENDIENTE",IF(I23=0,"CUADRA",IF(I23&gt;0,"SOBRANTE","FALTANTE")))</f>
        <v>PENDIENTE</v>
      </c>
    </row>
    <row r="24" spans="1:10" ht="28.8" x14ac:dyDescent="0.3">
      <c r="A24" t="str">
        <f>STOCK_SISTEMA!A24</f>
        <v>EE10177</v>
      </c>
      <c r="B24" s="13" t="str">
        <f>STOCK_SISTEMA!B24</f>
        <v>[EE10177] PALLET EURO LIVIANA 0.8MX1.2M EXPORTACION</v>
      </c>
      <c r="C24" t="str">
        <f>IF(STOCK_SISTEMA!C24="","",STOCK_SISTEMA!C24)</f>
        <v/>
      </c>
      <c r="D24" s="11" t="str">
        <f>IF(STOCK_SISTEMA!D24="","",STOCK_SISTEMA!D24)</f>
        <v/>
      </c>
      <c r="E24" t="str">
        <f>STOCK_SISTEMA!E24</f>
        <v>SF-03/Materiales</v>
      </c>
      <c r="F24" t="str">
        <f>STOCK_SISTEMA!G24</f>
        <v>Unidades</v>
      </c>
      <c r="G24" s="12">
        <f>STOCK_SISTEMA!F24</f>
        <v>45</v>
      </c>
      <c r="H24" s="12">
        <f>SUMIFS(CONTEOS!$N$2:$N$4000,CONTEOS!$F$2:$F$4000,A24,CONTEOS!$H$2:$H$4000,C24)</f>
        <v>0</v>
      </c>
      <c r="I24" s="12">
        <f t="shared" si="0"/>
        <v>-45</v>
      </c>
      <c r="J24" t="str">
        <f>IF(COUNTIFS(CONTEOS!$F$2:$F$4000,A24,CONTEOS!$H$2:$H$4000,C24)=0,"PENDIENTE",IF(I24=0,"CUADRA",IF(I24&gt;0,"SOBRANTE","FALTANTE")))</f>
        <v>PENDIENTE</v>
      </c>
    </row>
    <row r="25" spans="1:10" ht="28.8" x14ac:dyDescent="0.3">
      <c r="A25" t="str">
        <f>STOCK_SISTEMA!A25</f>
        <v>EE10149-2</v>
      </c>
      <c r="B25" s="13" t="str">
        <f>STOCK_SISTEMA!B25</f>
        <v>[EE10149-2] STICKERS RIKYTOK PARA LAMINA CONG SIN IMPRESION PEBD 1KG</v>
      </c>
      <c r="C25" t="str">
        <f>IF(STOCK_SISTEMA!C25="","",STOCK_SISTEMA!C25)</f>
        <v/>
      </c>
      <c r="D25" s="11" t="str">
        <f>IF(STOCK_SISTEMA!D25="","",STOCK_SISTEMA!D25)</f>
        <v/>
      </c>
      <c r="E25" t="str">
        <f>STOCK_SISTEMA!E25</f>
        <v>SF-03/Materiales</v>
      </c>
      <c r="F25" t="str">
        <f>STOCK_SISTEMA!G25</f>
        <v>Unidades</v>
      </c>
      <c r="G25" s="12">
        <f>STOCK_SISTEMA!F25</f>
        <v>20350</v>
      </c>
      <c r="H25" s="12">
        <f>SUMIFS(CONTEOS!$N$2:$N$4000,CONTEOS!$F$2:$F$4000,A25,CONTEOS!$H$2:$H$4000,C25)</f>
        <v>0</v>
      </c>
      <c r="I25" s="12">
        <f t="shared" si="0"/>
        <v>-20350</v>
      </c>
      <c r="J25" t="str">
        <f>IF(COUNTIFS(CONTEOS!$F$2:$F$4000,A25,CONTEOS!$H$2:$H$4000,C25)=0,"PENDIENTE",IF(I25=0,"CUADRA",IF(I25&gt;0,"SOBRANTE","FALTANTE")))</f>
        <v>PENDIENTE</v>
      </c>
    </row>
    <row r="26" spans="1:10" ht="28.8" x14ac:dyDescent="0.3">
      <c r="A26" t="str">
        <f>STOCK_SISTEMA!A26</f>
        <v>EE10146</v>
      </c>
      <c r="B26" s="13" t="str">
        <f>STOCK_SISTEMA!B26</f>
        <v>[EE10146] LAMINA TIYAPUY AMARILLA PICANTE 142GR CONV MEXICO X KG</v>
      </c>
      <c r="C26" t="str">
        <f>IF(STOCK_SISTEMA!C26="","",STOCK_SISTEMA!C26)</f>
        <v>INFORME 02/25</v>
      </c>
      <c r="D26" s="11">
        <f>IF(STOCK_SISTEMA!D26="","",STOCK_SISTEMA!D26)</f>
        <v>46137.619039351863</v>
      </c>
      <c r="E26" t="str">
        <f>STOCK_SISTEMA!E26</f>
        <v>SF-03/Materiales</v>
      </c>
      <c r="F26" t="str">
        <f>STOCK_SISTEMA!G26</f>
        <v>Kilogramo</v>
      </c>
      <c r="G26" s="12">
        <f>STOCK_SISTEMA!F26</f>
        <v>351.70240000000001</v>
      </c>
      <c r="H26" s="12">
        <f>SUMIFS(CONTEOS!$N$2:$N$4000,CONTEOS!$F$2:$F$4000,A26,CONTEOS!$H$2:$H$4000,C26)</f>
        <v>0</v>
      </c>
      <c r="I26" s="12">
        <f t="shared" si="0"/>
        <v>-351.70240000000001</v>
      </c>
      <c r="J26" t="str">
        <f>IF(COUNTIFS(CONTEOS!$F$2:$F$4000,A26,CONTEOS!$H$2:$H$4000,C26)=0,"PENDIENTE",IF(I26=0,"CUADRA",IF(I26&gt;0,"SOBRANTE","FALTANTE")))</f>
        <v>PENDIENTE</v>
      </c>
    </row>
    <row r="27" spans="1:10" ht="28.8" x14ac:dyDescent="0.3">
      <c r="A27" t="str">
        <f>STOCK_SISTEMA!A27</f>
        <v>EE10088-1</v>
      </c>
      <c r="B27" s="13" t="str">
        <f>STOCK_SISTEMA!B27</f>
        <v>[EE10088-1] LAMINA TIYAPUY NATIVA MIX 40GR ORG MEXICO X KG</v>
      </c>
      <c r="C27" t="str">
        <f>IF(STOCK_SISTEMA!C27="","",STOCK_SISTEMA!C27)</f>
        <v>INFORME 05/25</v>
      </c>
      <c r="D27" s="11">
        <f>IF(STOCK_SISTEMA!D27="","",STOCK_SISTEMA!D27)</f>
        <v>46203.624201388891</v>
      </c>
      <c r="E27" t="str">
        <f>STOCK_SISTEMA!E27</f>
        <v>SF-03/Materiales</v>
      </c>
      <c r="F27" t="str">
        <f>STOCK_SISTEMA!G27</f>
        <v>Kilogramo</v>
      </c>
      <c r="G27" s="12">
        <f>STOCK_SISTEMA!F27</f>
        <v>53.75</v>
      </c>
      <c r="H27" s="12">
        <f>SUMIFS(CONTEOS!$N$2:$N$4000,CONTEOS!$F$2:$F$4000,A27,CONTEOS!$H$2:$H$4000,C27)</f>
        <v>0</v>
      </c>
      <c r="I27" s="12">
        <f t="shared" si="0"/>
        <v>-53.75</v>
      </c>
      <c r="J27" t="str">
        <f>IF(COUNTIFS(CONTEOS!$F$2:$F$4000,A27,CONTEOS!$H$2:$H$4000,C27)=0,"PENDIENTE",IF(I27=0,"CUADRA",IF(I27&gt;0,"SOBRANTE","FALTANTE")))</f>
        <v>PENDIENTE</v>
      </c>
    </row>
    <row r="28" spans="1:10" ht="28.8" x14ac:dyDescent="0.3">
      <c r="A28" t="str">
        <f>STOCK_SISTEMA!A28</f>
        <v>EE10047</v>
      </c>
      <c r="B28" s="13" t="str">
        <f>STOCK_SISTEMA!B28</f>
        <v>[EE10047] LAMINA RIKY TOK 30 GR ONDA PICANTE X KG</v>
      </c>
      <c r="C28" t="str">
        <f>IF(STOCK_SISTEMA!C28="","",STOCK_SISTEMA!C28)</f>
        <v>INFORME 05/25</v>
      </c>
      <c r="D28" s="11">
        <f>IF(STOCK_SISTEMA!D28="","",STOCK_SISTEMA!D28)</f>
        <v>45835.69908564815</v>
      </c>
      <c r="E28" t="str">
        <f>STOCK_SISTEMA!E28</f>
        <v>SF-03/Cuarentena</v>
      </c>
      <c r="F28" t="str">
        <f>STOCK_SISTEMA!G28</f>
        <v>Kilogramo</v>
      </c>
      <c r="G28" s="12">
        <f>STOCK_SISTEMA!F28</f>
        <v>52</v>
      </c>
      <c r="H28" s="12">
        <f>SUMIFS(CONTEOS!$N$2:$N$4000,CONTEOS!$F$2:$F$4000,A28,CONTEOS!$H$2:$H$4000,C28)</f>
        <v>0</v>
      </c>
      <c r="I28" s="12">
        <f t="shared" si="0"/>
        <v>-52</v>
      </c>
      <c r="J28" t="str">
        <f>IF(COUNTIFS(CONTEOS!$F$2:$F$4000,A28,CONTEOS!$H$2:$H$4000,C28)=0,"PENDIENTE",IF(I28=0,"CUADRA",IF(I28&gt;0,"SOBRANTE","FALTANTE")))</f>
        <v>PENDIENTE</v>
      </c>
    </row>
    <row r="29" spans="1:10" ht="28.8" x14ac:dyDescent="0.3">
      <c r="A29" t="str">
        <f>STOCK_SISTEMA!A29</f>
        <v>EE10004</v>
      </c>
      <c r="B29" s="13" t="str">
        <f>STOCK_SISTEMA!B29</f>
        <v>[EE10004] CAJA MASTER TIYAPUY AMAZON # 4 X UND</v>
      </c>
      <c r="C29" t="str">
        <f>IF(STOCK_SISTEMA!C29="","",STOCK_SISTEMA!C29)</f>
        <v>LT-SF-AGR</v>
      </c>
      <c r="D29" s="11">
        <f>IF(STOCK_SISTEMA!D29="","",STOCK_SISTEMA!D29)</f>
        <v>46387</v>
      </c>
      <c r="E29" t="str">
        <f>STOCK_SISTEMA!E29</f>
        <v>SF-03/Materiales</v>
      </c>
      <c r="F29" t="str">
        <f>STOCK_SISTEMA!G29</f>
        <v>Unidades</v>
      </c>
      <c r="G29" s="12">
        <f>STOCK_SISTEMA!F29</f>
        <v>2625</v>
      </c>
      <c r="H29" s="12">
        <f>SUMIFS(CONTEOS!$N$2:$N$4000,CONTEOS!$F$2:$F$4000,A29,CONTEOS!$H$2:$H$4000,C29)</f>
        <v>0</v>
      </c>
      <c r="I29" s="12">
        <f t="shared" si="0"/>
        <v>-2625</v>
      </c>
      <c r="J29" t="str">
        <f>IF(COUNTIFS(CONTEOS!$F$2:$F$4000,A29,CONTEOS!$H$2:$H$4000,C29)=0,"PENDIENTE",IF(I29=0,"CUADRA",IF(I29&gt;0,"SOBRANTE","FALTANTE")))</f>
        <v>PENDIENTE</v>
      </c>
    </row>
    <row r="30" spans="1:10" ht="28.8" x14ac:dyDescent="0.3">
      <c r="A30" t="str">
        <f>STOCK_SISTEMA!A30</f>
        <v>EE10092</v>
      </c>
      <c r="B30" s="13" t="str">
        <f>STOCK_SISTEMA!B30</f>
        <v>[EE10092] BOLSA LAMINADA CAFÉ UNAKA  C/FUELLE C/SELLOS 200g</v>
      </c>
      <c r="C30" t="str">
        <f>IF(STOCK_SISTEMA!C30="","",STOCK_SISTEMA!C30)</f>
        <v>INFORME 10</v>
      </c>
      <c r="D30" s="11">
        <f>IF(STOCK_SISTEMA!D30="","",STOCK_SISTEMA!D30)</f>
        <v>46387.791666666657</v>
      </c>
      <c r="E30" t="str">
        <f>STOCK_SISTEMA!E30</f>
        <v>SF-03/Materiales</v>
      </c>
      <c r="F30" t="str">
        <f>STOCK_SISTEMA!G30</f>
        <v>Unidades</v>
      </c>
      <c r="G30" s="12">
        <f>STOCK_SISTEMA!F30</f>
        <v>333</v>
      </c>
      <c r="H30" s="12">
        <f>SUMIFS(CONTEOS!$N$2:$N$4000,CONTEOS!$F$2:$F$4000,A30,CONTEOS!$H$2:$H$4000,C30)</f>
        <v>0</v>
      </c>
      <c r="I30" s="12">
        <f t="shared" si="0"/>
        <v>-333</v>
      </c>
      <c r="J30" t="str">
        <f>IF(COUNTIFS(CONTEOS!$F$2:$F$4000,A30,CONTEOS!$H$2:$H$4000,C30)=0,"PENDIENTE",IF(I30=0,"CUADRA",IF(I30&gt;0,"SOBRANTE","FALTANTE")))</f>
        <v>PENDIENTE</v>
      </c>
    </row>
    <row r="31" spans="1:10" ht="28.8" x14ac:dyDescent="0.3">
      <c r="A31" t="str">
        <f>STOCK_SISTEMA!A31</f>
        <v>EE10092</v>
      </c>
      <c r="B31" s="13" t="str">
        <f>STOCK_SISTEMA!B31</f>
        <v>[EE10092] BOLSA LAMINADA CAFÉ UNAKA  C/FUELLE C/SELLOS 200g</v>
      </c>
      <c r="C31" t="str">
        <f>IF(STOCK_SISTEMA!C31="","",STOCK_SISTEMA!C31)</f>
        <v>INFORME 11</v>
      </c>
      <c r="D31" s="11">
        <f>IF(STOCK_SISTEMA!D31="","",STOCK_SISTEMA!D31)</f>
        <v>46387.791666666657</v>
      </c>
      <c r="E31" t="str">
        <f>STOCK_SISTEMA!E31</f>
        <v>SF-03/Materiales</v>
      </c>
      <c r="F31" t="str">
        <f>STOCK_SISTEMA!G31</f>
        <v>Unidades</v>
      </c>
      <c r="G31" s="12">
        <f>STOCK_SISTEMA!F31</f>
        <v>2200</v>
      </c>
      <c r="H31" s="12">
        <f>SUMIFS(CONTEOS!$N$2:$N$4000,CONTEOS!$F$2:$F$4000,A31,CONTEOS!$H$2:$H$4000,C31)</f>
        <v>0</v>
      </c>
      <c r="I31" s="12">
        <f t="shared" si="0"/>
        <v>-2200</v>
      </c>
      <c r="J31" t="str">
        <f>IF(COUNTIFS(CONTEOS!$F$2:$F$4000,A31,CONTEOS!$H$2:$H$4000,C31)=0,"PENDIENTE",IF(I31=0,"CUADRA",IF(I31&gt;0,"SOBRANTE","FALTANTE")))</f>
        <v>PENDIENTE</v>
      </c>
    </row>
    <row r="32" spans="1:10" ht="28.8" x14ac:dyDescent="0.3">
      <c r="A32" t="str">
        <f>STOCK_SISTEMA!A32</f>
        <v>EE10092</v>
      </c>
      <c r="B32" s="13" t="str">
        <f>STOCK_SISTEMA!B32</f>
        <v>[EE10092] BOLSA LAMINADA CAFÉ UNAKA  C/FUELLE C/SELLOS 200g</v>
      </c>
      <c r="C32" t="str">
        <f>IF(STOCK_SISTEMA!C32="","",STOCK_SISTEMA!C32)</f>
        <v>INFORME 8</v>
      </c>
      <c r="D32" s="11">
        <f>IF(STOCK_SISTEMA!D32="","",STOCK_SISTEMA!D32)</f>
        <v>46387.791666666657</v>
      </c>
      <c r="E32" t="str">
        <f>STOCK_SISTEMA!E32</f>
        <v>SF-03/Materiales</v>
      </c>
      <c r="F32" t="str">
        <f>STOCK_SISTEMA!G32</f>
        <v>Unidades</v>
      </c>
      <c r="G32" s="12">
        <f>STOCK_SISTEMA!F32</f>
        <v>2800</v>
      </c>
      <c r="H32" s="12">
        <f>SUMIFS(CONTEOS!$N$2:$N$4000,CONTEOS!$F$2:$F$4000,A32,CONTEOS!$H$2:$H$4000,C32)</f>
        <v>0</v>
      </c>
      <c r="I32" s="12">
        <f t="shared" si="0"/>
        <v>-2800</v>
      </c>
      <c r="J32" t="str">
        <f>IF(COUNTIFS(CONTEOS!$F$2:$F$4000,A32,CONTEOS!$H$2:$H$4000,C32)=0,"PENDIENTE",IF(I32=0,"CUADRA",IF(I32&gt;0,"SOBRANTE","FALTANTE")))</f>
        <v>PENDIENTE</v>
      </c>
    </row>
    <row r="33" spans="1:10" ht="28.8" x14ac:dyDescent="0.3">
      <c r="A33" t="str">
        <f>STOCK_SISTEMA!A33</f>
        <v>EE10158</v>
      </c>
      <c r="B33" s="13" t="str">
        <f>STOCK_SISTEMA!B33</f>
        <v>[EE10158] LAMINA RIKY TOK 45 GR PAPAS HILO X KG</v>
      </c>
      <c r="C33" t="str">
        <f>IF(STOCK_SISTEMA!C33="","",STOCK_SISTEMA!C33)</f>
        <v>INFORME 04/25</v>
      </c>
      <c r="D33" s="11">
        <f>IF(STOCK_SISTEMA!D33="","",STOCK_SISTEMA!D33)</f>
        <v>46152.412476851852</v>
      </c>
      <c r="E33" t="str">
        <f>STOCK_SISTEMA!E33</f>
        <v>SF-03/Materiales</v>
      </c>
      <c r="F33" t="str">
        <f>STOCK_SISTEMA!G33</f>
        <v>Kilogramo</v>
      </c>
      <c r="G33" s="12">
        <f>STOCK_SISTEMA!F33</f>
        <v>188.87700000000001</v>
      </c>
      <c r="H33" s="12">
        <f>SUMIFS(CONTEOS!$N$2:$N$4000,CONTEOS!$F$2:$F$4000,A33,CONTEOS!$H$2:$H$4000,C33)</f>
        <v>0</v>
      </c>
      <c r="I33" s="12">
        <f t="shared" si="0"/>
        <v>-188.87700000000001</v>
      </c>
      <c r="J33" t="str">
        <f>IF(COUNTIFS(CONTEOS!$F$2:$F$4000,A33,CONTEOS!$H$2:$H$4000,C33)=0,"PENDIENTE",IF(I33=0,"CUADRA",IF(I33&gt;0,"SOBRANTE","FALTANTE")))</f>
        <v>PENDIENTE</v>
      </c>
    </row>
    <row r="34" spans="1:10" ht="43.2" x14ac:dyDescent="0.3">
      <c r="A34" t="str">
        <f>STOCK_SISTEMA!A34</f>
        <v>EE10181</v>
      </c>
      <c r="B34" s="13" t="str">
        <f>STOCK_SISTEMA!B34</f>
        <v>[EE10181] STICKERS TIYAPUY PARA LAMINA CONG SIN IMPRESION PEBD 2.5KG</v>
      </c>
      <c r="C34" t="str">
        <f>IF(STOCK_SISTEMA!C34="","",STOCK_SISTEMA!C34)</f>
        <v>INFORME 21/25</v>
      </c>
      <c r="D34" s="11">
        <f>IF(STOCK_SISTEMA!D34="","",STOCK_SISTEMA!D34)</f>
        <v>46387.520405092589</v>
      </c>
      <c r="E34" t="str">
        <f>STOCK_SISTEMA!E34</f>
        <v>SF-03/Materiales</v>
      </c>
      <c r="F34" t="str">
        <f>STOCK_SISTEMA!G34</f>
        <v>Unidades</v>
      </c>
      <c r="G34" s="12">
        <f>STOCK_SISTEMA!F34</f>
        <v>15000</v>
      </c>
      <c r="H34" s="12">
        <f>SUMIFS(CONTEOS!$N$2:$N$4000,CONTEOS!$F$2:$F$4000,A34,CONTEOS!$H$2:$H$4000,C34)</f>
        <v>0</v>
      </c>
      <c r="I34" s="12">
        <f t="shared" si="0"/>
        <v>-15000</v>
      </c>
      <c r="J34" t="str">
        <f>IF(COUNTIFS(CONTEOS!$F$2:$F$4000,A34,CONTEOS!$H$2:$H$4000,C34)=0,"PENDIENTE",IF(I34=0,"CUADRA",IF(I34&gt;0,"SOBRANTE","FALTANTE")))</f>
        <v>PENDIENTE</v>
      </c>
    </row>
    <row r="35" spans="1:10" ht="28.8" x14ac:dyDescent="0.3">
      <c r="A35" t="str">
        <f>STOCK_SISTEMA!A35</f>
        <v>EE10158</v>
      </c>
      <c r="B35" s="13" t="str">
        <f>STOCK_SISTEMA!B35</f>
        <v>[EE10158] LAMINA RIKY TOK 45 GR PAPAS HILO X KG</v>
      </c>
      <c r="C35" t="str">
        <f>IF(STOCK_SISTEMA!C35="","",STOCK_SISTEMA!C35)</f>
        <v>INFORME 06/25</v>
      </c>
      <c r="D35" s="11">
        <f>IF(STOCK_SISTEMA!D35="","",STOCK_SISTEMA!D35)</f>
        <v>46162.962013888893</v>
      </c>
      <c r="E35" t="str">
        <f>STOCK_SISTEMA!E35</f>
        <v>SF-03/Materiales</v>
      </c>
      <c r="F35" t="str">
        <f>STOCK_SISTEMA!G35</f>
        <v>Kilogramo</v>
      </c>
      <c r="G35" s="12">
        <f>STOCK_SISTEMA!F35</f>
        <v>667.14</v>
      </c>
      <c r="H35" s="12">
        <f>SUMIFS(CONTEOS!$N$2:$N$4000,CONTEOS!$F$2:$F$4000,A35,CONTEOS!$H$2:$H$4000,C35)</f>
        <v>0</v>
      </c>
      <c r="I35" s="12">
        <f t="shared" si="0"/>
        <v>-667.14</v>
      </c>
      <c r="J35" t="str">
        <f>IF(COUNTIFS(CONTEOS!$F$2:$F$4000,A35,CONTEOS!$H$2:$H$4000,C35)=0,"PENDIENTE",IF(I35=0,"CUADRA",IF(I35&gt;0,"SOBRANTE","FALTANTE")))</f>
        <v>PENDIENTE</v>
      </c>
    </row>
    <row r="36" spans="1:10" ht="28.8" x14ac:dyDescent="0.3">
      <c r="A36" t="str">
        <f>STOCK_SISTEMA!A36</f>
        <v>EE10121</v>
      </c>
      <c r="B36" s="13" t="str">
        <f>STOCK_SISTEMA!B36</f>
        <v>[EE10121] LAMINA TIYAPUY AMARILLA 142 GR CONVENCIONAL X KG</v>
      </c>
      <c r="C36" t="str">
        <f>IF(STOCK_SISTEMA!C36="","",STOCK_SISTEMA!C36)</f>
        <v>INFORME 10/25</v>
      </c>
      <c r="D36" s="11">
        <f>IF(STOCK_SISTEMA!D36="","",STOCK_SISTEMA!D36)</f>
        <v>46169.473749999997</v>
      </c>
      <c r="E36" t="str">
        <f>STOCK_SISTEMA!E36</f>
        <v>SF-03/Materiales</v>
      </c>
      <c r="F36" t="str">
        <f>STOCK_SISTEMA!G36</f>
        <v>Kilogramo</v>
      </c>
      <c r="G36" s="12">
        <f>STOCK_SISTEMA!F36</f>
        <v>337.29</v>
      </c>
      <c r="H36" s="12">
        <f>SUMIFS(CONTEOS!$N$2:$N$4000,CONTEOS!$F$2:$F$4000,A36,CONTEOS!$H$2:$H$4000,C36)</f>
        <v>0</v>
      </c>
      <c r="I36" s="12">
        <f t="shared" si="0"/>
        <v>-337.29</v>
      </c>
      <c r="J36" t="str">
        <f>IF(COUNTIFS(CONTEOS!$F$2:$F$4000,A36,CONTEOS!$H$2:$H$4000,C36)=0,"PENDIENTE",IF(I36=0,"CUADRA",IF(I36&gt;0,"SOBRANTE","FALTANTE")))</f>
        <v>PENDIENTE</v>
      </c>
    </row>
    <row r="37" spans="1:10" ht="28.8" x14ac:dyDescent="0.3">
      <c r="A37" t="str">
        <f>STOCK_SISTEMA!A37</f>
        <v>EE10097</v>
      </c>
      <c r="B37" s="13" t="str">
        <f>STOCK_SISTEMA!B37</f>
        <v>[EE10097] PALLET EAN 1.2MX1M EXPORTACION</v>
      </c>
      <c r="C37" t="str">
        <f>IF(STOCK_SISTEMA!C37="","",STOCK_SISTEMA!C37)</f>
        <v/>
      </c>
      <c r="D37" s="11" t="str">
        <f>IF(STOCK_SISTEMA!D37="","",STOCK_SISTEMA!D37)</f>
        <v/>
      </c>
      <c r="E37" t="str">
        <f>STOCK_SISTEMA!E37</f>
        <v>SF-03/Materiales</v>
      </c>
      <c r="F37" t="str">
        <f>STOCK_SISTEMA!G37</f>
        <v>Unidades</v>
      </c>
      <c r="G37" s="12">
        <f>STOCK_SISTEMA!F37</f>
        <v>76</v>
      </c>
      <c r="H37" s="12">
        <f>SUMIFS(CONTEOS!$N$2:$N$4000,CONTEOS!$F$2:$F$4000,A37,CONTEOS!$H$2:$H$4000,C37)</f>
        <v>0</v>
      </c>
      <c r="I37" s="12">
        <f t="shared" si="0"/>
        <v>-76</v>
      </c>
      <c r="J37" t="str">
        <f>IF(COUNTIFS(CONTEOS!$F$2:$F$4000,A37,CONTEOS!$H$2:$H$4000,C37)=0,"PENDIENTE",IF(I37=0,"CUADRA",IF(I37&gt;0,"SOBRANTE","FALTANTE")))</f>
        <v>PENDIENTE</v>
      </c>
    </row>
    <row r="38" spans="1:10" ht="28.8" x14ac:dyDescent="0.3">
      <c r="A38" t="str">
        <f>STOCK_SISTEMA!A38</f>
        <v>EE10025</v>
      </c>
      <c r="B38" s="13" t="str">
        <f>STOCK_SISTEMA!B38</f>
        <v>[EE10025] LAMINA TIYAPUY NATIVA MIX 30GR CONVENCIONAL X KG</v>
      </c>
      <c r="C38" t="str">
        <f>IF(STOCK_SISTEMA!C38="","",STOCK_SISTEMA!C38)</f>
        <v>INFORME 03/25</v>
      </c>
      <c r="D38" s="11">
        <f>IF(STOCK_SISTEMA!D38="","",STOCK_SISTEMA!D38)</f>
        <v>45921.696030092593</v>
      </c>
      <c r="E38" t="str">
        <f>STOCK_SISTEMA!E38</f>
        <v>SF-03/Cuarentena</v>
      </c>
      <c r="F38" t="str">
        <f>STOCK_SISTEMA!G38</f>
        <v>Kilogramo</v>
      </c>
      <c r="G38" s="12">
        <f>STOCK_SISTEMA!F38</f>
        <v>4</v>
      </c>
      <c r="H38" s="12">
        <f>SUMIFS(CONTEOS!$N$2:$N$4000,CONTEOS!$F$2:$F$4000,A38,CONTEOS!$H$2:$H$4000,C38)</f>
        <v>0</v>
      </c>
      <c r="I38" s="12">
        <f t="shared" si="0"/>
        <v>-4</v>
      </c>
      <c r="J38" t="str">
        <f>IF(COUNTIFS(CONTEOS!$F$2:$F$4000,A38,CONTEOS!$H$2:$H$4000,C38)=0,"PENDIENTE",IF(I38=0,"CUADRA",IF(I38&gt;0,"SOBRANTE","FALTANTE")))</f>
        <v>PENDIENTE</v>
      </c>
    </row>
    <row r="39" spans="1:10" ht="28.8" x14ac:dyDescent="0.3">
      <c r="A39" t="str">
        <f>STOCK_SISTEMA!A39</f>
        <v>EE10047</v>
      </c>
      <c r="B39" s="13" t="str">
        <f>STOCK_SISTEMA!B39</f>
        <v>[EE10047] LAMINA RIKY TOK 30 GR ONDA PICANTE X KG</v>
      </c>
      <c r="C39" t="str">
        <f>IF(STOCK_SISTEMA!C39="","",STOCK_SISTEMA!C39)</f>
        <v>INFORME 06/25</v>
      </c>
      <c r="D39" s="11">
        <f>IF(STOCK_SISTEMA!D39="","",STOCK_SISTEMA!D39)</f>
        <v>45855.70039351852</v>
      </c>
      <c r="E39" t="str">
        <f>STOCK_SISTEMA!E39</f>
        <v>SF-03/Cuarentena</v>
      </c>
      <c r="F39" t="str">
        <f>STOCK_SISTEMA!G39</f>
        <v>Kilogramo</v>
      </c>
      <c r="G39" s="12">
        <f>STOCK_SISTEMA!F39</f>
        <v>199.4</v>
      </c>
      <c r="H39" s="12">
        <f>SUMIFS(CONTEOS!$N$2:$N$4000,CONTEOS!$F$2:$F$4000,A39,CONTEOS!$H$2:$H$4000,C39)</f>
        <v>0</v>
      </c>
      <c r="I39" s="12">
        <f t="shared" si="0"/>
        <v>-199.4</v>
      </c>
      <c r="J39" t="str">
        <f>IF(COUNTIFS(CONTEOS!$F$2:$F$4000,A39,CONTEOS!$H$2:$H$4000,C39)=0,"PENDIENTE",IF(I39=0,"CUADRA",IF(I39&gt;0,"SOBRANTE","FALTANTE")))</f>
        <v>PENDIENTE</v>
      </c>
    </row>
    <row r="40" spans="1:10" ht="28.8" x14ac:dyDescent="0.3">
      <c r="A40" t="str">
        <f>STOCK_SISTEMA!A40</f>
        <v>EE10158</v>
      </c>
      <c r="B40" s="13" t="str">
        <f>STOCK_SISTEMA!B40</f>
        <v>[EE10158] LAMINA RIKY TOK 45 GR PAPAS HILO X KG</v>
      </c>
      <c r="C40" t="str">
        <f>IF(STOCK_SISTEMA!C40="","",STOCK_SISTEMA!C40)</f>
        <v>INFORME 07/25</v>
      </c>
      <c r="D40" s="11">
        <f>IF(STOCK_SISTEMA!D40="","",STOCK_SISTEMA!D40)</f>
        <v>46001.464756944442</v>
      </c>
      <c r="E40" t="str">
        <f>STOCK_SISTEMA!E40</f>
        <v>SF-03/Materiales</v>
      </c>
      <c r="F40" t="str">
        <f>STOCK_SISTEMA!G40</f>
        <v>Kilogramo</v>
      </c>
      <c r="G40" s="12">
        <f>STOCK_SISTEMA!F40</f>
        <v>861.73</v>
      </c>
      <c r="H40" s="12">
        <f>SUMIFS(CONTEOS!$N$2:$N$4000,CONTEOS!$F$2:$F$4000,A40,CONTEOS!$H$2:$H$4000,C40)</f>
        <v>0</v>
      </c>
      <c r="I40" s="12">
        <f t="shared" si="0"/>
        <v>-861.73</v>
      </c>
      <c r="J40" t="str">
        <f>IF(COUNTIFS(CONTEOS!$F$2:$F$4000,A40,CONTEOS!$H$2:$H$4000,C40)=0,"PENDIENTE",IF(I40=0,"CUADRA",IF(I40&gt;0,"SOBRANTE","FALTANTE")))</f>
        <v>PENDIENTE</v>
      </c>
    </row>
    <row r="41" spans="1:10" ht="28.8" x14ac:dyDescent="0.3">
      <c r="A41" t="str">
        <f>STOCK_SISTEMA!A41</f>
        <v>EE10060</v>
      </c>
      <c r="B41" s="13" t="str">
        <f>STOCK_SISTEMA!B41</f>
        <v>[EE10060] DOYPACK PET/PEBD - TIYAPUY QUINUA ORG BLANCA 340 GR X UND</v>
      </c>
      <c r="C41" t="str">
        <f>IF(STOCK_SISTEMA!C41="","",STOCK_SISTEMA!C41)</f>
        <v>INFORME 01/25</v>
      </c>
      <c r="D41" s="11">
        <f>IF(STOCK_SISTEMA!D41="","",STOCK_SISTEMA!D41)</f>
        <v>46752.472222222219</v>
      </c>
      <c r="E41" t="str">
        <f>STOCK_SISTEMA!E41</f>
        <v>SF-03/Materiales</v>
      </c>
      <c r="F41" t="str">
        <f>STOCK_SISTEMA!G41</f>
        <v>Unidades</v>
      </c>
      <c r="G41" s="12">
        <f>STOCK_SISTEMA!F41</f>
        <v>2500</v>
      </c>
      <c r="H41" s="12">
        <f>SUMIFS(CONTEOS!$N$2:$N$4000,CONTEOS!$F$2:$F$4000,A41,CONTEOS!$H$2:$H$4000,C41)</f>
        <v>0</v>
      </c>
      <c r="I41" s="12">
        <f t="shared" si="0"/>
        <v>-2500</v>
      </c>
      <c r="J41" t="str">
        <f>IF(COUNTIFS(CONTEOS!$F$2:$F$4000,A41,CONTEOS!$H$2:$H$4000,C41)=0,"PENDIENTE",IF(I41=0,"CUADRA",IF(I41&gt;0,"SOBRANTE","FALTANTE")))</f>
        <v>PENDIENTE</v>
      </c>
    </row>
    <row r="42" spans="1:10" ht="28.8" x14ac:dyDescent="0.3">
      <c r="A42" t="str">
        <f>STOCK_SISTEMA!A42</f>
        <v>EE10062</v>
      </c>
      <c r="B42" s="13" t="str">
        <f>STOCK_SISTEMA!B42</f>
        <v>[EE10062] DOYPACK PET/PEBD - TIYAPUY QUINUA ORG TRICOLOR 340 GR X UND</v>
      </c>
      <c r="C42" t="str">
        <f>IF(STOCK_SISTEMA!C42="","",STOCK_SISTEMA!C42)</f>
        <v>INFORME 02/25</v>
      </c>
      <c r="D42" s="11">
        <f>IF(STOCK_SISTEMA!D42="","",STOCK_SISTEMA!D42)</f>
        <v>46752.472777777781</v>
      </c>
      <c r="E42" t="str">
        <f>STOCK_SISTEMA!E42</f>
        <v>SF-03/Materiales</v>
      </c>
      <c r="F42" t="str">
        <f>STOCK_SISTEMA!G42</f>
        <v>Unidades</v>
      </c>
      <c r="G42" s="12">
        <f>STOCK_SISTEMA!F42</f>
        <v>3000</v>
      </c>
      <c r="H42" s="12">
        <f>SUMIFS(CONTEOS!$N$2:$N$4000,CONTEOS!$F$2:$F$4000,A42,CONTEOS!$H$2:$H$4000,C42)</f>
        <v>0</v>
      </c>
      <c r="I42" s="12">
        <f t="shared" si="0"/>
        <v>-3000</v>
      </c>
      <c r="J42" t="str">
        <f>IF(COUNTIFS(CONTEOS!$F$2:$F$4000,A42,CONTEOS!$H$2:$H$4000,C42)=0,"PENDIENTE",IF(I42=0,"CUADRA",IF(I42&gt;0,"SOBRANTE","FALTANTE")))</f>
        <v>PENDIENTE</v>
      </c>
    </row>
    <row r="43" spans="1:10" ht="28.8" x14ac:dyDescent="0.3">
      <c r="A43" t="str">
        <f>STOCK_SISTEMA!A43</f>
        <v>EE10081</v>
      </c>
      <c r="B43" s="13" t="str">
        <f>STOCK_SISTEMA!B43</f>
        <v>[EE10081] BOLSA LAMINADA SIN TEXTOS 16 cm CAFÉ 60g</v>
      </c>
      <c r="C43" t="str">
        <f>IF(STOCK_SISTEMA!C43="","",STOCK_SISTEMA!C43)</f>
        <v>INFORME 01/25</v>
      </c>
      <c r="D43" s="11">
        <f>IF(STOCK_SISTEMA!D43="","",STOCK_SISTEMA!D43)</f>
        <v>46387.512372685182</v>
      </c>
      <c r="E43" t="str">
        <f>STOCK_SISTEMA!E43</f>
        <v>SF-03/Materiales</v>
      </c>
      <c r="F43" t="str">
        <f>STOCK_SISTEMA!G43</f>
        <v>Unidades</v>
      </c>
      <c r="G43" s="12">
        <f>STOCK_SISTEMA!F43</f>
        <v>27100</v>
      </c>
      <c r="H43" s="12">
        <f>SUMIFS(CONTEOS!$N$2:$N$4000,CONTEOS!$F$2:$F$4000,A43,CONTEOS!$H$2:$H$4000,C43)</f>
        <v>0</v>
      </c>
      <c r="I43" s="12">
        <f t="shared" si="0"/>
        <v>-27100</v>
      </c>
      <c r="J43" t="str">
        <f>IF(COUNTIFS(CONTEOS!$F$2:$F$4000,A43,CONTEOS!$H$2:$H$4000,C43)=0,"PENDIENTE",IF(I43=0,"CUADRA",IF(I43&gt;0,"SOBRANTE","FALTANTE")))</f>
        <v>PENDIENTE</v>
      </c>
    </row>
    <row r="44" spans="1:10" ht="28.8" x14ac:dyDescent="0.3">
      <c r="A44" t="str">
        <f>STOCK_SISTEMA!A44</f>
        <v>EE10015</v>
      </c>
      <c r="B44" s="13" t="str">
        <f>STOCK_SISTEMA!B44</f>
        <v>[EE10015] LAMINA TIYAPUY AMARILLA 30GR CONVENCIONAL X KG</v>
      </c>
      <c r="C44" t="str">
        <f>IF(STOCK_SISTEMA!C44="","",STOCK_SISTEMA!C44)</f>
        <v>INFORME 13/25</v>
      </c>
      <c r="D44" s="11">
        <f>IF(STOCK_SISTEMA!D44="","",STOCK_SISTEMA!D44)</f>
        <v>46177.963414351849</v>
      </c>
      <c r="E44" t="str">
        <f>STOCK_SISTEMA!E44</f>
        <v>SF-03/Materiales</v>
      </c>
      <c r="F44" t="str">
        <f>STOCK_SISTEMA!G44</f>
        <v>Kilogramo</v>
      </c>
      <c r="G44" s="12">
        <f>STOCK_SISTEMA!F44</f>
        <v>1128.92</v>
      </c>
      <c r="H44" s="12">
        <f>SUMIFS(CONTEOS!$N$2:$N$4000,CONTEOS!$F$2:$F$4000,A44,CONTEOS!$H$2:$H$4000,C44)</f>
        <v>0</v>
      </c>
      <c r="I44" s="12">
        <f t="shared" si="0"/>
        <v>-1128.92</v>
      </c>
      <c r="J44" t="str">
        <f>IF(COUNTIFS(CONTEOS!$F$2:$F$4000,A44,CONTEOS!$H$2:$H$4000,C44)=0,"PENDIENTE",IF(I44=0,"CUADRA",IF(I44&gt;0,"SOBRANTE","FALTANTE")))</f>
        <v>PENDIENTE</v>
      </c>
    </row>
    <row r="45" spans="1:10" ht="28.8" x14ac:dyDescent="0.3">
      <c r="A45" t="str">
        <f>STOCK_SISTEMA!A45</f>
        <v>EE10121</v>
      </c>
      <c r="B45" s="13" t="str">
        <f>STOCK_SISTEMA!B45</f>
        <v>[EE10121] LAMINA TIYAPUY AMARILLA 142 GR CONVENCIONAL X KG</v>
      </c>
      <c r="C45" t="str">
        <f>IF(STOCK_SISTEMA!C45="","",STOCK_SISTEMA!C45)</f>
        <v>INFORME 14/25</v>
      </c>
      <c r="D45" s="11">
        <f>IF(STOCK_SISTEMA!D45="","",STOCK_SISTEMA!D45)</f>
        <v>46186.963796296302</v>
      </c>
      <c r="E45" t="str">
        <f>STOCK_SISTEMA!E45</f>
        <v>SF-03/Materiales</v>
      </c>
      <c r="F45" t="str">
        <f>STOCK_SISTEMA!G45</f>
        <v>Kilogramo</v>
      </c>
      <c r="G45" s="12">
        <f>STOCK_SISTEMA!F45</f>
        <v>220.06</v>
      </c>
      <c r="H45" s="12">
        <f>SUMIFS(CONTEOS!$N$2:$N$4000,CONTEOS!$F$2:$F$4000,A45,CONTEOS!$H$2:$H$4000,C45)</f>
        <v>0</v>
      </c>
      <c r="I45" s="12">
        <f t="shared" si="0"/>
        <v>-220.06</v>
      </c>
      <c r="J45" t="str">
        <f>IF(COUNTIFS(CONTEOS!$F$2:$F$4000,A45,CONTEOS!$H$2:$H$4000,C45)=0,"PENDIENTE",IF(I45=0,"CUADRA",IF(I45&gt;0,"SOBRANTE","FALTANTE")))</f>
        <v>PENDIENTE</v>
      </c>
    </row>
    <row r="46" spans="1:10" ht="28.8" x14ac:dyDescent="0.3">
      <c r="A46" t="str">
        <f>STOCK_SISTEMA!A46</f>
        <v>EE10122</v>
      </c>
      <c r="B46" s="13" t="str">
        <f>STOCK_SISTEMA!B46</f>
        <v>[EE10122] LAMINA TIYAPUY AMARILLA PICANTE 142 GR CONVENCIONAL X KG</v>
      </c>
      <c r="C46" t="str">
        <f>IF(STOCK_SISTEMA!C46="","",STOCK_SISTEMA!C46)</f>
        <v>INFORME 04/25</v>
      </c>
      <c r="D46" s="11">
        <f>IF(STOCK_SISTEMA!D46="","",STOCK_SISTEMA!D46)</f>
        <v>46186.964305555557</v>
      </c>
      <c r="E46" t="str">
        <f>STOCK_SISTEMA!E46</f>
        <v>SF-03/Materiales</v>
      </c>
      <c r="F46" t="str">
        <f>STOCK_SISTEMA!G46</f>
        <v>Kilogramo</v>
      </c>
      <c r="G46" s="12">
        <f>STOCK_SISTEMA!F46</f>
        <v>181.43</v>
      </c>
      <c r="H46" s="12">
        <f>SUMIFS(CONTEOS!$N$2:$N$4000,CONTEOS!$F$2:$F$4000,A46,CONTEOS!$H$2:$H$4000,C46)</f>
        <v>0</v>
      </c>
      <c r="I46" s="12">
        <f t="shared" si="0"/>
        <v>-181.43</v>
      </c>
      <c r="J46" t="str">
        <f>IF(COUNTIFS(CONTEOS!$F$2:$F$4000,A46,CONTEOS!$H$2:$H$4000,C46)=0,"PENDIENTE",IF(I46=0,"CUADRA",IF(I46&gt;0,"SOBRANTE","FALTANTE")))</f>
        <v>PENDIENTE</v>
      </c>
    </row>
    <row r="47" spans="1:10" ht="28.8" x14ac:dyDescent="0.3">
      <c r="A47" t="str">
        <f>STOCK_SISTEMA!A47</f>
        <v>EE10007</v>
      </c>
      <c r="B47" s="13" t="str">
        <f>STOCK_SISTEMA!B47</f>
        <v>[EE10007] CAJA MASTER TIYAPUY P/LATA + 1 SEPARADOR + 4 DIVISORES # 7 X UND</v>
      </c>
      <c r="C47" t="str">
        <f>IF(STOCK_SISTEMA!C47="","",STOCK_SISTEMA!C47)</f>
        <v>INFORME 17/25</v>
      </c>
      <c r="D47" s="11">
        <f>IF(STOCK_SISTEMA!D47="","",STOCK_SISTEMA!D47)</f>
        <v>46752.970613425918</v>
      </c>
      <c r="E47" t="str">
        <f>STOCK_SISTEMA!E47</f>
        <v>SF-03/Materiales</v>
      </c>
      <c r="F47" t="str">
        <f>STOCK_SISTEMA!G47</f>
        <v>Unidades</v>
      </c>
      <c r="G47" s="12">
        <f>STOCK_SISTEMA!F47</f>
        <v>2381</v>
      </c>
      <c r="H47" s="12">
        <f>SUMIFS(CONTEOS!$N$2:$N$4000,CONTEOS!$F$2:$F$4000,A47,CONTEOS!$H$2:$H$4000,C47)</f>
        <v>0</v>
      </c>
      <c r="I47" s="12">
        <f t="shared" si="0"/>
        <v>-2381</v>
      </c>
      <c r="J47" t="str">
        <f>IF(COUNTIFS(CONTEOS!$F$2:$F$4000,A47,CONTEOS!$H$2:$H$4000,C47)=0,"PENDIENTE",IF(I47=0,"CUADRA",IF(I47&gt;0,"SOBRANTE","FALTANTE")))</f>
        <v>PENDIENTE</v>
      </c>
    </row>
    <row r="48" spans="1:10" ht="28.8" x14ac:dyDescent="0.3">
      <c r="A48" t="str">
        <f>STOCK_SISTEMA!A48</f>
        <v>EE10128</v>
      </c>
      <c r="B48" s="13" t="str">
        <f>STOCK_SISTEMA!B48</f>
        <v>[EE10128] LAMINA TIYAPUY C/TRAMA 120 GR LA MAR X KG</v>
      </c>
      <c r="C48" t="str">
        <f>IF(STOCK_SISTEMA!C48="","",STOCK_SISTEMA!C48)</f>
        <v>INFORME 02/25</v>
      </c>
      <c r="D48" s="11">
        <f>IF(STOCK_SISTEMA!D48="","",STOCK_SISTEMA!D48)</f>
        <v>46222.60800925926</v>
      </c>
      <c r="E48" t="str">
        <f>STOCK_SISTEMA!E48</f>
        <v>SF-03/Materiales</v>
      </c>
      <c r="F48" t="str">
        <f>STOCK_SISTEMA!G48</f>
        <v>Kilogramo</v>
      </c>
      <c r="G48" s="12">
        <f>STOCK_SISTEMA!F48</f>
        <v>69.001999999999995</v>
      </c>
      <c r="H48" s="12">
        <f>SUMIFS(CONTEOS!$N$2:$N$4000,CONTEOS!$F$2:$F$4000,A48,CONTEOS!$H$2:$H$4000,C48)</f>
        <v>0</v>
      </c>
      <c r="I48" s="12">
        <f t="shared" si="0"/>
        <v>-69.001999999999995</v>
      </c>
      <c r="J48" t="str">
        <f>IF(COUNTIFS(CONTEOS!$F$2:$F$4000,A48,CONTEOS!$H$2:$H$4000,C48)=0,"PENDIENTE",IF(I48=0,"CUADRA",IF(I48&gt;0,"SOBRANTE","FALTANTE")))</f>
        <v>PENDIENTE</v>
      </c>
    </row>
    <row r="49" spans="1:10" ht="28.8" x14ac:dyDescent="0.3">
      <c r="A49" t="str">
        <f>STOCK_SISTEMA!A49</f>
        <v>EE10022</v>
      </c>
      <c r="B49" s="13" t="str">
        <f>STOCK_SISTEMA!B49</f>
        <v>[EE10022] LAMINA TIYAPUY AMARILLA PICANTE 30GR X KG</v>
      </c>
      <c r="C49" t="str">
        <f>IF(STOCK_SISTEMA!C49="","",STOCK_SISTEMA!C49)</f>
        <v>INFORME 05/25</v>
      </c>
      <c r="D49" s="11">
        <f>IF(STOCK_SISTEMA!D49="","",STOCK_SISTEMA!D49)</f>
        <v>46014.561979166669</v>
      </c>
      <c r="E49" t="str">
        <f>STOCK_SISTEMA!E49</f>
        <v>SF-03/Materiales</v>
      </c>
      <c r="F49" t="str">
        <f>STOCK_SISTEMA!G49</f>
        <v>Kilogramo</v>
      </c>
      <c r="G49" s="12">
        <f>STOCK_SISTEMA!F49</f>
        <v>703</v>
      </c>
      <c r="H49" s="12">
        <f>SUMIFS(CONTEOS!$N$2:$N$4000,CONTEOS!$F$2:$F$4000,A49,CONTEOS!$H$2:$H$4000,C49)</f>
        <v>0</v>
      </c>
      <c r="I49" s="12">
        <f t="shared" si="0"/>
        <v>-703</v>
      </c>
      <c r="J49" t="str">
        <f>IF(COUNTIFS(CONTEOS!$F$2:$F$4000,A49,CONTEOS!$H$2:$H$4000,C49)=0,"PENDIENTE",IF(I49=0,"CUADRA",IF(I49&gt;0,"SOBRANTE","FALTANTE")))</f>
        <v>PENDIENTE</v>
      </c>
    </row>
    <row r="50" spans="1:10" ht="28.8" x14ac:dyDescent="0.3">
      <c r="A50" t="str">
        <f>STOCK_SISTEMA!A50</f>
        <v>EE10029-1</v>
      </c>
      <c r="B50" s="13" t="str">
        <f>STOCK_SISTEMA!B50</f>
        <v>[EE10029-1] LAMINA TIYAPUY NATIVA MIX 160GR ORG MEXICO X KG</v>
      </c>
      <c r="C50" t="str">
        <f>IF(STOCK_SISTEMA!C50="","",STOCK_SISTEMA!C50)</f>
        <v>INFORME 13/25</v>
      </c>
      <c r="D50" s="11" t="str">
        <f>IF(STOCK_SISTEMA!D50="","",STOCK_SISTEMA!D50)</f>
        <v/>
      </c>
      <c r="E50" t="str">
        <f>STOCK_SISTEMA!E50</f>
        <v>SF-03/Materiales</v>
      </c>
      <c r="F50" t="str">
        <f>STOCK_SISTEMA!G50</f>
        <v>Kilogramo</v>
      </c>
      <c r="G50" s="12">
        <f>STOCK_SISTEMA!F50</f>
        <v>285.39999999999998</v>
      </c>
      <c r="H50" s="12">
        <f>SUMIFS(CONTEOS!$N$2:$N$4000,CONTEOS!$F$2:$F$4000,A50,CONTEOS!$H$2:$H$4000,C50)</f>
        <v>0</v>
      </c>
      <c r="I50" s="12">
        <f t="shared" si="0"/>
        <v>-285.39999999999998</v>
      </c>
      <c r="J50" t="str">
        <f>IF(COUNTIFS(CONTEOS!$F$2:$F$4000,A50,CONTEOS!$H$2:$H$4000,C50)=0,"PENDIENTE",IF(I50=0,"CUADRA",IF(I50&gt;0,"SOBRANTE","FALTANTE")))</f>
        <v>PENDIENTE</v>
      </c>
    </row>
    <row r="51" spans="1:10" ht="28.8" x14ac:dyDescent="0.3">
      <c r="A51" t="str">
        <f>STOCK_SISTEMA!A51</f>
        <v>EE10122</v>
      </c>
      <c r="B51" s="13" t="str">
        <f>STOCK_SISTEMA!B51</f>
        <v>[EE10122] LAMINA TIYAPUY AMARILLA PICANTE 142 GR CONVENCIONAL X KG</v>
      </c>
      <c r="C51" t="str">
        <f>IF(STOCK_SISTEMA!C51="","",STOCK_SISTEMA!C51)</f>
        <v>INFORME 06/25</v>
      </c>
      <c r="D51" s="11">
        <f>IF(STOCK_SISTEMA!D51="","",STOCK_SISTEMA!D51)</f>
        <v>46016.456180555557</v>
      </c>
      <c r="E51" t="str">
        <f>STOCK_SISTEMA!E51</f>
        <v>SF-03/Materiales</v>
      </c>
      <c r="F51" t="str">
        <f>STOCK_SISTEMA!G51</f>
        <v>Kilogramo</v>
      </c>
      <c r="G51" s="12">
        <f>STOCK_SISTEMA!F51</f>
        <v>712.73500000000001</v>
      </c>
      <c r="H51" s="12">
        <f>SUMIFS(CONTEOS!$N$2:$N$4000,CONTEOS!$F$2:$F$4000,A51,CONTEOS!$H$2:$H$4000,C51)</f>
        <v>0</v>
      </c>
      <c r="I51" s="12">
        <f t="shared" si="0"/>
        <v>-712.73500000000001</v>
      </c>
      <c r="J51" t="str">
        <f>IF(COUNTIFS(CONTEOS!$F$2:$F$4000,A51,CONTEOS!$H$2:$H$4000,C51)=0,"PENDIENTE",IF(I51=0,"CUADRA",IF(I51&gt;0,"SOBRANTE","FALTANTE")))</f>
        <v>PENDIENTE</v>
      </c>
    </row>
    <row r="52" spans="1:10" ht="28.8" x14ac:dyDescent="0.3">
      <c r="A52" t="str">
        <f>STOCK_SISTEMA!A52</f>
        <v>EE10015</v>
      </c>
      <c r="B52" s="13" t="str">
        <f>STOCK_SISTEMA!B52</f>
        <v>[EE10015] LAMINA TIYAPUY AMARILLA 30GR CONVENCIONAL X KG</v>
      </c>
      <c r="C52" t="str">
        <f>IF(STOCK_SISTEMA!C52="","",STOCK_SISTEMA!C52)</f>
        <v>INFORME 15/25</v>
      </c>
      <c r="D52" s="11">
        <f>IF(STOCK_SISTEMA!D52="","",STOCK_SISTEMA!D52)</f>
        <v>46201.563090277778</v>
      </c>
      <c r="E52" t="str">
        <f>STOCK_SISTEMA!E52</f>
        <v>SF-03/Materiales</v>
      </c>
      <c r="F52" t="str">
        <f>STOCK_SISTEMA!G52</f>
        <v>Kilogramo</v>
      </c>
      <c r="G52" s="12">
        <f>STOCK_SISTEMA!F52</f>
        <v>1188.5999999999999</v>
      </c>
      <c r="H52" s="12">
        <f>SUMIFS(CONTEOS!$N$2:$N$4000,CONTEOS!$F$2:$F$4000,A52,CONTEOS!$H$2:$H$4000,C52)</f>
        <v>0</v>
      </c>
      <c r="I52" s="12">
        <f t="shared" si="0"/>
        <v>-1188.5999999999999</v>
      </c>
      <c r="J52" t="str">
        <f>IF(COUNTIFS(CONTEOS!$F$2:$F$4000,A52,CONTEOS!$H$2:$H$4000,C52)=0,"PENDIENTE",IF(I52=0,"CUADRA",IF(I52&gt;0,"SOBRANTE","FALTANTE")))</f>
        <v>PENDIENTE</v>
      </c>
    </row>
    <row r="53" spans="1:10" ht="28.8" x14ac:dyDescent="0.3">
      <c r="A53" t="str">
        <f>STOCK_SISTEMA!A53</f>
        <v>EE10098</v>
      </c>
      <c r="B53" s="13" t="str">
        <f>STOCK_SISTEMA!B53</f>
        <v>[EE10098] PALLET EURO 0.8MX1.2M EXPORTACION</v>
      </c>
      <c r="C53" t="str">
        <f>IF(STOCK_SISTEMA!C53="","",STOCK_SISTEMA!C53)</f>
        <v/>
      </c>
      <c r="D53" s="11" t="str">
        <f>IF(STOCK_SISTEMA!D53="","",STOCK_SISTEMA!D53)</f>
        <v/>
      </c>
      <c r="E53" t="str">
        <f>STOCK_SISTEMA!E53</f>
        <v>SF-03/Materiales</v>
      </c>
      <c r="F53" t="str">
        <f>STOCK_SISTEMA!G53</f>
        <v>Unidades</v>
      </c>
      <c r="G53" s="12">
        <f>STOCK_SISTEMA!F53</f>
        <v>42</v>
      </c>
      <c r="H53" s="12">
        <f>SUMIFS(CONTEOS!$N$2:$N$4000,CONTEOS!$F$2:$F$4000,A53,CONTEOS!$H$2:$H$4000,C53)</f>
        <v>0</v>
      </c>
      <c r="I53" s="12">
        <f t="shared" si="0"/>
        <v>-42</v>
      </c>
      <c r="J53" t="str">
        <f>IF(COUNTIFS(CONTEOS!$F$2:$F$4000,A53,CONTEOS!$H$2:$H$4000,C53)=0,"PENDIENTE",IF(I53=0,"CUADRA",IF(I53&gt;0,"SOBRANTE","FALTANTE")))</f>
        <v>PENDIENTE</v>
      </c>
    </row>
    <row r="54" spans="1:10" ht="28.8" x14ac:dyDescent="0.3">
      <c r="A54" t="str">
        <f>STOCK_SISTEMA!A54</f>
        <v>EE10088-1</v>
      </c>
      <c r="B54" s="13" t="str">
        <f>STOCK_SISTEMA!B54</f>
        <v>[EE10088-1] LAMINA TIYAPUY NATIVA MIX 40GR ORG MEXICO X KG</v>
      </c>
      <c r="C54" t="str">
        <f>IF(STOCK_SISTEMA!C54="","",STOCK_SISTEMA!C54)</f>
        <v>INFORME 14/25</v>
      </c>
      <c r="D54" s="11">
        <f>IF(STOCK_SISTEMA!D54="","",STOCK_SISTEMA!D54)</f>
        <v>46295.682627314818</v>
      </c>
      <c r="E54" t="str">
        <f>STOCK_SISTEMA!E54</f>
        <v>SF-03/Materiales</v>
      </c>
      <c r="F54" t="str">
        <f>STOCK_SISTEMA!G54</f>
        <v>Kilogramo</v>
      </c>
      <c r="G54" s="12">
        <f>STOCK_SISTEMA!F54</f>
        <v>34.26</v>
      </c>
      <c r="H54" s="12">
        <f>SUMIFS(CONTEOS!$N$2:$N$4000,CONTEOS!$F$2:$F$4000,A54,CONTEOS!$H$2:$H$4000,C54)</f>
        <v>0</v>
      </c>
      <c r="I54" s="12">
        <f t="shared" si="0"/>
        <v>-34.26</v>
      </c>
      <c r="J54" t="str">
        <f>IF(COUNTIFS(CONTEOS!$F$2:$F$4000,A54,CONTEOS!$H$2:$H$4000,C54)=0,"PENDIENTE",IF(I54=0,"CUADRA",IF(I54&gt;0,"SOBRANTE","FALTANTE")))</f>
        <v>PENDIENTE</v>
      </c>
    </row>
    <row r="55" spans="1:10" ht="28.8" x14ac:dyDescent="0.3">
      <c r="A55" t="str">
        <f>STOCK_SISTEMA!A55</f>
        <v>EE10087-1</v>
      </c>
      <c r="B55" s="13" t="str">
        <f>STOCK_SISTEMA!B55</f>
        <v>[EE10087-1] LAMINA TIYAPUY AMARILLA 40GR ORG MEXICO X KG</v>
      </c>
      <c r="C55" t="str">
        <f>IF(STOCK_SISTEMA!C55="","",STOCK_SISTEMA!C55)</f>
        <v>INFORME 16/25</v>
      </c>
      <c r="D55" s="11">
        <f>IF(STOCK_SISTEMA!D55="","",STOCK_SISTEMA!D55)</f>
        <v>46199.682916666658</v>
      </c>
      <c r="E55" t="str">
        <f>STOCK_SISTEMA!E55</f>
        <v>SF-03/Materiales</v>
      </c>
      <c r="F55" t="str">
        <f>STOCK_SISTEMA!G55</f>
        <v>Kilogramo</v>
      </c>
      <c r="G55" s="12">
        <f>STOCK_SISTEMA!F55</f>
        <v>71.48</v>
      </c>
      <c r="H55" s="12">
        <f>SUMIFS(CONTEOS!$N$2:$N$4000,CONTEOS!$F$2:$F$4000,A55,CONTEOS!$H$2:$H$4000,C55)</f>
        <v>0</v>
      </c>
      <c r="I55" s="12">
        <f t="shared" si="0"/>
        <v>-71.48</v>
      </c>
      <c r="J55" t="str">
        <f>IF(COUNTIFS(CONTEOS!$F$2:$F$4000,A55,CONTEOS!$H$2:$H$4000,C55)=0,"PENDIENTE",IF(I55=0,"CUADRA",IF(I55&gt;0,"SOBRANTE","FALTANTE")))</f>
        <v>PENDIENTE</v>
      </c>
    </row>
    <row r="56" spans="1:10" ht="28.8" x14ac:dyDescent="0.3">
      <c r="A56" t="str">
        <f>STOCK_SISTEMA!A56</f>
        <v>EE10088-1</v>
      </c>
      <c r="B56" s="13" t="str">
        <f>STOCK_SISTEMA!B56</f>
        <v>[EE10088-1] LAMINA TIYAPUY NATIVA MIX 40GR ORG MEXICO X KG</v>
      </c>
      <c r="C56" t="str">
        <f>IF(STOCK_SISTEMA!C56="","",STOCK_SISTEMA!C56)</f>
        <v>INFORME 15/25</v>
      </c>
      <c r="D56" s="11">
        <f>IF(STOCK_SISTEMA!D56="","",STOCK_SISTEMA!D56)</f>
        <v>46199.684421296297</v>
      </c>
      <c r="E56" t="str">
        <f>STOCK_SISTEMA!E56</f>
        <v>SF-03/Materiales</v>
      </c>
      <c r="F56" t="str">
        <f>STOCK_SISTEMA!G56</f>
        <v>Kilogramo</v>
      </c>
      <c r="G56" s="12">
        <f>STOCK_SISTEMA!F56</f>
        <v>334.88</v>
      </c>
      <c r="H56" s="12">
        <f>SUMIFS(CONTEOS!$N$2:$N$4000,CONTEOS!$F$2:$F$4000,A56,CONTEOS!$H$2:$H$4000,C56)</f>
        <v>0</v>
      </c>
      <c r="I56" s="12">
        <f t="shared" si="0"/>
        <v>-334.88</v>
      </c>
      <c r="J56" t="str">
        <f>IF(COUNTIFS(CONTEOS!$F$2:$F$4000,A56,CONTEOS!$H$2:$H$4000,C56)=0,"PENDIENTE",IF(I56=0,"CUADRA",IF(I56&gt;0,"SOBRANTE","FALTANTE")))</f>
        <v>PENDIENTE</v>
      </c>
    </row>
    <row r="57" spans="1:10" ht="28.8" x14ac:dyDescent="0.3">
      <c r="A57" t="str">
        <f>STOCK_SISTEMA!A57</f>
        <v>EE10087-1</v>
      </c>
      <c r="B57" s="13" t="str">
        <f>STOCK_SISTEMA!B57</f>
        <v>[EE10087-1] LAMINA TIYAPUY AMARILLA 40GR ORG MEXICO X KG</v>
      </c>
      <c r="C57" t="str">
        <f>IF(STOCK_SISTEMA!C57="","",STOCK_SISTEMA!C57)</f>
        <v>INFORME 17/25</v>
      </c>
      <c r="D57" s="11">
        <f>IF(STOCK_SISTEMA!D57="","",STOCK_SISTEMA!D57)</f>
        <v>46199.684675925928</v>
      </c>
      <c r="E57" t="str">
        <f>STOCK_SISTEMA!E57</f>
        <v>SF-03/Materiales</v>
      </c>
      <c r="F57" t="str">
        <f>STOCK_SISTEMA!G57</f>
        <v>Kilogramo</v>
      </c>
      <c r="G57" s="12">
        <f>STOCK_SISTEMA!F57</f>
        <v>339.16</v>
      </c>
      <c r="H57" s="12">
        <f>SUMIFS(CONTEOS!$N$2:$N$4000,CONTEOS!$F$2:$F$4000,A57,CONTEOS!$H$2:$H$4000,C57)</f>
        <v>0</v>
      </c>
      <c r="I57" s="12">
        <f t="shared" si="0"/>
        <v>-339.16</v>
      </c>
      <c r="J57" t="str">
        <f>IF(COUNTIFS(CONTEOS!$F$2:$F$4000,A57,CONTEOS!$H$2:$H$4000,C57)=0,"PENDIENTE",IF(I57=0,"CUADRA",IF(I57&gt;0,"SOBRANTE","FALTANTE")))</f>
        <v>PENDIENTE</v>
      </c>
    </row>
    <row r="58" spans="1:10" ht="28.8" x14ac:dyDescent="0.3">
      <c r="A58" t="str">
        <f>STOCK_SISTEMA!A58</f>
        <v>EE10188</v>
      </c>
      <c r="B58" s="13" t="str">
        <f>STOCK_SISTEMA!B58</f>
        <v>[EE10188] LAMINA TIYAPUY JALAPEÑO 40G CNV MEXICO X KG</v>
      </c>
      <c r="C58" t="str">
        <f>IF(STOCK_SISTEMA!C58="","",STOCK_SISTEMA!C58)</f>
        <v>INFORME 08/25</v>
      </c>
      <c r="D58" s="11">
        <f>IF(STOCK_SISTEMA!D58="","",STOCK_SISTEMA!D58)</f>
        <v>46199.685624999998</v>
      </c>
      <c r="E58" t="str">
        <f>STOCK_SISTEMA!E58</f>
        <v>SF-03/Materiales</v>
      </c>
      <c r="F58" t="str">
        <f>STOCK_SISTEMA!G58</f>
        <v>Kilogramo</v>
      </c>
      <c r="G58" s="12">
        <f>STOCK_SISTEMA!F58</f>
        <v>385.05200000000002</v>
      </c>
      <c r="H58" s="12">
        <f>SUMIFS(CONTEOS!$N$2:$N$4000,CONTEOS!$F$2:$F$4000,A58,CONTEOS!$H$2:$H$4000,C58)</f>
        <v>0</v>
      </c>
      <c r="I58" s="12">
        <f t="shared" si="0"/>
        <v>-385.05200000000002</v>
      </c>
      <c r="J58" t="str">
        <f>IF(COUNTIFS(CONTEOS!$F$2:$F$4000,A58,CONTEOS!$H$2:$H$4000,C58)=0,"PENDIENTE",IF(I58=0,"CUADRA",IF(I58&gt;0,"SOBRANTE","FALTANTE")))</f>
        <v>PENDIENTE</v>
      </c>
    </row>
    <row r="59" spans="1:10" ht="28.8" x14ac:dyDescent="0.3">
      <c r="A59" t="str">
        <f>STOCK_SISTEMA!A59</f>
        <v>EE10131</v>
      </c>
      <c r="B59" s="13" t="str">
        <f>STOCK_SISTEMA!B59</f>
        <v>[EE10131] LAMINA TIYAPUY CHIFLE 142GR X KG</v>
      </c>
      <c r="C59" t="str">
        <f>IF(STOCK_SISTEMA!C59="","",STOCK_SISTEMA!C59)</f>
        <v>INFORME 02/25</v>
      </c>
      <c r="D59" s="11">
        <f>IF(STOCK_SISTEMA!D59="","",STOCK_SISTEMA!D59)</f>
        <v>46247.692650462966</v>
      </c>
      <c r="E59" t="str">
        <f>STOCK_SISTEMA!E59</f>
        <v>SF-03/Materiales</v>
      </c>
      <c r="F59" t="str">
        <f>STOCK_SISTEMA!G59</f>
        <v>Kilogramo</v>
      </c>
      <c r="G59" s="12">
        <f>STOCK_SISTEMA!F59</f>
        <v>140.12</v>
      </c>
      <c r="H59" s="12">
        <f>SUMIFS(CONTEOS!$N$2:$N$4000,CONTEOS!$F$2:$F$4000,A59,CONTEOS!$H$2:$H$4000,C59)</f>
        <v>0</v>
      </c>
      <c r="I59" s="12">
        <f t="shared" si="0"/>
        <v>-140.12</v>
      </c>
      <c r="J59" t="str">
        <f>IF(COUNTIFS(CONTEOS!$F$2:$F$4000,A59,CONTEOS!$H$2:$H$4000,C59)=0,"PENDIENTE",IF(I59=0,"CUADRA",IF(I59&gt;0,"SOBRANTE","FALTANTE")))</f>
        <v>PENDIENTE</v>
      </c>
    </row>
    <row r="60" spans="1:10" ht="28.8" x14ac:dyDescent="0.3">
      <c r="A60" t="str">
        <f>STOCK_SISTEMA!A60</f>
        <v>EE10015</v>
      </c>
      <c r="B60" s="13" t="str">
        <f>STOCK_SISTEMA!B60</f>
        <v>[EE10015] LAMINA TIYAPUY AMARILLA 30GR CONVENCIONAL X KG</v>
      </c>
      <c r="C60" t="str">
        <f>IF(STOCK_SISTEMA!C60="","",STOCK_SISTEMA!C60)</f>
        <v>INFORME 18/25</v>
      </c>
      <c r="D60" s="11">
        <f>IF(STOCK_SISTEMA!D60="","",STOCK_SISTEMA!D60)</f>
        <v>46203.582881944443</v>
      </c>
      <c r="E60" t="str">
        <f>STOCK_SISTEMA!E60</f>
        <v>SF-03/Materiales</v>
      </c>
      <c r="F60" t="str">
        <f>STOCK_SISTEMA!G60</f>
        <v>Kilogramo</v>
      </c>
      <c r="G60" s="12">
        <f>STOCK_SISTEMA!F60</f>
        <v>1096.9000000000001</v>
      </c>
      <c r="H60" s="12">
        <f>SUMIFS(CONTEOS!$N$2:$N$4000,CONTEOS!$F$2:$F$4000,A60,CONTEOS!$H$2:$H$4000,C60)</f>
        <v>0</v>
      </c>
      <c r="I60" s="12">
        <f t="shared" si="0"/>
        <v>-1096.9000000000001</v>
      </c>
      <c r="J60" t="str">
        <f>IF(COUNTIFS(CONTEOS!$F$2:$F$4000,A60,CONTEOS!$H$2:$H$4000,C60)=0,"PENDIENTE",IF(I60=0,"CUADRA",IF(I60&gt;0,"SOBRANTE","FALTANTE")))</f>
        <v>PENDIENTE</v>
      </c>
    </row>
    <row r="61" spans="1:10" ht="28.8" x14ac:dyDescent="0.3">
      <c r="A61" t="str">
        <f>STOCK_SISTEMA!A61</f>
        <v>EE10186</v>
      </c>
      <c r="B61" s="13" t="str">
        <f>STOCK_SISTEMA!B61</f>
        <v>[EE10186] LAMINA TIYAPUY AMARILLA PICANTE 40G CNV X KG</v>
      </c>
      <c r="C61" t="str">
        <f>IF(STOCK_SISTEMA!C61="","",STOCK_SISTEMA!C61)</f>
        <v>INFORME 07/25</v>
      </c>
      <c r="D61" s="11">
        <f>IF(STOCK_SISTEMA!D61="","",STOCK_SISTEMA!D61)</f>
        <v>46201.567418981482</v>
      </c>
      <c r="E61" t="str">
        <f>STOCK_SISTEMA!E61</f>
        <v>SF-03/Materiales</v>
      </c>
      <c r="F61" t="str">
        <f>STOCK_SISTEMA!G61</f>
        <v>Kilogramo</v>
      </c>
      <c r="G61" s="12">
        <f>STOCK_SISTEMA!F61</f>
        <v>44</v>
      </c>
      <c r="H61" s="12">
        <f>SUMIFS(CONTEOS!$N$2:$N$4000,CONTEOS!$F$2:$F$4000,A61,CONTEOS!$H$2:$H$4000,C61)</f>
        <v>0</v>
      </c>
      <c r="I61" s="12">
        <f t="shared" si="0"/>
        <v>-44</v>
      </c>
      <c r="J61" t="str">
        <f>IF(COUNTIFS(CONTEOS!$F$2:$F$4000,A61,CONTEOS!$H$2:$H$4000,C61)=0,"PENDIENTE",IF(I61=0,"CUADRA",IF(I61&gt;0,"SOBRANTE","FALTANTE")))</f>
        <v>PENDIENTE</v>
      </c>
    </row>
    <row r="62" spans="1:10" ht="28.8" x14ac:dyDescent="0.3">
      <c r="A62" t="str">
        <f>STOCK_SISTEMA!A62</f>
        <v>EE10186</v>
      </c>
      <c r="B62" s="13" t="str">
        <f>STOCK_SISTEMA!B62</f>
        <v>[EE10186] LAMINA TIYAPUY AMARILLA PICANTE 40G CNV X KG</v>
      </c>
      <c r="C62" t="str">
        <f>IF(STOCK_SISTEMA!C62="","",STOCK_SISTEMA!C62)</f>
        <v>INFORME 08/25</v>
      </c>
      <c r="D62" s="11">
        <f>IF(STOCK_SISTEMA!D62="","",STOCK_SISTEMA!D62)</f>
        <v>46201.682280092587</v>
      </c>
      <c r="E62" t="str">
        <f>STOCK_SISTEMA!E62</f>
        <v>SF-03/Materiales</v>
      </c>
      <c r="F62" t="str">
        <f>STOCK_SISTEMA!G62</f>
        <v>Kilogramo</v>
      </c>
      <c r="G62" s="12">
        <f>STOCK_SISTEMA!F62</f>
        <v>350</v>
      </c>
      <c r="H62" s="12">
        <f>SUMIFS(CONTEOS!$N$2:$N$4000,CONTEOS!$F$2:$F$4000,A62,CONTEOS!$H$2:$H$4000,C62)</f>
        <v>0</v>
      </c>
      <c r="I62" s="12">
        <f t="shared" si="0"/>
        <v>-350</v>
      </c>
      <c r="J62" t="str">
        <f>IF(COUNTIFS(CONTEOS!$F$2:$F$4000,A62,CONTEOS!$H$2:$H$4000,C62)=0,"PENDIENTE",IF(I62=0,"CUADRA",IF(I62&gt;0,"SOBRANTE","FALTANTE")))</f>
        <v>PENDIENTE</v>
      </c>
    </row>
    <row r="63" spans="1:10" ht="28.8" x14ac:dyDescent="0.3">
      <c r="A63" t="str">
        <f>STOCK_SISTEMA!A63</f>
        <v>EE10187</v>
      </c>
      <c r="B63" s="13" t="str">
        <f>STOCK_SISTEMA!B63</f>
        <v>[EE10187] LAMINA TIYAPUY JALAPEÑO 40 GR CNV X KG</v>
      </c>
      <c r="C63" t="str">
        <f>IF(STOCK_SISTEMA!C63="","",STOCK_SISTEMA!C63)</f>
        <v>INFORME 10/25</v>
      </c>
      <c r="D63" s="11">
        <f>IF(STOCK_SISTEMA!D63="","",STOCK_SISTEMA!D63)</f>
        <v>46201.682534722233</v>
      </c>
      <c r="E63" t="str">
        <f>STOCK_SISTEMA!E63</f>
        <v>SF-03/Materiales</v>
      </c>
      <c r="F63" t="str">
        <f>STOCK_SISTEMA!G63</f>
        <v>Kilogramo</v>
      </c>
      <c r="G63" s="12">
        <f>STOCK_SISTEMA!F63</f>
        <v>204.91</v>
      </c>
      <c r="H63" s="12">
        <f>SUMIFS(CONTEOS!$N$2:$N$4000,CONTEOS!$F$2:$F$4000,A63,CONTEOS!$H$2:$H$4000,C63)</f>
        <v>0</v>
      </c>
      <c r="I63" s="12">
        <f t="shared" si="0"/>
        <v>-204.91</v>
      </c>
      <c r="J63" t="str">
        <f>IF(COUNTIFS(CONTEOS!$F$2:$F$4000,A63,CONTEOS!$H$2:$H$4000,C63)=0,"PENDIENTE",IF(I63=0,"CUADRA",IF(I63&gt;0,"SOBRANTE","FALTANTE")))</f>
        <v>PENDIENTE</v>
      </c>
    </row>
    <row r="64" spans="1:10" ht="28.8" x14ac:dyDescent="0.3">
      <c r="A64" t="str">
        <f>STOCK_SISTEMA!A64</f>
        <v>EE10122</v>
      </c>
      <c r="B64" s="13" t="str">
        <f>STOCK_SISTEMA!B64</f>
        <v>[EE10122] LAMINA TIYAPUY AMARILLA PICANTE 142 GR CONVENCIONAL X KG</v>
      </c>
      <c r="C64" t="str">
        <f>IF(STOCK_SISTEMA!C64="","",STOCK_SISTEMA!C64)</f>
        <v>INFORME 09/25</v>
      </c>
      <c r="D64" s="11">
        <f>IF(STOCK_SISTEMA!D64="","",STOCK_SISTEMA!D64)</f>
        <v>46210.925266203703</v>
      </c>
      <c r="E64" t="str">
        <f>STOCK_SISTEMA!E64</f>
        <v>SF-03/Materiales</v>
      </c>
      <c r="F64" t="str">
        <f>STOCK_SISTEMA!G64</f>
        <v>Kilogramo</v>
      </c>
      <c r="G64" s="12">
        <f>STOCK_SISTEMA!F64</f>
        <v>528.30999999999995</v>
      </c>
      <c r="H64" s="12">
        <f>SUMIFS(CONTEOS!$N$2:$N$4000,CONTEOS!$F$2:$F$4000,A64,CONTEOS!$H$2:$H$4000,C64)</f>
        <v>0</v>
      </c>
      <c r="I64" s="12">
        <f t="shared" si="0"/>
        <v>-528.30999999999995</v>
      </c>
      <c r="J64" t="str">
        <f>IF(COUNTIFS(CONTEOS!$F$2:$F$4000,A64,CONTEOS!$H$2:$H$4000,C64)=0,"PENDIENTE",IF(I64=0,"CUADRA",IF(I64&gt;0,"SOBRANTE","FALTANTE")))</f>
        <v>PENDIENTE</v>
      </c>
    </row>
    <row r="65" spans="1:10" ht="28.8" x14ac:dyDescent="0.3">
      <c r="A65" t="str">
        <f>STOCK_SISTEMA!A65</f>
        <v>EE10198</v>
      </c>
      <c r="B65" s="13" t="str">
        <f>STOCK_SISTEMA!B65</f>
        <v>[EE10198] LAMINA TIYAPUY NATIVA MIX 142G REPUBLICA CHECA X KG</v>
      </c>
      <c r="C65" t="str">
        <f>IF(STOCK_SISTEMA!C65="","",STOCK_SISTEMA!C65)</f>
        <v>INFORME 16/25</v>
      </c>
      <c r="D65" s="11">
        <f>IF(STOCK_SISTEMA!D65="","",STOCK_SISTEMA!D65)</f>
        <v>46221.926793981482</v>
      </c>
      <c r="E65" t="str">
        <f>STOCK_SISTEMA!E65</f>
        <v>SF-03/Materiales</v>
      </c>
      <c r="F65" t="str">
        <f>STOCK_SISTEMA!G65</f>
        <v>Kilogramo</v>
      </c>
      <c r="G65" s="12">
        <f>STOCK_SISTEMA!F65</f>
        <v>323</v>
      </c>
      <c r="H65" s="12">
        <f>SUMIFS(CONTEOS!$N$2:$N$4000,CONTEOS!$F$2:$F$4000,A65,CONTEOS!$H$2:$H$4000,C65)</f>
        <v>0</v>
      </c>
      <c r="I65" s="12">
        <f t="shared" si="0"/>
        <v>-323</v>
      </c>
      <c r="J65" t="str">
        <f>IF(COUNTIFS(CONTEOS!$F$2:$F$4000,A65,CONTEOS!$H$2:$H$4000,C65)=0,"PENDIENTE",IF(I65=0,"CUADRA",IF(I65&gt;0,"SOBRANTE","FALTANTE")))</f>
        <v>PENDIENTE</v>
      </c>
    </row>
    <row r="66" spans="1:10" ht="43.2" x14ac:dyDescent="0.3">
      <c r="A66" t="str">
        <f>STOCK_SISTEMA!A66</f>
        <v>EE10075</v>
      </c>
      <c r="B66" s="13" t="str">
        <f>STOCK_SISTEMA!B66</f>
        <v>[EE10075] CINTA CODIFICADORA TERMOIMPRESIÓN X ROLLO 30MM X 1100 M</v>
      </c>
      <c r="C66" t="str">
        <f>IF(STOCK_SISTEMA!C66="","",STOCK_SISTEMA!C66)</f>
        <v/>
      </c>
      <c r="D66" s="11" t="str">
        <f>IF(STOCK_SISTEMA!D66="","",STOCK_SISTEMA!D66)</f>
        <v/>
      </c>
      <c r="E66" t="str">
        <f>STOCK_SISTEMA!E66</f>
        <v>SF-03/Materiales</v>
      </c>
      <c r="F66" t="str">
        <f>STOCK_SISTEMA!G66</f>
        <v>Unidades</v>
      </c>
      <c r="G66" s="12">
        <f>STOCK_SISTEMA!F66</f>
        <v>35.051600000000001</v>
      </c>
      <c r="H66" s="12">
        <f>SUMIFS(CONTEOS!$N$2:$N$4000,CONTEOS!$F$2:$F$4000,A66,CONTEOS!$H$2:$H$4000,C66)</f>
        <v>0</v>
      </c>
      <c r="I66" s="12">
        <f t="shared" ref="I66:I129" si="1">H66-G66</f>
        <v>-35.051600000000001</v>
      </c>
      <c r="J66" t="str">
        <f>IF(COUNTIFS(CONTEOS!$F$2:$F$4000,A66,CONTEOS!$H$2:$H$4000,C66)=0,"PENDIENTE",IF(I66=0,"CUADRA",IF(I66&gt;0,"SOBRANTE","FALTANTE")))</f>
        <v>PENDIENTE</v>
      </c>
    </row>
    <row r="67" spans="1:10" ht="28.8" x14ac:dyDescent="0.3">
      <c r="A67" t="str">
        <f>STOCK_SISTEMA!A67</f>
        <v>EE10149</v>
      </c>
      <c r="B67" s="13" t="str">
        <f>STOCK_SISTEMA!B67</f>
        <v>[EE10149] LAMINA RIKYTOK SIN IMPRESION PAPAS CONG PEBD 2.5KG</v>
      </c>
      <c r="C67" t="str">
        <f>IF(STOCK_SISTEMA!C67="","",STOCK_SISTEMA!C67)</f>
        <v>INFORME 01/25</v>
      </c>
      <c r="D67" s="11">
        <f>IF(STOCK_SISTEMA!D67="","",STOCK_SISTEMA!D67)</f>
        <v>46167.98609953704</v>
      </c>
      <c r="E67" t="str">
        <f>STOCK_SISTEMA!E67</f>
        <v>SF-03/Cuarentena</v>
      </c>
      <c r="F67" t="str">
        <f>STOCK_SISTEMA!G67</f>
        <v>Kilogramo</v>
      </c>
      <c r="G67" s="12">
        <f>STOCK_SISTEMA!F67</f>
        <v>57.51</v>
      </c>
      <c r="H67" s="12">
        <f>SUMIFS(CONTEOS!$N$2:$N$4000,CONTEOS!$F$2:$F$4000,A67,CONTEOS!$H$2:$H$4000,C67)</f>
        <v>0</v>
      </c>
      <c r="I67" s="12">
        <f t="shared" si="1"/>
        <v>-57.51</v>
      </c>
      <c r="J67" t="str">
        <f>IF(COUNTIFS(CONTEOS!$F$2:$F$4000,A67,CONTEOS!$H$2:$H$4000,C67)=0,"PENDIENTE",IF(I67=0,"CUADRA",IF(I67&gt;0,"SOBRANTE","FALTANTE")))</f>
        <v>PENDIENTE</v>
      </c>
    </row>
    <row r="68" spans="1:10" ht="28.8" x14ac:dyDescent="0.3">
      <c r="A68" t="str">
        <f>STOCK_SISTEMA!A68</f>
        <v>EE10204</v>
      </c>
      <c r="B68" s="13" t="str">
        <f>STOCK_SISTEMA!B68</f>
        <v>[EE10204] STICKERS NUTRICIONAL PARA ARGENTINA 40G AMARILLA PICANTE</v>
      </c>
      <c r="C68" t="str">
        <f>IF(STOCK_SISTEMA!C68="","",STOCK_SISTEMA!C68)</f>
        <v/>
      </c>
      <c r="D68" s="11" t="str">
        <f>IF(STOCK_SISTEMA!D68="","",STOCK_SISTEMA!D68)</f>
        <v/>
      </c>
      <c r="E68" t="str">
        <f>STOCK_SISTEMA!E68</f>
        <v>SF-03/Materiales</v>
      </c>
      <c r="F68" t="str">
        <f>STOCK_SISTEMA!G68</f>
        <v>Unidades</v>
      </c>
      <c r="G68" s="12">
        <f>STOCK_SISTEMA!F68</f>
        <v>23650</v>
      </c>
      <c r="H68" s="12">
        <f>SUMIFS(CONTEOS!$N$2:$N$4000,CONTEOS!$F$2:$F$4000,A68,CONTEOS!$H$2:$H$4000,C68)</f>
        <v>0</v>
      </c>
      <c r="I68" s="12">
        <f t="shared" si="1"/>
        <v>-23650</v>
      </c>
      <c r="J68" t="str">
        <f>IF(COUNTIFS(CONTEOS!$F$2:$F$4000,A68,CONTEOS!$H$2:$H$4000,C68)=0,"PENDIENTE",IF(I68=0,"CUADRA",IF(I68&gt;0,"SOBRANTE","FALTANTE")))</f>
        <v>PENDIENTE</v>
      </c>
    </row>
    <row r="69" spans="1:10" ht="28.8" x14ac:dyDescent="0.3">
      <c r="A69" t="str">
        <f>STOCK_SISTEMA!A69</f>
        <v>EE10205</v>
      </c>
      <c r="B69" s="13" t="str">
        <f>STOCK_SISTEMA!B69</f>
        <v>[EE10205] STICKERS NUTRICIONAL PARA ARGENTINA 40G JALAPEÑO</v>
      </c>
      <c r="C69" t="str">
        <f>IF(STOCK_SISTEMA!C69="","",STOCK_SISTEMA!C69)</f>
        <v/>
      </c>
      <c r="D69" s="11" t="str">
        <f>IF(STOCK_SISTEMA!D69="","",STOCK_SISTEMA!D69)</f>
        <v/>
      </c>
      <c r="E69" t="str">
        <f>STOCK_SISTEMA!E69</f>
        <v>SF-03/Materiales</v>
      </c>
      <c r="F69" t="str">
        <f>STOCK_SISTEMA!G69</f>
        <v>Unidades</v>
      </c>
      <c r="G69" s="12">
        <f>STOCK_SISTEMA!F69</f>
        <v>12240</v>
      </c>
      <c r="H69" s="12">
        <f>SUMIFS(CONTEOS!$N$2:$N$4000,CONTEOS!$F$2:$F$4000,A69,CONTEOS!$H$2:$H$4000,C69)</f>
        <v>0</v>
      </c>
      <c r="I69" s="12">
        <f t="shared" si="1"/>
        <v>-12240</v>
      </c>
      <c r="J69" t="str">
        <f>IF(COUNTIFS(CONTEOS!$F$2:$F$4000,A69,CONTEOS!$H$2:$H$4000,C69)=0,"PENDIENTE",IF(I69=0,"CUADRA",IF(I69&gt;0,"SOBRANTE","FALTANTE")))</f>
        <v>PENDIENTE</v>
      </c>
    </row>
    <row r="70" spans="1:10" ht="28.8" x14ac:dyDescent="0.3">
      <c r="A70" t="str">
        <f>STOCK_SISTEMA!A70</f>
        <v>EE10203</v>
      </c>
      <c r="B70" s="13" t="str">
        <f>STOCK_SISTEMA!B70</f>
        <v>[EE10203] STICKERS NUTRICIONAL PARA ARGENTINA 40G MIX NATIVA</v>
      </c>
      <c r="C70" t="str">
        <f>IF(STOCK_SISTEMA!C70="","",STOCK_SISTEMA!C70)</f>
        <v/>
      </c>
      <c r="D70" s="11" t="str">
        <f>IF(STOCK_SISTEMA!D70="","",STOCK_SISTEMA!D70)</f>
        <v/>
      </c>
      <c r="E70" t="str">
        <f>STOCK_SISTEMA!E70</f>
        <v>SF-03/Materiales</v>
      </c>
      <c r="F70" t="str">
        <f>STOCK_SISTEMA!G70</f>
        <v>Unidades</v>
      </c>
      <c r="G70" s="12">
        <f>STOCK_SISTEMA!F70</f>
        <v>19000</v>
      </c>
      <c r="H70" s="12">
        <f>SUMIFS(CONTEOS!$N$2:$N$4000,CONTEOS!$F$2:$F$4000,A70,CONTEOS!$H$2:$H$4000,C70)</f>
        <v>0</v>
      </c>
      <c r="I70" s="12">
        <f t="shared" si="1"/>
        <v>-19000</v>
      </c>
      <c r="J70" t="str">
        <f>IF(COUNTIFS(CONTEOS!$F$2:$F$4000,A70,CONTEOS!$H$2:$H$4000,C70)=0,"PENDIENTE",IF(I70=0,"CUADRA",IF(I70&gt;0,"SOBRANTE","FALTANTE")))</f>
        <v>PENDIENTE</v>
      </c>
    </row>
    <row r="71" spans="1:10" ht="28.8" x14ac:dyDescent="0.3">
      <c r="A71" t="str">
        <f>STOCK_SISTEMA!A71</f>
        <v>EE10202</v>
      </c>
      <c r="B71" s="13" t="str">
        <f>STOCK_SISTEMA!B71</f>
        <v>[EE10202] STICKERS NUTRICIONAL PARA ARGENTINA 142G JALAPEÑO</v>
      </c>
      <c r="C71" t="str">
        <f>IF(STOCK_SISTEMA!C71="","",STOCK_SISTEMA!C71)</f>
        <v/>
      </c>
      <c r="D71" s="11" t="str">
        <f>IF(STOCK_SISTEMA!D71="","",STOCK_SISTEMA!D71)</f>
        <v/>
      </c>
      <c r="E71" t="str">
        <f>STOCK_SISTEMA!E71</f>
        <v>SF-03/Materiales</v>
      </c>
      <c r="F71" t="str">
        <f>STOCK_SISTEMA!G71</f>
        <v>Unidades</v>
      </c>
      <c r="G71" s="12">
        <f>STOCK_SISTEMA!F71</f>
        <v>23000</v>
      </c>
      <c r="H71" s="12">
        <f>SUMIFS(CONTEOS!$N$2:$N$4000,CONTEOS!$F$2:$F$4000,A71,CONTEOS!$H$2:$H$4000,C71)</f>
        <v>0</v>
      </c>
      <c r="I71" s="12">
        <f t="shared" si="1"/>
        <v>-23000</v>
      </c>
      <c r="J71" t="str">
        <f>IF(COUNTIFS(CONTEOS!$F$2:$F$4000,A71,CONTEOS!$H$2:$H$4000,C71)=0,"PENDIENTE",IF(I71=0,"CUADRA",IF(I71&gt;0,"SOBRANTE","FALTANTE")))</f>
        <v>PENDIENTE</v>
      </c>
    </row>
    <row r="72" spans="1:10" ht="28.8" x14ac:dyDescent="0.3">
      <c r="A72" t="str">
        <f>STOCK_SISTEMA!A72</f>
        <v>EE10196</v>
      </c>
      <c r="B72" s="13" t="str">
        <f>STOCK_SISTEMA!B72</f>
        <v>[EE10196] STICKERS NUTRICIONAL PARA ARGENTINA 142G MIX NATIVA</v>
      </c>
      <c r="C72" t="str">
        <f>IF(STOCK_SISTEMA!C72="","",STOCK_SISTEMA!C72)</f>
        <v>INFORME 01/25</v>
      </c>
      <c r="D72" s="11">
        <f>IF(STOCK_SISTEMA!D72="","",STOCK_SISTEMA!D72)</f>
        <v>46261.414189814823</v>
      </c>
      <c r="E72" t="str">
        <f>STOCK_SISTEMA!E72</f>
        <v>SF-03/Materiales</v>
      </c>
      <c r="F72" t="str">
        <f>STOCK_SISTEMA!G72</f>
        <v>Unidades</v>
      </c>
      <c r="G72" s="12">
        <f>STOCK_SISTEMA!F72</f>
        <v>8800</v>
      </c>
      <c r="H72" s="12">
        <f>SUMIFS(CONTEOS!$N$2:$N$4000,CONTEOS!$F$2:$F$4000,A72,CONTEOS!$H$2:$H$4000,C72)</f>
        <v>0</v>
      </c>
      <c r="I72" s="12">
        <f t="shared" si="1"/>
        <v>-8800</v>
      </c>
      <c r="J72" t="str">
        <f>IF(COUNTIFS(CONTEOS!$F$2:$F$4000,A72,CONTEOS!$H$2:$H$4000,C72)=0,"PENDIENTE",IF(I72=0,"CUADRA",IF(I72&gt;0,"SOBRANTE","FALTANTE")))</f>
        <v>PENDIENTE</v>
      </c>
    </row>
    <row r="73" spans="1:10" ht="28.8" x14ac:dyDescent="0.3">
      <c r="A73" t="str">
        <f>STOCK_SISTEMA!A73</f>
        <v>EE10044</v>
      </c>
      <c r="B73" s="13" t="str">
        <f>STOCK_SISTEMA!B73</f>
        <v>[EE10044] LAMINA TIYAPUY CHIPS QUINUA BBQ 100 GR X KG</v>
      </c>
      <c r="C73" t="str">
        <f>IF(STOCK_SISTEMA!C73="","",STOCK_SISTEMA!C73)</f>
        <v>INFORME 05/25</v>
      </c>
      <c r="D73" s="11">
        <f>IF(STOCK_SISTEMA!D73="","",STOCK_SISTEMA!D73)</f>
        <v>46265.371238425927</v>
      </c>
      <c r="E73" t="str">
        <f>STOCK_SISTEMA!E73</f>
        <v>SF-03/Materiales</v>
      </c>
      <c r="F73" t="str">
        <f>STOCK_SISTEMA!G73</f>
        <v>Kilogramo</v>
      </c>
      <c r="G73" s="12">
        <f>STOCK_SISTEMA!F73</f>
        <v>29.620200000000001</v>
      </c>
      <c r="H73" s="12">
        <f>SUMIFS(CONTEOS!$N$2:$N$4000,CONTEOS!$F$2:$F$4000,A73,CONTEOS!$H$2:$H$4000,C73)</f>
        <v>0</v>
      </c>
      <c r="I73" s="12">
        <f t="shared" si="1"/>
        <v>-29.620200000000001</v>
      </c>
      <c r="J73" t="str">
        <f>IF(COUNTIFS(CONTEOS!$F$2:$F$4000,A73,CONTEOS!$H$2:$H$4000,C73)=0,"PENDIENTE",IF(I73=0,"CUADRA",IF(I73&gt;0,"SOBRANTE","FALTANTE")))</f>
        <v>PENDIENTE</v>
      </c>
    </row>
    <row r="74" spans="1:10" ht="28.8" x14ac:dyDescent="0.3">
      <c r="A74" t="str">
        <f>STOCK_SISTEMA!A74</f>
        <v>EE10015</v>
      </c>
      <c r="B74" s="13" t="str">
        <f>STOCK_SISTEMA!B74</f>
        <v>[EE10015] LAMINA TIYAPUY AMARILLA 30GR CONVENCIONAL X KG</v>
      </c>
      <c r="C74" t="str">
        <f>IF(STOCK_SISTEMA!C74="","",STOCK_SISTEMA!C74)</f>
        <v>INFORME 19/25</v>
      </c>
      <c r="D74" s="11">
        <f>IF(STOCK_SISTEMA!D74="","",STOCK_SISTEMA!D74)</f>
        <v>46217.800046296303</v>
      </c>
      <c r="E74" t="str">
        <f>STOCK_SISTEMA!E74</f>
        <v>SF-03/Materiales</v>
      </c>
      <c r="F74" t="str">
        <f>STOCK_SISTEMA!G74</f>
        <v>Kilogramo</v>
      </c>
      <c r="G74" s="12">
        <f>STOCK_SISTEMA!F74</f>
        <v>398.92</v>
      </c>
      <c r="H74" s="12">
        <f>SUMIFS(CONTEOS!$N$2:$N$4000,CONTEOS!$F$2:$F$4000,A74,CONTEOS!$H$2:$H$4000,C74)</f>
        <v>0</v>
      </c>
      <c r="I74" s="12">
        <f t="shared" si="1"/>
        <v>-398.92</v>
      </c>
      <c r="J74" t="str">
        <f>IF(COUNTIFS(CONTEOS!$F$2:$F$4000,A74,CONTEOS!$H$2:$H$4000,C74)=0,"PENDIENTE",IF(I74=0,"CUADRA",IF(I74&gt;0,"SOBRANTE","FALTANTE")))</f>
        <v>PENDIENTE</v>
      </c>
    </row>
    <row r="75" spans="1:10" ht="28.8" x14ac:dyDescent="0.3">
      <c r="A75" t="str">
        <f>STOCK_SISTEMA!A75</f>
        <v>EE10045</v>
      </c>
      <c r="B75" s="13" t="str">
        <f>STOCK_SISTEMA!B75</f>
        <v>[EE10045] LAMINA TIYAPUY CHIPS QUINUA PICANTE 100 GR X KG</v>
      </c>
      <c r="C75" t="str">
        <f>IF(STOCK_SISTEMA!C75="","",STOCK_SISTEMA!C75)</f>
        <v>INFORME 01/25</v>
      </c>
      <c r="D75" s="11">
        <f>IF(STOCK_SISTEMA!D75="","",STOCK_SISTEMA!D75)</f>
        <v>46248.805254629631</v>
      </c>
      <c r="E75" t="str">
        <f>STOCK_SISTEMA!E75</f>
        <v>SF-03/Materiales</v>
      </c>
      <c r="F75" t="str">
        <f>STOCK_SISTEMA!G75</f>
        <v>Kilogramo</v>
      </c>
      <c r="G75" s="12">
        <f>STOCK_SISTEMA!F75</f>
        <v>472.78399999999999</v>
      </c>
      <c r="H75" s="12">
        <f>SUMIFS(CONTEOS!$N$2:$N$4000,CONTEOS!$F$2:$F$4000,A75,CONTEOS!$H$2:$H$4000,C75)</f>
        <v>0</v>
      </c>
      <c r="I75" s="12">
        <f t="shared" si="1"/>
        <v>-472.78399999999999</v>
      </c>
      <c r="J75" t="str">
        <f>IF(COUNTIFS(CONTEOS!$F$2:$F$4000,A75,CONTEOS!$H$2:$H$4000,C75)=0,"PENDIENTE",IF(I75=0,"CUADRA",IF(I75&gt;0,"SOBRANTE","FALTANTE")))</f>
        <v>PENDIENTE</v>
      </c>
    </row>
    <row r="76" spans="1:10" ht="28.8" x14ac:dyDescent="0.3">
      <c r="A76" t="str">
        <f>STOCK_SISTEMA!A76</f>
        <v>EE10128</v>
      </c>
      <c r="B76" s="13" t="str">
        <f>STOCK_SISTEMA!B76</f>
        <v>[EE10128] LAMINA TIYAPUY C/TRAMA 120 GR LA MAR X KG</v>
      </c>
      <c r="C76" t="str">
        <f>IF(STOCK_SISTEMA!C76="","",STOCK_SISTEMA!C76)</f>
        <v>INFORME 02/25</v>
      </c>
      <c r="D76" s="11">
        <f>IF(STOCK_SISTEMA!D76="","",STOCK_SISTEMA!D76)</f>
        <v>46222.60800925926</v>
      </c>
      <c r="E76" t="str">
        <f>STOCK_SISTEMA!E76</f>
        <v>SF-03/Cuarentena</v>
      </c>
      <c r="F76" t="str">
        <f>STOCK_SISTEMA!G76</f>
        <v>Kilogramo</v>
      </c>
      <c r="G76" s="12">
        <f>STOCK_SISTEMA!F76</f>
        <v>11.4</v>
      </c>
      <c r="H76" s="12">
        <f>SUMIFS(CONTEOS!$N$2:$N$4000,CONTEOS!$F$2:$F$4000,A76,CONTEOS!$H$2:$H$4000,C76)</f>
        <v>0</v>
      </c>
      <c r="I76" s="12">
        <f t="shared" si="1"/>
        <v>-11.4</v>
      </c>
      <c r="J76" t="str">
        <f>IF(COUNTIFS(CONTEOS!$F$2:$F$4000,A76,CONTEOS!$H$2:$H$4000,C76)=0,"PENDIENTE",IF(I76=0,"CUADRA",IF(I76&gt;0,"SOBRANTE","FALTANTE")))</f>
        <v>PENDIENTE</v>
      </c>
    </row>
    <row r="77" spans="1:10" ht="28.8" x14ac:dyDescent="0.3">
      <c r="A77" t="str">
        <f>STOCK_SISTEMA!A77</f>
        <v>EE10153</v>
      </c>
      <c r="B77" s="13" t="str">
        <f>STOCK_SISTEMA!B77</f>
        <v>[EE10153] LAMINA RIKY TOK 30 GR ONDA JALAPEÑO X KG</v>
      </c>
      <c r="C77" t="str">
        <f>IF(STOCK_SISTEMA!C77="","",STOCK_SISTEMA!C77)</f>
        <v>INFORME 16/25</v>
      </c>
      <c r="D77" s="11">
        <f>IF(STOCK_SISTEMA!D77="","",STOCK_SISTEMA!D77)</f>
        <v>46254.994131944448</v>
      </c>
      <c r="E77" t="str">
        <f>STOCK_SISTEMA!E77</f>
        <v>SF-03/Materiales</v>
      </c>
      <c r="F77" t="str">
        <f>STOCK_SISTEMA!G77</f>
        <v>Kilogramo</v>
      </c>
      <c r="G77" s="12">
        <f>STOCK_SISTEMA!F77</f>
        <v>1.369</v>
      </c>
      <c r="H77" s="12">
        <f>SUMIFS(CONTEOS!$N$2:$N$4000,CONTEOS!$F$2:$F$4000,A77,CONTEOS!$H$2:$H$4000,C77)</f>
        <v>0</v>
      </c>
      <c r="I77" s="12">
        <f t="shared" si="1"/>
        <v>-1.369</v>
      </c>
      <c r="J77" t="str">
        <f>IF(COUNTIFS(CONTEOS!$F$2:$F$4000,A77,CONTEOS!$H$2:$H$4000,C77)=0,"PENDIENTE",IF(I77=0,"CUADRA",IF(I77&gt;0,"SOBRANTE","FALTANTE")))</f>
        <v>PENDIENTE</v>
      </c>
    </row>
    <row r="78" spans="1:10" ht="28.8" x14ac:dyDescent="0.3">
      <c r="A78" t="str">
        <f>STOCK_SISTEMA!A78</f>
        <v>EE10152</v>
      </c>
      <c r="B78" s="13" t="str">
        <f>STOCK_SISTEMA!B78</f>
        <v>[EE10152] LAMINA RIKY TOK 30 GR ONDA BBQ X KG</v>
      </c>
      <c r="C78" t="str">
        <f>IF(STOCK_SISTEMA!C78="","",STOCK_SISTEMA!C78)</f>
        <v>INFORME 09/25</v>
      </c>
      <c r="D78" s="11">
        <f>IF(STOCK_SISTEMA!D78="","",STOCK_SISTEMA!D78)</f>
        <v>46255.99863425926</v>
      </c>
      <c r="E78" t="str">
        <f>STOCK_SISTEMA!E78</f>
        <v>SF-03/Materiales</v>
      </c>
      <c r="F78" t="str">
        <f>STOCK_SISTEMA!G78</f>
        <v>Kilogramo</v>
      </c>
      <c r="G78" s="12">
        <f>STOCK_SISTEMA!F78</f>
        <v>1483.25</v>
      </c>
      <c r="H78" s="12">
        <f>SUMIFS(CONTEOS!$N$2:$N$4000,CONTEOS!$F$2:$F$4000,A78,CONTEOS!$H$2:$H$4000,C78)</f>
        <v>0</v>
      </c>
      <c r="I78" s="12">
        <f t="shared" si="1"/>
        <v>-1483.25</v>
      </c>
      <c r="J78" t="str">
        <f>IF(COUNTIFS(CONTEOS!$F$2:$F$4000,A78,CONTEOS!$H$2:$H$4000,C78)=0,"PENDIENTE",IF(I78=0,"CUADRA",IF(I78&gt;0,"SOBRANTE","FALTANTE")))</f>
        <v>PENDIENTE</v>
      </c>
    </row>
    <row r="79" spans="1:10" ht="28.8" x14ac:dyDescent="0.3">
      <c r="A79" t="str">
        <f>STOCK_SISTEMA!A79</f>
        <v>EE10158</v>
      </c>
      <c r="B79" s="13" t="str">
        <f>STOCK_SISTEMA!B79</f>
        <v>[EE10158] LAMINA RIKY TOK 45 GR PAPAS HILO X KG</v>
      </c>
      <c r="C79" t="str">
        <f>IF(STOCK_SISTEMA!C79="","",STOCK_SISTEMA!C79)</f>
        <v>INFORME 08/25</v>
      </c>
      <c r="D79" s="11">
        <f>IF(STOCK_SISTEMA!D79="","",STOCK_SISTEMA!D79)</f>
        <v>46157.470543981479</v>
      </c>
      <c r="E79" t="str">
        <f>STOCK_SISTEMA!E79</f>
        <v>SF-03/Materiales</v>
      </c>
      <c r="F79" t="str">
        <f>STOCK_SISTEMA!G79</f>
        <v>Kilogramo</v>
      </c>
      <c r="G79" s="12">
        <f>STOCK_SISTEMA!F79</f>
        <v>494.2</v>
      </c>
      <c r="H79" s="12">
        <f>SUMIFS(CONTEOS!$N$2:$N$4000,CONTEOS!$F$2:$F$4000,A79,CONTEOS!$H$2:$H$4000,C79)</f>
        <v>0</v>
      </c>
      <c r="I79" s="12">
        <f t="shared" si="1"/>
        <v>-494.2</v>
      </c>
      <c r="J79" t="str">
        <f>IF(COUNTIFS(CONTEOS!$F$2:$F$4000,A79,CONTEOS!$H$2:$H$4000,C79)=0,"PENDIENTE",IF(I79=0,"CUADRA",IF(I79&gt;0,"SOBRANTE","FALTANTE")))</f>
        <v>PENDIENTE</v>
      </c>
    </row>
    <row r="80" spans="1:10" ht="28.8" x14ac:dyDescent="0.3">
      <c r="A80" t="str">
        <f>STOCK_SISTEMA!A80</f>
        <v>EE10015</v>
      </c>
      <c r="B80" s="13" t="str">
        <f>STOCK_SISTEMA!B80</f>
        <v>[EE10015] LAMINA TIYAPUY AMARILLA 30GR CONVENCIONAL X KG</v>
      </c>
      <c r="C80" t="str">
        <f>IF(STOCK_SISTEMA!C80="","",STOCK_SISTEMA!C80)</f>
        <v>INFORME 08/25</v>
      </c>
      <c r="D80" s="11">
        <f>IF(STOCK_SISTEMA!D80="","",STOCK_SISTEMA!D80)</f>
        <v>46166.630219907413</v>
      </c>
      <c r="E80" t="str">
        <f>STOCK_SISTEMA!E80</f>
        <v>SF-03/Materiales</v>
      </c>
      <c r="F80" t="str">
        <f>STOCK_SISTEMA!G80</f>
        <v>Kilogramo</v>
      </c>
      <c r="G80" s="12">
        <f>STOCK_SISTEMA!F80</f>
        <v>236.61</v>
      </c>
      <c r="H80" s="12">
        <f>SUMIFS(CONTEOS!$N$2:$N$4000,CONTEOS!$F$2:$F$4000,A80,CONTEOS!$H$2:$H$4000,C80)</f>
        <v>0</v>
      </c>
      <c r="I80" s="12">
        <f t="shared" si="1"/>
        <v>-236.61</v>
      </c>
      <c r="J80" t="str">
        <f>IF(COUNTIFS(CONTEOS!$F$2:$F$4000,A80,CONTEOS!$H$2:$H$4000,C80)=0,"PENDIENTE",IF(I80=0,"CUADRA",IF(I80&gt;0,"SOBRANTE","FALTANTE")))</f>
        <v>PENDIENTE</v>
      </c>
    </row>
    <row r="81" spans="1:10" ht="28.8" x14ac:dyDescent="0.3">
      <c r="A81" t="str">
        <f>STOCK_SISTEMA!A81</f>
        <v>EE10106</v>
      </c>
      <c r="B81" s="13" t="str">
        <f>STOCK_SISTEMA!B81</f>
        <v>[EE10106] LAMINA TIYAPUY PAPAS NATIVAS CONGELADAS PEBD 1KG</v>
      </c>
      <c r="C81" t="str">
        <f>IF(STOCK_SISTEMA!C81="","",STOCK_SISTEMA!C81)</f>
        <v>INFORME 07/25</v>
      </c>
      <c r="D81" s="11">
        <f>IF(STOCK_SISTEMA!D81="","",STOCK_SISTEMA!D81)</f>
        <v>46262.640706018523</v>
      </c>
      <c r="E81" t="str">
        <f>STOCK_SISTEMA!E81</f>
        <v>SF-03/Materiales</v>
      </c>
      <c r="F81" t="str">
        <f>STOCK_SISTEMA!G81</f>
        <v>Kilogramo</v>
      </c>
      <c r="G81" s="12">
        <f>STOCK_SISTEMA!F81</f>
        <v>117.2068</v>
      </c>
      <c r="H81" s="12">
        <f>SUMIFS(CONTEOS!$N$2:$N$4000,CONTEOS!$F$2:$F$4000,A81,CONTEOS!$H$2:$H$4000,C81)</f>
        <v>0</v>
      </c>
      <c r="I81" s="12">
        <f t="shared" si="1"/>
        <v>-117.2068</v>
      </c>
      <c r="J81" t="str">
        <f>IF(COUNTIFS(CONTEOS!$F$2:$F$4000,A81,CONTEOS!$H$2:$H$4000,C81)=0,"PENDIENTE",IF(I81=0,"CUADRA",IF(I81&gt;0,"SOBRANTE","FALTANTE")))</f>
        <v>PENDIENTE</v>
      </c>
    </row>
    <row r="82" spans="1:10" ht="28.8" x14ac:dyDescent="0.3">
      <c r="A82" t="str">
        <f>STOCK_SISTEMA!A82</f>
        <v>EE10152</v>
      </c>
      <c r="B82" s="13" t="str">
        <f>STOCK_SISTEMA!B82</f>
        <v>[EE10152] LAMINA RIKY TOK 30 GR ONDA BBQ X KG</v>
      </c>
      <c r="C82" t="str">
        <f>IF(STOCK_SISTEMA!C82="","",STOCK_SISTEMA!C82)</f>
        <v>INFORME 10/25</v>
      </c>
      <c r="D82" s="11">
        <f>IF(STOCK_SISTEMA!D82="","",STOCK_SISTEMA!D82)</f>
        <v>46271.410937499997</v>
      </c>
      <c r="E82" t="str">
        <f>STOCK_SISTEMA!E82</f>
        <v>SF-03/Materiales</v>
      </c>
      <c r="F82" t="str">
        <f>STOCK_SISTEMA!G82</f>
        <v>Kilogramo</v>
      </c>
      <c r="G82" s="12">
        <f>STOCK_SISTEMA!F82</f>
        <v>804.97</v>
      </c>
      <c r="H82" s="12">
        <f>SUMIFS(CONTEOS!$N$2:$N$4000,CONTEOS!$F$2:$F$4000,A82,CONTEOS!$H$2:$H$4000,C82)</f>
        <v>0</v>
      </c>
      <c r="I82" s="12">
        <f t="shared" si="1"/>
        <v>-804.97</v>
      </c>
      <c r="J82" t="str">
        <f>IF(COUNTIFS(CONTEOS!$F$2:$F$4000,A82,CONTEOS!$H$2:$H$4000,C82)=0,"PENDIENTE",IF(I82=0,"CUADRA",IF(I82&gt;0,"SOBRANTE","FALTANTE")))</f>
        <v>PENDIENTE</v>
      </c>
    </row>
    <row r="83" spans="1:10" ht="28.8" x14ac:dyDescent="0.3">
      <c r="A83" t="str">
        <f>STOCK_SISTEMA!A83</f>
        <v>EE10158</v>
      </c>
      <c r="B83" s="13" t="str">
        <f>STOCK_SISTEMA!B83</f>
        <v>[EE10158] LAMINA RIKY TOK 45 GR PAPAS HILO X KG</v>
      </c>
      <c r="C83" t="str">
        <f>IF(STOCK_SISTEMA!C83="","",STOCK_SISTEMA!C83)</f>
        <v>INFORME 09/25</v>
      </c>
      <c r="D83" s="11">
        <f>IF(STOCK_SISTEMA!D83="","",STOCK_SISTEMA!D83)</f>
        <v>46273.483715277784</v>
      </c>
      <c r="E83" t="str">
        <f>STOCK_SISTEMA!E83</f>
        <v>SF-03/Materiales</v>
      </c>
      <c r="F83" t="str">
        <f>STOCK_SISTEMA!G83</f>
        <v>Kilogramo</v>
      </c>
      <c r="G83" s="12">
        <f>STOCK_SISTEMA!F83</f>
        <v>1015.94</v>
      </c>
      <c r="H83" s="12">
        <f>SUMIFS(CONTEOS!$N$2:$N$4000,CONTEOS!$F$2:$F$4000,A83,CONTEOS!$H$2:$H$4000,C83)</f>
        <v>0</v>
      </c>
      <c r="I83" s="12">
        <f t="shared" si="1"/>
        <v>-1015.94</v>
      </c>
      <c r="J83" t="str">
        <f>IF(COUNTIFS(CONTEOS!$F$2:$F$4000,A83,CONTEOS!$H$2:$H$4000,C83)=0,"PENDIENTE",IF(I83=0,"CUADRA",IF(I83&gt;0,"SOBRANTE","FALTANTE")))</f>
        <v>PENDIENTE</v>
      </c>
    </row>
    <row r="84" spans="1:10" ht="28.8" x14ac:dyDescent="0.3">
      <c r="A84" t="str">
        <f>STOCK_SISTEMA!A84</f>
        <v>EE10049</v>
      </c>
      <c r="B84" s="13" t="str">
        <f>STOCK_SISTEMA!B84</f>
        <v>[EE10049] LAMINA RIKY TOK 180 GR ONDA NATURAL X KG</v>
      </c>
      <c r="C84" t="str">
        <f>IF(STOCK_SISTEMA!C84="","",STOCK_SISTEMA!C84)</f>
        <v>INFORME 06/25</v>
      </c>
      <c r="D84" s="11">
        <f>IF(STOCK_SISTEMA!D84="","",STOCK_SISTEMA!D84)</f>
        <v>46278.473611111112</v>
      </c>
      <c r="E84" t="str">
        <f>STOCK_SISTEMA!E84</f>
        <v>SF-03/Materiales</v>
      </c>
      <c r="F84" t="str">
        <f>STOCK_SISTEMA!G84</f>
        <v>Kilogramo</v>
      </c>
      <c r="G84" s="12">
        <f>STOCK_SISTEMA!F84</f>
        <v>230.42240000000001</v>
      </c>
      <c r="H84" s="12">
        <f>SUMIFS(CONTEOS!$N$2:$N$4000,CONTEOS!$F$2:$F$4000,A84,CONTEOS!$H$2:$H$4000,C84)</f>
        <v>0</v>
      </c>
      <c r="I84" s="12">
        <f t="shared" si="1"/>
        <v>-230.42240000000001</v>
      </c>
      <c r="J84" t="str">
        <f>IF(COUNTIFS(CONTEOS!$F$2:$F$4000,A84,CONTEOS!$H$2:$H$4000,C84)=0,"PENDIENTE",IF(I84=0,"CUADRA",IF(I84&gt;0,"SOBRANTE","FALTANTE")))</f>
        <v>PENDIENTE</v>
      </c>
    </row>
    <row r="85" spans="1:10" ht="28.8" x14ac:dyDescent="0.3">
      <c r="A85" t="str">
        <f>STOCK_SISTEMA!A85</f>
        <v>EE10225</v>
      </c>
      <c r="B85" s="13" t="str">
        <f>STOCK_SISTEMA!B85</f>
        <v>[EE10225] STICKERS NUTRICIONAL PREFRITAS CONGELADAS 2.5 KG ESPAÑA</v>
      </c>
      <c r="C85" t="str">
        <f>IF(STOCK_SISTEMA!C85="","",STOCK_SISTEMA!C85)</f>
        <v>INFORME 100/25</v>
      </c>
      <c r="D85" s="11">
        <f>IF(STOCK_SISTEMA!D85="","",STOCK_SISTEMA!D85)</f>
        <v>46295.590578703697</v>
      </c>
      <c r="E85" t="str">
        <f>STOCK_SISTEMA!E85</f>
        <v>SF-03/Materiales</v>
      </c>
      <c r="F85" t="str">
        <f>STOCK_SISTEMA!G85</f>
        <v>Unidades</v>
      </c>
      <c r="G85" s="12">
        <f>STOCK_SISTEMA!F85</f>
        <v>6300</v>
      </c>
      <c r="H85" s="12">
        <f>SUMIFS(CONTEOS!$N$2:$N$4000,CONTEOS!$F$2:$F$4000,A85,CONTEOS!$H$2:$H$4000,C85)</f>
        <v>0</v>
      </c>
      <c r="I85" s="12">
        <f t="shared" si="1"/>
        <v>-6300</v>
      </c>
      <c r="J85" t="str">
        <f>IF(COUNTIFS(CONTEOS!$F$2:$F$4000,A85,CONTEOS!$H$2:$H$4000,C85)=0,"PENDIENTE",IF(I85=0,"CUADRA",IF(I85&gt;0,"SOBRANTE","FALTANTE")))</f>
        <v>PENDIENTE</v>
      </c>
    </row>
    <row r="86" spans="1:10" ht="28.8" x14ac:dyDescent="0.3">
      <c r="A86" t="str">
        <f>STOCK_SISTEMA!A86</f>
        <v>EE10217</v>
      </c>
      <c r="B86" s="13" t="str">
        <f>STOCK_SISTEMA!B86</f>
        <v>[EE10217] LAMINA RIKY TOK 30 G ONDA JALAPEÑO MEXICO X KG</v>
      </c>
      <c r="C86" t="str">
        <f>IF(STOCK_SISTEMA!C86="","",STOCK_SISTEMA!C86)</f>
        <v>INFORME 18/25</v>
      </c>
      <c r="D86" s="11">
        <f>IF(STOCK_SISTEMA!D86="","",STOCK_SISTEMA!D86)</f>
        <v>46286.916689814818</v>
      </c>
      <c r="E86" t="str">
        <f>STOCK_SISTEMA!E86</f>
        <v>SF-03/Materiales</v>
      </c>
      <c r="F86" t="str">
        <f>STOCK_SISTEMA!G86</f>
        <v>Kilogramo</v>
      </c>
      <c r="G86" s="12">
        <f>STOCK_SISTEMA!F86</f>
        <v>920</v>
      </c>
      <c r="H86" s="12">
        <f>SUMIFS(CONTEOS!$N$2:$N$4000,CONTEOS!$F$2:$F$4000,A86,CONTEOS!$H$2:$H$4000,C86)</f>
        <v>0</v>
      </c>
      <c r="I86" s="12">
        <f t="shared" si="1"/>
        <v>-920</v>
      </c>
      <c r="J86" t="str">
        <f>IF(COUNTIFS(CONTEOS!$F$2:$F$4000,A86,CONTEOS!$H$2:$H$4000,C86)=0,"PENDIENTE",IF(I86=0,"CUADRA",IF(I86&gt;0,"SOBRANTE","FALTANTE")))</f>
        <v>PENDIENTE</v>
      </c>
    </row>
    <row r="87" spans="1:10" ht="28.8" x14ac:dyDescent="0.3">
      <c r="A87" t="str">
        <f>STOCK_SISTEMA!A87</f>
        <v>EE10215</v>
      </c>
      <c r="B87" s="13" t="str">
        <f>STOCK_SISTEMA!B87</f>
        <v>[EE10215] LAMINA RIKY TOK 30 G ONDA PICANTE MEXICO X KG</v>
      </c>
      <c r="C87" t="str">
        <f>IF(STOCK_SISTEMA!C87="","",STOCK_SISTEMA!C87)</f>
        <v>INFORME 13/25</v>
      </c>
      <c r="D87" s="11">
        <f>IF(STOCK_SISTEMA!D87="","",STOCK_SISTEMA!D87)</f>
        <v>46286.916539351849</v>
      </c>
      <c r="E87" t="str">
        <f>STOCK_SISTEMA!E87</f>
        <v>SF-03/Materiales</v>
      </c>
      <c r="F87" t="str">
        <f>STOCK_SISTEMA!G87</f>
        <v>Kilogramo</v>
      </c>
      <c r="G87" s="12">
        <f>STOCK_SISTEMA!F87</f>
        <v>965</v>
      </c>
      <c r="H87" s="12">
        <f>SUMIFS(CONTEOS!$N$2:$N$4000,CONTEOS!$F$2:$F$4000,A87,CONTEOS!$H$2:$H$4000,C87)</f>
        <v>0</v>
      </c>
      <c r="I87" s="12">
        <f t="shared" si="1"/>
        <v>-965</v>
      </c>
      <c r="J87" t="str">
        <f>IF(COUNTIFS(CONTEOS!$F$2:$F$4000,A87,CONTEOS!$H$2:$H$4000,C87)=0,"PENDIENTE",IF(I87=0,"CUADRA",IF(I87&gt;0,"SOBRANTE","FALTANTE")))</f>
        <v>PENDIENTE</v>
      </c>
    </row>
    <row r="88" spans="1:10" ht="28.8" x14ac:dyDescent="0.3">
      <c r="A88" t="str">
        <f>STOCK_SISTEMA!A88</f>
        <v>EE10105</v>
      </c>
      <c r="B88" s="13" t="str">
        <f>STOCK_SISTEMA!B88</f>
        <v>[EE10105] LAMINA TIYAPUY PAPAS NATIVAS CONGELADAS PEBD 2.5KG</v>
      </c>
      <c r="C88" t="str">
        <f>IF(STOCK_SISTEMA!C88="","",STOCK_SISTEMA!C88)</f>
        <v>INFORME 08/25</v>
      </c>
      <c r="D88" s="11">
        <f>IF(STOCK_SISTEMA!D88="","",STOCK_SISTEMA!D88)</f>
        <v>46289.751875000002</v>
      </c>
      <c r="E88" t="str">
        <f>STOCK_SISTEMA!E88</f>
        <v>SF-03/Materiales</v>
      </c>
      <c r="F88" t="str">
        <f>STOCK_SISTEMA!G88</f>
        <v>Kilogramo</v>
      </c>
      <c r="G88" s="12">
        <f>STOCK_SISTEMA!F88</f>
        <v>352.54939999999999</v>
      </c>
      <c r="H88" s="12">
        <f>SUMIFS(CONTEOS!$N$2:$N$4000,CONTEOS!$F$2:$F$4000,A88,CONTEOS!$H$2:$H$4000,C88)</f>
        <v>0</v>
      </c>
      <c r="I88" s="12">
        <f t="shared" si="1"/>
        <v>-352.54939999999999</v>
      </c>
      <c r="J88" t="str">
        <f>IF(COUNTIFS(CONTEOS!$F$2:$F$4000,A88,CONTEOS!$H$2:$H$4000,C88)=0,"PENDIENTE",IF(I88=0,"CUADRA",IF(I88&gt;0,"SOBRANTE","FALTANTE")))</f>
        <v>PENDIENTE</v>
      </c>
    </row>
    <row r="89" spans="1:10" ht="28.8" x14ac:dyDescent="0.3">
      <c r="A89" t="str">
        <f>STOCK_SISTEMA!A89</f>
        <v>EE10222</v>
      </c>
      <c r="B89" s="13" t="str">
        <f>STOCK_SISTEMA!B89</f>
        <v>[EE10222] LAMINA BITZ ONDA JALAPEÑO 200G X KG</v>
      </c>
      <c r="C89" t="str">
        <f>IF(STOCK_SISTEMA!C89="","",STOCK_SISTEMA!C89)</f>
        <v>INFORME 01/25</v>
      </c>
      <c r="D89" s="11">
        <f>IF(STOCK_SISTEMA!D89="","",STOCK_SISTEMA!D89)</f>
        <v>46291.432569444441</v>
      </c>
      <c r="E89" t="str">
        <f>STOCK_SISTEMA!E89</f>
        <v>SF-03/Materiales</v>
      </c>
      <c r="F89" t="str">
        <f>STOCK_SISTEMA!G89</f>
        <v>Kilogramo</v>
      </c>
      <c r="G89" s="12">
        <f>STOCK_SISTEMA!F89</f>
        <v>115.79</v>
      </c>
      <c r="H89" s="12">
        <f>SUMIFS(CONTEOS!$N$2:$N$4000,CONTEOS!$F$2:$F$4000,A89,CONTEOS!$H$2:$H$4000,C89)</f>
        <v>0</v>
      </c>
      <c r="I89" s="12">
        <f t="shared" si="1"/>
        <v>-115.79</v>
      </c>
      <c r="J89" t="str">
        <f>IF(COUNTIFS(CONTEOS!$F$2:$F$4000,A89,CONTEOS!$H$2:$H$4000,C89)=0,"PENDIENTE",IF(I89=0,"CUADRA",IF(I89&gt;0,"SOBRANTE","FALTANTE")))</f>
        <v>PENDIENTE</v>
      </c>
    </row>
    <row r="90" spans="1:10" ht="28.8" x14ac:dyDescent="0.3">
      <c r="A90" t="str">
        <f>STOCK_SISTEMA!A90</f>
        <v>EE10183</v>
      </c>
      <c r="B90" s="13" t="str">
        <f>STOCK_SISTEMA!B90</f>
        <v>[EE10183] LAMINA BITZ ONDA PICANTE 200G X KG</v>
      </c>
      <c r="C90" t="str">
        <f>IF(STOCK_SISTEMA!C90="","",STOCK_SISTEMA!C90)</f>
        <v>INFORME 03/25</v>
      </c>
      <c r="D90" s="11">
        <f>IF(STOCK_SISTEMA!D90="","",STOCK_SISTEMA!D90)</f>
        <v>46291.436018518521</v>
      </c>
      <c r="E90" t="str">
        <f>STOCK_SISTEMA!E90</f>
        <v>SF-03/Materiales</v>
      </c>
      <c r="F90" t="str">
        <f>STOCK_SISTEMA!G90</f>
        <v>Kilogramo</v>
      </c>
      <c r="G90" s="12">
        <f>STOCK_SISTEMA!F90</f>
        <v>202.58099999999999</v>
      </c>
      <c r="H90" s="12">
        <f>SUMIFS(CONTEOS!$N$2:$N$4000,CONTEOS!$F$2:$F$4000,A90,CONTEOS!$H$2:$H$4000,C90)</f>
        <v>0</v>
      </c>
      <c r="I90" s="12">
        <f t="shared" si="1"/>
        <v>-202.58099999999999</v>
      </c>
      <c r="J90" t="str">
        <f>IF(COUNTIFS(CONTEOS!$F$2:$F$4000,A90,CONTEOS!$H$2:$H$4000,C90)=0,"PENDIENTE",IF(I90=0,"CUADRA",IF(I90&gt;0,"SOBRANTE","FALTANTE")))</f>
        <v>PENDIENTE</v>
      </c>
    </row>
    <row r="91" spans="1:10" ht="28.8" x14ac:dyDescent="0.3">
      <c r="A91" t="str">
        <f>STOCK_SISTEMA!A91</f>
        <v>EE10139</v>
      </c>
      <c r="B91" s="13" t="str">
        <f>STOCK_SISTEMA!B91</f>
        <v>[EE10139] LAMINA TIYAPUY JALAPEÑO 142GR CONVENCIONAL X KG</v>
      </c>
      <c r="C91" t="str">
        <f>IF(STOCK_SISTEMA!C91="","",STOCK_SISTEMA!C91)</f>
        <v>INFORME 11/25</v>
      </c>
      <c r="D91" s="11">
        <f>IF(STOCK_SISTEMA!D91="","",STOCK_SISTEMA!D91)</f>
        <v>46276.659687500003</v>
      </c>
      <c r="E91" t="str">
        <f>STOCK_SISTEMA!E91</f>
        <v>SF-03/Materiales</v>
      </c>
      <c r="F91" t="str">
        <f>STOCK_SISTEMA!G91</f>
        <v>Kilogramo</v>
      </c>
      <c r="G91" s="12">
        <f>STOCK_SISTEMA!F91</f>
        <v>478.68</v>
      </c>
      <c r="H91" s="12">
        <f>SUMIFS(CONTEOS!$N$2:$N$4000,CONTEOS!$F$2:$F$4000,A91,CONTEOS!$H$2:$H$4000,C91)</f>
        <v>0</v>
      </c>
      <c r="I91" s="12">
        <f t="shared" si="1"/>
        <v>-478.68</v>
      </c>
      <c r="J91" t="str">
        <f>IF(COUNTIFS(CONTEOS!$F$2:$F$4000,A91,CONTEOS!$H$2:$H$4000,C91)=0,"PENDIENTE",IF(I91=0,"CUADRA",IF(I91&gt;0,"SOBRANTE","FALTANTE")))</f>
        <v>PENDIENTE</v>
      </c>
    </row>
    <row r="92" spans="1:10" ht="28.8" x14ac:dyDescent="0.3">
      <c r="A92" t="str">
        <f>STOCK_SISTEMA!A92</f>
        <v>EE10131</v>
      </c>
      <c r="B92" s="13" t="str">
        <f>STOCK_SISTEMA!B92</f>
        <v>[EE10131] LAMINA TIYAPUY CHIFLE 142GR X KG</v>
      </c>
      <c r="C92" t="str">
        <f>IF(STOCK_SISTEMA!C92="","",STOCK_SISTEMA!C92)</f>
        <v>INFORME 03/25</v>
      </c>
      <c r="D92" s="11">
        <f>IF(STOCK_SISTEMA!D92="","",STOCK_SISTEMA!D92)</f>
        <v>46278.661689814813</v>
      </c>
      <c r="E92" t="str">
        <f>STOCK_SISTEMA!E92</f>
        <v>SF-03/Materiales</v>
      </c>
      <c r="F92" t="str">
        <f>STOCK_SISTEMA!G92</f>
        <v>Kilogramo</v>
      </c>
      <c r="G92" s="12">
        <f>STOCK_SISTEMA!F92</f>
        <v>1986.72</v>
      </c>
      <c r="H92" s="12">
        <f>SUMIFS(CONTEOS!$N$2:$N$4000,CONTEOS!$F$2:$F$4000,A92,CONTEOS!$H$2:$H$4000,C92)</f>
        <v>0</v>
      </c>
      <c r="I92" s="12">
        <f t="shared" si="1"/>
        <v>-1986.72</v>
      </c>
      <c r="J92" t="str">
        <f>IF(COUNTIFS(CONTEOS!$F$2:$F$4000,A92,CONTEOS!$H$2:$H$4000,C92)=0,"PENDIENTE",IF(I92=0,"CUADRA",IF(I92&gt;0,"SOBRANTE","FALTANTE")))</f>
        <v>PENDIENTE</v>
      </c>
    </row>
    <row r="93" spans="1:10" ht="28.8" x14ac:dyDescent="0.3">
      <c r="A93" t="str">
        <f>STOCK_SISTEMA!A93</f>
        <v>MP10055</v>
      </c>
      <c r="B93" s="13" t="str">
        <f>STOCK_SISTEMA!B93</f>
        <v>[MP10055] SABOR JAPPY PICANTE SP-P95283-28 CRAMER X KG</v>
      </c>
      <c r="C93" t="str">
        <f>IF(STOCK_SISTEMA!C93="","",STOCK_SISTEMA!C93)</f>
        <v>INFORME 24/25</v>
      </c>
      <c r="D93" s="11">
        <f>IF(STOCK_SISTEMA!D93="","",STOCK_SISTEMA!D93)</f>
        <v>46274.663113425922</v>
      </c>
      <c r="E93" t="str">
        <f>STOCK_SISTEMA!E93</f>
        <v>SF-03/Materiales</v>
      </c>
      <c r="F93" t="str">
        <f>STOCK_SISTEMA!G93</f>
        <v>Kilogramo</v>
      </c>
      <c r="G93" s="12">
        <f>STOCK_SISTEMA!F93</f>
        <v>73</v>
      </c>
      <c r="H93" s="12">
        <f>SUMIFS(CONTEOS!$N$2:$N$4000,CONTEOS!$F$2:$F$4000,A93,CONTEOS!$H$2:$H$4000,C93)</f>
        <v>0</v>
      </c>
      <c r="I93" s="12">
        <f t="shared" si="1"/>
        <v>-73</v>
      </c>
      <c r="J93" t="str">
        <f>IF(COUNTIFS(CONTEOS!$F$2:$F$4000,A93,CONTEOS!$H$2:$H$4000,C93)=0,"PENDIENTE",IF(I93=0,"CUADRA",IF(I93&gt;0,"SOBRANTE","FALTANTE")))</f>
        <v>PENDIENTE</v>
      </c>
    </row>
    <row r="94" spans="1:10" ht="28.8" x14ac:dyDescent="0.3">
      <c r="A94" t="str">
        <f>STOCK_SISTEMA!A94</f>
        <v>EE10150</v>
      </c>
      <c r="B94" s="13" t="str">
        <f>STOCK_SISTEMA!B94</f>
        <v>[EE10150] DOYPACK NEGRO MATE CAFÉ 1 KG X UND</v>
      </c>
      <c r="C94" t="str">
        <f>IF(STOCK_SISTEMA!C94="","",STOCK_SISTEMA!C94)</f>
        <v>INFORME 05/25</v>
      </c>
      <c r="D94" s="11">
        <f>IF(STOCK_SISTEMA!D94="","",STOCK_SISTEMA!D94)</f>
        <v>46295.670254629629</v>
      </c>
      <c r="E94" t="str">
        <f>STOCK_SISTEMA!E94</f>
        <v>SF-03/Materiales</v>
      </c>
      <c r="F94" t="str">
        <f>STOCK_SISTEMA!G94</f>
        <v>Unidades</v>
      </c>
      <c r="G94" s="12">
        <f>STOCK_SISTEMA!F94</f>
        <v>505</v>
      </c>
      <c r="H94" s="12">
        <f>SUMIFS(CONTEOS!$N$2:$N$4000,CONTEOS!$F$2:$F$4000,A94,CONTEOS!$H$2:$H$4000,C94)</f>
        <v>0</v>
      </c>
      <c r="I94" s="12">
        <f t="shared" si="1"/>
        <v>-505</v>
      </c>
      <c r="J94" t="str">
        <f>IF(COUNTIFS(CONTEOS!$F$2:$F$4000,A94,CONTEOS!$H$2:$H$4000,C94)=0,"PENDIENTE",IF(I94=0,"CUADRA",IF(I94&gt;0,"SOBRANTE","FALTANTE")))</f>
        <v>PENDIENTE</v>
      </c>
    </row>
    <row r="95" spans="1:10" ht="28.8" x14ac:dyDescent="0.3">
      <c r="A95" t="str">
        <f>STOCK_SISTEMA!A95</f>
        <v>EE10128</v>
      </c>
      <c r="B95" s="13" t="str">
        <f>STOCK_SISTEMA!B95</f>
        <v>[EE10128] LAMINA TIYAPUY C/TRAMA 120 GR LA MAR X KG</v>
      </c>
      <c r="C95" t="str">
        <f>IF(STOCK_SISTEMA!C95="","",STOCK_SISTEMA!C95)</f>
        <v>INFORME 03/25</v>
      </c>
      <c r="D95" s="11">
        <f>IF(STOCK_SISTEMA!D95="","",STOCK_SISTEMA!D95)</f>
        <v>46275.701215277782</v>
      </c>
      <c r="E95" t="str">
        <f>STOCK_SISTEMA!E95</f>
        <v>SF-03/Materiales</v>
      </c>
      <c r="F95" t="str">
        <f>STOCK_SISTEMA!G95</f>
        <v>Kilogramo</v>
      </c>
      <c r="G95" s="12">
        <f>STOCK_SISTEMA!F95</f>
        <v>1224.82</v>
      </c>
      <c r="H95" s="12">
        <f>SUMIFS(CONTEOS!$N$2:$N$4000,CONTEOS!$F$2:$F$4000,A95,CONTEOS!$H$2:$H$4000,C95)</f>
        <v>0</v>
      </c>
      <c r="I95" s="12">
        <f t="shared" si="1"/>
        <v>-1224.82</v>
      </c>
      <c r="J95" t="str">
        <f>IF(COUNTIFS(CONTEOS!$F$2:$F$4000,A95,CONTEOS!$H$2:$H$4000,C95)=0,"PENDIENTE",IF(I95=0,"CUADRA",IF(I95&gt;0,"SOBRANTE","FALTANTE")))</f>
        <v>PENDIENTE</v>
      </c>
    </row>
    <row r="96" spans="1:10" ht="28.8" x14ac:dyDescent="0.3">
      <c r="A96" t="str">
        <f>STOCK_SISTEMA!A96</f>
        <v>EE10136</v>
      </c>
      <c r="B96" s="13" t="str">
        <f>STOCK_SISTEMA!B96</f>
        <v>[EE10136] LAMINA TIYAPUY TIYAMIX 200GR X KG</v>
      </c>
      <c r="C96" t="str">
        <f>IF(STOCK_SISTEMA!C96="","",STOCK_SISTEMA!C96)</f>
        <v>INFORME 03/25</v>
      </c>
      <c r="D96" s="11">
        <f>IF(STOCK_SISTEMA!D96="","",STOCK_SISTEMA!D96)</f>
        <v>46285.525810185187</v>
      </c>
      <c r="E96" t="str">
        <f>STOCK_SISTEMA!E96</f>
        <v>SF-03/Materiales</v>
      </c>
      <c r="F96" t="str">
        <f>STOCK_SISTEMA!G96</f>
        <v>Kilogramo</v>
      </c>
      <c r="G96" s="12">
        <f>STOCK_SISTEMA!F96</f>
        <v>162.554</v>
      </c>
      <c r="H96" s="12">
        <f>SUMIFS(CONTEOS!$N$2:$N$4000,CONTEOS!$F$2:$F$4000,A96,CONTEOS!$H$2:$H$4000,C96)</f>
        <v>0</v>
      </c>
      <c r="I96" s="12">
        <f t="shared" si="1"/>
        <v>-162.554</v>
      </c>
      <c r="J96" t="str">
        <f>IF(COUNTIFS(CONTEOS!$F$2:$F$4000,A96,CONTEOS!$H$2:$H$4000,C96)=0,"PENDIENTE",IF(I96=0,"CUADRA",IF(I96&gt;0,"SOBRANTE","FALTANTE")))</f>
        <v>PENDIENTE</v>
      </c>
    </row>
    <row r="97" spans="1:10" ht="28.8" x14ac:dyDescent="0.3">
      <c r="A97" t="str">
        <f>STOCK_SISTEMA!A97</f>
        <v>EE10116</v>
      </c>
      <c r="B97" s="13" t="str">
        <f>STOCK_SISTEMA!B97</f>
        <v>[EE10116] LAMINA TIYAPUY LIMÓN Y PIMIENTA 30GR X KG</v>
      </c>
      <c r="C97" t="str">
        <f>IF(STOCK_SISTEMA!C97="","",STOCK_SISTEMA!C97)</f>
        <v>INFORME 06/25</v>
      </c>
      <c r="D97" s="11">
        <f>IF(STOCK_SISTEMA!D97="","",STOCK_SISTEMA!D97)</f>
        <v>46283.460787037038</v>
      </c>
      <c r="E97" t="str">
        <f>STOCK_SISTEMA!E97</f>
        <v>SF-03/Materiales</v>
      </c>
      <c r="F97" t="str">
        <f>STOCK_SISTEMA!G97</f>
        <v>Kilogramo</v>
      </c>
      <c r="G97" s="12">
        <f>STOCK_SISTEMA!F97</f>
        <v>292.88240000000002</v>
      </c>
      <c r="H97" s="12">
        <f>SUMIFS(CONTEOS!$N$2:$N$4000,CONTEOS!$F$2:$F$4000,A97,CONTEOS!$H$2:$H$4000,C97)</f>
        <v>0</v>
      </c>
      <c r="I97" s="12">
        <f t="shared" si="1"/>
        <v>-292.88240000000002</v>
      </c>
      <c r="J97" t="str">
        <f>IF(COUNTIFS(CONTEOS!$F$2:$F$4000,A97,CONTEOS!$H$2:$H$4000,C97)=0,"PENDIENTE",IF(I97=0,"CUADRA",IF(I97&gt;0,"SOBRANTE","FALTANTE")))</f>
        <v>PENDIENTE</v>
      </c>
    </row>
    <row r="98" spans="1:10" ht="28.8" x14ac:dyDescent="0.3">
      <c r="A98" t="str">
        <f>STOCK_SISTEMA!A98</f>
        <v>EE10124</v>
      </c>
      <c r="B98" s="13" t="str">
        <f>STOCK_SISTEMA!B98</f>
        <v>[EE10124] LAMINA TIYAPUY CAMOTE 142GR X KG</v>
      </c>
      <c r="C98" t="str">
        <f>IF(STOCK_SISTEMA!C98="","",STOCK_SISTEMA!C98)</f>
        <v>INFORME 08/25</v>
      </c>
      <c r="D98" s="11">
        <f>IF(STOCK_SISTEMA!D98="","",STOCK_SISTEMA!D98)</f>
        <v>46289.464201388888</v>
      </c>
      <c r="E98" t="str">
        <f>STOCK_SISTEMA!E98</f>
        <v>SF-03/Materiales</v>
      </c>
      <c r="F98" t="str">
        <f>STOCK_SISTEMA!G98</f>
        <v>Kilogramo</v>
      </c>
      <c r="G98" s="12">
        <f>STOCK_SISTEMA!F98</f>
        <v>831.40300000000002</v>
      </c>
      <c r="H98" s="12">
        <f>SUMIFS(CONTEOS!$N$2:$N$4000,CONTEOS!$F$2:$F$4000,A98,CONTEOS!$H$2:$H$4000,C98)</f>
        <v>0</v>
      </c>
      <c r="I98" s="12">
        <f t="shared" si="1"/>
        <v>-831.40300000000002</v>
      </c>
      <c r="J98" t="str">
        <f>IF(COUNTIFS(CONTEOS!$F$2:$F$4000,A98,CONTEOS!$H$2:$H$4000,C98)=0,"PENDIENTE",IF(I98=0,"CUADRA",IF(I98&gt;0,"SOBRANTE","FALTANTE")))</f>
        <v>PENDIENTE</v>
      </c>
    </row>
    <row r="99" spans="1:10" ht="28.8" x14ac:dyDescent="0.3">
      <c r="A99" t="str">
        <f>STOCK_SISTEMA!A99</f>
        <v>EE10214</v>
      </c>
      <c r="B99" s="13" t="str">
        <f>STOCK_SISTEMA!B99</f>
        <v>[EE10214] LAMINA RIKY TOK 30 G ONDA NATURAL MEXICO X KG</v>
      </c>
      <c r="C99" t="str">
        <f>IF(STOCK_SISTEMA!C99="","",STOCK_SISTEMA!C99)</f>
        <v>INFORME 09/25</v>
      </c>
      <c r="D99" s="11">
        <f>IF(STOCK_SISTEMA!D99="","",STOCK_SISTEMA!D99)</f>
        <v>46309.823680555557</v>
      </c>
      <c r="E99" t="str">
        <f>STOCK_SISTEMA!E99</f>
        <v>SF-03/Materiales</v>
      </c>
      <c r="F99" t="str">
        <f>STOCK_SISTEMA!G99</f>
        <v>Kilogramo</v>
      </c>
      <c r="G99" s="12">
        <f>STOCK_SISTEMA!F99</f>
        <v>136</v>
      </c>
      <c r="H99" s="12">
        <f>SUMIFS(CONTEOS!$N$2:$N$4000,CONTEOS!$F$2:$F$4000,A99,CONTEOS!$H$2:$H$4000,C99)</f>
        <v>0</v>
      </c>
      <c r="I99" s="12">
        <f t="shared" si="1"/>
        <v>-136</v>
      </c>
      <c r="J99" t="str">
        <f>IF(COUNTIFS(CONTEOS!$F$2:$F$4000,A99,CONTEOS!$H$2:$H$4000,C99)=0,"PENDIENTE",IF(I99=0,"CUADRA",IF(I99&gt;0,"SOBRANTE","FALTANTE")))</f>
        <v>PENDIENTE</v>
      </c>
    </row>
    <row r="100" spans="1:10" ht="28.8" x14ac:dyDescent="0.3">
      <c r="A100" t="str">
        <f>STOCK_SISTEMA!A100</f>
        <v>EE10149</v>
      </c>
      <c r="B100" s="13" t="str">
        <f>STOCK_SISTEMA!B100</f>
        <v>[EE10149] LAMINA RIKYTOK SIN IMPRESION PAPAS CONG PEBD 2.5KG</v>
      </c>
      <c r="C100" t="str">
        <f>IF(STOCK_SISTEMA!C100="","",STOCK_SISTEMA!C100)</f>
        <v>INFORME 02/25</v>
      </c>
      <c r="D100" s="11">
        <f>IF(STOCK_SISTEMA!D100="","",STOCK_SISTEMA!D100)</f>
        <v>46263.031168981477</v>
      </c>
      <c r="E100" t="str">
        <f>STOCK_SISTEMA!E100</f>
        <v>SF-03/Materiales</v>
      </c>
      <c r="F100" t="str">
        <f>STOCK_SISTEMA!G100</f>
        <v>Kilogramo</v>
      </c>
      <c r="G100" s="12">
        <f>STOCK_SISTEMA!F100</f>
        <v>318.18200000000002</v>
      </c>
      <c r="H100" s="12">
        <f>SUMIFS(CONTEOS!$N$2:$N$4000,CONTEOS!$F$2:$F$4000,A100,CONTEOS!$H$2:$H$4000,C100)</f>
        <v>0</v>
      </c>
      <c r="I100" s="12">
        <f t="shared" si="1"/>
        <v>-318.18200000000002</v>
      </c>
      <c r="J100" t="str">
        <f>IF(COUNTIFS(CONTEOS!$F$2:$F$4000,A100,CONTEOS!$H$2:$H$4000,C100)=0,"PENDIENTE",IF(I100=0,"CUADRA",IF(I100&gt;0,"SOBRANTE","FALTANTE")))</f>
        <v>PENDIENTE</v>
      </c>
    </row>
    <row r="101" spans="1:10" ht="28.8" x14ac:dyDescent="0.3">
      <c r="A101" t="str">
        <f>STOCK_SISTEMA!A101</f>
        <v>EE10099</v>
      </c>
      <c r="B101" s="13" t="str">
        <f>STOCK_SISTEMA!B101</f>
        <v>[EE10099] ESQUINERO KRAFT 2300MMX50MMX4.5MM</v>
      </c>
      <c r="C101" t="str">
        <f>IF(STOCK_SISTEMA!C101="","",STOCK_SISTEMA!C101)</f>
        <v/>
      </c>
      <c r="D101" s="11" t="str">
        <f>IF(STOCK_SISTEMA!D101="","",STOCK_SISTEMA!D101)</f>
        <v/>
      </c>
      <c r="E101" t="str">
        <f>STOCK_SISTEMA!E101</f>
        <v>SF-03/Materiales</v>
      </c>
      <c r="F101" t="str">
        <f>STOCK_SISTEMA!G101</f>
        <v>Unidades</v>
      </c>
      <c r="G101" s="12">
        <f>STOCK_SISTEMA!F101</f>
        <v>647</v>
      </c>
      <c r="H101" s="12">
        <f>SUMIFS(CONTEOS!$N$2:$N$4000,CONTEOS!$F$2:$F$4000,A101,CONTEOS!$H$2:$H$4000,C101)</f>
        <v>0</v>
      </c>
      <c r="I101" s="12">
        <f t="shared" si="1"/>
        <v>-647</v>
      </c>
      <c r="J101" t="str">
        <f>IF(COUNTIFS(CONTEOS!$F$2:$F$4000,A101,CONTEOS!$H$2:$H$4000,C101)=0,"PENDIENTE",IF(I101=0,"CUADRA",IF(I101&gt;0,"SOBRANTE","FALTANTE")))</f>
        <v>PENDIENTE</v>
      </c>
    </row>
    <row r="102" spans="1:10" ht="28.8" x14ac:dyDescent="0.3">
      <c r="A102" t="str">
        <f>STOCK_SISTEMA!A102</f>
        <v>EE10127</v>
      </c>
      <c r="B102" s="13" t="str">
        <f>STOCK_SISTEMA!B102</f>
        <v>[EE10127] LAMINA TIYAPUY P/LATA CON TRAMA X KG</v>
      </c>
      <c r="C102" t="str">
        <f>IF(STOCK_SISTEMA!C102="","",STOCK_SISTEMA!C102)</f>
        <v>INFORME 01/25</v>
      </c>
      <c r="D102" s="11">
        <f>IF(STOCK_SISTEMA!D102="","",STOCK_SISTEMA!D102)</f>
        <v>46311.382928240739</v>
      </c>
      <c r="E102" t="str">
        <f>STOCK_SISTEMA!E102</f>
        <v>SF-03/Materiales</v>
      </c>
      <c r="F102" t="str">
        <f>STOCK_SISTEMA!G102</f>
        <v>Kilogramo</v>
      </c>
      <c r="G102" s="12">
        <f>STOCK_SISTEMA!F102</f>
        <v>33.702599999999997</v>
      </c>
      <c r="H102" s="12">
        <f>SUMIFS(CONTEOS!$N$2:$N$4000,CONTEOS!$F$2:$F$4000,A102,CONTEOS!$H$2:$H$4000,C102)</f>
        <v>0</v>
      </c>
      <c r="I102" s="12">
        <f t="shared" si="1"/>
        <v>-33.702599999999997</v>
      </c>
      <c r="J102" t="str">
        <f>IF(COUNTIFS(CONTEOS!$F$2:$F$4000,A102,CONTEOS!$H$2:$H$4000,C102)=0,"PENDIENTE",IF(I102=0,"CUADRA",IF(I102&gt;0,"SOBRANTE","FALTANTE")))</f>
        <v>PENDIENTE</v>
      </c>
    </row>
    <row r="103" spans="1:10" ht="28.8" x14ac:dyDescent="0.3">
      <c r="A103" t="str">
        <f>STOCK_SISTEMA!A103</f>
        <v>EE10184</v>
      </c>
      <c r="B103" s="13" t="str">
        <f>STOCK_SISTEMA!B103</f>
        <v>[EE10184] LAMINA JAPPY CLASICAS 200G X KG</v>
      </c>
      <c r="C103" t="str">
        <f>IF(STOCK_SISTEMA!C103="","",STOCK_SISTEMA!C103)</f>
        <v>INFORME 13/25</v>
      </c>
      <c r="D103" s="11">
        <f>IF(STOCK_SISTEMA!D103="","",STOCK_SISTEMA!D103)</f>
        <v>46323.752175925933</v>
      </c>
      <c r="E103" t="str">
        <f>STOCK_SISTEMA!E103</f>
        <v>SF-03/Materiales</v>
      </c>
      <c r="F103" t="str">
        <f>STOCK_SISTEMA!G103</f>
        <v>Kilogramo</v>
      </c>
      <c r="G103" s="12">
        <f>STOCK_SISTEMA!F103</f>
        <v>106</v>
      </c>
      <c r="H103" s="12">
        <f>SUMIFS(CONTEOS!$N$2:$N$4000,CONTEOS!$F$2:$F$4000,A103,CONTEOS!$H$2:$H$4000,C103)</f>
        <v>0</v>
      </c>
      <c r="I103" s="12">
        <f t="shared" si="1"/>
        <v>-106</v>
      </c>
      <c r="J103" t="str">
        <f>IF(COUNTIFS(CONTEOS!$F$2:$F$4000,A103,CONTEOS!$H$2:$H$4000,C103)=0,"PENDIENTE",IF(I103=0,"CUADRA",IF(I103&gt;0,"SOBRANTE","FALTANTE")))</f>
        <v>PENDIENTE</v>
      </c>
    </row>
    <row r="104" spans="1:10" ht="28.8" x14ac:dyDescent="0.3">
      <c r="A104" t="str">
        <f>STOCK_SISTEMA!A104</f>
        <v>EE10187</v>
      </c>
      <c r="B104" s="13" t="str">
        <f>STOCK_SISTEMA!B104</f>
        <v>[EE10187] LAMINA TIYAPUY JALAPEÑO 40 GR CNV X KG</v>
      </c>
      <c r="C104" t="str">
        <f>IF(STOCK_SISTEMA!C104="","",STOCK_SISTEMA!C104)</f>
        <v>INFORME 09/25</v>
      </c>
      <c r="D104" s="11">
        <f>IF(STOCK_SISTEMA!D104="","",STOCK_SISTEMA!D104)</f>
        <v>46201.567754629628</v>
      </c>
      <c r="E104" t="str">
        <f>STOCK_SISTEMA!E104</f>
        <v>SF-03/Materiales</v>
      </c>
      <c r="F104" t="str">
        <f>STOCK_SISTEMA!G104</f>
        <v>Kilogramo</v>
      </c>
      <c r="G104" s="12">
        <f>STOCK_SISTEMA!F104</f>
        <v>9.48</v>
      </c>
      <c r="H104" s="12">
        <f>SUMIFS(CONTEOS!$N$2:$N$4000,CONTEOS!$F$2:$F$4000,A104,CONTEOS!$H$2:$H$4000,C104)</f>
        <v>0</v>
      </c>
      <c r="I104" s="12">
        <f t="shared" si="1"/>
        <v>-9.48</v>
      </c>
      <c r="J104" t="str">
        <f>IF(COUNTIFS(CONTEOS!$F$2:$F$4000,A104,CONTEOS!$H$2:$H$4000,C104)=0,"PENDIENTE",IF(I104=0,"CUADRA",IF(I104&gt;0,"SOBRANTE","FALTANTE")))</f>
        <v>PENDIENTE</v>
      </c>
    </row>
    <row r="105" spans="1:10" ht="28.8" x14ac:dyDescent="0.3">
      <c r="A105" t="str">
        <f>STOCK_SISTEMA!A105</f>
        <v>EE10043</v>
      </c>
      <c r="B105" s="13" t="str">
        <f>STOCK_SISTEMA!B105</f>
        <v>[EE10043] LAMINA TIYAPUY CHIPS QUINUA BBQ 40 GR X KG</v>
      </c>
      <c r="C105" t="str">
        <f>IF(STOCK_SISTEMA!C105="","",STOCK_SISTEMA!C105)</f>
        <v>INFORME 06/25</v>
      </c>
      <c r="D105" s="11">
        <f>IF(STOCK_SISTEMA!D105="","",STOCK_SISTEMA!D105)</f>
        <v>46326.55777777778</v>
      </c>
      <c r="E105" t="str">
        <f>STOCK_SISTEMA!E105</f>
        <v>SF-03/Materiales</v>
      </c>
      <c r="F105" t="str">
        <f>STOCK_SISTEMA!G105</f>
        <v>Kilogramo</v>
      </c>
      <c r="G105" s="12">
        <f>STOCK_SISTEMA!F105</f>
        <v>345.70679999999999</v>
      </c>
      <c r="H105" s="12">
        <f>SUMIFS(CONTEOS!$N$2:$N$4000,CONTEOS!$F$2:$F$4000,A105,CONTEOS!$H$2:$H$4000,C105)</f>
        <v>0</v>
      </c>
      <c r="I105" s="12">
        <f t="shared" si="1"/>
        <v>-345.70679999999999</v>
      </c>
      <c r="J105" t="str">
        <f>IF(COUNTIFS(CONTEOS!$F$2:$F$4000,A105,CONTEOS!$H$2:$H$4000,C105)=0,"PENDIENTE",IF(I105=0,"CUADRA",IF(I105&gt;0,"SOBRANTE","FALTANTE")))</f>
        <v>PENDIENTE</v>
      </c>
    </row>
    <row r="106" spans="1:10" ht="28.8" x14ac:dyDescent="0.3">
      <c r="A106" t="str">
        <f>STOCK_SISTEMA!A106</f>
        <v>EE10040</v>
      </c>
      <c r="B106" s="13" t="str">
        <f>STOCK_SISTEMA!B106</f>
        <v>[EE10040] LAMINA TIYAPUY CHIPS QUINUA NATURAL 40 GR X KG</v>
      </c>
      <c r="C106" t="str">
        <f>IF(STOCK_SISTEMA!C106="","",STOCK_SISTEMA!C106)</f>
        <v>INFORME 03/25</v>
      </c>
      <c r="D106" s="11">
        <f>IF(STOCK_SISTEMA!D106="","",STOCK_SISTEMA!D106)</f>
        <v>46326.557453703703</v>
      </c>
      <c r="E106" t="str">
        <f>STOCK_SISTEMA!E106</f>
        <v>SF-03/Materiales</v>
      </c>
      <c r="F106" t="str">
        <f>STOCK_SISTEMA!G106</f>
        <v>Kilogramo</v>
      </c>
      <c r="G106" s="12">
        <f>STOCK_SISTEMA!F106</f>
        <v>338.642</v>
      </c>
      <c r="H106" s="12">
        <f>SUMIFS(CONTEOS!$N$2:$N$4000,CONTEOS!$F$2:$F$4000,A106,CONTEOS!$H$2:$H$4000,C106)</f>
        <v>0</v>
      </c>
      <c r="I106" s="12">
        <f t="shared" si="1"/>
        <v>-338.642</v>
      </c>
      <c r="J106" t="str">
        <f>IF(COUNTIFS(CONTEOS!$F$2:$F$4000,A106,CONTEOS!$H$2:$H$4000,C106)=0,"PENDIENTE",IF(I106=0,"CUADRA",IF(I106&gt;0,"SOBRANTE","FALTANTE")))</f>
        <v>PENDIENTE</v>
      </c>
    </row>
    <row r="107" spans="1:10" ht="43.2" x14ac:dyDescent="0.3">
      <c r="A107" t="str">
        <f>STOCK_SISTEMA!A107</f>
        <v>EE10149-1</v>
      </c>
      <c r="B107" s="13" t="str">
        <f>STOCK_SISTEMA!B107</f>
        <v>[EE10149-1] STICKERS RIKYTOK PARA LAMINA CONG SIN IMPRESION PEBD 2.5KG</v>
      </c>
      <c r="C107" t="str">
        <f>IF(STOCK_SISTEMA!C107="","",STOCK_SISTEMA!C107)</f>
        <v>INFORME 20/25</v>
      </c>
      <c r="D107" s="11">
        <f>IF(STOCK_SISTEMA!D107="","",STOCK_SISTEMA!D107)</f>
        <v>46356.856828703712</v>
      </c>
      <c r="E107" t="str">
        <f>STOCK_SISTEMA!E107</f>
        <v>SF-03/Materiales</v>
      </c>
      <c r="F107" t="str">
        <f>STOCK_SISTEMA!G107</f>
        <v>Unidades</v>
      </c>
      <c r="G107" s="12">
        <f>STOCK_SISTEMA!F107</f>
        <v>25076</v>
      </c>
      <c r="H107" s="12">
        <f>SUMIFS(CONTEOS!$N$2:$N$4000,CONTEOS!$F$2:$F$4000,A107,CONTEOS!$H$2:$H$4000,C107)</f>
        <v>0</v>
      </c>
      <c r="I107" s="12">
        <f t="shared" si="1"/>
        <v>-25076</v>
      </c>
      <c r="J107" t="str">
        <f>IF(COUNTIFS(CONTEOS!$F$2:$F$4000,A107,CONTEOS!$H$2:$H$4000,C107)=0,"PENDIENTE",IF(I107=0,"CUADRA",IF(I107&gt;0,"SOBRANTE","FALTANTE")))</f>
        <v>PENDIENTE</v>
      </c>
    </row>
    <row r="108" spans="1:10" ht="28.8" x14ac:dyDescent="0.3">
      <c r="A108" t="str">
        <f>STOCK_SISTEMA!A108</f>
        <v>EE10223</v>
      </c>
      <c r="B108" s="13" t="str">
        <f>STOCK_SISTEMA!B108</f>
        <v>[EE10223] LAMINA TIYAPUY NATIVA MIX AJÍ AMARILLO 142G X KG</v>
      </c>
      <c r="C108" t="str">
        <f>IF(STOCK_SISTEMA!C108="","",STOCK_SISTEMA!C108)</f>
        <v>INFORME 02/25</v>
      </c>
      <c r="D108" s="11">
        <f>IF(STOCK_SISTEMA!D108="","",STOCK_SISTEMA!D108)</f>
        <v>46323.676724537043</v>
      </c>
      <c r="E108" t="str">
        <f>STOCK_SISTEMA!E108</f>
        <v>SF-03/Materiales</v>
      </c>
      <c r="F108" t="str">
        <f>STOCK_SISTEMA!G108</f>
        <v>Kilogramo</v>
      </c>
      <c r="G108" s="12">
        <f>STOCK_SISTEMA!F108</f>
        <v>568.44000000000005</v>
      </c>
      <c r="H108" s="12">
        <f>SUMIFS(CONTEOS!$N$2:$N$4000,CONTEOS!$F$2:$F$4000,A108,CONTEOS!$H$2:$H$4000,C108)</f>
        <v>0</v>
      </c>
      <c r="I108" s="12">
        <f t="shared" si="1"/>
        <v>-568.44000000000005</v>
      </c>
      <c r="J108" t="str">
        <f>IF(COUNTIFS(CONTEOS!$F$2:$F$4000,A108,CONTEOS!$H$2:$H$4000,C108)=0,"PENDIENTE",IF(I108=0,"CUADRA",IF(I108&gt;0,"SOBRANTE","FALTANTE")))</f>
        <v>PENDIENTE</v>
      </c>
    </row>
    <row r="109" spans="1:10" ht="28.8" x14ac:dyDescent="0.3">
      <c r="A109" t="str">
        <f>STOCK_SISTEMA!A109</f>
        <v>EE10117</v>
      </c>
      <c r="B109" s="13" t="str">
        <f>STOCK_SISTEMA!B109</f>
        <v>[EE10117] LAMINA TIYAPUY JALAPEÑO 30GR X KG</v>
      </c>
      <c r="C109" t="str">
        <f>IF(STOCK_SISTEMA!C109="","",STOCK_SISTEMA!C109)</f>
        <v>INFORME 13/25</v>
      </c>
      <c r="D109" s="11">
        <f>IF(STOCK_SISTEMA!D109="","",STOCK_SISTEMA!D109)</f>
        <v>46330.411122685182</v>
      </c>
      <c r="E109" t="str">
        <f>STOCK_SISTEMA!E109</f>
        <v>SF-03/Materiales</v>
      </c>
      <c r="F109" t="str">
        <f>STOCK_SISTEMA!G109</f>
        <v>Kilogramo</v>
      </c>
      <c r="G109" s="12">
        <f>STOCK_SISTEMA!F109</f>
        <v>428.27</v>
      </c>
      <c r="H109" s="12">
        <f>SUMIFS(CONTEOS!$N$2:$N$4000,CONTEOS!$F$2:$F$4000,A109,CONTEOS!$H$2:$H$4000,C109)</f>
        <v>0</v>
      </c>
      <c r="I109" s="12">
        <f t="shared" si="1"/>
        <v>-428.27</v>
      </c>
      <c r="J109" t="str">
        <f>IF(COUNTIFS(CONTEOS!$F$2:$F$4000,A109,CONTEOS!$H$2:$H$4000,C109)=0,"PENDIENTE",IF(I109=0,"CUADRA",IF(I109&gt;0,"SOBRANTE","FALTANTE")))</f>
        <v>PENDIENTE</v>
      </c>
    </row>
    <row r="110" spans="1:10" ht="28.8" x14ac:dyDescent="0.3">
      <c r="A110" t="str">
        <f>STOCK_SISTEMA!A110</f>
        <v>EE10224</v>
      </c>
      <c r="B110" s="13" t="str">
        <f>STOCK_SISTEMA!B110</f>
        <v>[EE10224] STICKERS NUTRICIONAL PREFRITAS CONGELADAS 1 KG ESPAÑA</v>
      </c>
      <c r="C110" t="str">
        <f>IF(STOCK_SISTEMA!C110="","",STOCK_SISTEMA!C110)</f>
        <v>INFORME 99/25</v>
      </c>
      <c r="D110" s="11">
        <f>IF(STOCK_SISTEMA!D110="","",STOCK_SISTEMA!D110)</f>
        <v>46295.59033564815</v>
      </c>
      <c r="E110" t="str">
        <f>STOCK_SISTEMA!E110</f>
        <v>SF-03/Materiales</v>
      </c>
      <c r="F110" t="str">
        <f>STOCK_SISTEMA!G110</f>
        <v>Unidades</v>
      </c>
      <c r="G110" s="12">
        <f>STOCK_SISTEMA!F110</f>
        <v>2875</v>
      </c>
      <c r="H110" s="12">
        <f>SUMIFS(CONTEOS!$N$2:$N$4000,CONTEOS!$F$2:$F$4000,A110,CONTEOS!$H$2:$H$4000,C110)</f>
        <v>0</v>
      </c>
      <c r="I110" s="12">
        <f t="shared" si="1"/>
        <v>-2875</v>
      </c>
      <c r="J110" t="str">
        <f>IF(COUNTIFS(CONTEOS!$F$2:$F$4000,A110,CONTEOS!$H$2:$H$4000,C110)=0,"PENDIENTE",IF(I110=0,"CUADRA",IF(I110&gt;0,"SOBRANTE","FALTANTE")))</f>
        <v>PENDIENTE</v>
      </c>
    </row>
    <row r="111" spans="1:10" ht="28.8" x14ac:dyDescent="0.3">
      <c r="A111" t="str">
        <f>STOCK_SISTEMA!A111</f>
        <v>EE10242</v>
      </c>
      <c r="B111" s="13" t="str">
        <f>STOCK_SISTEMA!B111</f>
        <v>[EE10242] STICKERS NUTRICIONAL PARA ARGENTINA 142G LIMÓN Y PIMIENTA</v>
      </c>
      <c r="C111" t="str">
        <f>IF(STOCK_SISTEMA!C111="","",STOCK_SISTEMA!C111)</f>
        <v>INFORME 116/25</v>
      </c>
      <c r="D111" s="11">
        <f>IF(STOCK_SISTEMA!D111="","",STOCK_SISTEMA!D111)</f>
        <v>46699.581805555557</v>
      </c>
      <c r="E111" t="str">
        <f>STOCK_SISTEMA!E111</f>
        <v>SF-03/Materiales</v>
      </c>
      <c r="F111" t="str">
        <f>STOCK_SISTEMA!G111</f>
        <v>Unidades</v>
      </c>
      <c r="G111" s="12">
        <f>STOCK_SISTEMA!F111</f>
        <v>3550</v>
      </c>
      <c r="H111" s="12">
        <f>SUMIFS(CONTEOS!$N$2:$N$4000,CONTEOS!$F$2:$F$4000,A111,CONTEOS!$H$2:$H$4000,C111)</f>
        <v>0</v>
      </c>
      <c r="I111" s="12">
        <f t="shared" si="1"/>
        <v>-3550</v>
      </c>
      <c r="J111" t="str">
        <f>IF(COUNTIFS(CONTEOS!$F$2:$F$4000,A111,CONTEOS!$H$2:$H$4000,C111)=0,"PENDIENTE",IF(I111=0,"CUADRA",IF(I111&gt;0,"SOBRANTE","FALTANTE")))</f>
        <v>PENDIENTE</v>
      </c>
    </row>
    <row r="112" spans="1:10" ht="28.8" x14ac:dyDescent="0.3">
      <c r="A112" t="str">
        <f>STOCK_SISTEMA!A112</f>
        <v>EE10197</v>
      </c>
      <c r="B112" s="13" t="str">
        <f>STOCK_SISTEMA!B112</f>
        <v>[EE10197] STICKERS OCTOGONOS PARA ARGENTINA 142G</v>
      </c>
      <c r="C112" t="str">
        <f>IF(STOCK_SISTEMA!C112="","",STOCK_SISTEMA!C112)</f>
        <v>INFORME 117/25</v>
      </c>
      <c r="D112" s="11">
        <f>IF(STOCK_SISTEMA!D112="","",STOCK_SISTEMA!D112)</f>
        <v>46699.581956018519</v>
      </c>
      <c r="E112" t="str">
        <f>STOCK_SISTEMA!E112</f>
        <v>SF-03/Materiales</v>
      </c>
      <c r="F112" t="str">
        <f>STOCK_SISTEMA!G112</f>
        <v>Unidades</v>
      </c>
      <c r="G112" s="12">
        <f>STOCK_SISTEMA!F112</f>
        <v>4500</v>
      </c>
      <c r="H112" s="12">
        <f>SUMIFS(CONTEOS!$N$2:$N$4000,CONTEOS!$F$2:$F$4000,A112,CONTEOS!$H$2:$H$4000,C112)</f>
        <v>0</v>
      </c>
      <c r="I112" s="12">
        <f t="shared" si="1"/>
        <v>-4500</v>
      </c>
      <c r="J112" t="str">
        <f>IF(COUNTIFS(CONTEOS!$F$2:$F$4000,A112,CONTEOS!$H$2:$H$4000,C112)=0,"PENDIENTE",IF(I112=0,"CUADRA",IF(I112&gt;0,"SOBRANTE","FALTANTE")))</f>
        <v>PENDIENTE</v>
      </c>
    </row>
    <row r="113" spans="1:10" ht="28.8" x14ac:dyDescent="0.3">
      <c r="A113" t="str">
        <f>STOCK_SISTEMA!A113</f>
        <v>EE10149</v>
      </c>
      <c r="B113" s="13" t="str">
        <f>STOCK_SISTEMA!B113</f>
        <v>[EE10149] LAMINA RIKYTOK SIN IMPRESION PAPAS CONG PEBD 2.5KG</v>
      </c>
      <c r="C113" t="str">
        <f>IF(STOCK_SISTEMA!C113="","",STOCK_SISTEMA!C113)</f>
        <v>INFORME 02/25</v>
      </c>
      <c r="D113" s="11">
        <f>IF(STOCK_SISTEMA!D113="","",STOCK_SISTEMA!D113)</f>
        <v>46263.031168981477</v>
      </c>
      <c r="E113" t="str">
        <f>STOCK_SISTEMA!E113</f>
        <v>SF-03/Cuarentena</v>
      </c>
      <c r="F113" t="str">
        <f>STOCK_SISTEMA!G113</f>
        <v>Kilogramo</v>
      </c>
      <c r="G113" s="12">
        <f>STOCK_SISTEMA!F113</f>
        <v>37.729999999999997</v>
      </c>
      <c r="H113" s="12">
        <f>SUMIFS(CONTEOS!$N$2:$N$4000,CONTEOS!$F$2:$F$4000,A113,CONTEOS!$H$2:$H$4000,C113)</f>
        <v>0</v>
      </c>
      <c r="I113" s="12">
        <f t="shared" si="1"/>
        <v>-37.729999999999997</v>
      </c>
      <c r="J113" t="str">
        <f>IF(COUNTIFS(CONTEOS!$F$2:$F$4000,A113,CONTEOS!$H$2:$H$4000,C113)=0,"PENDIENTE",IF(I113=0,"CUADRA",IF(I113&gt;0,"SOBRANTE","FALTANTE")))</f>
        <v>PENDIENTE</v>
      </c>
    </row>
    <row r="114" spans="1:10" ht="28.8" x14ac:dyDescent="0.3">
      <c r="A114" t="str">
        <f>STOCK_SISTEMA!A114</f>
        <v>EE10047</v>
      </c>
      <c r="B114" s="13" t="str">
        <f>STOCK_SISTEMA!B114</f>
        <v>[EE10047] LAMINA RIKY TOK 30 GR ONDA PICANTE X KG</v>
      </c>
      <c r="C114" t="str">
        <f>IF(STOCK_SISTEMA!C114="","",STOCK_SISTEMA!C114)</f>
        <v>INFORME 17/25</v>
      </c>
      <c r="D114" s="11">
        <f>IF(STOCK_SISTEMA!D114="","",STOCK_SISTEMA!D114)</f>
        <v>46332.701064814813</v>
      </c>
      <c r="E114" t="str">
        <f>STOCK_SISTEMA!E114</f>
        <v>SF-03/Cuarentena</v>
      </c>
      <c r="F114" t="str">
        <f>STOCK_SISTEMA!G114</f>
        <v>Kilogramo</v>
      </c>
      <c r="G114" s="12">
        <f>STOCK_SISTEMA!F114</f>
        <v>21.6</v>
      </c>
      <c r="H114" s="12">
        <f>SUMIFS(CONTEOS!$N$2:$N$4000,CONTEOS!$F$2:$F$4000,A114,CONTEOS!$H$2:$H$4000,C114)</f>
        <v>0</v>
      </c>
      <c r="I114" s="12">
        <f t="shared" si="1"/>
        <v>-21.6</v>
      </c>
      <c r="J114" t="str">
        <f>IF(COUNTIFS(CONTEOS!$F$2:$F$4000,A114,CONTEOS!$H$2:$H$4000,C114)=0,"PENDIENTE",IF(I114=0,"CUADRA",IF(I114&gt;0,"SOBRANTE","FALTANTE")))</f>
        <v>PENDIENTE</v>
      </c>
    </row>
    <row r="115" spans="1:10" ht="28.8" x14ac:dyDescent="0.3">
      <c r="A115" t="str">
        <f>STOCK_SISTEMA!A115</f>
        <v>EE10149</v>
      </c>
      <c r="B115" s="13" t="str">
        <f>STOCK_SISTEMA!B115</f>
        <v>[EE10149] LAMINA RIKYTOK SIN IMPRESION PAPAS CONG PEBD 2.5KG</v>
      </c>
      <c r="C115" t="str">
        <f>IF(STOCK_SISTEMA!C115="","",STOCK_SISTEMA!C115)</f>
        <v>INFORME 04/25</v>
      </c>
      <c r="D115" s="11">
        <f>IF(STOCK_SISTEMA!D115="","",STOCK_SISTEMA!D115)</f>
        <v>46197.475451388891</v>
      </c>
      <c r="E115" t="str">
        <f>STOCK_SISTEMA!E115</f>
        <v>SF-03/Materiales</v>
      </c>
      <c r="F115" t="str">
        <f>STOCK_SISTEMA!G115</f>
        <v>Kilogramo</v>
      </c>
      <c r="G115" s="12">
        <f>STOCK_SISTEMA!F115</f>
        <v>1534.38</v>
      </c>
      <c r="H115" s="12">
        <f>SUMIFS(CONTEOS!$N$2:$N$4000,CONTEOS!$F$2:$F$4000,A115,CONTEOS!$H$2:$H$4000,C115)</f>
        <v>0</v>
      </c>
      <c r="I115" s="12">
        <f t="shared" si="1"/>
        <v>-1534.38</v>
      </c>
      <c r="J115" t="str">
        <f>IF(COUNTIFS(CONTEOS!$F$2:$F$4000,A115,CONTEOS!$H$2:$H$4000,C115)=0,"PENDIENTE",IF(I115=0,"CUADRA",IF(I115&gt;0,"SOBRANTE","FALTANTE")))</f>
        <v>PENDIENTE</v>
      </c>
    </row>
    <row r="116" spans="1:10" ht="28.8" x14ac:dyDescent="0.3">
      <c r="A116" t="str">
        <f>STOCK_SISTEMA!A116</f>
        <v>EE10145</v>
      </c>
      <c r="B116" s="13" t="str">
        <f>STOCK_SISTEMA!B116</f>
        <v>[EE10145] LAMINA TIYAPUY LIMON PIMIENTA 142GR ORG. MEXICO X KG</v>
      </c>
      <c r="C116" t="str">
        <f>IF(STOCK_SISTEMA!C116="","",STOCK_SISTEMA!C116)</f>
        <v>INFORME 07/25</v>
      </c>
      <c r="D116" s="11">
        <f>IF(STOCK_SISTEMA!D116="","",STOCK_SISTEMA!D116)</f>
        <v>46339.611493055563</v>
      </c>
      <c r="E116" t="str">
        <f>STOCK_SISTEMA!E116</f>
        <v>SF-03/Materiales</v>
      </c>
      <c r="F116" t="str">
        <f>STOCK_SISTEMA!G116</f>
        <v>Kilogramo</v>
      </c>
      <c r="G116" s="12">
        <f>STOCK_SISTEMA!F116</f>
        <v>38.286000000000001</v>
      </c>
      <c r="H116" s="12">
        <f>SUMIFS(CONTEOS!$N$2:$N$4000,CONTEOS!$F$2:$F$4000,A116,CONTEOS!$H$2:$H$4000,C116)</f>
        <v>0</v>
      </c>
      <c r="I116" s="12">
        <f t="shared" si="1"/>
        <v>-38.286000000000001</v>
      </c>
      <c r="J116" t="str">
        <f>IF(COUNTIFS(CONTEOS!$F$2:$F$4000,A116,CONTEOS!$H$2:$H$4000,C116)=0,"PENDIENTE",IF(I116=0,"CUADRA",IF(I116&gt;0,"SOBRANTE","FALTANTE")))</f>
        <v>PENDIENTE</v>
      </c>
    </row>
    <row r="117" spans="1:10" x14ac:dyDescent="0.3">
      <c r="A117" t="str">
        <f>STOCK_SISTEMA!A117</f>
        <v>MP10018</v>
      </c>
      <c r="B117" s="13" t="str">
        <f>STOCK_SISTEMA!B117</f>
        <v>[MP10018] SAL YODADA X KG</v>
      </c>
      <c r="C117" t="str">
        <f>IF(STOCK_SISTEMA!C117="","",STOCK_SISTEMA!C117)</f>
        <v>INFORME 05/25</v>
      </c>
      <c r="D117" s="11">
        <f>IF(STOCK_SISTEMA!D117="","",STOCK_SISTEMA!D117)</f>
        <v>46618.760555555556</v>
      </c>
      <c r="E117" t="str">
        <f>STOCK_SISTEMA!E117</f>
        <v>SF-03/Materiales</v>
      </c>
      <c r="F117" t="str">
        <f>STOCK_SISTEMA!G117</f>
        <v>Kilogramo</v>
      </c>
      <c r="G117" s="12">
        <f>STOCK_SISTEMA!F117</f>
        <v>476.892</v>
      </c>
      <c r="H117" s="12">
        <f>SUMIFS(CONTEOS!$N$2:$N$4000,CONTEOS!$F$2:$F$4000,A117,CONTEOS!$H$2:$H$4000,C117)</f>
        <v>0</v>
      </c>
      <c r="I117" s="12">
        <f t="shared" si="1"/>
        <v>-476.892</v>
      </c>
      <c r="J117" t="str">
        <f>IF(COUNTIFS(CONTEOS!$F$2:$F$4000,A117,CONTEOS!$H$2:$H$4000,C117)=0,"PENDIENTE",IF(I117=0,"CUADRA",IF(I117&gt;0,"SOBRANTE","FALTANTE")))</f>
        <v>PENDIENTE</v>
      </c>
    </row>
    <row r="118" spans="1:10" ht="28.8" x14ac:dyDescent="0.3">
      <c r="A118" t="str">
        <f>STOCK_SISTEMA!A118</f>
        <v>EE10245</v>
      </c>
      <c r="B118" s="13" t="str">
        <f>STOCK_SISTEMA!B118</f>
        <v>[EE10245] STICKER RIPLEY PROMOCIÓN PRECIO P/TUBOS NATIVA MIX 100G</v>
      </c>
      <c r="C118" t="str">
        <f>IF(STOCK_SISTEMA!C118="","",STOCK_SISTEMA!C118)</f>
        <v>INFORME 119/25</v>
      </c>
      <c r="D118" s="11">
        <f>IF(STOCK_SISTEMA!D118="","",STOCK_SISTEMA!D118)</f>
        <v>46346.783888888887</v>
      </c>
      <c r="E118" t="str">
        <f>STOCK_SISTEMA!E118</f>
        <v>SF-03/Materiales</v>
      </c>
      <c r="F118" t="str">
        <f>STOCK_SISTEMA!G118</f>
        <v>Unidades</v>
      </c>
      <c r="G118" s="12">
        <f>STOCK_SISTEMA!F118</f>
        <v>3000</v>
      </c>
      <c r="H118" s="12">
        <f>SUMIFS(CONTEOS!$N$2:$N$4000,CONTEOS!$F$2:$F$4000,A118,CONTEOS!$H$2:$H$4000,C118)</f>
        <v>0</v>
      </c>
      <c r="I118" s="12">
        <f t="shared" si="1"/>
        <v>-3000</v>
      </c>
      <c r="J118" t="str">
        <f>IF(COUNTIFS(CONTEOS!$F$2:$F$4000,A118,CONTEOS!$H$2:$H$4000,C118)=0,"PENDIENTE",IF(I118=0,"CUADRA",IF(I118&gt;0,"SOBRANTE","FALTANTE")))</f>
        <v>PENDIENTE</v>
      </c>
    </row>
    <row r="119" spans="1:10" ht="28.8" x14ac:dyDescent="0.3">
      <c r="A119" t="str">
        <f>STOCK_SISTEMA!A119</f>
        <v>EE10006</v>
      </c>
      <c r="B119" s="13" t="str">
        <f>STOCK_SISTEMA!B119</f>
        <v>[EE10006] CAJA MASTER TIYAPUY P/TUBO # 6 X UND</v>
      </c>
      <c r="C119" t="str">
        <f>IF(STOCK_SISTEMA!C119="","",STOCK_SISTEMA!C119)</f>
        <v>INFORME 42</v>
      </c>
      <c r="D119" s="11">
        <f>IF(STOCK_SISTEMA!D119="","",STOCK_SISTEMA!D119)</f>
        <v>46260.535520833328</v>
      </c>
      <c r="E119" t="str">
        <f>STOCK_SISTEMA!E119</f>
        <v>SF-03/Materiales</v>
      </c>
      <c r="F119" t="str">
        <f>STOCK_SISTEMA!G119</f>
        <v>Unidades</v>
      </c>
      <c r="G119" s="12">
        <f>STOCK_SISTEMA!F119</f>
        <v>2000</v>
      </c>
      <c r="H119" s="12">
        <f>SUMIFS(CONTEOS!$N$2:$N$4000,CONTEOS!$F$2:$F$4000,A119,CONTEOS!$H$2:$H$4000,C119)</f>
        <v>0</v>
      </c>
      <c r="I119" s="12">
        <f t="shared" si="1"/>
        <v>-2000</v>
      </c>
      <c r="J119" t="str">
        <f>IF(COUNTIFS(CONTEOS!$F$2:$F$4000,A119,CONTEOS!$H$2:$H$4000,C119)=0,"PENDIENTE",IF(I119=0,"CUADRA",IF(I119&gt;0,"SOBRANTE","FALTANTE")))</f>
        <v>PENDIENTE</v>
      </c>
    </row>
    <row r="120" spans="1:10" ht="28.8" x14ac:dyDescent="0.3">
      <c r="A120" t="str">
        <f>STOCK_SISTEMA!A120</f>
        <v>EE10161</v>
      </c>
      <c r="B120" s="13" t="str">
        <f>STOCK_SISTEMA!B120</f>
        <v>[EE10161] BOLSA TIYAPUY SUPERPACK 160GR X UND</v>
      </c>
      <c r="C120" t="str">
        <f>IF(STOCK_SISTEMA!C120="","",STOCK_SISTEMA!C120)</f>
        <v>LT-SF-AGR</v>
      </c>
      <c r="D120" s="11" t="str">
        <f>IF(STOCK_SISTEMA!D120="","",STOCK_SISTEMA!D120)</f>
        <v/>
      </c>
      <c r="E120" t="str">
        <f>STOCK_SISTEMA!E120</f>
        <v>SF-03/Materiales</v>
      </c>
      <c r="F120" t="str">
        <f>STOCK_SISTEMA!G120</f>
        <v>Millar</v>
      </c>
      <c r="G120" s="12">
        <f>STOCK_SISTEMA!F120</f>
        <v>16</v>
      </c>
      <c r="H120" s="12">
        <f>SUMIFS(CONTEOS!$N$2:$N$4000,CONTEOS!$F$2:$F$4000,A120,CONTEOS!$H$2:$H$4000,C120)</f>
        <v>0</v>
      </c>
      <c r="I120" s="12">
        <f t="shared" si="1"/>
        <v>-16</v>
      </c>
      <c r="J120" t="str">
        <f>IF(COUNTIFS(CONTEOS!$F$2:$F$4000,A120,CONTEOS!$H$2:$H$4000,C120)=0,"PENDIENTE",IF(I120=0,"CUADRA",IF(I120&gt;0,"SOBRANTE","FALTANTE")))</f>
        <v>PENDIENTE</v>
      </c>
    </row>
    <row r="121" spans="1:10" ht="28.8" x14ac:dyDescent="0.3">
      <c r="A121" t="str">
        <f>STOCK_SISTEMA!A121</f>
        <v>EE10053</v>
      </c>
      <c r="B121" s="13" t="str">
        <f>STOCK_SISTEMA!B121</f>
        <v>[EE10053] LAMINA RIKY TOK 45GR BASTONCITOS QUESO CHEDDAR X KG</v>
      </c>
      <c r="C121" t="str">
        <f>IF(STOCK_SISTEMA!C121="","",STOCK_SISTEMA!C121)</f>
        <v>INFORME 03/25</v>
      </c>
      <c r="D121" s="11" t="str">
        <f>IF(STOCK_SISTEMA!D121="","",STOCK_SISTEMA!D121)</f>
        <v/>
      </c>
      <c r="E121" t="str">
        <f>STOCK_SISTEMA!E121</f>
        <v>SF-03/Materiales</v>
      </c>
      <c r="F121" t="str">
        <f>STOCK_SISTEMA!G121</f>
        <v>Kilogramo</v>
      </c>
      <c r="G121" s="12">
        <f>STOCK_SISTEMA!F121</f>
        <v>0.03</v>
      </c>
      <c r="H121" s="12">
        <f>SUMIFS(CONTEOS!$N$2:$N$4000,CONTEOS!$F$2:$F$4000,A121,CONTEOS!$H$2:$H$4000,C121)</f>
        <v>0</v>
      </c>
      <c r="I121" s="12">
        <f t="shared" si="1"/>
        <v>-0.03</v>
      </c>
      <c r="J121" t="str">
        <f>IF(COUNTIFS(CONTEOS!$F$2:$F$4000,A121,CONTEOS!$H$2:$H$4000,C121)=0,"PENDIENTE",IF(I121=0,"CUADRA",IF(I121&gt;0,"SOBRANTE","FALTANTE")))</f>
        <v>PENDIENTE</v>
      </c>
    </row>
    <row r="122" spans="1:10" ht="28.8" x14ac:dyDescent="0.3">
      <c r="A122" t="str">
        <f>STOCK_SISTEMA!A122</f>
        <v>MP10048</v>
      </c>
      <c r="B122" s="13" t="str">
        <f>STOCK_SISTEMA!B122</f>
        <v>[MP10048] SABOR RIKY TOK BBQ ML NATURAL P-1623 GLM X KG</v>
      </c>
      <c r="C122" t="str">
        <f>IF(STOCK_SISTEMA!C122="","",STOCK_SISTEMA!C122)</f>
        <v>INFORME 09/25</v>
      </c>
      <c r="D122" s="11">
        <f>IF(STOCK_SISTEMA!D122="","",STOCK_SISTEMA!D122)</f>
        <v>46286.912106481483</v>
      </c>
      <c r="E122" t="str">
        <f>STOCK_SISTEMA!E122</f>
        <v>SF-03/Materiales</v>
      </c>
      <c r="F122" t="str">
        <f>STOCK_SISTEMA!G122</f>
        <v>Kilogramo</v>
      </c>
      <c r="G122" s="12">
        <f>STOCK_SISTEMA!F122</f>
        <v>630.11670000000004</v>
      </c>
      <c r="H122" s="12">
        <f>SUMIFS(CONTEOS!$N$2:$N$4000,CONTEOS!$F$2:$F$4000,A122,CONTEOS!$H$2:$H$4000,C122)</f>
        <v>0</v>
      </c>
      <c r="I122" s="12">
        <f t="shared" si="1"/>
        <v>-630.11670000000004</v>
      </c>
      <c r="J122" t="str">
        <f>IF(COUNTIFS(CONTEOS!$F$2:$F$4000,A122,CONTEOS!$H$2:$H$4000,C122)=0,"PENDIENTE",IF(I122=0,"CUADRA",IF(I122&gt;0,"SOBRANTE","FALTANTE")))</f>
        <v>PENDIENTE</v>
      </c>
    </row>
    <row r="123" spans="1:10" ht="28.8" x14ac:dyDescent="0.3">
      <c r="A123" t="str">
        <f>STOCK_SISTEMA!A123</f>
        <v>EE10077</v>
      </c>
      <c r="B123" s="13" t="str">
        <f>STOCK_SISTEMA!B123</f>
        <v>[EE10077] CINTA C/IMPRESIÓN DUO PACK 1" X 110 YD X ROLLO</v>
      </c>
      <c r="C123" t="str">
        <f>IF(STOCK_SISTEMA!C123="","",STOCK_SISTEMA!C123)</f>
        <v/>
      </c>
      <c r="D123" s="11" t="str">
        <f>IF(STOCK_SISTEMA!D123="","",STOCK_SISTEMA!D123)</f>
        <v/>
      </c>
      <c r="E123" t="str">
        <f>STOCK_SISTEMA!E123</f>
        <v>SF-03/Materiales</v>
      </c>
      <c r="F123" t="str">
        <f>STOCK_SISTEMA!G123</f>
        <v>Unidades</v>
      </c>
      <c r="G123" s="12">
        <f>STOCK_SISTEMA!F123</f>
        <v>276</v>
      </c>
      <c r="H123" s="12">
        <f>SUMIFS(CONTEOS!$N$2:$N$4000,CONTEOS!$F$2:$F$4000,A123,CONTEOS!$H$2:$H$4000,C123)</f>
        <v>0</v>
      </c>
      <c r="I123" s="12">
        <f t="shared" si="1"/>
        <v>-276</v>
      </c>
      <c r="J123" t="str">
        <f>IF(COUNTIFS(CONTEOS!$F$2:$F$4000,A123,CONTEOS!$H$2:$H$4000,C123)=0,"PENDIENTE",IF(I123=0,"CUADRA",IF(I123&gt;0,"SOBRANTE","FALTANTE")))</f>
        <v>PENDIENTE</v>
      </c>
    </row>
    <row r="124" spans="1:10" ht="28.8" x14ac:dyDescent="0.3">
      <c r="A124" t="str">
        <f>STOCK_SISTEMA!A124</f>
        <v>EE10149</v>
      </c>
      <c r="B124" s="13" t="str">
        <f>STOCK_SISTEMA!B124</f>
        <v>[EE10149] LAMINA RIKYTOK SIN IMPRESION PAPAS CONG PEBD 2.5KG</v>
      </c>
      <c r="C124" t="str">
        <f>IF(STOCK_SISTEMA!C124="","",STOCK_SISTEMA!C124)</f>
        <v>INFORME 06/25</v>
      </c>
      <c r="D124" s="11">
        <f>IF(STOCK_SISTEMA!D124="","",STOCK_SISTEMA!D124)</f>
        <v>46333.388425925928</v>
      </c>
      <c r="E124" t="str">
        <f>STOCK_SISTEMA!E124</f>
        <v>SF-03/Materiales</v>
      </c>
      <c r="F124" t="str">
        <f>STOCK_SISTEMA!G124</f>
        <v>Kilogramo</v>
      </c>
      <c r="G124" s="12">
        <f>STOCK_SISTEMA!F124</f>
        <v>1556.97</v>
      </c>
      <c r="H124" s="12">
        <f>SUMIFS(CONTEOS!$N$2:$N$4000,CONTEOS!$F$2:$F$4000,A124,CONTEOS!$H$2:$H$4000,C124)</f>
        <v>0</v>
      </c>
      <c r="I124" s="12">
        <f t="shared" si="1"/>
        <v>-1556.97</v>
      </c>
      <c r="J124" t="str">
        <f>IF(COUNTIFS(CONTEOS!$F$2:$F$4000,A124,CONTEOS!$H$2:$H$4000,C124)=0,"PENDIENTE",IF(I124=0,"CUADRA",IF(I124&gt;0,"SOBRANTE","FALTANTE")))</f>
        <v>PENDIENTE</v>
      </c>
    </row>
    <row r="125" spans="1:10" ht="28.8" x14ac:dyDescent="0.3">
      <c r="A125" t="str">
        <f>STOCK_SISTEMA!A125</f>
        <v>EE10005</v>
      </c>
      <c r="B125" s="13" t="str">
        <f>STOCK_SISTEMA!B125</f>
        <v>[EE10005] CAJA MASTER TIYAPUY CAFÉ  # 5 X UND</v>
      </c>
      <c r="C125" t="str">
        <f>IF(STOCK_SISTEMA!C125="","",STOCK_SISTEMA!C125)</f>
        <v>INFORME 16/25</v>
      </c>
      <c r="D125" s="11">
        <f>IF(STOCK_SISTEMA!D125="","",STOCK_SISTEMA!D125)</f>
        <v>46752.991597222222</v>
      </c>
      <c r="E125" t="str">
        <f>STOCK_SISTEMA!E125</f>
        <v>SF-03/Materiales</v>
      </c>
      <c r="F125" t="str">
        <f>STOCK_SISTEMA!G125</f>
        <v>Unidades</v>
      </c>
      <c r="G125" s="12">
        <f>STOCK_SISTEMA!F125</f>
        <v>3070</v>
      </c>
      <c r="H125" s="12">
        <f>SUMIFS(CONTEOS!$N$2:$N$4000,CONTEOS!$F$2:$F$4000,A125,CONTEOS!$H$2:$H$4000,C125)</f>
        <v>0</v>
      </c>
      <c r="I125" s="12">
        <f t="shared" si="1"/>
        <v>-3070</v>
      </c>
      <c r="J125" t="str">
        <f>IF(COUNTIFS(CONTEOS!$F$2:$F$4000,A125,CONTEOS!$H$2:$H$4000,C125)=0,"PENDIENTE",IF(I125=0,"CUADRA",IF(I125&gt;0,"SOBRANTE","FALTANTE")))</f>
        <v>PENDIENTE</v>
      </c>
    </row>
    <row r="126" spans="1:10" ht="28.8" x14ac:dyDescent="0.3">
      <c r="A126" t="str">
        <f>STOCK_SISTEMA!A126</f>
        <v>EE10239</v>
      </c>
      <c r="B126" s="13" t="str">
        <f>STOCK_SISTEMA!B126</f>
        <v>[EE10239] ETIQUETA LAMAR 120 GRAMOS (NATIVA MIX) USA</v>
      </c>
      <c r="C126" t="str">
        <f>IF(STOCK_SISTEMA!C126="","",STOCK_SISTEMA!C126)</f>
        <v>INFORME 114/25</v>
      </c>
      <c r="D126" s="11">
        <f>IF(STOCK_SISTEMA!D126="","",STOCK_SISTEMA!D126)</f>
        <v>46305.841331018521</v>
      </c>
      <c r="E126" t="str">
        <f>STOCK_SISTEMA!E126</f>
        <v>SF-03/Materiales</v>
      </c>
      <c r="F126" t="str">
        <f>STOCK_SISTEMA!G126</f>
        <v>Unidades</v>
      </c>
      <c r="G126" s="12">
        <f>STOCK_SISTEMA!F126</f>
        <v>341</v>
      </c>
      <c r="H126" s="12">
        <f>SUMIFS(CONTEOS!$N$2:$N$4000,CONTEOS!$F$2:$F$4000,A126,CONTEOS!$H$2:$H$4000,C126)</f>
        <v>0</v>
      </c>
      <c r="I126" s="12">
        <f t="shared" si="1"/>
        <v>-341</v>
      </c>
      <c r="J126" t="str">
        <f>IF(COUNTIFS(CONTEOS!$F$2:$F$4000,A126,CONTEOS!$H$2:$H$4000,C126)=0,"PENDIENTE",IF(I126=0,"CUADRA",IF(I126&gt;0,"SOBRANTE","FALTANTE")))</f>
        <v>PENDIENTE</v>
      </c>
    </row>
    <row r="127" spans="1:10" ht="43.2" x14ac:dyDescent="0.3">
      <c r="A127" t="str">
        <f>STOCK_SISTEMA!A127</f>
        <v>EE10227</v>
      </c>
      <c r="B127" s="13" t="str">
        <f>STOCK_SISTEMA!B127</f>
        <v>[EE10227] ETIQUETA CELESTE CAJA (PREFRITA 10 mm) TT-50MMx100MM 1C-T1x1000</v>
      </c>
      <c r="C127" t="str">
        <f>IF(STOCK_SISTEMA!C127="","",STOCK_SISTEMA!C127)</f>
        <v>INFORME 01</v>
      </c>
      <c r="D127" s="11">
        <f>IF(STOCK_SISTEMA!D127="","",STOCK_SISTEMA!D127)</f>
        <v>46387.655439814807</v>
      </c>
      <c r="E127" t="str">
        <f>STOCK_SISTEMA!E127</f>
        <v>SF-03/Materiales</v>
      </c>
      <c r="F127" t="str">
        <f>STOCK_SISTEMA!G127</f>
        <v>Unidades</v>
      </c>
      <c r="G127" s="12">
        <f>STOCK_SISTEMA!F127</f>
        <v>16400</v>
      </c>
      <c r="H127" s="12">
        <f>SUMIFS(CONTEOS!$N$2:$N$4000,CONTEOS!$F$2:$F$4000,A127,CONTEOS!$H$2:$H$4000,C127)</f>
        <v>0</v>
      </c>
      <c r="I127" s="12">
        <f t="shared" si="1"/>
        <v>-16400</v>
      </c>
      <c r="J127" t="str">
        <f>IF(COUNTIFS(CONTEOS!$F$2:$F$4000,A127,CONTEOS!$H$2:$H$4000,C127)=0,"PENDIENTE",IF(I127=0,"CUADRA",IF(I127&gt;0,"SOBRANTE","FALTANTE")))</f>
        <v>PENDIENTE</v>
      </c>
    </row>
    <row r="128" spans="1:10" ht="28.8" x14ac:dyDescent="0.3">
      <c r="A128" t="str">
        <f>STOCK_SISTEMA!A128</f>
        <v>EE10228</v>
      </c>
      <c r="B128" s="13" t="str">
        <f>STOCK_SISTEMA!B128</f>
        <v>[EE10228] LAMINA RIKY TOK 70 G ONDA NATURAL X KG</v>
      </c>
      <c r="C128" t="str">
        <f>IF(STOCK_SISTEMA!C128="","",STOCK_SISTEMA!C128)</f>
        <v>INFORME 01/25</v>
      </c>
      <c r="D128" s="11">
        <f>IF(STOCK_SISTEMA!D128="","",STOCK_SISTEMA!D128)</f>
        <v>46355.695983796293</v>
      </c>
      <c r="E128" t="str">
        <f>STOCK_SISTEMA!E128</f>
        <v>SF-03/Materiales</v>
      </c>
      <c r="F128" t="str">
        <f>STOCK_SISTEMA!G128</f>
        <v>Kilogramo</v>
      </c>
      <c r="G128" s="12">
        <f>STOCK_SISTEMA!F128</f>
        <v>19.087</v>
      </c>
      <c r="H128" s="12">
        <f>SUMIFS(CONTEOS!$N$2:$N$4000,CONTEOS!$F$2:$F$4000,A128,CONTEOS!$H$2:$H$4000,C128)</f>
        <v>0</v>
      </c>
      <c r="I128" s="12">
        <f t="shared" si="1"/>
        <v>-19.087</v>
      </c>
      <c r="J128" t="str">
        <f>IF(COUNTIFS(CONTEOS!$F$2:$F$4000,A128,CONTEOS!$H$2:$H$4000,C128)=0,"PENDIENTE",IF(I128=0,"CUADRA",IF(I128&gt;0,"SOBRANTE","FALTANTE")))</f>
        <v>PENDIENTE</v>
      </c>
    </row>
    <row r="129" spans="1:10" ht="28.8" x14ac:dyDescent="0.3">
      <c r="A129" t="str">
        <f>STOCK_SISTEMA!A129</f>
        <v>EE10231</v>
      </c>
      <c r="B129" s="13" t="str">
        <f>STOCK_SISTEMA!B129</f>
        <v>[EE10231] LAMINA RIKY TOK 70 G ONDA JALAPEÑO X KG</v>
      </c>
      <c r="C129" t="str">
        <f>IF(STOCK_SISTEMA!C129="","",STOCK_SISTEMA!C129)</f>
        <v>INFORME 01/25</v>
      </c>
      <c r="D129" s="11">
        <f>IF(STOCK_SISTEMA!D129="","",STOCK_SISTEMA!D129)</f>
        <v>46355.697604166657</v>
      </c>
      <c r="E129" t="str">
        <f>STOCK_SISTEMA!E129</f>
        <v>SF-03/Materiales</v>
      </c>
      <c r="F129" t="str">
        <f>STOCK_SISTEMA!G129</f>
        <v>Kilogramo</v>
      </c>
      <c r="G129" s="12">
        <f>STOCK_SISTEMA!F129</f>
        <v>119.5</v>
      </c>
      <c r="H129" s="12">
        <f>SUMIFS(CONTEOS!$N$2:$N$4000,CONTEOS!$F$2:$F$4000,A129,CONTEOS!$H$2:$H$4000,C129)</f>
        <v>0</v>
      </c>
      <c r="I129" s="12">
        <f t="shared" si="1"/>
        <v>-119.5</v>
      </c>
      <c r="J129" t="str">
        <f>IF(COUNTIFS(CONTEOS!$F$2:$F$4000,A129,CONTEOS!$H$2:$H$4000,C129)=0,"PENDIENTE",IF(I129=0,"CUADRA",IF(I129&gt;0,"SOBRANTE","FALTANTE")))</f>
        <v>PENDIENTE</v>
      </c>
    </row>
    <row r="130" spans="1:10" ht="28.8" x14ac:dyDescent="0.3">
      <c r="A130" t="str">
        <f>STOCK_SISTEMA!A130</f>
        <v>EE10012</v>
      </c>
      <c r="B130" s="13" t="str">
        <f>STOCK_SISTEMA!B130</f>
        <v>[EE10012] ENVASE TIYAPUY LATA + TAPA 400 GR X UND</v>
      </c>
      <c r="C130" t="str">
        <f>IF(STOCK_SISTEMA!C130="","",STOCK_SISTEMA!C130)</f>
        <v>INFORME 02/25</v>
      </c>
      <c r="D130" s="11">
        <f>IF(STOCK_SISTEMA!D130="","",STOCK_SISTEMA!D130)</f>
        <v>46351.667442129627</v>
      </c>
      <c r="E130" t="str">
        <f>STOCK_SISTEMA!E130</f>
        <v>SF-03/Cuarentena</v>
      </c>
      <c r="F130" t="str">
        <f>STOCK_SISTEMA!G130</f>
        <v>Unidades</v>
      </c>
      <c r="G130" s="12">
        <f>STOCK_SISTEMA!F130</f>
        <v>51</v>
      </c>
      <c r="H130" s="12">
        <f>SUMIFS(CONTEOS!$N$2:$N$4000,CONTEOS!$F$2:$F$4000,A130,CONTEOS!$H$2:$H$4000,C130)</f>
        <v>0</v>
      </c>
      <c r="I130" s="12">
        <f t="shared" ref="I130:I193" si="2">H130-G130</f>
        <v>-51</v>
      </c>
      <c r="J130" t="str">
        <f>IF(COUNTIFS(CONTEOS!$F$2:$F$4000,A130,CONTEOS!$H$2:$H$4000,C130)=0,"PENDIENTE",IF(I130=0,"CUADRA",IF(I130&gt;0,"SOBRANTE","FALTANTE")))</f>
        <v>PENDIENTE</v>
      </c>
    </row>
    <row r="131" spans="1:10" ht="28.8" x14ac:dyDescent="0.3">
      <c r="A131" t="str">
        <f>STOCK_SISTEMA!A131</f>
        <v>EE10248</v>
      </c>
      <c r="B131" s="13" t="str">
        <f>STOCK_SISTEMA!B131</f>
        <v>[EE10248] PAPEL ABSORBENTE PARA LATA 400g</v>
      </c>
      <c r="C131" t="str">
        <f>IF(STOCK_SISTEMA!C131="","",STOCK_SISTEMA!C131)</f>
        <v>INFORME 01/25</v>
      </c>
      <c r="D131" s="11">
        <f>IF(STOCK_SISTEMA!D131="","",STOCK_SISTEMA!D131)</f>
        <v>46373.700590277767</v>
      </c>
      <c r="E131" t="str">
        <f>STOCK_SISTEMA!E131</f>
        <v>SF-03/Materiales</v>
      </c>
      <c r="F131" t="str">
        <f>STOCK_SISTEMA!G131</f>
        <v>Unidades</v>
      </c>
      <c r="G131" s="12">
        <f>STOCK_SISTEMA!F131</f>
        <v>4000</v>
      </c>
      <c r="H131" s="12">
        <f>SUMIFS(CONTEOS!$N$2:$N$4000,CONTEOS!$F$2:$F$4000,A131,CONTEOS!$H$2:$H$4000,C131)</f>
        <v>0</v>
      </c>
      <c r="I131" s="12">
        <f t="shared" si="2"/>
        <v>-4000</v>
      </c>
      <c r="J131" t="str">
        <f>IF(COUNTIFS(CONTEOS!$F$2:$F$4000,A131,CONTEOS!$H$2:$H$4000,C131)=0,"PENDIENTE",IF(I131=0,"CUADRA",IF(I131&gt;0,"SOBRANTE","FALTANTE")))</f>
        <v>PENDIENTE</v>
      </c>
    </row>
    <row r="132" spans="1:10" ht="28.8" x14ac:dyDescent="0.3">
      <c r="A132" t="str">
        <f>STOCK_SISTEMA!A132</f>
        <v>EE10232</v>
      </c>
      <c r="B132" s="13" t="str">
        <f>STOCK_SISTEMA!B132</f>
        <v>[EE10232] LAMINA TIYAPUY NATIVA MIX 20G X KG</v>
      </c>
      <c r="C132" t="str">
        <f>IF(STOCK_SISTEMA!C132="","",STOCK_SISTEMA!C132)</f>
        <v>INFORME 24/25</v>
      </c>
      <c r="D132" s="11">
        <f>IF(STOCK_SISTEMA!D132="","",STOCK_SISTEMA!D132)</f>
        <v>46367.227164351847</v>
      </c>
      <c r="E132" t="str">
        <f>STOCK_SISTEMA!E132</f>
        <v>SF-03/Materiales</v>
      </c>
      <c r="F132" t="str">
        <f>STOCK_SISTEMA!G132</f>
        <v>Kilogramo</v>
      </c>
      <c r="G132" s="12">
        <f>STOCK_SISTEMA!F132</f>
        <v>23.65</v>
      </c>
      <c r="H132" s="12">
        <f>SUMIFS(CONTEOS!$N$2:$N$4000,CONTEOS!$F$2:$F$4000,A132,CONTEOS!$H$2:$H$4000,C132)</f>
        <v>0</v>
      </c>
      <c r="I132" s="12">
        <f t="shared" si="2"/>
        <v>-23.65</v>
      </c>
      <c r="J132" t="str">
        <f>IF(COUNTIFS(CONTEOS!$F$2:$F$4000,A132,CONTEOS!$H$2:$H$4000,C132)=0,"PENDIENTE",IF(I132=0,"CUADRA",IF(I132&gt;0,"SOBRANTE","FALTANTE")))</f>
        <v>PENDIENTE</v>
      </c>
    </row>
    <row r="133" spans="1:10" ht="28.8" x14ac:dyDescent="0.3">
      <c r="A133" t="str">
        <f>STOCK_SISTEMA!A133</f>
        <v>EE10185</v>
      </c>
      <c r="B133" s="13" t="str">
        <f>STOCK_SISTEMA!B133</f>
        <v>[EE10185] LAMINA JAPPY ONDA PICANTE 200G X KG</v>
      </c>
      <c r="C133" t="str">
        <f>IF(STOCK_SISTEMA!C133="","",STOCK_SISTEMA!C133)</f>
        <v>INFORME 14/25</v>
      </c>
      <c r="D133" s="11">
        <f>IF(STOCK_SISTEMA!D133="","",STOCK_SISTEMA!D133)</f>
        <v>46376.699247685188</v>
      </c>
      <c r="E133" t="str">
        <f>STOCK_SISTEMA!E133</f>
        <v>SF-03/Materiales</v>
      </c>
      <c r="F133" t="str">
        <f>STOCK_SISTEMA!G133</f>
        <v>Kilogramo</v>
      </c>
      <c r="G133" s="12">
        <f>STOCK_SISTEMA!F133</f>
        <v>283</v>
      </c>
      <c r="H133" s="12">
        <f>SUMIFS(CONTEOS!$N$2:$N$4000,CONTEOS!$F$2:$F$4000,A133,CONTEOS!$H$2:$H$4000,C133)</f>
        <v>0</v>
      </c>
      <c r="I133" s="12">
        <f t="shared" si="2"/>
        <v>-283</v>
      </c>
      <c r="J133" t="str">
        <f>IF(COUNTIFS(CONTEOS!$F$2:$F$4000,A133,CONTEOS!$H$2:$H$4000,C133)=0,"PENDIENTE",IF(I133=0,"CUADRA",IF(I133&gt;0,"SOBRANTE","FALTANTE")))</f>
        <v>PENDIENTE</v>
      </c>
    </row>
    <row r="134" spans="1:10" ht="28.8" x14ac:dyDescent="0.3">
      <c r="A134" t="str">
        <f>STOCK_SISTEMA!A134</f>
        <v>EE10166</v>
      </c>
      <c r="B134" s="13" t="str">
        <f>STOCK_SISTEMA!B134</f>
        <v>[EE10166] LAMINA TIYAPUY NATIVA MIX 40G ESPAÑA X KG</v>
      </c>
      <c r="C134" t="str">
        <f>IF(STOCK_SISTEMA!C134="","",STOCK_SISTEMA!C134)</f>
        <v>INFORME 25/25</v>
      </c>
      <c r="D134" s="11">
        <f>IF(STOCK_SISTEMA!D134="","",STOCK_SISTEMA!D134)</f>
        <v>46367.702199074083</v>
      </c>
      <c r="E134" t="str">
        <f>STOCK_SISTEMA!E134</f>
        <v>SF-03/Materiales</v>
      </c>
      <c r="F134" t="str">
        <f>STOCK_SISTEMA!G134</f>
        <v>Kilogramo</v>
      </c>
      <c r="G134" s="12">
        <f>STOCK_SISTEMA!F134</f>
        <v>423.55</v>
      </c>
      <c r="H134" s="12">
        <f>SUMIFS(CONTEOS!$N$2:$N$4000,CONTEOS!$F$2:$F$4000,A134,CONTEOS!$H$2:$H$4000,C134)</f>
        <v>0</v>
      </c>
      <c r="I134" s="12">
        <f t="shared" si="2"/>
        <v>-423.55</v>
      </c>
      <c r="J134" t="str">
        <f>IF(COUNTIFS(CONTEOS!$F$2:$F$4000,A134,CONTEOS!$H$2:$H$4000,C134)=0,"PENDIENTE",IF(I134=0,"CUADRA",IF(I134&gt;0,"SOBRANTE","FALTANTE")))</f>
        <v>PENDIENTE</v>
      </c>
    </row>
    <row r="135" spans="1:10" ht="28.8" x14ac:dyDescent="0.3">
      <c r="A135" t="str">
        <f>STOCK_SISTEMA!A135</f>
        <v>EE10096</v>
      </c>
      <c r="B135" s="13" t="str">
        <f>STOCK_SISTEMA!B135</f>
        <v>[EE10096] CAJA MASTER C/LOGO # 12 CONGELADOS 25X38.5X26</v>
      </c>
      <c r="C135" t="str">
        <f>IF(STOCK_SISTEMA!C135="","",STOCK_SISTEMA!C135)</f>
        <v>INFORME 11/25</v>
      </c>
      <c r="D135" s="11">
        <f>IF(STOCK_SISTEMA!D135="","",STOCK_SISTEMA!D135)</f>
        <v>46374.475601851853</v>
      </c>
      <c r="E135" t="str">
        <f>STOCK_SISTEMA!E135</f>
        <v>SF-03/Materiales</v>
      </c>
      <c r="F135" t="str">
        <f>STOCK_SISTEMA!G135</f>
        <v>Unidades</v>
      </c>
      <c r="G135" s="12">
        <f>STOCK_SISTEMA!F135</f>
        <v>5000</v>
      </c>
      <c r="H135" s="12">
        <f>SUMIFS(CONTEOS!$N$2:$N$4000,CONTEOS!$F$2:$F$4000,A135,CONTEOS!$H$2:$H$4000,C135)</f>
        <v>0</v>
      </c>
      <c r="I135" s="12">
        <f t="shared" si="2"/>
        <v>-5000</v>
      </c>
      <c r="J135" t="str">
        <f>IF(COUNTIFS(CONTEOS!$F$2:$F$4000,A135,CONTEOS!$H$2:$H$4000,C135)=0,"PENDIENTE",IF(I135=0,"CUADRA",IF(I135&gt;0,"SOBRANTE","FALTANTE")))</f>
        <v>PENDIENTE</v>
      </c>
    </row>
    <row r="136" spans="1:10" ht="28.8" x14ac:dyDescent="0.3">
      <c r="A136" t="str">
        <f>STOCK_SISTEMA!A136</f>
        <v>EE10076</v>
      </c>
      <c r="B136" s="13" t="str">
        <f>STOCK_SISTEMA!B136</f>
        <v>[EE10076] RIBBON 110MMx300MTS NEGRO CERA OUT</v>
      </c>
      <c r="C136" t="str">
        <f>IF(STOCK_SISTEMA!C136="","",STOCK_SISTEMA!C136)</f>
        <v/>
      </c>
      <c r="D136" s="11" t="str">
        <f>IF(STOCK_SISTEMA!D136="","",STOCK_SISTEMA!D136)</f>
        <v/>
      </c>
      <c r="E136" t="str">
        <f>STOCK_SISTEMA!E136</f>
        <v>SF-03/Preproducción</v>
      </c>
      <c r="F136" t="str">
        <f>STOCK_SISTEMA!G136</f>
        <v>Unidades</v>
      </c>
      <c r="G136" s="12">
        <f>STOCK_SISTEMA!F136</f>
        <v>0.186</v>
      </c>
      <c r="H136" s="12">
        <f>SUMIFS(CONTEOS!$N$2:$N$4000,CONTEOS!$F$2:$F$4000,A136,CONTEOS!$H$2:$H$4000,C136)</f>
        <v>0</v>
      </c>
      <c r="I136" s="12">
        <f t="shared" si="2"/>
        <v>-0.186</v>
      </c>
      <c r="J136" t="str">
        <f>IF(COUNTIFS(CONTEOS!$F$2:$F$4000,A136,CONTEOS!$H$2:$H$4000,C136)=0,"PENDIENTE",IF(I136=0,"CUADRA",IF(I136&gt;0,"SOBRANTE","FALTANTE")))</f>
        <v>PENDIENTE</v>
      </c>
    </row>
    <row r="137" spans="1:10" ht="28.8" x14ac:dyDescent="0.3">
      <c r="A137" t="str">
        <f>STOCK_SISTEMA!A137</f>
        <v>EE10058</v>
      </c>
      <c r="B137" s="13" t="str">
        <f>STOCK_SISTEMA!B137</f>
        <v>[EE10058] DOYPACK NEGRO MATE 86 PUNTOS CAFÉ 250 GR ORG X UND</v>
      </c>
      <c r="C137" t="str">
        <f>IF(STOCK_SISTEMA!C137="","",STOCK_SISTEMA!C137)</f>
        <v>INFORME 2</v>
      </c>
      <c r="D137" s="11">
        <f>IF(STOCK_SISTEMA!D137="","",STOCK_SISTEMA!D137)</f>
        <v>45930.415324074071</v>
      </c>
      <c r="E137" t="str">
        <f>STOCK_SISTEMA!E137</f>
        <v>SF-03/Cuarentena</v>
      </c>
      <c r="F137" t="str">
        <f>STOCK_SISTEMA!G137</f>
        <v>Unidades</v>
      </c>
      <c r="G137" s="12">
        <f>STOCK_SISTEMA!F137</f>
        <v>2026</v>
      </c>
      <c r="H137" s="12">
        <f>SUMIFS(CONTEOS!$N$2:$N$4000,CONTEOS!$F$2:$F$4000,A137,CONTEOS!$H$2:$H$4000,C137)</f>
        <v>0</v>
      </c>
      <c r="I137" s="12">
        <f t="shared" si="2"/>
        <v>-2026</v>
      </c>
      <c r="J137" t="str">
        <f>IF(COUNTIFS(CONTEOS!$F$2:$F$4000,A137,CONTEOS!$H$2:$H$4000,C137)=0,"PENDIENTE",IF(I137=0,"CUADRA",IF(I137&gt;0,"SOBRANTE","FALTANTE")))</f>
        <v>PENDIENTE</v>
      </c>
    </row>
    <row r="138" spans="1:10" ht="28.8" x14ac:dyDescent="0.3">
      <c r="A138" t="str">
        <f>STOCK_SISTEMA!A138</f>
        <v>EE10058</v>
      </c>
      <c r="B138" s="13" t="str">
        <f>STOCK_SISTEMA!B138</f>
        <v>[EE10058] DOYPACK NEGRO MATE 86 PUNTOS CAFÉ 250 GR ORG X UND</v>
      </c>
      <c r="C138" t="str">
        <f>IF(STOCK_SISTEMA!C138="","",STOCK_SISTEMA!C138)</f>
        <v>INFORME 06/25</v>
      </c>
      <c r="D138" s="11" t="str">
        <f>IF(STOCK_SISTEMA!D138="","",STOCK_SISTEMA!D138)</f>
        <v/>
      </c>
      <c r="E138" t="str">
        <f>STOCK_SISTEMA!E138</f>
        <v>SF-03/Cuarentena</v>
      </c>
      <c r="F138" t="str">
        <f>STOCK_SISTEMA!G138</f>
        <v>Unidades</v>
      </c>
      <c r="G138" s="12">
        <f>STOCK_SISTEMA!F138</f>
        <v>61</v>
      </c>
      <c r="H138" s="12">
        <f>SUMIFS(CONTEOS!$N$2:$N$4000,CONTEOS!$F$2:$F$4000,A138,CONTEOS!$H$2:$H$4000,C138)</f>
        <v>0</v>
      </c>
      <c r="I138" s="12">
        <f t="shared" si="2"/>
        <v>-61</v>
      </c>
      <c r="J138" t="str">
        <f>IF(COUNTIFS(CONTEOS!$F$2:$F$4000,A138,CONTEOS!$H$2:$H$4000,C138)=0,"PENDIENTE",IF(I138=0,"CUADRA",IF(I138&gt;0,"SOBRANTE","FALTANTE")))</f>
        <v>PENDIENTE</v>
      </c>
    </row>
    <row r="139" spans="1:10" ht="28.8" x14ac:dyDescent="0.3">
      <c r="A139" t="str">
        <f>STOCK_SISTEMA!A139</f>
        <v>EE10117</v>
      </c>
      <c r="B139" s="13" t="str">
        <f>STOCK_SISTEMA!B139</f>
        <v>[EE10117] LAMINA TIYAPUY JALAPEÑO 30GR X KG</v>
      </c>
      <c r="C139" t="str">
        <f>IF(STOCK_SISTEMA!C139="","",STOCK_SISTEMA!C139)</f>
        <v>INFORME 04/25</v>
      </c>
      <c r="D139" s="11">
        <f>IF(STOCK_SISTEMA!D139="","",STOCK_SISTEMA!D139)</f>
        <v>45959.747986111113</v>
      </c>
      <c r="E139" t="str">
        <f>STOCK_SISTEMA!E139</f>
        <v>SF-03/Materiales</v>
      </c>
      <c r="F139" t="str">
        <f>STOCK_SISTEMA!G139</f>
        <v>Kilogramo</v>
      </c>
      <c r="G139" s="12">
        <f>STOCK_SISTEMA!F139</f>
        <v>702.76</v>
      </c>
      <c r="H139" s="12">
        <f>SUMIFS(CONTEOS!$N$2:$N$4000,CONTEOS!$F$2:$F$4000,A139,CONTEOS!$H$2:$H$4000,C139)</f>
        <v>0</v>
      </c>
      <c r="I139" s="12">
        <f t="shared" si="2"/>
        <v>-702.76</v>
      </c>
      <c r="J139" t="str">
        <f>IF(COUNTIFS(CONTEOS!$F$2:$F$4000,A139,CONTEOS!$H$2:$H$4000,C139)=0,"PENDIENTE",IF(I139=0,"CUADRA",IF(I139&gt;0,"SOBRANTE","FALTANTE")))</f>
        <v>PENDIENTE</v>
      </c>
    </row>
    <row r="140" spans="1:10" ht="28.8" x14ac:dyDescent="0.3">
      <c r="A140" t="str">
        <f>STOCK_SISTEMA!A140</f>
        <v>EE10212</v>
      </c>
      <c r="B140" s="13" t="str">
        <f>STOCK_SISTEMA!B140</f>
        <v>[EE10212] LAMINA TOTTUS  BBQ 130G X KG</v>
      </c>
      <c r="C140" t="str">
        <f>IF(STOCK_SISTEMA!C140="","",STOCK_SISTEMA!C140)</f>
        <v>INFORME 01/26</v>
      </c>
      <c r="D140" s="11">
        <f>IF(STOCK_SISTEMA!D140="","",STOCK_SISTEMA!D140)</f>
        <v>46401.358958333331</v>
      </c>
      <c r="E140" t="str">
        <f>STOCK_SISTEMA!E140</f>
        <v>SF-03/Materiales</v>
      </c>
      <c r="F140" t="str">
        <f>STOCK_SISTEMA!G140</f>
        <v>Kilogramo</v>
      </c>
      <c r="G140" s="12">
        <f>STOCK_SISTEMA!F140</f>
        <v>7.5119999999999996</v>
      </c>
      <c r="H140" s="12">
        <f>SUMIFS(CONTEOS!$N$2:$N$4000,CONTEOS!$F$2:$F$4000,A140,CONTEOS!$H$2:$H$4000,C140)</f>
        <v>0</v>
      </c>
      <c r="I140" s="12">
        <f t="shared" si="2"/>
        <v>-7.5119999999999996</v>
      </c>
      <c r="J140" t="str">
        <f>IF(COUNTIFS(CONTEOS!$F$2:$F$4000,A140,CONTEOS!$H$2:$H$4000,C140)=0,"PENDIENTE",IF(I140=0,"CUADRA",IF(I140&gt;0,"SOBRANTE","FALTANTE")))</f>
        <v>PENDIENTE</v>
      </c>
    </row>
    <row r="141" spans="1:10" ht="28.8" x14ac:dyDescent="0.3">
      <c r="A141" t="str">
        <f>STOCK_SISTEMA!A141</f>
        <v>EE10057</v>
      </c>
      <c r="B141" s="13" t="str">
        <f>STOCK_SISTEMA!B141</f>
        <v>[EE10057] BOLSA TIYAPUY PACK LONCHERA X UND</v>
      </c>
      <c r="C141" t="str">
        <f>IF(STOCK_SISTEMA!C141="","",STOCK_SISTEMA!C141)</f>
        <v>INFORME  01/26</v>
      </c>
      <c r="D141" s="11" t="str">
        <f>IF(STOCK_SISTEMA!D141="","",STOCK_SISTEMA!D141)</f>
        <v/>
      </c>
      <c r="E141" t="str">
        <f>STOCK_SISTEMA!E141</f>
        <v>SF-03/Materiales</v>
      </c>
      <c r="F141" t="str">
        <f>STOCK_SISTEMA!G141</f>
        <v>Unidades</v>
      </c>
      <c r="G141" s="12">
        <f>STOCK_SISTEMA!F141</f>
        <v>9100</v>
      </c>
      <c r="H141" s="12">
        <f>SUMIFS(CONTEOS!$N$2:$N$4000,CONTEOS!$F$2:$F$4000,A141,CONTEOS!$H$2:$H$4000,C141)</f>
        <v>0</v>
      </c>
      <c r="I141" s="12">
        <f t="shared" si="2"/>
        <v>-9100</v>
      </c>
      <c r="J141" t="str">
        <f>IF(COUNTIFS(CONTEOS!$F$2:$F$4000,A141,CONTEOS!$H$2:$H$4000,C141)=0,"PENDIENTE",IF(I141=0,"CUADRA",IF(I141&gt;0,"SOBRANTE","FALTANTE")))</f>
        <v>PENDIENTE</v>
      </c>
    </row>
    <row r="142" spans="1:10" ht="28.8" x14ac:dyDescent="0.3">
      <c r="A142" t="str">
        <f>STOCK_SISTEMA!A142</f>
        <v>EE10255</v>
      </c>
      <c r="B142" s="13" t="str">
        <f>STOCK_SISTEMA!B142</f>
        <v>[EE10255] ETIQUETA TEXTOS LEGALES LIMON PIMIENTA 142g USA</v>
      </c>
      <c r="C142" t="str">
        <f>IF(STOCK_SISTEMA!C142="","",STOCK_SISTEMA!C142)</f>
        <v>INFORME 01/26</v>
      </c>
      <c r="D142" s="11">
        <f>IF(STOCK_SISTEMA!D142="","",STOCK_SISTEMA!D142)</f>
        <v>46388.499236111107</v>
      </c>
      <c r="E142" t="str">
        <f>STOCK_SISTEMA!E142</f>
        <v>SF-03/Materiales</v>
      </c>
      <c r="F142" t="str">
        <f>STOCK_SISTEMA!G142</f>
        <v>Unidades</v>
      </c>
      <c r="G142" s="12">
        <f>STOCK_SISTEMA!F142</f>
        <v>900</v>
      </c>
      <c r="H142" s="12">
        <f>SUMIFS(CONTEOS!$N$2:$N$4000,CONTEOS!$F$2:$F$4000,A142,CONTEOS!$H$2:$H$4000,C142)</f>
        <v>0</v>
      </c>
      <c r="I142" s="12">
        <f t="shared" si="2"/>
        <v>-900</v>
      </c>
      <c r="J142" t="str">
        <f>IF(COUNTIFS(CONTEOS!$F$2:$F$4000,A142,CONTEOS!$H$2:$H$4000,C142)=0,"PENDIENTE",IF(I142=0,"CUADRA",IF(I142&gt;0,"SOBRANTE","FALTANTE")))</f>
        <v>PENDIENTE</v>
      </c>
    </row>
    <row r="143" spans="1:10" ht="28.8" x14ac:dyDescent="0.3">
      <c r="A143" t="str">
        <f>STOCK_SISTEMA!A143</f>
        <v>EE10254</v>
      </c>
      <c r="B143" s="13" t="str">
        <f>STOCK_SISTEMA!B143</f>
        <v>[EE10254] ETIQUETA TEXTOS LEGALES JALAPEÑO 142g USA</v>
      </c>
      <c r="C143" t="str">
        <f>IF(STOCK_SISTEMA!C143="","",STOCK_SISTEMA!C143)</f>
        <v>INFORME 01/26</v>
      </c>
      <c r="D143" s="11">
        <f>IF(STOCK_SISTEMA!D143="","",STOCK_SISTEMA!D143)</f>
        <v>46388.499502314808</v>
      </c>
      <c r="E143" t="str">
        <f>STOCK_SISTEMA!E143</f>
        <v>SF-03/Materiales</v>
      </c>
      <c r="F143" t="str">
        <f>STOCK_SISTEMA!G143</f>
        <v>Unidades</v>
      </c>
      <c r="G143" s="12">
        <f>STOCK_SISTEMA!F143</f>
        <v>900</v>
      </c>
      <c r="H143" s="12">
        <f>SUMIFS(CONTEOS!$N$2:$N$4000,CONTEOS!$F$2:$F$4000,A143,CONTEOS!$H$2:$H$4000,C143)</f>
        <v>0</v>
      </c>
      <c r="I143" s="12">
        <f t="shared" si="2"/>
        <v>-900</v>
      </c>
      <c r="J143" t="str">
        <f>IF(COUNTIFS(CONTEOS!$F$2:$F$4000,A143,CONTEOS!$H$2:$H$4000,C143)=0,"PENDIENTE",IF(I143=0,"CUADRA",IF(I143&gt;0,"SOBRANTE","FALTANTE")))</f>
        <v>PENDIENTE</v>
      </c>
    </row>
    <row r="144" spans="1:10" ht="28.8" x14ac:dyDescent="0.3">
      <c r="A144" t="str">
        <f>STOCK_SISTEMA!A144</f>
        <v>EE10156</v>
      </c>
      <c r="B144" s="13" t="str">
        <f>STOCK_SISTEMA!B144</f>
        <v>[EE10156] LAMINA JAPPY 200 GR ONDA JALAPEÑO X KG</v>
      </c>
      <c r="C144" t="str">
        <f>IF(STOCK_SISTEMA!C144="","",STOCK_SISTEMA!C144)</f>
        <v>INFORME 05/25</v>
      </c>
      <c r="D144" s="11">
        <f>IF(STOCK_SISTEMA!D144="","",STOCK_SISTEMA!D144)</f>
        <v>46227.92324074074</v>
      </c>
      <c r="E144" t="str">
        <f>STOCK_SISTEMA!E144</f>
        <v>SF-03/Materiales</v>
      </c>
      <c r="F144" t="str">
        <f>STOCK_SISTEMA!G144</f>
        <v>Kilogramo</v>
      </c>
      <c r="G144" s="12">
        <f>STOCK_SISTEMA!F144</f>
        <v>2.7</v>
      </c>
      <c r="H144" s="12">
        <f>SUMIFS(CONTEOS!$N$2:$N$4000,CONTEOS!$F$2:$F$4000,A144,CONTEOS!$H$2:$H$4000,C144)</f>
        <v>0</v>
      </c>
      <c r="I144" s="12">
        <f t="shared" si="2"/>
        <v>-2.7</v>
      </c>
      <c r="J144" t="str">
        <f>IF(COUNTIFS(CONTEOS!$F$2:$F$4000,A144,CONTEOS!$H$2:$H$4000,C144)=0,"PENDIENTE",IF(I144=0,"CUADRA",IF(I144&gt;0,"SOBRANTE","FALTANTE")))</f>
        <v>PENDIENTE</v>
      </c>
    </row>
    <row r="145" spans="1:10" ht="28.8" x14ac:dyDescent="0.3">
      <c r="A145" t="str">
        <f>STOCK_SISTEMA!A145</f>
        <v>EE10255</v>
      </c>
      <c r="B145" s="13" t="str">
        <f>STOCK_SISTEMA!B145</f>
        <v>[EE10255] ETIQUETA TEXTOS LEGALES LIMON PIMIENTA 142g USA</v>
      </c>
      <c r="C145" t="str">
        <f>IF(STOCK_SISTEMA!C145="","",STOCK_SISTEMA!C145)</f>
        <v>INFORME 02/26</v>
      </c>
      <c r="D145" s="11">
        <f>IF(STOCK_SISTEMA!D145="","",STOCK_SISTEMA!D145)</f>
        <v>46415.568171296298</v>
      </c>
      <c r="E145" t="str">
        <f>STOCK_SISTEMA!E145</f>
        <v>SF-03/Materiales</v>
      </c>
      <c r="F145" t="str">
        <f>STOCK_SISTEMA!G145</f>
        <v>Unidades</v>
      </c>
      <c r="G145" s="12">
        <f>STOCK_SISTEMA!F145</f>
        <v>80</v>
      </c>
      <c r="H145" s="12">
        <f>SUMIFS(CONTEOS!$N$2:$N$4000,CONTEOS!$F$2:$F$4000,A145,CONTEOS!$H$2:$H$4000,C145)</f>
        <v>0</v>
      </c>
      <c r="I145" s="12">
        <f t="shared" si="2"/>
        <v>-80</v>
      </c>
      <c r="J145" t="str">
        <f>IF(COUNTIFS(CONTEOS!$F$2:$F$4000,A145,CONTEOS!$H$2:$H$4000,C145)=0,"PENDIENTE",IF(I145=0,"CUADRA",IF(I145&gt;0,"SOBRANTE","FALTANTE")))</f>
        <v>PENDIENTE</v>
      </c>
    </row>
    <row r="146" spans="1:10" ht="28.8" x14ac:dyDescent="0.3">
      <c r="A146" t="str">
        <f>STOCK_SISTEMA!A146</f>
        <v>EE10254</v>
      </c>
      <c r="B146" s="13" t="str">
        <f>STOCK_SISTEMA!B146</f>
        <v>[EE10254] ETIQUETA TEXTOS LEGALES JALAPEÑO 142g USA</v>
      </c>
      <c r="C146" t="str">
        <f>IF(STOCK_SISTEMA!C146="","",STOCK_SISTEMA!C146)</f>
        <v>INFORME 02/26</v>
      </c>
      <c r="D146" s="11">
        <f>IF(STOCK_SISTEMA!D146="","",STOCK_SISTEMA!D146)</f>
        <v>46413.567939814813</v>
      </c>
      <c r="E146" t="str">
        <f>STOCK_SISTEMA!E146</f>
        <v>SF-03/Materiales</v>
      </c>
      <c r="F146" t="str">
        <f>STOCK_SISTEMA!G146</f>
        <v>Unidades</v>
      </c>
      <c r="G146" s="12">
        <f>STOCK_SISTEMA!F146</f>
        <v>78</v>
      </c>
      <c r="H146" s="12">
        <f>SUMIFS(CONTEOS!$N$2:$N$4000,CONTEOS!$F$2:$F$4000,A146,CONTEOS!$H$2:$H$4000,C146)</f>
        <v>0</v>
      </c>
      <c r="I146" s="12">
        <f t="shared" si="2"/>
        <v>-78</v>
      </c>
      <c r="J146" t="str">
        <f>IF(COUNTIFS(CONTEOS!$F$2:$F$4000,A146,CONTEOS!$H$2:$H$4000,C146)=0,"PENDIENTE",IF(I146=0,"CUADRA",IF(I146&gt;0,"SOBRANTE","FALTANTE")))</f>
        <v>PENDIENTE</v>
      </c>
    </row>
    <row r="147" spans="1:10" ht="28.8" x14ac:dyDescent="0.3">
      <c r="A147" t="str">
        <f>STOCK_SISTEMA!A147</f>
        <v>EE10093</v>
      </c>
      <c r="B147" s="13" t="str">
        <f>STOCK_SISTEMA!B147</f>
        <v>[EE10093] ETIQUETA TEXTOS LEGALES PAPAS NATIVAS 142g USA</v>
      </c>
      <c r="C147" t="str">
        <f>IF(STOCK_SISTEMA!C147="","",STOCK_SISTEMA!C147)</f>
        <v>INFORME 01/26</v>
      </c>
      <c r="D147" s="11" t="str">
        <f>IF(STOCK_SISTEMA!D147="","",STOCK_SISTEMA!D147)</f>
        <v/>
      </c>
      <c r="E147" t="str">
        <f>STOCK_SISTEMA!E147</f>
        <v>SF-03/Materiales</v>
      </c>
      <c r="F147" t="str">
        <f>STOCK_SISTEMA!G147</f>
        <v>Unidades</v>
      </c>
      <c r="G147" s="12">
        <f>STOCK_SISTEMA!F147</f>
        <v>150</v>
      </c>
      <c r="H147" s="12">
        <f>SUMIFS(CONTEOS!$N$2:$N$4000,CONTEOS!$F$2:$F$4000,A147,CONTEOS!$H$2:$H$4000,C147)</f>
        <v>0</v>
      </c>
      <c r="I147" s="12">
        <f t="shared" si="2"/>
        <v>-150</v>
      </c>
      <c r="J147" t="str">
        <f>IF(COUNTIFS(CONTEOS!$F$2:$F$4000,A147,CONTEOS!$H$2:$H$4000,C147)=0,"PENDIENTE",IF(I147=0,"CUADRA",IF(I147&gt;0,"SOBRANTE","FALTANTE")))</f>
        <v>PENDIENTE</v>
      </c>
    </row>
    <row r="148" spans="1:10" ht="28.8" x14ac:dyDescent="0.3">
      <c r="A148" t="str">
        <f>STOCK_SISTEMA!A148</f>
        <v>EE10256</v>
      </c>
      <c r="B148" s="13" t="str">
        <f>STOCK_SISTEMA!B148</f>
        <v>[EE10256] ETIQUETA TEXTOS LEGALES CAMOTE 142g USA</v>
      </c>
      <c r="C148" t="str">
        <f>IF(STOCK_SISTEMA!C148="","",STOCK_SISTEMA!C148)</f>
        <v>INFORME 01/26</v>
      </c>
      <c r="D148" s="11">
        <f>IF(STOCK_SISTEMA!D148="","",STOCK_SISTEMA!D148)</f>
        <v>46752.500543981478</v>
      </c>
      <c r="E148" t="str">
        <f>STOCK_SISTEMA!E148</f>
        <v>SF-03/Materiales</v>
      </c>
      <c r="F148" t="str">
        <f>STOCK_SISTEMA!G148</f>
        <v>Unidades</v>
      </c>
      <c r="G148" s="12">
        <f>STOCK_SISTEMA!F148</f>
        <v>272</v>
      </c>
      <c r="H148" s="12">
        <f>SUMIFS(CONTEOS!$N$2:$N$4000,CONTEOS!$F$2:$F$4000,A148,CONTEOS!$H$2:$H$4000,C148)</f>
        <v>0</v>
      </c>
      <c r="I148" s="12">
        <f t="shared" si="2"/>
        <v>-272</v>
      </c>
      <c r="J148" t="str">
        <f>IF(COUNTIFS(CONTEOS!$F$2:$F$4000,A148,CONTEOS!$H$2:$H$4000,C148)=0,"PENDIENTE",IF(I148=0,"CUADRA",IF(I148&gt;0,"SOBRANTE","FALTANTE")))</f>
        <v>PENDIENTE</v>
      </c>
    </row>
    <row r="149" spans="1:10" ht="28.8" x14ac:dyDescent="0.3">
      <c r="A149" t="str">
        <f>STOCK_SISTEMA!A149</f>
        <v>EE10117</v>
      </c>
      <c r="B149" s="13" t="str">
        <f>STOCK_SISTEMA!B149</f>
        <v>[EE10117] LAMINA TIYAPUY JALAPEÑO 30GR X KG</v>
      </c>
      <c r="C149" t="str">
        <f>IF(STOCK_SISTEMA!C149="","",STOCK_SISTEMA!C149)</f>
        <v>INFORM 04/25</v>
      </c>
      <c r="D149" s="11">
        <f>IF(STOCK_SISTEMA!D149="","",STOCK_SISTEMA!D149)</f>
        <v>46366.791666666657</v>
      </c>
      <c r="E149" t="str">
        <f>STOCK_SISTEMA!E149</f>
        <v>SF-03/Materiales</v>
      </c>
      <c r="F149" t="str">
        <f>STOCK_SISTEMA!G149</f>
        <v>Kilogramo</v>
      </c>
      <c r="G149" s="12">
        <f>STOCK_SISTEMA!F149</f>
        <v>150.94</v>
      </c>
      <c r="H149" s="12">
        <f>SUMIFS(CONTEOS!$N$2:$N$4000,CONTEOS!$F$2:$F$4000,A149,CONTEOS!$H$2:$H$4000,C149)</f>
        <v>0</v>
      </c>
      <c r="I149" s="12">
        <f t="shared" si="2"/>
        <v>-150.94</v>
      </c>
      <c r="J149" t="str">
        <f>IF(COUNTIFS(CONTEOS!$F$2:$F$4000,A149,CONTEOS!$H$2:$H$4000,C149)=0,"PENDIENTE",IF(I149=0,"CUADRA",IF(I149&gt;0,"SOBRANTE","FALTANTE")))</f>
        <v>PENDIENTE</v>
      </c>
    </row>
    <row r="150" spans="1:10" ht="28.8" x14ac:dyDescent="0.3">
      <c r="A150" t="str">
        <f>STOCK_SISTEMA!A150</f>
        <v>EE10253</v>
      </c>
      <c r="B150" s="13" t="str">
        <f>STOCK_SISTEMA!B150</f>
        <v>[EE10253] ETIQUETA TEXTOS LEGALES PFT 2500g CH</v>
      </c>
      <c r="C150" t="str">
        <f>IF(STOCK_SISTEMA!C150="","",STOCK_SISTEMA!C150)</f>
        <v>INFORME 01/26</v>
      </c>
      <c r="D150" s="11">
        <f>IF(STOCK_SISTEMA!D150="","",STOCK_SISTEMA!D150)</f>
        <v>46417.674907407411</v>
      </c>
      <c r="E150" t="str">
        <f>STOCK_SISTEMA!E150</f>
        <v>SF-03/Materiales</v>
      </c>
      <c r="F150" t="str">
        <f>STOCK_SISTEMA!G150</f>
        <v>Unidades</v>
      </c>
      <c r="G150" s="12">
        <f>STOCK_SISTEMA!F150</f>
        <v>900</v>
      </c>
      <c r="H150" s="12">
        <f>SUMIFS(CONTEOS!$N$2:$N$4000,CONTEOS!$F$2:$F$4000,A150,CONTEOS!$H$2:$H$4000,C150)</f>
        <v>0</v>
      </c>
      <c r="I150" s="12">
        <f t="shared" si="2"/>
        <v>-900</v>
      </c>
      <c r="J150" t="str">
        <f>IF(COUNTIFS(CONTEOS!$F$2:$F$4000,A150,CONTEOS!$H$2:$H$4000,C150)=0,"PENDIENTE",IF(I150=0,"CUADRA",IF(I150&gt;0,"SOBRANTE","FALTANTE")))</f>
        <v>PENDIENTE</v>
      </c>
    </row>
    <row r="151" spans="1:10" ht="28.8" x14ac:dyDescent="0.3">
      <c r="A151" t="str">
        <f>STOCK_SISTEMA!A151</f>
        <v>EE10001</v>
      </c>
      <c r="B151" s="13" t="str">
        <f>STOCK_SISTEMA!B151</f>
        <v>[EE10001] CAJA MASTER TIYAPUY C/LOGO #1 X UND</v>
      </c>
      <c r="C151" t="str">
        <f>IF(STOCK_SISTEMA!C151="","",STOCK_SISTEMA!C151)</f>
        <v>INFORME 31/25</v>
      </c>
      <c r="D151" s="11">
        <f>IF(STOCK_SISTEMA!D151="","",STOCK_SISTEMA!D151)</f>
        <v>46366.15861111111</v>
      </c>
      <c r="E151" t="str">
        <f>STOCK_SISTEMA!E151</f>
        <v>SF-03/Cuarentena</v>
      </c>
      <c r="F151" t="str">
        <f>STOCK_SISTEMA!G151</f>
        <v>Unidades</v>
      </c>
      <c r="G151" s="12">
        <f>STOCK_SISTEMA!F151</f>
        <v>225</v>
      </c>
      <c r="H151" s="12">
        <f>SUMIFS(CONTEOS!$N$2:$N$4000,CONTEOS!$F$2:$F$4000,A151,CONTEOS!$H$2:$H$4000,C151)</f>
        <v>0</v>
      </c>
      <c r="I151" s="12">
        <f t="shared" si="2"/>
        <v>-225</v>
      </c>
      <c r="J151" t="str">
        <f>IF(COUNTIFS(CONTEOS!$F$2:$F$4000,A151,CONTEOS!$H$2:$H$4000,C151)=0,"PENDIENTE",IF(I151=0,"CUADRA",IF(I151&gt;0,"SOBRANTE","FALTANTE")))</f>
        <v>PENDIENTE</v>
      </c>
    </row>
    <row r="152" spans="1:10" ht="28.8" x14ac:dyDescent="0.3">
      <c r="A152" t="str">
        <f>STOCK_SISTEMA!A152</f>
        <v>EE10229</v>
      </c>
      <c r="B152" s="13" t="str">
        <f>STOCK_SISTEMA!B152</f>
        <v>[EE10229] LAMINA RIKY TOK 70 G ONDA PICANTE X KG</v>
      </c>
      <c r="C152" t="str">
        <f>IF(STOCK_SISTEMA!C152="","",STOCK_SISTEMA!C152)</f>
        <v>INFORME 01/26</v>
      </c>
      <c r="D152" s="11">
        <f>IF(STOCK_SISTEMA!D152="","",STOCK_SISTEMA!D152)</f>
        <v>46425.535219907397</v>
      </c>
      <c r="E152" t="str">
        <f>STOCK_SISTEMA!E152</f>
        <v>SF-03/Materiales</v>
      </c>
      <c r="F152" t="str">
        <f>STOCK_SISTEMA!G152</f>
        <v>Kilogramo</v>
      </c>
      <c r="G152" s="12">
        <f>STOCK_SISTEMA!F152</f>
        <v>25.777000000000001</v>
      </c>
      <c r="H152" s="12">
        <f>SUMIFS(CONTEOS!$N$2:$N$4000,CONTEOS!$F$2:$F$4000,A152,CONTEOS!$H$2:$H$4000,C152)</f>
        <v>0</v>
      </c>
      <c r="I152" s="12">
        <f t="shared" si="2"/>
        <v>-25.777000000000001</v>
      </c>
      <c r="J152" t="str">
        <f>IF(COUNTIFS(CONTEOS!$F$2:$F$4000,A152,CONTEOS!$H$2:$H$4000,C152)=0,"PENDIENTE",IF(I152=0,"CUADRA",IF(I152&gt;0,"SOBRANTE","FALTANTE")))</f>
        <v>PENDIENTE</v>
      </c>
    </row>
    <row r="153" spans="1:10" ht="28.8" x14ac:dyDescent="0.3">
      <c r="A153" t="str">
        <f>STOCK_SISTEMA!A153</f>
        <v>EE10029-1</v>
      </c>
      <c r="B153" s="13" t="str">
        <f>STOCK_SISTEMA!B153</f>
        <v>[EE10029-1] LAMINA TIYAPUY NATIVA MIX 160GR ORG MEXICO X KG</v>
      </c>
      <c r="C153" t="str">
        <f>IF(STOCK_SISTEMA!C153="","",STOCK_SISTEMA!C153)</f>
        <v>INFORME 01/26</v>
      </c>
      <c r="D153" s="11">
        <f>IF(STOCK_SISTEMA!D153="","",STOCK_SISTEMA!D153)</f>
        <v>46427.418645833342</v>
      </c>
      <c r="E153" t="str">
        <f>STOCK_SISTEMA!E153</f>
        <v>SF-03/Materiales</v>
      </c>
      <c r="F153" t="str">
        <f>STOCK_SISTEMA!G153</f>
        <v>Kilogramo</v>
      </c>
      <c r="G153" s="12">
        <f>STOCK_SISTEMA!F153</f>
        <v>1071</v>
      </c>
      <c r="H153" s="12">
        <f>SUMIFS(CONTEOS!$N$2:$N$4000,CONTEOS!$F$2:$F$4000,A153,CONTEOS!$H$2:$H$4000,C153)</f>
        <v>0</v>
      </c>
      <c r="I153" s="12">
        <f t="shared" si="2"/>
        <v>-1071</v>
      </c>
      <c r="J153" t="str">
        <f>IF(COUNTIFS(CONTEOS!$F$2:$F$4000,A153,CONTEOS!$H$2:$H$4000,C153)=0,"PENDIENTE",IF(I153=0,"CUADRA",IF(I153&gt;0,"SOBRANTE","FALTANTE")))</f>
        <v>PENDIENTE</v>
      </c>
    </row>
    <row r="154" spans="1:10" ht="28.8" x14ac:dyDescent="0.3">
      <c r="A154" t="str">
        <f>STOCK_SISTEMA!A154</f>
        <v>EE10142</v>
      </c>
      <c r="B154" s="13" t="str">
        <f>STOCK_SISTEMA!B154</f>
        <v>[EE10142] LAMINA TIYAPUY CHIPS QUINUA BBQ 100GR MEXICO X KG</v>
      </c>
      <c r="C154" t="str">
        <f>IF(STOCK_SISTEMA!C154="","",STOCK_SISTEMA!C154)</f>
        <v>INFORME 01/26</v>
      </c>
      <c r="D154" s="11">
        <f>IF(STOCK_SISTEMA!D154="","",STOCK_SISTEMA!D154)</f>
        <v>46427.418877314813</v>
      </c>
      <c r="E154" t="str">
        <f>STOCK_SISTEMA!E154</f>
        <v>SF-03/Materiales</v>
      </c>
      <c r="F154" t="str">
        <f>STOCK_SISTEMA!G154</f>
        <v>Kilogramo</v>
      </c>
      <c r="G154" s="12">
        <f>STOCK_SISTEMA!F154</f>
        <v>526.02</v>
      </c>
      <c r="H154" s="12">
        <f>SUMIFS(CONTEOS!$N$2:$N$4000,CONTEOS!$F$2:$F$4000,A154,CONTEOS!$H$2:$H$4000,C154)</f>
        <v>0</v>
      </c>
      <c r="I154" s="12">
        <f t="shared" si="2"/>
        <v>-526.02</v>
      </c>
      <c r="J154" t="str">
        <f>IF(COUNTIFS(CONTEOS!$F$2:$F$4000,A154,CONTEOS!$H$2:$H$4000,C154)=0,"PENDIENTE",IF(I154=0,"CUADRA",IF(I154&gt;0,"SOBRANTE","FALTANTE")))</f>
        <v>PENDIENTE</v>
      </c>
    </row>
    <row r="155" spans="1:10" ht="28.8" x14ac:dyDescent="0.3">
      <c r="A155" t="str">
        <f>STOCK_SISTEMA!A155</f>
        <v>EE10050</v>
      </c>
      <c r="B155" s="13" t="str">
        <f>STOCK_SISTEMA!B155</f>
        <v>[EE10050] LAMINA RIKY TOK 180 GR ONDA PICANTE X KG</v>
      </c>
      <c r="C155" t="str">
        <f>IF(STOCK_SISTEMA!C155="","",STOCK_SISTEMA!C155)</f>
        <v>INFORME 14/25</v>
      </c>
      <c r="D155" s="11">
        <f>IF(STOCK_SISTEMA!D155="","",STOCK_SISTEMA!D155)</f>
        <v>46290.442812499998</v>
      </c>
      <c r="E155" t="str">
        <f>STOCK_SISTEMA!E155</f>
        <v>SF-03/Materiales</v>
      </c>
      <c r="F155" t="str">
        <f>STOCK_SISTEMA!G155</f>
        <v>Kilogramo</v>
      </c>
      <c r="G155" s="12">
        <f>STOCK_SISTEMA!F155</f>
        <v>25.94</v>
      </c>
      <c r="H155" s="12">
        <f>SUMIFS(CONTEOS!$N$2:$N$4000,CONTEOS!$F$2:$F$4000,A155,CONTEOS!$H$2:$H$4000,C155)</f>
        <v>0</v>
      </c>
      <c r="I155" s="12">
        <f t="shared" si="2"/>
        <v>-25.94</v>
      </c>
      <c r="J155" t="str">
        <f>IF(COUNTIFS(CONTEOS!$F$2:$F$4000,A155,CONTEOS!$H$2:$H$4000,C155)=0,"PENDIENTE",IF(I155=0,"CUADRA",IF(I155&gt;0,"SOBRANTE","FALTANTE")))</f>
        <v>PENDIENTE</v>
      </c>
    </row>
    <row r="156" spans="1:10" ht="28.8" x14ac:dyDescent="0.3">
      <c r="A156" t="str">
        <f>STOCK_SISTEMA!A156</f>
        <v>EE10171</v>
      </c>
      <c r="B156" s="13" t="str">
        <f>STOCK_SISTEMA!B156</f>
        <v>[EE10171] LAMINA TIYAPUY CAMOTE 160G ESPAÑA X KG</v>
      </c>
      <c r="C156" t="str">
        <f>IF(STOCK_SISTEMA!C156="","",STOCK_SISTEMA!C156)</f>
        <v>INFORME 01/26</v>
      </c>
      <c r="D156" s="11">
        <f>IF(STOCK_SISTEMA!D156="","",STOCK_SISTEMA!D156)</f>
        <v>46436.462453703702</v>
      </c>
      <c r="E156" t="str">
        <f>STOCK_SISTEMA!E156</f>
        <v>SF-03/Materiales</v>
      </c>
      <c r="F156" t="str">
        <f>STOCK_SISTEMA!G156</f>
        <v>Kilogramo</v>
      </c>
      <c r="G156" s="12">
        <f>STOCK_SISTEMA!F156</f>
        <v>427.15269999999998</v>
      </c>
      <c r="H156" s="12">
        <f>SUMIFS(CONTEOS!$N$2:$N$4000,CONTEOS!$F$2:$F$4000,A156,CONTEOS!$H$2:$H$4000,C156)</f>
        <v>0</v>
      </c>
      <c r="I156" s="12">
        <f t="shared" si="2"/>
        <v>-427.15269999999998</v>
      </c>
      <c r="J156" t="str">
        <f>IF(COUNTIFS(CONTEOS!$F$2:$F$4000,A156,CONTEOS!$H$2:$H$4000,C156)=0,"PENDIENTE",IF(I156=0,"CUADRA",IF(I156&gt;0,"SOBRANTE","FALTANTE")))</f>
        <v>PENDIENTE</v>
      </c>
    </row>
    <row r="157" spans="1:10" ht="28.8" x14ac:dyDescent="0.3">
      <c r="A157" t="str">
        <f>STOCK_SISTEMA!A157</f>
        <v>EE10249</v>
      </c>
      <c r="B157" s="13" t="str">
        <f>STOCK_SISTEMA!B157</f>
        <v>[EE10249] CINTA DE EMBALAJE TRANSPARENTE 48MMX548M X ROLLO</v>
      </c>
      <c r="C157" t="str">
        <f>IF(STOCK_SISTEMA!C157="","",STOCK_SISTEMA!C157)</f>
        <v>INFORME 03/26</v>
      </c>
      <c r="D157" s="11">
        <f>IF(STOCK_SISTEMA!D157="","",STOCK_SISTEMA!D157)</f>
        <v>46371.482141203713</v>
      </c>
      <c r="E157" t="str">
        <f>STOCK_SISTEMA!E157</f>
        <v>SF-03/Materiales</v>
      </c>
      <c r="F157" t="str">
        <f>STOCK_SISTEMA!G157</f>
        <v>Unidades</v>
      </c>
      <c r="G157" s="12">
        <f>STOCK_SISTEMA!F157</f>
        <v>0.224</v>
      </c>
      <c r="H157" s="12">
        <f>SUMIFS(CONTEOS!$N$2:$N$4000,CONTEOS!$F$2:$F$4000,A157,CONTEOS!$H$2:$H$4000,C157)</f>
        <v>0</v>
      </c>
      <c r="I157" s="12">
        <f t="shared" si="2"/>
        <v>-0.224</v>
      </c>
      <c r="J157" t="str">
        <f>IF(COUNTIFS(CONTEOS!$F$2:$F$4000,A157,CONTEOS!$H$2:$H$4000,C157)=0,"PENDIENTE",IF(I157=0,"CUADRA",IF(I157&gt;0,"SOBRANTE","FALTANTE")))</f>
        <v>PENDIENTE</v>
      </c>
    </row>
    <row r="158" spans="1:10" ht="28.8" x14ac:dyDescent="0.3">
      <c r="A158" t="str">
        <f>STOCK_SISTEMA!A158</f>
        <v>EE10250</v>
      </c>
      <c r="B158" s="13" t="str">
        <f>STOCK_SISTEMA!B158</f>
        <v>[EE10250] CINTA DE EMBALAJE TRANSPARENTE 48MMX1000M X ROLLO</v>
      </c>
      <c r="C158" t="str">
        <f>IF(STOCK_SISTEMA!C158="","",STOCK_SISTEMA!C158)</f>
        <v>INFORME 02/26</v>
      </c>
      <c r="D158" s="11">
        <f>IF(STOCK_SISTEMA!D158="","",STOCK_SISTEMA!D158)</f>
        <v>46267.48269675926</v>
      </c>
      <c r="E158" t="str">
        <f>STOCK_SISTEMA!E158</f>
        <v>SF-03/Materiales</v>
      </c>
      <c r="F158" t="str">
        <f>STOCK_SISTEMA!G158</f>
        <v>Unidades</v>
      </c>
      <c r="G158" s="12">
        <f>STOCK_SISTEMA!F158</f>
        <v>0.30620000000000003</v>
      </c>
      <c r="H158" s="12">
        <f>SUMIFS(CONTEOS!$N$2:$N$4000,CONTEOS!$F$2:$F$4000,A158,CONTEOS!$H$2:$H$4000,C158)</f>
        <v>0</v>
      </c>
      <c r="I158" s="12">
        <f t="shared" si="2"/>
        <v>-0.30620000000000003</v>
      </c>
      <c r="J158" t="str">
        <f>IF(COUNTIFS(CONTEOS!$F$2:$F$4000,A158,CONTEOS!$H$2:$H$4000,C158)=0,"PENDIENTE",IF(I158=0,"CUADRA",IF(I158&gt;0,"SOBRANTE","FALTANTE")))</f>
        <v>PENDIENTE</v>
      </c>
    </row>
    <row r="159" spans="1:10" ht="28.8" x14ac:dyDescent="0.3">
      <c r="A159" t="str">
        <f>STOCK_SISTEMA!A159</f>
        <v>EE10250</v>
      </c>
      <c r="B159" s="13" t="str">
        <f>STOCK_SISTEMA!B159</f>
        <v>[EE10250] CINTA DE EMBALAJE TRANSPARENTE 48MMX1000M X ROLLO</v>
      </c>
      <c r="C159" t="str">
        <f>IF(STOCK_SISTEMA!C159="","",STOCK_SISTEMA!C159)</f>
        <v>INFORME 04/26</v>
      </c>
      <c r="D159" s="11">
        <f>IF(STOCK_SISTEMA!D159="","",STOCK_SISTEMA!D159)</f>
        <v>46343.483182870368</v>
      </c>
      <c r="E159" t="str">
        <f>STOCK_SISTEMA!E159</f>
        <v>SF-03/Materiales</v>
      </c>
      <c r="F159" t="str">
        <f>STOCK_SISTEMA!G159</f>
        <v>Unidades</v>
      </c>
      <c r="G159" s="12">
        <f>STOCK_SISTEMA!F159</f>
        <v>168.4581</v>
      </c>
      <c r="H159" s="12">
        <f>SUMIFS(CONTEOS!$N$2:$N$4000,CONTEOS!$F$2:$F$4000,A159,CONTEOS!$H$2:$H$4000,C159)</f>
        <v>0</v>
      </c>
      <c r="I159" s="12">
        <f t="shared" si="2"/>
        <v>-168.4581</v>
      </c>
      <c r="J159" t="str">
        <f>IF(COUNTIFS(CONTEOS!$F$2:$F$4000,A159,CONTEOS!$H$2:$H$4000,C159)=0,"PENDIENTE",IF(I159=0,"CUADRA",IF(I159&gt;0,"SOBRANTE","FALTANTE")))</f>
        <v>PENDIENTE</v>
      </c>
    </row>
    <row r="160" spans="1:10" ht="28.8" x14ac:dyDescent="0.3">
      <c r="A160" t="str">
        <f>STOCK_SISTEMA!A160</f>
        <v>EE10212</v>
      </c>
      <c r="B160" s="13" t="str">
        <f>STOCK_SISTEMA!B160</f>
        <v>[EE10212] LAMINA TOTTUS  BBQ 130G X KG</v>
      </c>
      <c r="C160" t="str">
        <f>IF(STOCK_SISTEMA!C160="","",STOCK_SISTEMA!C160)</f>
        <v>INFORME 02/26</v>
      </c>
      <c r="D160" s="11">
        <f>IF(STOCK_SISTEMA!D160="","",STOCK_SISTEMA!D160)</f>
        <v>46429.743101851847</v>
      </c>
      <c r="E160" t="str">
        <f>STOCK_SISTEMA!E160</f>
        <v>SF-03/Materiales</v>
      </c>
      <c r="F160" t="str">
        <f>STOCK_SISTEMA!G160</f>
        <v>Kilogramo</v>
      </c>
      <c r="G160" s="12">
        <f>STOCK_SISTEMA!F160</f>
        <v>536.04</v>
      </c>
      <c r="H160" s="12">
        <f>SUMIFS(CONTEOS!$N$2:$N$4000,CONTEOS!$F$2:$F$4000,A160,CONTEOS!$H$2:$H$4000,C160)</f>
        <v>0</v>
      </c>
      <c r="I160" s="12">
        <f t="shared" si="2"/>
        <v>-536.04</v>
      </c>
      <c r="J160" t="str">
        <f>IF(COUNTIFS(CONTEOS!$F$2:$F$4000,A160,CONTEOS!$H$2:$H$4000,C160)=0,"PENDIENTE",IF(I160=0,"CUADRA",IF(I160&gt;0,"SOBRANTE","FALTANTE")))</f>
        <v>PENDIENTE</v>
      </c>
    </row>
    <row r="161" spans="1:10" ht="28.8" x14ac:dyDescent="0.3">
      <c r="A161" t="str">
        <f>STOCK_SISTEMA!A161</f>
        <v>EE10211</v>
      </c>
      <c r="B161" s="13" t="str">
        <f>STOCK_SISTEMA!B161</f>
        <v>[EE10211] LAMINA TOTTUS  JALAPEÑO 130G X KG</v>
      </c>
      <c r="C161" t="str">
        <f>IF(STOCK_SISTEMA!C161="","",STOCK_SISTEMA!C161)</f>
        <v>INFORME 02/26</v>
      </c>
      <c r="D161" s="11">
        <f>IF(STOCK_SISTEMA!D161="","",STOCK_SISTEMA!D161)</f>
        <v>46429.743368055562</v>
      </c>
      <c r="E161" t="str">
        <f>STOCK_SISTEMA!E161</f>
        <v>SF-03/Materiales</v>
      </c>
      <c r="F161" t="str">
        <f>STOCK_SISTEMA!G161</f>
        <v>Kilogramo</v>
      </c>
      <c r="G161" s="12">
        <f>STOCK_SISTEMA!F161</f>
        <v>362.11</v>
      </c>
      <c r="H161" s="12">
        <f>SUMIFS(CONTEOS!$N$2:$N$4000,CONTEOS!$F$2:$F$4000,A161,CONTEOS!$H$2:$H$4000,C161)</f>
        <v>0</v>
      </c>
      <c r="I161" s="12">
        <f t="shared" si="2"/>
        <v>-362.11</v>
      </c>
      <c r="J161" t="str">
        <f>IF(COUNTIFS(CONTEOS!$F$2:$F$4000,A161,CONTEOS!$H$2:$H$4000,C161)=0,"PENDIENTE",IF(I161=0,"CUADRA",IF(I161&gt;0,"SOBRANTE","FALTANTE")))</f>
        <v>PENDIENTE</v>
      </c>
    </row>
    <row r="162" spans="1:10" ht="28.8" x14ac:dyDescent="0.3">
      <c r="A162" t="str">
        <f>STOCK_SISTEMA!A162</f>
        <v>EE10209</v>
      </c>
      <c r="B162" s="13" t="str">
        <f>STOCK_SISTEMA!B162</f>
        <v>[EE10209] LAMINA TOTTUS  NATURAL 130G X KG</v>
      </c>
      <c r="C162" t="str">
        <f>IF(STOCK_SISTEMA!C162="","",STOCK_SISTEMA!C162)</f>
        <v>INFORME 02/26</v>
      </c>
      <c r="D162" s="11">
        <f>IF(STOCK_SISTEMA!D162="","",STOCK_SISTEMA!D162)</f>
        <v>46429.743449074071</v>
      </c>
      <c r="E162" t="str">
        <f>STOCK_SISTEMA!E162</f>
        <v>SF-03/Materiales</v>
      </c>
      <c r="F162" t="str">
        <f>STOCK_SISTEMA!G162</f>
        <v>Kilogramo</v>
      </c>
      <c r="G162" s="12">
        <f>STOCK_SISTEMA!F162</f>
        <v>427.20600000000002</v>
      </c>
      <c r="H162" s="12">
        <f>SUMIFS(CONTEOS!$N$2:$N$4000,CONTEOS!$F$2:$F$4000,A162,CONTEOS!$H$2:$H$4000,C162)</f>
        <v>0</v>
      </c>
      <c r="I162" s="12">
        <f t="shared" si="2"/>
        <v>-427.20600000000002</v>
      </c>
      <c r="J162" t="str">
        <f>IF(COUNTIFS(CONTEOS!$F$2:$F$4000,A162,CONTEOS!$H$2:$H$4000,C162)=0,"PENDIENTE",IF(I162=0,"CUADRA",IF(I162&gt;0,"SOBRANTE","FALTANTE")))</f>
        <v>PENDIENTE</v>
      </c>
    </row>
    <row r="163" spans="1:10" ht="28.8" x14ac:dyDescent="0.3">
      <c r="A163" t="str">
        <f>STOCK_SISTEMA!A163</f>
        <v>EE10199</v>
      </c>
      <c r="B163" s="13" t="str">
        <f>STOCK_SISTEMA!B163</f>
        <v>[EE10199] ETIQUETA TEXTOS LEGALES TIYATUBO ESPAÑA</v>
      </c>
      <c r="C163" t="str">
        <f>IF(STOCK_SISTEMA!C163="","",STOCK_SISTEMA!C163)</f>
        <v>INFORME 05/26</v>
      </c>
      <c r="D163" s="11">
        <f>IF(STOCK_SISTEMA!D163="","",STOCK_SISTEMA!D163)</f>
        <v>46450.747546296298</v>
      </c>
      <c r="E163" t="str">
        <f>STOCK_SISTEMA!E163</f>
        <v>SF-03/Materiales</v>
      </c>
      <c r="F163" t="str">
        <f>STOCK_SISTEMA!G163</f>
        <v>Unidades</v>
      </c>
      <c r="G163" s="12">
        <f>STOCK_SISTEMA!F163</f>
        <v>23740</v>
      </c>
      <c r="H163" s="12">
        <f>SUMIFS(CONTEOS!$N$2:$N$4000,CONTEOS!$F$2:$F$4000,A163,CONTEOS!$H$2:$H$4000,C163)</f>
        <v>0</v>
      </c>
      <c r="I163" s="12">
        <f t="shared" si="2"/>
        <v>-23740</v>
      </c>
      <c r="J163" t="str">
        <f>IF(COUNTIFS(CONTEOS!$F$2:$F$4000,A163,CONTEOS!$H$2:$H$4000,C163)=0,"PENDIENTE",IF(I163=0,"CUADRA",IF(I163&gt;0,"SOBRANTE","FALTANTE")))</f>
        <v>PENDIENTE</v>
      </c>
    </row>
    <row r="164" spans="1:10" ht="28.8" x14ac:dyDescent="0.3">
      <c r="A164" t="str">
        <f>STOCK_SISTEMA!A164</f>
        <v>EE10201</v>
      </c>
      <c r="B164" s="13" t="str">
        <f>STOCK_SISTEMA!B164</f>
        <v>[EE10201] STICKERS NUTRICIONAL PARA ARGENTINA 142G AMARILLA PICANTE</v>
      </c>
      <c r="C164" t="str">
        <f>IF(STOCK_SISTEMA!C164="","",STOCK_SISTEMA!C164)</f>
        <v>AS2603</v>
      </c>
      <c r="D164" s="11">
        <f>IF(STOCK_SISTEMA!D164="","",STOCK_SISTEMA!D164)</f>
        <v>46752.564189814817</v>
      </c>
      <c r="E164" t="str">
        <f>STOCK_SISTEMA!E164</f>
        <v>SF-03/Materiales</v>
      </c>
      <c r="F164" t="str">
        <f>STOCK_SISTEMA!G164</f>
        <v>Unidades</v>
      </c>
      <c r="G164" s="12">
        <f>STOCK_SISTEMA!F164</f>
        <v>21000</v>
      </c>
      <c r="H164" s="12">
        <f>SUMIFS(CONTEOS!$N$2:$N$4000,CONTEOS!$F$2:$F$4000,A164,CONTEOS!$H$2:$H$4000,C164)</f>
        <v>0</v>
      </c>
      <c r="I164" s="12">
        <f t="shared" si="2"/>
        <v>-21000</v>
      </c>
      <c r="J164" t="str">
        <f>IF(COUNTIFS(CONTEOS!$F$2:$F$4000,A164,CONTEOS!$H$2:$H$4000,C164)=0,"PENDIENTE",IF(I164=0,"CUADRA",IF(I164&gt;0,"SOBRANTE","FALTANTE")))</f>
        <v>PENDIENTE</v>
      </c>
    </row>
    <row r="165" spans="1:10" ht="28.8" x14ac:dyDescent="0.3">
      <c r="A165" t="str">
        <f>STOCK_SISTEMA!A165</f>
        <v>EE10199</v>
      </c>
      <c r="B165" s="13" t="str">
        <f>STOCK_SISTEMA!B165</f>
        <v>[EE10199] ETIQUETA TEXTOS LEGALES TIYATUBO ESPAÑA</v>
      </c>
      <c r="C165" t="str">
        <f>IF(STOCK_SISTEMA!C165="","",STOCK_SISTEMA!C165)</f>
        <v>INFORME 01/26</v>
      </c>
      <c r="D165" s="11">
        <f>IF(STOCK_SISTEMA!D165="","",STOCK_SISTEMA!D165)</f>
        <v>46441.420358796298</v>
      </c>
      <c r="E165" t="str">
        <f>STOCK_SISTEMA!E165</f>
        <v>SF-03/Materiales</v>
      </c>
      <c r="F165" t="str">
        <f>STOCK_SISTEMA!G165</f>
        <v>Unidades</v>
      </c>
      <c r="G165" s="12">
        <f>STOCK_SISTEMA!F165</f>
        <v>9736</v>
      </c>
      <c r="H165" s="12">
        <f>SUMIFS(CONTEOS!$N$2:$N$4000,CONTEOS!$F$2:$F$4000,A165,CONTEOS!$H$2:$H$4000,C165)</f>
        <v>0</v>
      </c>
      <c r="I165" s="12">
        <f t="shared" si="2"/>
        <v>-9736</v>
      </c>
      <c r="J165" t="str">
        <f>IF(COUNTIFS(CONTEOS!$F$2:$F$4000,A165,CONTEOS!$H$2:$H$4000,C165)=0,"PENDIENTE",IF(I165=0,"CUADRA",IF(I165&gt;0,"SOBRANTE","FALTANTE")))</f>
        <v>PENDIENTE</v>
      </c>
    </row>
    <row r="166" spans="1:10" ht="28.8" x14ac:dyDescent="0.3">
      <c r="A166" t="str">
        <f>STOCK_SISTEMA!A166</f>
        <v>EE10260</v>
      </c>
      <c r="B166" s="13" t="str">
        <f>STOCK_SISTEMA!B166</f>
        <v>[EE10260] PAPEL ABSORVENTE TUBOS 100g</v>
      </c>
      <c r="C166" t="str">
        <f>IF(STOCK_SISTEMA!C166="","",STOCK_SISTEMA!C166)</f>
        <v>INFORME 01/26</v>
      </c>
      <c r="D166" s="11">
        <f>IF(STOCK_SISTEMA!D166="","",STOCK_SISTEMA!D166)</f>
        <v>46449.460462962961</v>
      </c>
      <c r="E166" t="str">
        <f>STOCK_SISTEMA!E166</f>
        <v>SF-03/Materiales</v>
      </c>
      <c r="F166" t="str">
        <f>STOCK_SISTEMA!G166</f>
        <v>Unidades</v>
      </c>
      <c r="G166" s="12">
        <f>STOCK_SISTEMA!F166</f>
        <v>4000</v>
      </c>
      <c r="H166" s="12">
        <f>SUMIFS(CONTEOS!$N$2:$N$4000,CONTEOS!$F$2:$F$4000,A166,CONTEOS!$H$2:$H$4000,C166)</f>
        <v>0</v>
      </c>
      <c r="I166" s="12">
        <f t="shared" si="2"/>
        <v>-4000</v>
      </c>
      <c r="J166" t="str">
        <f>IF(COUNTIFS(CONTEOS!$F$2:$F$4000,A166,CONTEOS!$H$2:$H$4000,C166)=0,"PENDIENTE",IF(I166=0,"CUADRA",IF(I166&gt;0,"SOBRANTE","FALTANTE")))</f>
        <v>PENDIENTE</v>
      </c>
    </row>
    <row r="167" spans="1:10" ht="28.8" x14ac:dyDescent="0.3">
      <c r="A167" t="str">
        <f>STOCK_SISTEMA!A167</f>
        <v>EE10071</v>
      </c>
      <c r="B167" s="13" t="str">
        <f>STOCK_SISTEMA!B167</f>
        <v>[EE10071] ETIQUETA DE FECHAS TT-17 MMx23MM X ROLLO</v>
      </c>
      <c r="C167" t="str">
        <f>IF(STOCK_SISTEMA!C167="","",STOCK_SISTEMA!C167)</f>
        <v/>
      </c>
      <c r="D167" s="11" t="str">
        <f>IF(STOCK_SISTEMA!D167="","",STOCK_SISTEMA!D167)</f>
        <v/>
      </c>
      <c r="E167" t="str">
        <f>STOCK_SISTEMA!E167</f>
        <v>SF-03/Preproducción</v>
      </c>
      <c r="F167" t="str">
        <f>STOCK_SISTEMA!G167</f>
        <v>Unidades</v>
      </c>
      <c r="G167" s="12">
        <f>STOCK_SISTEMA!F167</f>
        <v>0.48699999999999999</v>
      </c>
      <c r="H167" s="12">
        <f>SUMIFS(CONTEOS!$N$2:$N$4000,CONTEOS!$F$2:$F$4000,A167,CONTEOS!$H$2:$H$4000,C167)</f>
        <v>0</v>
      </c>
      <c r="I167" s="12">
        <f t="shared" si="2"/>
        <v>-0.48699999999999999</v>
      </c>
      <c r="J167" t="str">
        <f>IF(COUNTIFS(CONTEOS!$F$2:$F$4000,A167,CONTEOS!$H$2:$H$4000,C167)=0,"PENDIENTE",IF(I167=0,"CUADRA",IF(I167&gt;0,"SOBRANTE","FALTANTE")))</f>
        <v>PENDIENTE</v>
      </c>
    </row>
    <row r="168" spans="1:10" ht="28.8" x14ac:dyDescent="0.3">
      <c r="A168" t="str">
        <f>STOCK_SISTEMA!A168</f>
        <v>TC0103PE</v>
      </c>
      <c r="B168" s="13" t="str">
        <f>STOCK_SISTEMA!B168</f>
        <v>[TC0103PE] TIYAPUY CHIFLES SALADO ALTURA S/T 30g x 72un</v>
      </c>
      <c r="C168" t="str">
        <f>IF(STOCK_SISTEMA!C168="","",STOCK_SISTEMA!C168)</f>
        <v>SP-30425</v>
      </c>
      <c r="D168" s="11">
        <f>IF(STOCK_SISTEMA!D168="","",STOCK_SISTEMA!D168)</f>
        <v>46265.236319444448</v>
      </c>
      <c r="E168" t="str">
        <f>STOCK_SISTEMA!E168</f>
        <v>SF-03/PT/VENCIDOS Y OBSERVADOS</v>
      </c>
      <c r="F168" t="str">
        <f>STOCK_SISTEMA!G168</f>
        <v>CajaX72</v>
      </c>
      <c r="G168" s="12">
        <f>STOCK_SISTEMA!F168</f>
        <v>1</v>
      </c>
      <c r="H168" s="12">
        <f>SUMIFS(CONTEOS!$N$2:$N$4000,CONTEOS!$F$2:$F$4000,A168,CONTEOS!$H$2:$H$4000,C168)</f>
        <v>0</v>
      </c>
      <c r="I168" s="12">
        <f t="shared" si="2"/>
        <v>-1</v>
      </c>
      <c r="J168" t="str">
        <f>IF(COUNTIFS(CONTEOS!$F$2:$F$4000,A168,CONTEOS!$H$2:$H$4000,C168)=0,"PENDIENTE",IF(I168=0,"CUADRA",IF(I168&gt;0,"SOBRANTE","FALTANTE")))</f>
        <v>PENDIENTE</v>
      </c>
    </row>
    <row r="169" spans="1:10" ht="28.8" x14ac:dyDescent="0.3">
      <c r="A169" t="str">
        <f>STOCK_SISTEMA!A169</f>
        <v>TC0054PE</v>
      </c>
      <c r="B169" s="13" t="str">
        <f>STOCK_SISTEMA!B169</f>
        <v>[TC0054PE] TIYAPUY CHIFLES SALADO ALTURA C/T 30g x 72un</v>
      </c>
      <c r="C169" t="str">
        <f>IF(STOCK_SISTEMA!C169="","",STOCK_SISTEMA!C169)</f>
        <v>SP-23325</v>
      </c>
      <c r="D169" s="11">
        <f>IF(STOCK_SISTEMA!D169="","",STOCK_SISTEMA!D169)</f>
        <v>46191.233391203707</v>
      </c>
      <c r="E169" t="str">
        <f>STOCK_SISTEMA!E169</f>
        <v>SF-03/PT/VENCIDOS Y OBSERVADOS</v>
      </c>
      <c r="F169" t="str">
        <f>STOCK_SISTEMA!G169</f>
        <v>CajaX72</v>
      </c>
      <c r="G169" s="12">
        <f>STOCK_SISTEMA!F169</f>
        <v>10</v>
      </c>
      <c r="H169" s="12">
        <f>SUMIFS(CONTEOS!$N$2:$N$4000,CONTEOS!$F$2:$F$4000,A169,CONTEOS!$H$2:$H$4000,C169)</f>
        <v>0</v>
      </c>
      <c r="I169" s="12">
        <f t="shared" si="2"/>
        <v>-10</v>
      </c>
      <c r="J169" t="str">
        <f>IF(COUNTIFS(CONTEOS!$F$2:$F$4000,A169,CONTEOS!$H$2:$H$4000,C169)=0,"PENDIENTE",IF(I169=0,"CUADRA",IF(I169&gt;0,"SOBRANTE","FALTANTE")))</f>
        <v>PENDIENTE</v>
      </c>
    </row>
    <row r="170" spans="1:10" ht="28.8" x14ac:dyDescent="0.3">
      <c r="A170" t="str">
        <f>STOCK_SISTEMA!A170</f>
        <v>TC0054PE</v>
      </c>
      <c r="B170" s="13" t="str">
        <f>STOCK_SISTEMA!B170</f>
        <v>[TC0054PE] TIYAPUY CHIFLES SALADO ALTURA C/T 30g x 72un</v>
      </c>
      <c r="C170" t="str">
        <f>IF(STOCK_SISTEMA!C170="","",STOCK_SISTEMA!C170)</f>
        <v>SP-23425</v>
      </c>
      <c r="D170" s="11">
        <f>IF(STOCK_SISTEMA!D170="","",STOCK_SISTEMA!D170)</f>
        <v>46191.233148148152</v>
      </c>
      <c r="E170" t="str">
        <f>STOCK_SISTEMA!E170</f>
        <v>SF-03/PT/VENCIDOS Y OBSERVADOS</v>
      </c>
      <c r="F170" t="str">
        <f>STOCK_SISTEMA!G170</f>
        <v>CajaX72</v>
      </c>
      <c r="G170" s="12">
        <f>STOCK_SISTEMA!F170</f>
        <v>4</v>
      </c>
      <c r="H170" s="12">
        <f>SUMIFS(CONTEOS!$N$2:$N$4000,CONTEOS!$F$2:$F$4000,A170,CONTEOS!$H$2:$H$4000,C170)</f>
        <v>0</v>
      </c>
      <c r="I170" s="12">
        <f t="shared" si="2"/>
        <v>-4</v>
      </c>
      <c r="J170" t="str">
        <f>IF(COUNTIFS(CONTEOS!$F$2:$F$4000,A170,CONTEOS!$H$2:$H$4000,C170)=0,"PENDIENTE",IF(I170=0,"CUADRA",IF(I170&gt;0,"SOBRANTE","FALTANTE")))</f>
        <v>PENDIENTE</v>
      </c>
    </row>
    <row r="171" spans="1:10" ht="28.8" x14ac:dyDescent="0.3">
      <c r="A171" t="str">
        <f>STOCK_SISTEMA!A171</f>
        <v>TC0068PE</v>
      </c>
      <c r="B171" s="13" t="str">
        <f>STOCK_SISTEMA!B171</f>
        <v>[TC0068PE] TIYAPUY PAPAS NATIVAS AMARILLAS PICANTE C/T 30g x 72un</v>
      </c>
      <c r="C171" t="str">
        <f>IF(STOCK_SISTEMA!C171="","",STOCK_SISTEMA!C171)</f>
        <v>AP-15025</v>
      </c>
      <c r="D171" s="11">
        <f>IF(STOCK_SISTEMA!D171="","",STOCK_SISTEMA!D171)</f>
        <v>46111</v>
      </c>
      <c r="E171" t="str">
        <f>STOCK_SISTEMA!E171</f>
        <v>SF-03/PT/VENCIDOS Y OBSERVADOS</v>
      </c>
      <c r="F171" t="str">
        <f>STOCK_SISTEMA!G171</f>
        <v>CajaX72</v>
      </c>
      <c r="G171" s="12">
        <f>STOCK_SISTEMA!F171</f>
        <v>9</v>
      </c>
      <c r="H171" s="12">
        <f>SUMIFS(CONTEOS!$N$2:$N$4000,CONTEOS!$F$2:$F$4000,A171,CONTEOS!$H$2:$H$4000,C171)</f>
        <v>0</v>
      </c>
      <c r="I171" s="12">
        <f t="shared" si="2"/>
        <v>-9</v>
      </c>
      <c r="J171" t="str">
        <f>IF(COUNTIFS(CONTEOS!$F$2:$F$4000,A171,CONTEOS!$H$2:$H$4000,C171)=0,"PENDIENTE",IF(I171=0,"CUADRA",IF(I171&gt;0,"SOBRANTE","FALTANTE")))</f>
        <v>PENDIENTE</v>
      </c>
    </row>
    <row r="172" spans="1:10" ht="28.8" x14ac:dyDescent="0.3">
      <c r="A172" t="str">
        <f>STOCK_SISTEMA!A172</f>
        <v>TC0003MX</v>
      </c>
      <c r="B172" s="13" t="str">
        <f>STOCK_SISTEMA!B172</f>
        <v>[TC0003MX] PAPAS NATIVAS DEL PERÚ EN HOJUELAS FRITAS CON SAL 160g  x 18un</v>
      </c>
      <c r="C172" t="str">
        <f>IF(STOCK_SISTEMA!C172="","",STOCK_SISTEMA!C172)</f>
        <v>SN-17525</v>
      </c>
      <c r="D172" s="11">
        <f>IF(STOCK_SISTEMA!D172="","",STOCK_SISTEMA!D172)</f>
        <v>46136</v>
      </c>
      <c r="E172" t="str">
        <f>STOCK_SISTEMA!E172</f>
        <v>SF-03/PT/VENCIDOS Y OBSERVADOS</v>
      </c>
      <c r="F172" t="str">
        <f>STOCK_SISTEMA!G172</f>
        <v>CajaX18</v>
      </c>
      <c r="G172" s="12">
        <f>STOCK_SISTEMA!F172</f>
        <v>1</v>
      </c>
      <c r="H172" s="12">
        <f>SUMIFS(CONTEOS!$N$2:$N$4000,CONTEOS!$F$2:$F$4000,A172,CONTEOS!$H$2:$H$4000,C172)</f>
        <v>0</v>
      </c>
      <c r="I172" s="12">
        <f t="shared" si="2"/>
        <v>-1</v>
      </c>
      <c r="J172" t="str">
        <f>IF(COUNTIFS(CONTEOS!$F$2:$F$4000,A172,CONTEOS!$H$2:$H$4000,C172)=0,"PENDIENTE",IF(I172=0,"CUADRA",IF(I172&gt;0,"SOBRANTE","FALTANTE")))</f>
        <v>PENDIENTE</v>
      </c>
    </row>
    <row r="173" spans="1:10" ht="28.8" x14ac:dyDescent="0.3">
      <c r="A173" t="str">
        <f>STOCK_SISTEMA!A173</f>
        <v>TC0232PE</v>
      </c>
      <c r="B173" s="13" t="str">
        <f>STOCK_SISTEMA!B173</f>
        <v>[TC0232PE] TIYAPUY MIX DE PAPAS NATIVAS Y CAMOTES 120g x 20un</v>
      </c>
      <c r="C173" t="str">
        <f>IF(STOCK_SISTEMA!C173="","",STOCK_SISTEMA!C173)</f>
        <v>PC-29425</v>
      </c>
      <c r="D173" s="11">
        <f>IF(STOCK_SISTEMA!D173="","",STOCK_SISTEMA!D173)</f>
        <v>46250.258576388893</v>
      </c>
      <c r="E173" t="str">
        <f>STOCK_SISTEMA!E173</f>
        <v>SF-03/PT/VENCIDOS Y OBSERVADOS</v>
      </c>
      <c r="F173" t="str">
        <f>STOCK_SISTEMA!G173</f>
        <v>CajaX20</v>
      </c>
      <c r="G173" s="12">
        <f>STOCK_SISTEMA!F173</f>
        <v>2</v>
      </c>
      <c r="H173" s="12">
        <f>SUMIFS(CONTEOS!$N$2:$N$4000,CONTEOS!$F$2:$F$4000,A173,CONTEOS!$H$2:$H$4000,C173)</f>
        <v>0</v>
      </c>
      <c r="I173" s="12">
        <f t="shared" si="2"/>
        <v>-2</v>
      </c>
      <c r="J173" t="str">
        <f>IF(COUNTIFS(CONTEOS!$F$2:$F$4000,A173,CONTEOS!$H$2:$H$4000,C173)=0,"PENDIENTE",IF(I173=0,"CUADRA",IF(I173&gt;0,"SOBRANTE","FALTANTE")))</f>
        <v>PENDIENTE</v>
      </c>
    </row>
    <row r="174" spans="1:10" ht="28.8" x14ac:dyDescent="0.3">
      <c r="A174" t="str">
        <f>STOCK_SISTEMA!A174</f>
        <v>EE10047</v>
      </c>
      <c r="B174" s="13" t="str">
        <f>STOCK_SISTEMA!B174</f>
        <v>[EE10047] LAMINA RIKY TOK 30 GR ONDA PICANTE X KG</v>
      </c>
      <c r="C174" t="str">
        <f>IF(STOCK_SISTEMA!C174="","",STOCK_SISTEMA!C174)</f>
        <v>INFORME 04/26</v>
      </c>
      <c r="D174" s="11">
        <f>IF(STOCK_SISTEMA!D174="","",STOCK_SISTEMA!D174)</f>
        <v>46419.757395833331</v>
      </c>
      <c r="E174" t="str">
        <f>STOCK_SISTEMA!E174</f>
        <v>SF-03/Materiales</v>
      </c>
      <c r="F174" t="str">
        <f>STOCK_SISTEMA!G174</f>
        <v>Kilogramo</v>
      </c>
      <c r="G174" s="12">
        <f>STOCK_SISTEMA!F174</f>
        <v>2E-3</v>
      </c>
      <c r="H174" s="12">
        <f>SUMIFS(CONTEOS!$N$2:$N$4000,CONTEOS!$F$2:$F$4000,A174,CONTEOS!$H$2:$H$4000,C174)</f>
        <v>0</v>
      </c>
      <c r="I174" s="12">
        <f t="shared" si="2"/>
        <v>-2E-3</v>
      </c>
      <c r="J174" t="str">
        <f>IF(COUNTIFS(CONTEOS!$F$2:$F$4000,A174,CONTEOS!$H$2:$H$4000,C174)=0,"PENDIENTE",IF(I174=0,"CUADRA",IF(I174&gt;0,"SOBRANTE","FALTANTE")))</f>
        <v>PENDIENTE</v>
      </c>
    </row>
    <row r="175" spans="1:10" ht="28.8" x14ac:dyDescent="0.3">
      <c r="A175" t="str">
        <f>STOCK_SISTEMA!A175</f>
        <v>EE10265</v>
      </c>
      <c r="B175" s="13" t="str">
        <f>STOCK_SISTEMA!B175</f>
        <v>[EE10265] STRECH FILM PRE-ESTIRADO 18 PULGADAS</v>
      </c>
      <c r="C175" t="str">
        <f>IF(STOCK_SISTEMA!C175="","",STOCK_SISTEMA!C175)</f>
        <v/>
      </c>
      <c r="D175" s="11" t="str">
        <f>IF(STOCK_SISTEMA!D175="","",STOCK_SISTEMA!D175)</f>
        <v/>
      </c>
      <c r="E175" t="str">
        <f>STOCK_SISTEMA!E175</f>
        <v>SF-03/Materiales</v>
      </c>
      <c r="F175" t="str">
        <f>STOCK_SISTEMA!G175</f>
        <v>Unidades</v>
      </c>
      <c r="G175" s="12">
        <f>STOCK_SISTEMA!F175</f>
        <v>320</v>
      </c>
      <c r="H175" s="12">
        <f>SUMIFS(CONTEOS!$N$2:$N$4000,CONTEOS!$F$2:$F$4000,A175,CONTEOS!$H$2:$H$4000,C175)</f>
        <v>0</v>
      </c>
      <c r="I175" s="12">
        <f t="shared" si="2"/>
        <v>-320</v>
      </c>
      <c r="J175" t="str">
        <f>IF(COUNTIFS(CONTEOS!$F$2:$F$4000,A175,CONTEOS!$H$2:$H$4000,C175)=0,"PENDIENTE",IF(I175=0,"CUADRA",IF(I175&gt;0,"SOBRANTE","FALTANTE")))</f>
        <v>PENDIENTE</v>
      </c>
    </row>
    <row r="176" spans="1:10" ht="28.8" x14ac:dyDescent="0.3">
      <c r="A176" t="str">
        <f>STOCK_SISTEMA!A176</f>
        <v>EE10058</v>
      </c>
      <c r="B176" s="13" t="str">
        <f>STOCK_SISTEMA!B176</f>
        <v>[EE10058] DOYPACK NEGRO MATE 86 PUNTOS CAFÉ 250 GR ORG X UND</v>
      </c>
      <c r="C176" t="str">
        <f>IF(STOCK_SISTEMA!C176="","",STOCK_SISTEMA!C176)</f>
        <v>INFORME 01/26</v>
      </c>
      <c r="D176" s="11" t="str">
        <f>IF(STOCK_SISTEMA!D176="","",STOCK_SISTEMA!D176)</f>
        <v/>
      </c>
      <c r="E176" t="str">
        <f>STOCK_SISTEMA!E176</f>
        <v>SF-03/Materiales</v>
      </c>
      <c r="F176" t="str">
        <f>STOCK_SISTEMA!G176</f>
        <v>Unidades</v>
      </c>
      <c r="G176" s="12">
        <f>STOCK_SISTEMA!F176</f>
        <v>4550</v>
      </c>
      <c r="H176" s="12">
        <f>SUMIFS(CONTEOS!$N$2:$N$4000,CONTEOS!$F$2:$F$4000,A176,CONTEOS!$H$2:$H$4000,C176)</f>
        <v>0</v>
      </c>
      <c r="I176" s="12">
        <f t="shared" si="2"/>
        <v>-4550</v>
      </c>
      <c r="J176" t="str">
        <f>IF(COUNTIFS(CONTEOS!$F$2:$F$4000,A176,CONTEOS!$H$2:$H$4000,C176)=0,"PENDIENTE",IF(I176=0,"CUADRA",IF(I176&gt;0,"SOBRANTE","FALTANTE")))</f>
        <v>PENDIENTE</v>
      </c>
    </row>
    <row r="177" spans="1:10" ht="28.8" x14ac:dyDescent="0.3">
      <c r="A177" t="str">
        <f>STOCK_SISTEMA!A177</f>
        <v>EE10262</v>
      </c>
      <c r="B177" s="13" t="str">
        <f>STOCK_SISTEMA!B177</f>
        <v>[EE10262] STICKERS NUTRICIONAL COLOMBIA 142g MIX NATIVA</v>
      </c>
      <c r="C177" t="str">
        <f>IF(STOCK_SISTEMA!C177="","",STOCK_SISTEMA!C177)</f>
        <v>INFORME 09/26</v>
      </c>
      <c r="D177" s="11">
        <f>IF(STOCK_SISTEMA!D177="","",STOCK_SISTEMA!D177)</f>
        <v>46465.359317129631</v>
      </c>
      <c r="E177" t="str">
        <f>STOCK_SISTEMA!E177</f>
        <v>SF-03/Materiales</v>
      </c>
      <c r="F177" t="str">
        <f>STOCK_SISTEMA!G177</f>
        <v>Unidades</v>
      </c>
      <c r="G177" s="12">
        <f>STOCK_SISTEMA!F177</f>
        <v>13560</v>
      </c>
      <c r="H177" s="12">
        <f>SUMIFS(CONTEOS!$N$2:$N$4000,CONTEOS!$F$2:$F$4000,A177,CONTEOS!$H$2:$H$4000,C177)</f>
        <v>0</v>
      </c>
      <c r="I177" s="12">
        <f t="shared" si="2"/>
        <v>-13560</v>
      </c>
      <c r="J177" t="str">
        <f>IF(COUNTIFS(CONTEOS!$F$2:$F$4000,A177,CONTEOS!$H$2:$H$4000,C177)=0,"PENDIENTE",IF(I177=0,"CUADRA",IF(I177&gt;0,"SOBRANTE","FALTANTE")))</f>
        <v>PENDIENTE</v>
      </c>
    </row>
    <row r="178" spans="1:10" ht="28.8" x14ac:dyDescent="0.3">
      <c r="A178" t="str">
        <f>STOCK_SISTEMA!A178</f>
        <v>EE10263</v>
      </c>
      <c r="B178" s="13" t="str">
        <f>STOCK_SISTEMA!B178</f>
        <v>[EE10263] STICKERS NUTRICIONAL COLOMBIA 142g JALAPEÑO</v>
      </c>
      <c r="C178" t="str">
        <f>IF(STOCK_SISTEMA!C178="","",STOCK_SISTEMA!C178)</f>
        <v>INFORME 09/26</v>
      </c>
      <c r="D178" s="11">
        <f>IF(STOCK_SISTEMA!D178="","",STOCK_SISTEMA!D178)</f>
        <v>46465.359490740739</v>
      </c>
      <c r="E178" t="str">
        <f>STOCK_SISTEMA!E178</f>
        <v>SF-03/Materiales</v>
      </c>
      <c r="F178" t="str">
        <f>STOCK_SISTEMA!G178</f>
        <v>Unidades</v>
      </c>
      <c r="G178" s="12">
        <f>STOCK_SISTEMA!F178</f>
        <v>1030</v>
      </c>
      <c r="H178" s="12">
        <f>SUMIFS(CONTEOS!$N$2:$N$4000,CONTEOS!$F$2:$F$4000,A178,CONTEOS!$H$2:$H$4000,C178)</f>
        <v>0</v>
      </c>
      <c r="I178" s="12">
        <f t="shared" si="2"/>
        <v>-1030</v>
      </c>
      <c r="J178" t="str">
        <f>IF(COUNTIFS(CONTEOS!$F$2:$F$4000,A178,CONTEOS!$H$2:$H$4000,C178)=0,"PENDIENTE",IF(I178=0,"CUADRA",IF(I178&gt;0,"SOBRANTE","FALTANTE")))</f>
        <v>PENDIENTE</v>
      </c>
    </row>
    <row r="179" spans="1:10" ht="28.8" x14ac:dyDescent="0.3">
      <c r="A179" t="str">
        <f>STOCK_SISTEMA!A179</f>
        <v>EE10264</v>
      </c>
      <c r="B179" s="13" t="str">
        <f>STOCK_SISTEMA!B179</f>
        <v>[EE10264] STICKERS NUTRICIONAL COLOMBIA 142g LIMON PIMIENTA</v>
      </c>
      <c r="C179" t="str">
        <f>IF(STOCK_SISTEMA!C179="","",STOCK_SISTEMA!C179)</f>
        <v>INFORME 09/26</v>
      </c>
      <c r="D179" s="11">
        <f>IF(STOCK_SISTEMA!D179="","",STOCK_SISTEMA!D179)</f>
        <v>46465.359583333331</v>
      </c>
      <c r="E179" t="str">
        <f>STOCK_SISTEMA!E179</f>
        <v>SF-03/Materiales</v>
      </c>
      <c r="F179" t="str">
        <f>STOCK_SISTEMA!G179</f>
        <v>Unidades</v>
      </c>
      <c r="G179" s="12">
        <f>STOCK_SISTEMA!F179</f>
        <v>15000</v>
      </c>
      <c r="H179" s="12">
        <f>SUMIFS(CONTEOS!$N$2:$N$4000,CONTEOS!$F$2:$F$4000,A179,CONTEOS!$H$2:$H$4000,C179)</f>
        <v>0</v>
      </c>
      <c r="I179" s="12">
        <f t="shared" si="2"/>
        <v>-15000</v>
      </c>
      <c r="J179" t="str">
        <f>IF(COUNTIFS(CONTEOS!$F$2:$F$4000,A179,CONTEOS!$H$2:$H$4000,C179)=0,"PENDIENTE",IF(I179=0,"CUADRA",IF(I179&gt;0,"SOBRANTE","FALTANTE")))</f>
        <v>PENDIENTE</v>
      </c>
    </row>
    <row r="180" spans="1:10" ht="28.8" x14ac:dyDescent="0.3">
      <c r="A180" t="str">
        <f>STOCK_SISTEMA!A180</f>
        <v>EE10199</v>
      </c>
      <c r="B180" s="13" t="str">
        <f>STOCK_SISTEMA!B180</f>
        <v>[EE10199] ETIQUETA TEXTOS LEGALES TIYATUBO ESPAÑA</v>
      </c>
      <c r="C180" t="str">
        <f>IF(STOCK_SISTEMA!C180="","",STOCK_SISTEMA!C180)</f>
        <v>INFORME 08/26</v>
      </c>
      <c r="D180" s="11">
        <f>IF(STOCK_SISTEMA!D180="","",STOCK_SISTEMA!D180)</f>
        <v>46465.4690162037</v>
      </c>
      <c r="E180" t="str">
        <f>STOCK_SISTEMA!E180</f>
        <v>SF-03/Materiales</v>
      </c>
      <c r="F180" t="str">
        <f>STOCK_SISTEMA!G180</f>
        <v>Unidades</v>
      </c>
      <c r="G180" s="12">
        <f>STOCK_SISTEMA!F180</f>
        <v>10000</v>
      </c>
      <c r="H180" s="12">
        <f>SUMIFS(CONTEOS!$N$2:$N$4000,CONTEOS!$F$2:$F$4000,A180,CONTEOS!$H$2:$H$4000,C180)</f>
        <v>0</v>
      </c>
      <c r="I180" s="12">
        <f t="shared" si="2"/>
        <v>-10000</v>
      </c>
      <c r="J180" t="str">
        <f>IF(COUNTIFS(CONTEOS!$F$2:$F$4000,A180,CONTEOS!$H$2:$H$4000,C180)=0,"PENDIENTE",IF(I180=0,"CUADRA",IF(I180&gt;0,"SOBRANTE","FALTANTE")))</f>
        <v>PENDIENTE</v>
      </c>
    </row>
    <row r="181" spans="1:10" ht="28.8" x14ac:dyDescent="0.3">
      <c r="A181" t="str">
        <f>STOCK_SISTEMA!A181</f>
        <v>EE10021-1</v>
      </c>
      <c r="B181" s="13" t="str">
        <f>STOCK_SISTEMA!B181</f>
        <v>[EE10021-1] LAMINA TIYAPUY AMARILLA 160GR ORG MEXICO X KG</v>
      </c>
      <c r="C181" t="str">
        <f>IF(STOCK_SISTEMA!C181="","",STOCK_SISTEMA!C181)</f>
        <v>INFORME 01/26</v>
      </c>
      <c r="D181" s="11">
        <f>IF(STOCK_SISTEMA!D181="","",STOCK_SISTEMA!D181)</f>
        <v>46485.912986111107</v>
      </c>
      <c r="E181" t="str">
        <f>STOCK_SISTEMA!E181</f>
        <v>SF-03/Materiales</v>
      </c>
      <c r="F181" t="str">
        <f>STOCK_SISTEMA!G181</f>
        <v>Kilogramo</v>
      </c>
      <c r="G181" s="12">
        <f>STOCK_SISTEMA!F181</f>
        <v>388.32799999999997</v>
      </c>
      <c r="H181" s="12">
        <f>SUMIFS(CONTEOS!$N$2:$N$4000,CONTEOS!$F$2:$F$4000,A181,CONTEOS!$H$2:$H$4000,C181)</f>
        <v>0</v>
      </c>
      <c r="I181" s="12">
        <f t="shared" si="2"/>
        <v>-388.32799999999997</v>
      </c>
      <c r="J181" t="str">
        <f>IF(COUNTIFS(CONTEOS!$F$2:$F$4000,A181,CONTEOS!$H$2:$H$4000,C181)=0,"PENDIENTE",IF(I181=0,"CUADRA",IF(I181&gt;0,"SOBRANTE","FALTANTE")))</f>
        <v>PENDIENTE</v>
      </c>
    </row>
    <row r="182" spans="1:10" ht="28.8" x14ac:dyDescent="0.3">
      <c r="A182" t="str">
        <f>STOCK_SISTEMA!A182</f>
        <v>EE10041</v>
      </c>
      <c r="B182" s="13" t="str">
        <f>STOCK_SISTEMA!B182</f>
        <v>[EE10041] LAMINA TIYAPUY CHIPS QUINUA NATURAL 100 GR X KG</v>
      </c>
      <c r="C182" t="str">
        <f>IF(STOCK_SISTEMA!C182="","",STOCK_SISTEMA!C182)</f>
        <v>INFORME 01/26</v>
      </c>
      <c r="D182" s="11">
        <f>IF(STOCK_SISTEMA!D182="","",STOCK_SISTEMA!D182)</f>
        <v>46483.933541666673</v>
      </c>
      <c r="E182" t="str">
        <f>STOCK_SISTEMA!E182</f>
        <v>SF-03/Materiales</v>
      </c>
      <c r="F182" t="str">
        <f>STOCK_SISTEMA!G182</f>
        <v>Kilogramo</v>
      </c>
      <c r="G182" s="12">
        <f>STOCK_SISTEMA!F182</f>
        <v>327.43799999999999</v>
      </c>
      <c r="H182" s="12">
        <f>SUMIFS(CONTEOS!$N$2:$N$4000,CONTEOS!$F$2:$F$4000,A182,CONTEOS!$H$2:$H$4000,C182)</f>
        <v>0</v>
      </c>
      <c r="I182" s="12">
        <f t="shared" si="2"/>
        <v>-327.43799999999999</v>
      </c>
      <c r="J182" t="str">
        <f>IF(COUNTIFS(CONTEOS!$F$2:$F$4000,A182,CONTEOS!$H$2:$H$4000,C182)=0,"PENDIENTE",IF(I182=0,"CUADRA",IF(I182&gt;0,"SOBRANTE","FALTANTE")))</f>
        <v>PENDIENTE</v>
      </c>
    </row>
    <row r="183" spans="1:10" ht="28.8" x14ac:dyDescent="0.3">
      <c r="A183" t="str">
        <f>STOCK_SISTEMA!A183</f>
        <v>EE10228</v>
      </c>
      <c r="B183" s="13" t="str">
        <f>STOCK_SISTEMA!B183</f>
        <v>[EE10228] LAMINA RIKY TOK 70 G ONDA NATURAL X KG</v>
      </c>
      <c r="C183" t="str">
        <f>IF(STOCK_SISTEMA!C183="","",STOCK_SISTEMA!C183)</f>
        <v>INFORME 01/26</v>
      </c>
      <c r="D183" s="11">
        <f>IF(STOCK_SISTEMA!D183="","",STOCK_SISTEMA!D183)</f>
        <v>46485.936898148153</v>
      </c>
      <c r="E183" t="str">
        <f>STOCK_SISTEMA!E183</f>
        <v>SF-03/Materiales</v>
      </c>
      <c r="F183" t="str">
        <f>STOCK_SISTEMA!G183</f>
        <v>Kilogramo</v>
      </c>
      <c r="G183" s="12">
        <f>STOCK_SISTEMA!F183</f>
        <v>526.79</v>
      </c>
      <c r="H183" s="12">
        <f>SUMIFS(CONTEOS!$N$2:$N$4000,CONTEOS!$F$2:$F$4000,A183,CONTEOS!$H$2:$H$4000,C183)</f>
        <v>0</v>
      </c>
      <c r="I183" s="12">
        <f t="shared" si="2"/>
        <v>-526.79</v>
      </c>
      <c r="J183" t="str">
        <f>IF(COUNTIFS(CONTEOS!$F$2:$F$4000,A183,CONTEOS!$H$2:$H$4000,C183)=0,"PENDIENTE",IF(I183=0,"CUADRA",IF(I183&gt;0,"SOBRANTE","FALTANTE")))</f>
        <v>PENDIENTE</v>
      </c>
    </row>
    <row r="184" spans="1:10" ht="28.8" x14ac:dyDescent="0.3">
      <c r="A184" t="str">
        <f>STOCK_SISTEMA!A184</f>
        <v>EE10231</v>
      </c>
      <c r="B184" s="13" t="str">
        <f>STOCK_SISTEMA!B184</f>
        <v>[EE10231] LAMINA RIKY TOK 70 G ONDA JALAPEÑO X KG</v>
      </c>
      <c r="C184" t="str">
        <f>IF(STOCK_SISTEMA!C184="","",STOCK_SISTEMA!C184)</f>
        <v>INFORME 01/26</v>
      </c>
      <c r="D184" s="11">
        <f>IF(STOCK_SISTEMA!D184="","",STOCK_SISTEMA!D184)</f>
        <v>46485.937164351853</v>
      </c>
      <c r="E184" t="str">
        <f>STOCK_SISTEMA!E184</f>
        <v>SF-03/Materiales</v>
      </c>
      <c r="F184" t="str">
        <f>STOCK_SISTEMA!G184</f>
        <v>Kilogramo</v>
      </c>
      <c r="G184" s="12">
        <f>STOCK_SISTEMA!F184</f>
        <v>560.34</v>
      </c>
      <c r="H184" s="12">
        <f>SUMIFS(CONTEOS!$N$2:$N$4000,CONTEOS!$F$2:$F$4000,A184,CONTEOS!$H$2:$H$4000,C184)</f>
        <v>0</v>
      </c>
      <c r="I184" s="12">
        <f t="shared" si="2"/>
        <v>-560.34</v>
      </c>
      <c r="J184" t="str">
        <f>IF(COUNTIFS(CONTEOS!$F$2:$F$4000,A184,CONTEOS!$H$2:$H$4000,C184)=0,"PENDIENTE",IF(I184=0,"CUADRA",IF(I184&gt;0,"SOBRANTE","FALTANTE")))</f>
        <v>PENDIENTE</v>
      </c>
    </row>
    <row r="185" spans="1:10" ht="28.8" x14ac:dyDescent="0.3">
      <c r="A185" t="str">
        <f>STOCK_SISTEMA!A185</f>
        <v>EE10235</v>
      </c>
      <c r="B185" s="13" t="str">
        <f>STOCK_SISTEMA!B185</f>
        <v>[EE10235] LAMINA RIKY TOK 135 G ONDA NATURAL X KG</v>
      </c>
      <c r="C185" t="str">
        <f>IF(STOCK_SISTEMA!C185="","",STOCK_SISTEMA!C185)</f>
        <v>INFORME 01/26</v>
      </c>
      <c r="D185" s="11">
        <f>IF(STOCK_SISTEMA!D185="","",STOCK_SISTEMA!D185)</f>
        <v>46485.943402777782</v>
      </c>
      <c r="E185" t="str">
        <f>STOCK_SISTEMA!E185</f>
        <v>SF-03/Materiales</v>
      </c>
      <c r="F185" t="str">
        <f>STOCK_SISTEMA!G185</f>
        <v>Kilogramo</v>
      </c>
      <c r="G185" s="12">
        <f>STOCK_SISTEMA!F185</f>
        <v>357.89</v>
      </c>
      <c r="H185" s="12">
        <f>SUMIFS(CONTEOS!$N$2:$N$4000,CONTEOS!$F$2:$F$4000,A185,CONTEOS!$H$2:$H$4000,C185)</f>
        <v>0</v>
      </c>
      <c r="I185" s="12">
        <f t="shared" si="2"/>
        <v>-357.89</v>
      </c>
      <c r="J185" t="str">
        <f>IF(COUNTIFS(CONTEOS!$F$2:$F$4000,A185,CONTEOS!$H$2:$H$4000,C185)=0,"PENDIENTE",IF(I185=0,"CUADRA",IF(I185&gt;0,"SOBRANTE","FALTANTE")))</f>
        <v>PENDIENTE</v>
      </c>
    </row>
    <row r="186" spans="1:10" ht="28.8" x14ac:dyDescent="0.3">
      <c r="A186" t="str">
        <f>STOCK_SISTEMA!A186</f>
        <v>EE10238</v>
      </c>
      <c r="B186" s="13" t="str">
        <f>STOCK_SISTEMA!B186</f>
        <v>[EE10238] LAMINA RIKY TOK 135 G ONDA JALAPEÑO X KG</v>
      </c>
      <c r="C186" t="str">
        <f>IF(STOCK_SISTEMA!C186="","",STOCK_SISTEMA!C186)</f>
        <v>INFORME 01/26</v>
      </c>
      <c r="D186" s="11">
        <f>IF(STOCK_SISTEMA!D186="","",STOCK_SISTEMA!D186)</f>
        <v>46485.943680555552</v>
      </c>
      <c r="E186" t="str">
        <f>STOCK_SISTEMA!E186</f>
        <v>SF-03/Materiales</v>
      </c>
      <c r="F186" t="str">
        <f>STOCK_SISTEMA!G186</f>
        <v>Kilogramo</v>
      </c>
      <c r="G186" s="12">
        <f>STOCK_SISTEMA!F186</f>
        <v>459.78</v>
      </c>
      <c r="H186" s="12">
        <f>SUMIFS(CONTEOS!$N$2:$N$4000,CONTEOS!$F$2:$F$4000,A186,CONTEOS!$H$2:$H$4000,C186)</f>
        <v>0</v>
      </c>
      <c r="I186" s="12">
        <f t="shared" si="2"/>
        <v>-459.78</v>
      </c>
      <c r="J186" t="str">
        <f>IF(COUNTIFS(CONTEOS!$F$2:$F$4000,A186,CONTEOS!$H$2:$H$4000,C186)=0,"PENDIENTE",IF(I186=0,"CUADRA",IF(I186&gt;0,"SOBRANTE","FALTANTE")))</f>
        <v>PENDIENTE</v>
      </c>
    </row>
    <row r="187" spans="1:10" ht="28.8" x14ac:dyDescent="0.3">
      <c r="A187" t="str">
        <f>STOCK_SISTEMA!A187</f>
        <v>EE10236</v>
      </c>
      <c r="B187" s="13" t="str">
        <f>STOCK_SISTEMA!B187</f>
        <v>[EE10236] LAMINA RIKY TOK 135 G ONDA PICANTE X KG</v>
      </c>
      <c r="C187" t="str">
        <f>IF(STOCK_SISTEMA!C187="","",STOCK_SISTEMA!C187)</f>
        <v>INFORME 01/26</v>
      </c>
      <c r="D187" s="11">
        <f>IF(STOCK_SISTEMA!D187="","",STOCK_SISTEMA!D187)</f>
        <v>46485.944016203714</v>
      </c>
      <c r="E187" t="str">
        <f>STOCK_SISTEMA!E187</f>
        <v>SF-03/Materiales</v>
      </c>
      <c r="F187" t="str">
        <f>STOCK_SISTEMA!G187</f>
        <v>Kilogramo</v>
      </c>
      <c r="G187" s="12">
        <f>STOCK_SISTEMA!F187</f>
        <v>389.54</v>
      </c>
      <c r="H187" s="12">
        <f>SUMIFS(CONTEOS!$N$2:$N$4000,CONTEOS!$F$2:$F$4000,A187,CONTEOS!$H$2:$H$4000,C187)</f>
        <v>0</v>
      </c>
      <c r="I187" s="12">
        <f t="shared" si="2"/>
        <v>-389.54</v>
      </c>
      <c r="J187" t="str">
        <f>IF(COUNTIFS(CONTEOS!$F$2:$F$4000,A187,CONTEOS!$H$2:$H$4000,C187)=0,"PENDIENTE",IF(I187=0,"CUADRA",IF(I187&gt;0,"SOBRANTE","FALTANTE")))</f>
        <v>PENDIENTE</v>
      </c>
    </row>
    <row r="188" spans="1:10" ht="28.8" x14ac:dyDescent="0.3">
      <c r="A188" t="str">
        <f>STOCK_SISTEMA!A188</f>
        <v>TC0091PE</v>
      </c>
      <c r="B188" s="13" t="str">
        <f>STOCK_SISTEMA!B188</f>
        <v>[TC0091PE] TIYAPUY PAPAS NATIVAS MIXTAS CNV 142g x 20un</v>
      </c>
      <c r="C188" t="str">
        <f>IF(STOCK_SISTEMA!C188="","",STOCK_SISTEMA!C188)</f>
        <v>SN-10126-E3</v>
      </c>
      <c r="D188" s="11">
        <f>IF(STOCK_SISTEMA!D188="","",STOCK_SISTEMA!D188)</f>
        <v>46429.140925925924</v>
      </c>
      <c r="E188" t="str">
        <f>STOCK_SISTEMA!E188</f>
        <v>SF-03/PT/STOCK</v>
      </c>
      <c r="F188" t="str">
        <f>STOCK_SISTEMA!G188</f>
        <v>CajaX20</v>
      </c>
      <c r="G188" s="12">
        <f>STOCK_SISTEMA!F188</f>
        <v>14.75</v>
      </c>
      <c r="H188" s="12">
        <f>SUMIFS(CONTEOS!$N$2:$N$4000,CONTEOS!$F$2:$F$4000,A188,CONTEOS!$H$2:$H$4000,C188)</f>
        <v>0</v>
      </c>
      <c r="I188" s="12">
        <f t="shared" si="2"/>
        <v>-14.75</v>
      </c>
      <c r="J188" t="str">
        <f>IF(COUNTIFS(CONTEOS!$F$2:$F$4000,A188,CONTEOS!$H$2:$H$4000,C188)=0,"PENDIENTE",IF(I188=0,"CUADRA",IF(I188&gt;0,"SOBRANTE","FALTANTE")))</f>
        <v>PENDIENTE</v>
      </c>
    </row>
    <row r="189" spans="1:10" ht="28.8" x14ac:dyDescent="0.3">
      <c r="A189" t="str">
        <f>STOCK_SISTEMA!A189</f>
        <v>TC0091PE</v>
      </c>
      <c r="B189" s="13" t="str">
        <f>STOCK_SISTEMA!B189</f>
        <v>[TC0091PE] TIYAPUY PAPAS NATIVAS MIXTAS CNV 142g x 20un</v>
      </c>
      <c r="C189" t="str">
        <f>IF(STOCK_SISTEMA!C189="","",STOCK_SISTEMA!C189)</f>
        <v>SN-10126-E4</v>
      </c>
      <c r="D189" s="11">
        <f>IF(STOCK_SISTEMA!D189="","",STOCK_SISTEMA!D189)</f>
        <v>46429.140798611108</v>
      </c>
      <c r="E189" t="str">
        <f>STOCK_SISTEMA!E189</f>
        <v>SF-03/PT/STOCK</v>
      </c>
      <c r="F189" t="str">
        <f>STOCK_SISTEMA!G189</f>
        <v>CajaX20</v>
      </c>
      <c r="G189" s="12">
        <f>STOCK_SISTEMA!F189</f>
        <v>21</v>
      </c>
      <c r="H189" s="12">
        <f>SUMIFS(CONTEOS!$N$2:$N$4000,CONTEOS!$F$2:$F$4000,A189,CONTEOS!$H$2:$H$4000,C189)</f>
        <v>0</v>
      </c>
      <c r="I189" s="12">
        <f t="shared" si="2"/>
        <v>-21</v>
      </c>
      <c r="J189" t="str">
        <f>IF(COUNTIFS(CONTEOS!$F$2:$F$4000,A189,CONTEOS!$H$2:$H$4000,C189)=0,"PENDIENTE",IF(I189=0,"CUADRA",IF(I189&gt;0,"SOBRANTE","FALTANTE")))</f>
        <v>PENDIENTE</v>
      </c>
    </row>
    <row r="190" spans="1:10" ht="28.8" x14ac:dyDescent="0.3">
      <c r="A190" t="str">
        <f>STOCK_SISTEMA!A190</f>
        <v>TC0091PE</v>
      </c>
      <c r="B190" s="13" t="str">
        <f>STOCK_SISTEMA!B190</f>
        <v>[TC0091PE] TIYAPUY PAPAS NATIVAS MIXTAS CNV 142g x 20un</v>
      </c>
      <c r="C190" t="str">
        <f>IF(STOCK_SISTEMA!C190="","",STOCK_SISTEMA!C190)</f>
        <v>SN-10526-E2</v>
      </c>
      <c r="D190" s="11">
        <f>IF(STOCK_SISTEMA!D190="","",STOCK_SISTEMA!D190)</f>
        <v>46433.109756944446</v>
      </c>
      <c r="E190" t="str">
        <f>STOCK_SISTEMA!E190</f>
        <v>SF-03/PT/STOCK</v>
      </c>
      <c r="F190" t="str">
        <f>STOCK_SISTEMA!G190</f>
        <v>CajaX20</v>
      </c>
      <c r="G190" s="12">
        <f>STOCK_SISTEMA!F190</f>
        <v>2</v>
      </c>
      <c r="H190" s="12">
        <f>SUMIFS(CONTEOS!$N$2:$N$4000,CONTEOS!$F$2:$F$4000,A190,CONTEOS!$H$2:$H$4000,C190)</f>
        <v>0</v>
      </c>
      <c r="I190" s="12">
        <f t="shared" si="2"/>
        <v>-2</v>
      </c>
      <c r="J190" t="str">
        <f>IF(COUNTIFS(CONTEOS!$F$2:$F$4000,A190,CONTEOS!$H$2:$H$4000,C190)=0,"PENDIENTE",IF(I190=0,"CUADRA",IF(I190&gt;0,"SOBRANTE","FALTANTE")))</f>
        <v>PENDIENTE</v>
      </c>
    </row>
    <row r="191" spans="1:10" ht="28.8" x14ac:dyDescent="0.3">
      <c r="A191" t="str">
        <f>STOCK_SISTEMA!A191</f>
        <v>TC0091PE</v>
      </c>
      <c r="B191" s="13" t="str">
        <f>STOCK_SISTEMA!B191</f>
        <v>[TC0091PE] TIYAPUY PAPAS NATIVAS MIXTAS CNV 142g x 20un</v>
      </c>
      <c r="C191" t="str">
        <f>IF(STOCK_SISTEMA!C191="","",STOCK_SISTEMA!C191)</f>
        <v>SN-10526-E1</v>
      </c>
      <c r="D191" s="11">
        <f>IF(STOCK_SISTEMA!D191="","",STOCK_SISTEMA!D191)</f>
        <v>46427.486064814817</v>
      </c>
      <c r="E191" t="str">
        <f>STOCK_SISTEMA!E191</f>
        <v>SF-03/PT/STOCK</v>
      </c>
      <c r="F191" t="str">
        <f>STOCK_SISTEMA!G191</f>
        <v>CajaX20</v>
      </c>
      <c r="G191" s="12">
        <f>STOCK_SISTEMA!F191</f>
        <v>8</v>
      </c>
      <c r="H191" s="12">
        <f>SUMIFS(CONTEOS!$N$2:$N$4000,CONTEOS!$F$2:$F$4000,A191,CONTEOS!$H$2:$H$4000,C191)</f>
        <v>0</v>
      </c>
      <c r="I191" s="12">
        <f t="shared" si="2"/>
        <v>-8</v>
      </c>
      <c r="J191" t="str">
        <f>IF(COUNTIFS(CONTEOS!$F$2:$F$4000,A191,CONTEOS!$H$2:$H$4000,C191)=0,"PENDIENTE",IF(I191=0,"CUADRA",IF(I191&gt;0,"SOBRANTE","FALTANTE")))</f>
        <v>PENDIENTE</v>
      </c>
    </row>
    <row r="192" spans="1:10" ht="28.8" x14ac:dyDescent="0.3">
      <c r="A192" t="str">
        <f>STOCK_SISTEMA!A192</f>
        <v>TC0091PE</v>
      </c>
      <c r="B192" s="13" t="str">
        <f>STOCK_SISTEMA!B192</f>
        <v>[TC0091PE] TIYAPUY PAPAS NATIVAS MIXTAS CNV 142g x 20un</v>
      </c>
      <c r="C192" t="str">
        <f>IF(STOCK_SISTEMA!C192="","",STOCK_SISTEMA!C192)</f>
        <v>SN-10626-E1</v>
      </c>
      <c r="D192" s="11">
        <f>IF(STOCK_SISTEMA!D192="","",STOCK_SISTEMA!D192)</f>
        <v>46434.06459490741</v>
      </c>
      <c r="E192" t="str">
        <f>STOCK_SISTEMA!E192</f>
        <v>SF-03/PT/STOCK</v>
      </c>
      <c r="F192" t="str">
        <f>STOCK_SISTEMA!G192</f>
        <v>CajaX20</v>
      </c>
      <c r="G192" s="12">
        <f>STOCK_SISTEMA!F192</f>
        <v>10</v>
      </c>
      <c r="H192" s="12">
        <f>SUMIFS(CONTEOS!$N$2:$N$4000,CONTEOS!$F$2:$F$4000,A192,CONTEOS!$H$2:$H$4000,C192)</f>
        <v>0</v>
      </c>
      <c r="I192" s="12">
        <f t="shared" si="2"/>
        <v>-10</v>
      </c>
      <c r="J192" t="str">
        <f>IF(COUNTIFS(CONTEOS!$F$2:$F$4000,A192,CONTEOS!$H$2:$H$4000,C192)=0,"PENDIENTE",IF(I192=0,"CUADRA",IF(I192&gt;0,"SOBRANTE","FALTANTE")))</f>
        <v>PENDIENTE</v>
      </c>
    </row>
    <row r="193" spans="1:10" ht="28.8" x14ac:dyDescent="0.3">
      <c r="A193" t="str">
        <f>STOCK_SISTEMA!A193</f>
        <v>TC0091PE</v>
      </c>
      <c r="B193" s="13" t="str">
        <f>STOCK_SISTEMA!B193</f>
        <v>[TC0091PE] TIYAPUY PAPAS NATIVAS MIXTAS CNV 142g x 20un</v>
      </c>
      <c r="C193" t="str">
        <f>IF(STOCK_SISTEMA!C193="","",STOCK_SISTEMA!C193)</f>
        <v>SN-10626-E3</v>
      </c>
      <c r="D193" s="11">
        <f>IF(STOCK_SISTEMA!D193="","",STOCK_SISTEMA!D193)</f>
        <v>46428.065532407411</v>
      </c>
      <c r="E193" t="str">
        <f>STOCK_SISTEMA!E193</f>
        <v>SF-03/PT/STOCK</v>
      </c>
      <c r="F193" t="str">
        <f>STOCK_SISTEMA!G193</f>
        <v>CajaX20</v>
      </c>
      <c r="G193" s="12">
        <f>STOCK_SISTEMA!F193</f>
        <v>6</v>
      </c>
      <c r="H193" s="12">
        <f>SUMIFS(CONTEOS!$N$2:$N$4000,CONTEOS!$F$2:$F$4000,A193,CONTEOS!$H$2:$H$4000,C193)</f>
        <v>0</v>
      </c>
      <c r="I193" s="12">
        <f t="shared" si="2"/>
        <v>-6</v>
      </c>
      <c r="J193" t="str">
        <f>IF(COUNTIFS(CONTEOS!$F$2:$F$4000,A193,CONTEOS!$H$2:$H$4000,C193)=0,"PENDIENTE",IF(I193=0,"CUADRA",IF(I193&gt;0,"SOBRANTE","FALTANTE")))</f>
        <v>PENDIENTE</v>
      </c>
    </row>
    <row r="194" spans="1:10" ht="28.8" x14ac:dyDescent="0.3">
      <c r="A194" t="str">
        <f>STOCK_SISTEMA!A194</f>
        <v>TC0091PE</v>
      </c>
      <c r="B194" s="13" t="str">
        <f>STOCK_SISTEMA!B194</f>
        <v>[TC0091PE] TIYAPUY PAPAS NATIVAS MIXTAS CNV 142g x 20un</v>
      </c>
      <c r="C194" t="str">
        <f>IF(STOCK_SISTEMA!C194="","",STOCK_SISTEMA!C194)</f>
        <v>SN-10726-E1</v>
      </c>
      <c r="D194" s="11">
        <f>IF(STOCK_SISTEMA!D194="","",STOCK_SISTEMA!D194)</f>
        <v>46435.110879629632</v>
      </c>
      <c r="E194" t="str">
        <f>STOCK_SISTEMA!E194</f>
        <v>SF-03/PT/STOCK</v>
      </c>
      <c r="F194" t="str">
        <f>STOCK_SISTEMA!G194</f>
        <v>CajaX20</v>
      </c>
      <c r="G194" s="12">
        <f>STOCK_SISTEMA!F194</f>
        <v>15</v>
      </c>
      <c r="H194" s="12">
        <f>SUMIFS(CONTEOS!$N$2:$N$4000,CONTEOS!$F$2:$F$4000,A194,CONTEOS!$H$2:$H$4000,C194)</f>
        <v>0</v>
      </c>
      <c r="I194" s="12">
        <f t="shared" ref="I194:I257" si="3">H194-G194</f>
        <v>-15</v>
      </c>
      <c r="J194" t="str">
        <f>IF(COUNTIFS(CONTEOS!$F$2:$F$4000,A194,CONTEOS!$H$2:$H$4000,C194)=0,"PENDIENTE",IF(I194=0,"CUADRA",IF(I194&gt;0,"SOBRANTE","FALTANTE")))</f>
        <v>PENDIENTE</v>
      </c>
    </row>
    <row r="195" spans="1:10" ht="28.8" x14ac:dyDescent="0.3">
      <c r="A195" t="str">
        <f>STOCK_SISTEMA!A195</f>
        <v>TC0091PE</v>
      </c>
      <c r="B195" s="13" t="str">
        <f>STOCK_SISTEMA!B195</f>
        <v>[TC0091PE] TIYAPUY PAPAS NATIVAS MIXTAS CNV 142g x 20un</v>
      </c>
      <c r="C195" t="str">
        <f>IF(STOCK_SISTEMA!C195="","",STOCK_SISTEMA!C195)</f>
        <v>SN-10726-E2</v>
      </c>
      <c r="D195" s="11">
        <f>IF(STOCK_SISTEMA!D195="","",STOCK_SISTEMA!D195)</f>
        <v>46435.109895833331</v>
      </c>
      <c r="E195" t="str">
        <f>STOCK_SISTEMA!E195</f>
        <v>SF-03/PT/STOCK</v>
      </c>
      <c r="F195" t="str">
        <f>STOCK_SISTEMA!G195</f>
        <v>CajaX20</v>
      </c>
      <c r="G195" s="12">
        <f>STOCK_SISTEMA!F195</f>
        <v>14</v>
      </c>
      <c r="H195" s="12">
        <f>SUMIFS(CONTEOS!$N$2:$N$4000,CONTEOS!$F$2:$F$4000,A195,CONTEOS!$H$2:$H$4000,C195)</f>
        <v>0</v>
      </c>
      <c r="I195" s="12">
        <f t="shared" si="3"/>
        <v>-14</v>
      </c>
      <c r="J195" t="str">
        <f>IF(COUNTIFS(CONTEOS!$F$2:$F$4000,A195,CONTEOS!$H$2:$H$4000,C195)=0,"PENDIENTE",IF(I195=0,"CUADRA",IF(I195&gt;0,"SOBRANTE","FALTANTE")))</f>
        <v>PENDIENTE</v>
      </c>
    </row>
    <row r="196" spans="1:10" ht="28.8" x14ac:dyDescent="0.3">
      <c r="A196" t="str">
        <f>STOCK_SISTEMA!A196</f>
        <v>EE10022</v>
      </c>
      <c r="B196" s="13" t="str">
        <f>STOCK_SISTEMA!B196</f>
        <v>[EE10022] LAMINA TIYAPUY AMARILLA PICANTE 30GR X KG</v>
      </c>
      <c r="C196" t="str">
        <f>IF(STOCK_SISTEMA!C196="","",STOCK_SISTEMA!C196)</f>
        <v>INFORME 12</v>
      </c>
      <c r="D196" s="11">
        <f>IF(STOCK_SISTEMA!D196="","",STOCK_SISTEMA!D196)</f>
        <v>45838.502951388888</v>
      </c>
      <c r="E196" t="str">
        <f>STOCK_SISTEMA!E196</f>
        <v>SF-03/Materiales</v>
      </c>
      <c r="F196" t="str">
        <f>STOCK_SISTEMA!G196</f>
        <v>Kilogramo</v>
      </c>
      <c r="G196" s="12">
        <f>STOCK_SISTEMA!F196</f>
        <v>0.4</v>
      </c>
      <c r="H196" s="12">
        <f>SUMIFS(CONTEOS!$N$2:$N$4000,CONTEOS!$F$2:$F$4000,A196,CONTEOS!$H$2:$H$4000,C196)</f>
        <v>0</v>
      </c>
      <c r="I196" s="12">
        <f t="shared" si="3"/>
        <v>-0.4</v>
      </c>
      <c r="J196" t="str">
        <f>IF(COUNTIFS(CONTEOS!$F$2:$F$4000,A196,CONTEOS!$H$2:$H$4000,C196)=0,"PENDIENTE",IF(I196=0,"CUADRA",IF(I196&gt;0,"SOBRANTE","FALTANTE")))</f>
        <v>PENDIENTE</v>
      </c>
    </row>
    <row r="197" spans="1:10" ht="28.8" x14ac:dyDescent="0.3">
      <c r="A197" t="str">
        <f>STOCK_SISTEMA!A197</f>
        <v>TC0091PE</v>
      </c>
      <c r="B197" s="13" t="str">
        <f>STOCK_SISTEMA!B197</f>
        <v>[TC0091PE] TIYAPUY PAPAS NATIVAS MIXTAS CNV 142g x 20un</v>
      </c>
      <c r="C197" t="str">
        <f>IF(STOCK_SISTEMA!C197="","",STOCK_SISTEMA!C197)</f>
        <v>SN-10826-E2</v>
      </c>
      <c r="D197" s="11">
        <f>IF(STOCK_SISTEMA!D197="","",STOCK_SISTEMA!D197)</f>
        <v>46436.283379629633</v>
      </c>
      <c r="E197" t="str">
        <f>STOCK_SISTEMA!E197</f>
        <v>SF-03/PT/STOCK</v>
      </c>
      <c r="F197" t="str">
        <f>STOCK_SISTEMA!G197</f>
        <v>CajaX20</v>
      </c>
      <c r="G197" s="12">
        <f>STOCK_SISTEMA!F197</f>
        <v>5</v>
      </c>
      <c r="H197" s="12">
        <f>SUMIFS(CONTEOS!$N$2:$N$4000,CONTEOS!$F$2:$F$4000,A197,CONTEOS!$H$2:$H$4000,C197)</f>
        <v>0</v>
      </c>
      <c r="I197" s="12">
        <f t="shared" si="3"/>
        <v>-5</v>
      </c>
      <c r="J197" t="str">
        <f>IF(COUNTIFS(CONTEOS!$F$2:$F$4000,A197,CONTEOS!$H$2:$H$4000,C197)=0,"PENDIENTE",IF(I197=0,"CUADRA",IF(I197&gt;0,"SOBRANTE","FALTANTE")))</f>
        <v>PENDIENTE</v>
      </c>
    </row>
    <row r="198" spans="1:10" ht="28.8" x14ac:dyDescent="0.3">
      <c r="A198" t="str">
        <f>STOCK_SISTEMA!A198</f>
        <v>TC0091PE</v>
      </c>
      <c r="B198" s="13" t="str">
        <f>STOCK_SISTEMA!B198</f>
        <v>[TC0091PE] TIYAPUY PAPAS NATIVAS MIXTAS CNV 142g x 20un</v>
      </c>
      <c r="C198" t="str">
        <f>IF(STOCK_SISTEMA!C198="","",STOCK_SISTEMA!C198)</f>
        <v>SN-10826-E3</v>
      </c>
      <c r="D198" s="11">
        <f>IF(STOCK_SISTEMA!D198="","",STOCK_SISTEMA!D198)</f>
        <v>46430.49355324074</v>
      </c>
      <c r="E198" t="str">
        <f>STOCK_SISTEMA!E198</f>
        <v>SF-03/PT/STOCK</v>
      </c>
      <c r="F198" t="str">
        <f>STOCK_SISTEMA!G198</f>
        <v>CajaX20</v>
      </c>
      <c r="G198" s="12">
        <f>STOCK_SISTEMA!F198</f>
        <v>10</v>
      </c>
      <c r="H198" s="12">
        <f>SUMIFS(CONTEOS!$N$2:$N$4000,CONTEOS!$F$2:$F$4000,A198,CONTEOS!$H$2:$H$4000,C198)</f>
        <v>0</v>
      </c>
      <c r="I198" s="12">
        <f t="shared" si="3"/>
        <v>-10</v>
      </c>
      <c r="J198" t="str">
        <f>IF(COUNTIFS(CONTEOS!$F$2:$F$4000,A198,CONTEOS!$H$2:$H$4000,C198)=0,"PENDIENTE",IF(I198=0,"CUADRA",IF(I198&gt;0,"SOBRANTE","FALTANTE")))</f>
        <v>PENDIENTE</v>
      </c>
    </row>
    <row r="199" spans="1:10" ht="28.8" x14ac:dyDescent="0.3">
      <c r="A199" t="str">
        <f>STOCK_SISTEMA!A199</f>
        <v>TC0091PE</v>
      </c>
      <c r="B199" s="13" t="str">
        <f>STOCK_SISTEMA!B199</f>
        <v>[TC0091PE] TIYAPUY PAPAS NATIVAS MIXTAS CNV 142g x 20un</v>
      </c>
      <c r="C199" t="str">
        <f>IF(STOCK_SISTEMA!C199="","",STOCK_SISTEMA!C199)</f>
        <v>SN-10926-E2</v>
      </c>
      <c r="D199" s="11">
        <f>IF(STOCK_SISTEMA!D199="","",STOCK_SISTEMA!D199)</f>
        <v>46437.241909722223</v>
      </c>
      <c r="E199" t="str">
        <f>STOCK_SISTEMA!E199</f>
        <v>SF-03/PT/STOCK</v>
      </c>
      <c r="F199" t="str">
        <f>STOCK_SISTEMA!G199</f>
        <v>CajaX20</v>
      </c>
      <c r="G199" s="12">
        <f>STOCK_SISTEMA!F199</f>
        <v>4</v>
      </c>
      <c r="H199" s="12">
        <f>SUMIFS(CONTEOS!$N$2:$N$4000,CONTEOS!$F$2:$F$4000,A199,CONTEOS!$H$2:$H$4000,C199)</f>
        <v>0</v>
      </c>
      <c r="I199" s="12">
        <f t="shared" si="3"/>
        <v>-4</v>
      </c>
      <c r="J199" t="str">
        <f>IF(COUNTIFS(CONTEOS!$F$2:$F$4000,A199,CONTEOS!$H$2:$H$4000,C199)=0,"PENDIENTE",IF(I199=0,"CUADRA",IF(I199&gt;0,"SOBRANTE","FALTANTE")))</f>
        <v>PENDIENTE</v>
      </c>
    </row>
    <row r="200" spans="1:10" ht="28.8" x14ac:dyDescent="0.3">
      <c r="A200" t="str">
        <f>STOCK_SISTEMA!A200</f>
        <v>TC0091PE</v>
      </c>
      <c r="B200" s="13" t="str">
        <f>STOCK_SISTEMA!B200</f>
        <v>[TC0091PE] TIYAPUY PAPAS NATIVAS MIXTAS CNV 142g x 20un</v>
      </c>
      <c r="C200" t="str">
        <f>IF(STOCK_SISTEMA!C200="","",STOCK_SISTEMA!C200)</f>
        <v>SN-11126-E2</v>
      </c>
      <c r="D200" s="11">
        <f>IF(STOCK_SISTEMA!D200="","",STOCK_SISTEMA!D200)</f>
        <v>46439.238854166673</v>
      </c>
      <c r="E200" t="str">
        <f>STOCK_SISTEMA!E200</f>
        <v>SF-03/PT/STOCK</v>
      </c>
      <c r="F200" t="str">
        <f>STOCK_SISTEMA!G200</f>
        <v>CajaX20</v>
      </c>
      <c r="G200" s="12">
        <f>STOCK_SISTEMA!F200</f>
        <v>17</v>
      </c>
      <c r="H200" s="12">
        <f>SUMIFS(CONTEOS!$N$2:$N$4000,CONTEOS!$F$2:$F$4000,A200,CONTEOS!$H$2:$H$4000,C200)</f>
        <v>0</v>
      </c>
      <c r="I200" s="12">
        <f t="shared" si="3"/>
        <v>-17</v>
      </c>
      <c r="J200" t="str">
        <f>IF(COUNTIFS(CONTEOS!$F$2:$F$4000,A200,CONTEOS!$H$2:$H$4000,C200)=0,"PENDIENTE",IF(I200=0,"CUADRA",IF(I200&gt;0,"SOBRANTE","FALTANTE")))</f>
        <v>PENDIENTE</v>
      </c>
    </row>
    <row r="201" spans="1:10" ht="28.8" x14ac:dyDescent="0.3">
      <c r="A201" t="str">
        <f>STOCK_SISTEMA!A201</f>
        <v>TC0091PE</v>
      </c>
      <c r="B201" s="13" t="str">
        <f>STOCK_SISTEMA!B201</f>
        <v>[TC0091PE] TIYAPUY PAPAS NATIVAS MIXTAS CNV 142g x 20un</v>
      </c>
      <c r="C201" t="str">
        <f>IF(STOCK_SISTEMA!C201="","",STOCK_SISTEMA!C201)</f>
        <v>SN-11126-E3</v>
      </c>
      <c r="D201" s="11">
        <f>IF(STOCK_SISTEMA!D201="","",STOCK_SISTEMA!D201)</f>
        <v>46439.242395833331</v>
      </c>
      <c r="E201" t="str">
        <f>STOCK_SISTEMA!E201</f>
        <v>SF-03/PT/STOCK</v>
      </c>
      <c r="F201" t="str">
        <f>STOCK_SISTEMA!G201</f>
        <v>CajaX20</v>
      </c>
      <c r="G201" s="12">
        <f>STOCK_SISTEMA!F201</f>
        <v>2</v>
      </c>
      <c r="H201" s="12">
        <f>SUMIFS(CONTEOS!$N$2:$N$4000,CONTEOS!$F$2:$F$4000,A201,CONTEOS!$H$2:$H$4000,C201)</f>
        <v>0</v>
      </c>
      <c r="I201" s="12">
        <f t="shared" si="3"/>
        <v>-2</v>
      </c>
      <c r="J201" t="str">
        <f>IF(COUNTIFS(CONTEOS!$F$2:$F$4000,A201,CONTEOS!$H$2:$H$4000,C201)=0,"PENDIENTE",IF(I201=0,"CUADRA",IF(I201&gt;0,"SOBRANTE","FALTANTE")))</f>
        <v>PENDIENTE</v>
      </c>
    </row>
    <row r="202" spans="1:10" ht="28.8" x14ac:dyDescent="0.3">
      <c r="A202" t="str">
        <f>STOCK_SISTEMA!A202</f>
        <v>TC0091PE</v>
      </c>
      <c r="B202" s="13" t="str">
        <f>STOCK_SISTEMA!B202</f>
        <v>[TC0091PE] TIYAPUY PAPAS NATIVAS MIXTAS CNV 142g x 20un</v>
      </c>
      <c r="C202" t="str">
        <f>IF(STOCK_SISTEMA!C202="","",STOCK_SISTEMA!C202)</f>
        <v>SN-11226-E3</v>
      </c>
      <c r="D202" s="11">
        <f>IF(STOCK_SISTEMA!D202="","",STOCK_SISTEMA!D202)</f>
        <v>46434.197881944441</v>
      </c>
      <c r="E202" t="str">
        <f>STOCK_SISTEMA!E202</f>
        <v>SF-03/PT/STOCK</v>
      </c>
      <c r="F202" t="str">
        <f>STOCK_SISTEMA!G202</f>
        <v>CajaX20</v>
      </c>
      <c r="G202" s="12">
        <f>STOCK_SISTEMA!F202</f>
        <v>1</v>
      </c>
      <c r="H202" s="12">
        <f>SUMIFS(CONTEOS!$N$2:$N$4000,CONTEOS!$F$2:$F$4000,A202,CONTEOS!$H$2:$H$4000,C202)</f>
        <v>0</v>
      </c>
      <c r="I202" s="12">
        <f t="shared" si="3"/>
        <v>-1</v>
      </c>
      <c r="J202" t="str">
        <f>IF(COUNTIFS(CONTEOS!$F$2:$F$4000,A202,CONTEOS!$H$2:$H$4000,C202)=0,"PENDIENTE",IF(I202=0,"CUADRA",IF(I202&gt;0,"SOBRANTE","FALTANTE")))</f>
        <v>PENDIENTE</v>
      </c>
    </row>
    <row r="203" spans="1:10" ht="28.8" x14ac:dyDescent="0.3">
      <c r="A203" t="str">
        <f>STOCK_SISTEMA!A203</f>
        <v>TC0091PE</v>
      </c>
      <c r="B203" s="13" t="str">
        <f>STOCK_SISTEMA!B203</f>
        <v>[TC0091PE] TIYAPUY PAPAS NATIVAS MIXTAS CNV 142g x 20un</v>
      </c>
      <c r="C203" t="str">
        <f>IF(STOCK_SISTEMA!C203="","",STOCK_SISTEMA!C203)</f>
        <v>SN-11226-E4</v>
      </c>
      <c r="D203" s="11">
        <f>IF(STOCK_SISTEMA!D203="","",STOCK_SISTEMA!D203)</f>
        <v>46434.201840277783</v>
      </c>
      <c r="E203" t="str">
        <f>STOCK_SISTEMA!E203</f>
        <v>SF-03/PT/STOCK</v>
      </c>
      <c r="F203" t="str">
        <f>STOCK_SISTEMA!G203</f>
        <v>CajaX20</v>
      </c>
      <c r="G203" s="12">
        <f>STOCK_SISTEMA!F203</f>
        <v>3</v>
      </c>
      <c r="H203" s="12">
        <f>SUMIFS(CONTEOS!$N$2:$N$4000,CONTEOS!$F$2:$F$4000,A203,CONTEOS!$H$2:$H$4000,C203)</f>
        <v>0</v>
      </c>
      <c r="I203" s="12">
        <f t="shared" si="3"/>
        <v>-3</v>
      </c>
      <c r="J203" t="str">
        <f>IF(COUNTIFS(CONTEOS!$F$2:$F$4000,A203,CONTEOS!$H$2:$H$4000,C203)=0,"PENDIENTE",IF(I203=0,"CUADRA",IF(I203&gt;0,"SOBRANTE","FALTANTE")))</f>
        <v>PENDIENTE</v>
      </c>
    </row>
    <row r="204" spans="1:10" ht="28.8" x14ac:dyDescent="0.3">
      <c r="A204" t="str">
        <f>STOCK_SISTEMA!A204</f>
        <v>EE10229</v>
      </c>
      <c r="B204" s="13" t="str">
        <f>STOCK_SISTEMA!B204</f>
        <v>[EE10229] LAMINA RIKY TOK 70 G ONDA PICANTE X KG</v>
      </c>
      <c r="C204" t="str">
        <f>IF(STOCK_SISTEMA!C204="","",STOCK_SISTEMA!C204)</f>
        <v>INFORME 02/26</v>
      </c>
      <c r="D204" s="11">
        <f>IF(STOCK_SISTEMA!D204="","",STOCK_SISTEMA!D204)</f>
        <v>46500.663888888892</v>
      </c>
      <c r="E204" t="str">
        <f>STOCK_SISTEMA!E204</f>
        <v>SF-03/Materiales</v>
      </c>
      <c r="F204" t="str">
        <f>STOCK_SISTEMA!G204</f>
        <v>Kilogramo</v>
      </c>
      <c r="G204" s="12">
        <f>STOCK_SISTEMA!F204</f>
        <v>456.17399999999998</v>
      </c>
      <c r="H204" s="12">
        <f>SUMIFS(CONTEOS!$N$2:$N$4000,CONTEOS!$F$2:$F$4000,A204,CONTEOS!$H$2:$H$4000,C204)</f>
        <v>0</v>
      </c>
      <c r="I204" s="12">
        <f t="shared" si="3"/>
        <v>-456.17399999999998</v>
      </c>
      <c r="J204" t="str">
        <f>IF(COUNTIFS(CONTEOS!$F$2:$F$4000,A204,CONTEOS!$H$2:$H$4000,C204)=0,"PENDIENTE",IF(I204=0,"CUADRA",IF(I204&gt;0,"SOBRANTE","FALTANTE")))</f>
        <v>PENDIENTE</v>
      </c>
    </row>
    <row r="205" spans="1:10" ht="28.8" x14ac:dyDescent="0.3">
      <c r="A205" t="str">
        <f>STOCK_SISTEMA!A205</f>
        <v>EE10032</v>
      </c>
      <c r="B205" s="13" t="str">
        <f>STOCK_SISTEMA!B205</f>
        <v>[EE10032] LAMINA TIYAPUY CHIFLES 30 GR X KG</v>
      </c>
      <c r="C205" t="str">
        <f>IF(STOCK_SISTEMA!C205="","",STOCK_SISTEMA!C205)</f>
        <v>INFORME 01/26</v>
      </c>
      <c r="D205" s="11">
        <f>IF(STOCK_SISTEMA!D205="","",STOCK_SISTEMA!D205)</f>
        <v>46503.667870370373</v>
      </c>
      <c r="E205" t="str">
        <f>STOCK_SISTEMA!E205</f>
        <v>SF-03/Materiales</v>
      </c>
      <c r="F205" t="str">
        <f>STOCK_SISTEMA!G205</f>
        <v>Kilogramo</v>
      </c>
      <c r="G205" s="12">
        <f>STOCK_SISTEMA!F205</f>
        <v>210.02</v>
      </c>
      <c r="H205" s="12">
        <f>SUMIFS(CONTEOS!$N$2:$N$4000,CONTEOS!$F$2:$F$4000,A205,CONTEOS!$H$2:$H$4000,C205)</f>
        <v>0</v>
      </c>
      <c r="I205" s="12">
        <f t="shared" si="3"/>
        <v>-210.02</v>
      </c>
      <c r="J205" t="str">
        <f>IF(COUNTIFS(CONTEOS!$F$2:$F$4000,A205,CONTEOS!$H$2:$H$4000,C205)=0,"PENDIENTE",IF(I205=0,"CUADRA",IF(I205&gt;0,"SOBRANTE","FALTANTE")))</f>
        <v>PENDIENTE</v>
      </c>
    </row>
    <row r="206" spans="1:10" ht="28.8" x14ac:dyDescent="0.3">
      <c r="A206" t="str">
        <f>STOCK_SISTEMA!A206</f>
        <v>EE10035</v>
      </c>
      <c r="B206" s="13" t="str">
        <f>STOCK_SISTEMA!B206</f>
        <v>[EE10035] LAMINA TIYAPUY CAMOTE 30 GR X KG</v>
      </c>
      <c r="C206" t="str">
        <f>IF(STOCK_SISTEMA!C206="","",STOCK_SISTEMA!C206)</f>
        <v>INFORME 01/26</v>
      </c>
      <c r="D206" s="11">
        <f>IF(STOCK_SISTEMA!D206="","",STOCK_SISTEMA!D206)</f>
        <v>46500.668124999997</v>
      </c>
      <c r="E206" t="str">
        <f>STOCK_SISTEMA!E206</f>
        <v>SF-03/Materiales</v>
      </c>
      <c r="F206" t="str">
        <f>STOCK_SISTEMA!G206</f>
        <v>Kilogramo</v>
      </c>
      <c r="G206" s="12">
        <f>STOCK_SISTEMA!F206</f>
        <v>33.658999999999999</v>
      </c>
      <c r="H206" s="12">
        <f>SUMIFS(CONTEOS!$N$2:$N$4000,CONTEOS!$F$2:$F$4000,A206,CONTEOS!$H$2:$H$4000,C206)</f>
        <v>0</v>
      </c>
      <c r="I206" s="12">
        <f t="shared" si="3"/>
        <v>-33.658999999999999</v>
      </c>
      <c r="J206" t="str">
        <f>IF(COUNTIFS(CONTEOS!$F$2:$F$4000,A206,CONTEOS!$H$2:$H$4000,C206)=0,"PENDIENTE",IF(I206=0,"CUADRA",IF(I206&gt;0,"SOBRANTE","FALTANTE")))</f>
        <v>PENDIENTE</v>
      </c>
    </row>
    <row r="207" spans="1:10" ht="28.8" x14ac:dyDescent="0.3">
      <c r="A207" t="str">
        <f>STOCK_SISTEMA!A207</f>
        <v>TC0091PE</v>
      </c>
      <c r="B207" s="13" t="str">
        <f>STOCK_SISTEMA!B207</f>
        <v>[TC0091PE] TIYAPUY PAPAS NATIVAS MIXTAS CNV 142g x 20un</v>
      </c>
      <c r="C207" t="str">
        <f>IF(STOCK_SISTEMA!C207="","",STOCK_SISTEMA!C207)</f>
        <v>SN-11626-E7</v>
      </c>
      <c r="D207" s="11">
        <f>IF(STOCK_SISTEMA!D207="","",STOCK_SISTEMA!D207)</f>
        <v>46438.483912037038</v>
      </c>
      <c r="E207" t="str">
        <f>STOCK_SISTEMA!E207</f>
        <v>SF-03/PT/STOCK</v>
      </c>
      <c r="F207" t="str">
        <f>STOCK_SISTEMA!G207</f>
        <v>CajaX20</v>
      </c>
      <c r="G207" s="12">
        <f>STOCK_SISTEMA!F207</f>
        <v>36</v>
      </c>
      <c r="H207" s="12">
        <f>SUMIFS(CONTEOS!$N$2:$N$4000,CONTEOS!$F$2:$F$4000,A207,CONTEOS!$H$2:$H$4000,C207)</f>
        <v>0</v>
      </c>
      <c r="I207" s="12">
        <f t="shared" si="3"/>
        <v>-36</v>
      </c>
      <c r="J207" t="str">
        <f>IF(COUNTIFS(CONTEOS!$F$2:$F$4000,A207,CONTEOS!$H$2:$H$4000,C207)=0,"PENDIENTE",IF(I207=0,"CUADRA",IF(I207&gt;0,"SOBRANTE","FALTANTE")))</f>
        <v>PENDIENTE</v>
      </c>
    </row>
    <row r="208" spans="1:10" ht="28.8" x14ac:dyDescent="0.3">
      <c r="A208" t="str">
        <f>STOCK_SISTEMA!A208</f>
        <v>MP10019-1</v>
      </c>
      <c r="B208" s="13" t="str">
        <f>STOCK_SISTEMA!B208</f>
        <v>[MP10019-1] SABOR TIYAPUY AJI AMARILLO MX SP A60948-28 CRAMER X KG</v>
      </c>
      <c r="C208" t="str">
        <f>IF(STOCK_SISTEMA!C208="","",STOCK_SISTEMA!C208)</f>
        <v>INFORME 02/26</v>
      </c>
      <c r="D208" s="11">
        <f>IF(STOCK_SISTEMA!D208="","",STOCK_SISTEMA!D208)</f>
        <v>46490.011574074073</v>
      </c>
      <c r="E208" t="str">
        <f>STOCK_SISTEMA!E208</f>
        <v>SF-03/Materiales</v>
      </c>
      <c r="F208" t="str">
        <f>STOCK_SISTEMA!G208</f>
        <v>Kilogramo</v>
      </c>
      <c r="G208" s="12">
        <f>STOCK_SISTEMA!F208</f>
        <v>30.808</v>
      </c>
      <c r="H208" s="12">
        <f>SUMIFS(CONTEOS!$N$2:$N$4000,CONTEOS!$F$2:$F$4000,A208,CONTEOS!$H$2:$H$4000,C208)</f>
        <v>0</v>
      </c>
      <c r="I208" s="12">
        <f t="shared" si="3"/>
        <v>-30.808</v>
      </c>
      <c r="J208" t="str">
        <f>IF(COUNTIFS(CONTEOS!$F$2:$F$4000,A208,CONTEOS!$H$2:$H$4000,C208)=0,"PENDIENTE",IF(I208=0,"CUADRA",IF(I208&gt;0,"SOBRANTE","FALTANTE")))</f>
        <v>PENDIENTE</v>
      </c>
    </row>
    <row r="209" spans="1:10" ht="28.8" x14ac:dyDescent="0.3">
      <c r="A209" t="str">
        <f>STOCK_SISTEMA!A209</f>
        <v>TQ0035PE</v>
      </c>
      <c r="B209" s="13" t="str">
        <f>STOCK_SISTEMA!B209</f>
        <v>[TQ0035PE] TIYAPUY EXTRUIDO FRITO A BASE DE QUINUA 100g x 18und.</v>
      </c>
      <c r="C209" t="str">
        <f>IF(STOCK_SISTEMA!C209="","",STOCK_SISTEMA!C209)</f>
        <v>QN-09926-E5</v>
      </c>
      <c r="D209" s="11">
        <f>IF(STOCK_SISTEMA!D209="","",STOCK_SISTEMA!D209)</f>
        <v>46486.219918981478</v>
      </c>
      <c r="E209" t="str">
        <f>STOCK_SISTEMA!E209</f>
        <v>SF-03/PT/SALDOS</v>
      </c>
      <c r="F209" t="str">
        <f>STOCK_SISTEMA!G209</f>
        <v>CajaX18</v>
      </c>
      <c r="G209" s="12">
        <f>STOCK_SISTEMA!F209</f>
        <v>25.5486</v>
      </c>
      <c r="H209" s="12">
        <f>SUMIFS(CONTEOS!$N$2:$N$4000,CONTEOS!$F$2:$F$4000,A209,CONTEOS!$H$2:$H$4000,C209)</f>
        <v>0</v>
      </c>
      <c r="I209" s="12">
        <f t="shared" si="3"/>
        <v>-25.5486</v>
      </c>
      <c r="J209" t="str">
        <f>IF(COUNTIFS(CONTEOS!$F$2:$F$4000,A209,CONTEOS!$H$2:$H$4000,C209)=0,"PENDIENTE",IF(I209=0,"CUADRA",IF(I209&gt;0,"SOBRANTE","FALTANTE")))</f>
        <v>PENDIENTE</v>
      </c>
    </row>
    <row r="210" spans="1:10" ht="28.8" x14ac:dyDescent="0.3">
      <c r="A210" t="str">
        <f>STOCK_SISTEMA!A210</f>
        <v>TC0004PE</v>
      </c>
      <c r="B210" s="13" t="str">
        <f>STOCK_SISTEMA!B210</f>
        <v>[TC0004PE] TIYAPUY CHIFLES SALADO C/T 30g x 72un</v>
      </c>
      <c r="C210" t="str">
        <f>IF(STOCK_SISTEMA!C210="","",STOCK_SISTEMA!C210)</f>
        <v>SC-10826-E7</v>
      </c>
      <c r="D210" s="11">
        <f>IF(STOCK_SISTEMA!D210="","",STOCK_SISTEMA!D210)</f>
        <v>46436.080393518518</v>
      </c>
      <c r="E210" t="str">
        <f>STOCK_SISTEMA!E210</f>
        <v>SF-03/PT/SALDOS</v>
      </c>
      <c r="F210" t="str">
        <f>STOCK_SISTEMA!G210</f>
        <v>CajaX72</v>
      </c>
      <c r="G210" s="12">
        <f>STOCK_SISTEMA!F210</f>
        <v>19</v>
      </c>
      <c r="H210" s="12">
        <f>SUMIFS(CONTEOS!$N$2:$N$4000,CONTEOS!$F$2:$F$4000,A210,CONTEOS!$H$2:$H$4000,C210)</f>
        <v>0</v>
      </c>
      <c r="I210" s="12">
        <f t="shared" si="3"/>
        <v>-19</v>
      </c>
      <c r="J210" t="str">
        <f>IF(COUNTIFS(CONTEOS!$F$2:$F$4000,A210,CONTEOS!$H$2:$H$4000,C210)=0,"PENDIENTE",IF(I210=0,"CUADRA",IF(I210&gt;0,"SOBRANTE","FALTANTE")))</f>
        <v>PENDIENTE</v>
      </c>
    </row>
    <row r="211" spans="1:10" ht="28.8" x14ac:dyDescent="0.3">
      <c r="A211" t="str">
        <f>STOCK_SISTEMA!A211</f>
        <v>TC0008MX</v>
      </c>
      <c r="B211" s="13" t="str">
        <f>STOCK_SISTEMA!B211</f>
        <v>[TC0008MX] PAPAS EN HOJUELAS FRITAS CON SABOR CHILE JALAPEÑO 142g X 20un</v>
      </c>
      <c r="C211" t="str">
        <f>IF(STOCK_SISTEMA!C211="","",STOCK_SISTEMA!C211)</f>
        <v>PJ-07026-E4</v>
      </c>
      <c r="D211" s="11">
        <f>IF(STOCK_SISTEMA!D211="","",STOCK_SISTEMA!D211)</f>
        <v>46429.874675925923</v>
      </c>
      <c r="E211" t="str">
        <f>STOCK_SISTEMA!E211</f>
        <v>SF-03/PT/SALDOS</v>
      </c>
      <c r="F211" t="str">
        <f>STOCK_SISTEMA!G211</f>
        <v>CajaX20</v>
      </c>
      <c r="G211" s="12">
        <f>STOCK_SISTEMA!F211</f>
        <v>19</v>
      </c>
      <c r="H211" s="12">
        <f>SUMIFS(CONTEOS!$N$2:$N$4000,CONTEOS!$F$2:$F$4000,A211,CONTEOS!$H$2:$H$4000,C211)</f>
        <v>0</v>
      </c>
      <c r="I211" s="12">
        <f t="shared" si="3"/>
        <v>-19</v>
      </c>
      <c r="J211" t="str">
        <f>IF(COUNTIFS(CONTEOS!$F$2:$F$4000,A211,CONTEOS!$H$2:$H$4000,C211)=0,"PENDIENTE",IF(I211=0,"CUADRA",IF(I211&gt;0,"SOBRANTE","FALTANTE")))</f>
        <v>PENDIENTE</v>
      </c>
    </row>
    <row r="212" spans="1:10" ht="28.8" x14ac:dyDescent="0.3">
      <c r="A212" t="str">
        <f>STOCK_SISTEMA!A212</f>
        <v>TC0006PE</v>
      </c>
      <c r="B212" s="13" t="str">
        <f>STOCK_SISTEMA!B212</f>
        <v>[TC0006PE] TIYAPUY PAPAS NATIVAS MIXTAS CNV C/T 30g x 72un</v>
      </c>
      <c r="C212" t="str">
        <f>IF(STOCK_SISTEMA!C212="","",STOCK_SISTEMA!C212)</f>
        <v>SN-00626-E7T1</v>
      </c>
      <c r="D212" s="11">
        <f>IF(STOCK_SISTEMA!D212="","",STOCK_SISTEMA!D212)</f>
        <v>46332</v>
      </c>
      <c r="E212" t="str">
        <f>STOCK_SISTEMA!E212</f>
        <v>SF-03/PT/SALDOS</v>
      </c>
      <c r="F212" t="str">
        <f>STOCK_SISTEMA!G212</f>
        <v>CajaX72</v>
      </c>
      <c r="G212" s="12">
        <f>STOCK_SISTEMA!F212</f>
        <v>15</v>
      </c>
      <c r="H212" s="12">
        <f>SUMIFS(CONTEOS!$N$2:$N$4000,CONTEOS!$F$2:$F$4000,A212,CONTEOS!$H$2:$H$4000,C212)</f>
        <v>0</v>
      </c>
      <c r="I212" s="12">
        <f t="shared" si="3"/>
        <v>-15</v>
      </c>
      <c r="J212" t="str">
        <f>IF(COUNTIFS(CONTEOS!$F$2:$F$4000,A212,CONTEOS!$H$2:$H$4000,C212)=0,"PENDIENTE",IF(I212=0,"CUADRA",IF(I212&gt;0,"SOBRANTE","FALTANTE")))</f>
        <v>PENDIENTE</v>
      </c>
    </row>
    <row r="213" spans="1:10" ht="28.8" x14ac:dyDescent="0.3">
      <c r="A213" t="str">
        <f>STOCK_SISTEMA!A213</f>
        <v>TC0091PE</v>
      </c>
      <c r="B213" s="13" t="str">
        <f>STOCK_SISTEMA!B213</f>
        <v>[TC0091PE] TIYAPUY PAPAS NATIVAS MIXTAS CNV 142g x 20un</v>
      </c>
      <c r="C213" t="str">
        <f>IF(STOCK_SISTEMA!C213="","",STOCK_SISTEMA!C213)</f>
        <v>SN-03526-E4</v>
      </c>
      <c r="D213" s="11">
        <f>IF(STOCK_SISTEMA!D213="","",STOCK_SISTEMA!D213)</f>
        <v>46360.037905092591</v>
      </c>
      <c r="E213" t="str">
        <f>STOCK_SISTEMA!E213</f>
        <v>SF-03/PT/SALDOS</v>
      </c>
      <c r="F213" t="str">
        <f>STOCK_SISTEMA!G213</f>
        <v>CajaX20</v>
      </c>
      <c r="G213" s="12">
        <f>STOCK_SISTEMA!F213</f>
        <v>7.45</v>
      </c>
      <c r="H213" s="12">
        <f>SUMIFS(CONTEOS!$N$2:$N$4000,CONTEOS!$F$2:$F$4000,A213,CONTEOS!$H$2:$H$4000,C213)</f>
        <v>0</v>
      </c>
      <c r="I213" s="12">
        <f t="shared" si="3"/>
        <v>-7.45</v>
      </c>
      <c r="J213" t="str">
        <f>IF(COUNTIFS(CONTEOS!$F$2:$F$4000,A213,CONTEOS!$H$2:$H$4000,C213)=0,"PENDIENTE",IF(I213=0,"CUADRA",IF(I213&gt;0,"SOBRANTE","FALTANTE")))</f>
        <v>PENDIENTE</v>
      </c>
    </row>
    <row r="214" spans="1:10" ht="28.8" x14ac:dyDescent="0.3">
      <c r="A214" t="str">
        <f>STOCK_SISTEMA!A214</f>
        <v>TQ0035PE</v>
      </c>
      <c r="B214" s="13" t="str">
        <f>STOCK_SISTEMA!B214</f>
        <v>[TQ0035PE] TIYAPUY EXTRUIDO FRITO A BASE DE QUINUA 100g x 18und.</v>
      </c>
      <c r="C214" t="str">
        <f>IF(STOCK_SISTEMA!C214="","",STOCK_SISTEMA!C214)</f>
        <v>QN-10126-E5</v>
      </c>
      <c r="D214" s="11">
        <f>IF(STOCK_SISTEMA!D214="","",STOCK_SISTEMA!D214)</f>
        <v>46488.187997685192</v>
      </c>
      <c r="E214" t="str">
        <f>STOCK_SISTEMA!E214</f>
        <v>SF-03/PT/SALDOS</v>
      </c>
      <c r="F214" t="str">
        <f>STOCK_SISTEMA!G214</f>
        <v>CajaX18</v>
      </c>
      <c r="G214" s="12">
        <f>STOCK_SISTEMA!F214</f>
        <v>7.5556000000000001</v>
      </c>
      <c r="H214" s="12">
        <f>SUMIFS(CONTEOS!$N$2:$N$4000,CONTEOS!$F$2:$F$4000,A214,CONTEOS!$H$2:$H$4000,C214)</f>
        <v>0</v>
      </c>
      <c r="I214" s="12">
        <f t="shared" si="3"/>
        <v>-7.5556000000000001</v>
      </c>
      <c r="J214" t="str">
        <f>IF(COUNTIFS(CONTEOS!$F$2:$F$4000,A214,CONTEOS!$H$2:$H$4000,C214)=0,"PENDIENTE",IF(I214=0,"CUADRA",IF(I214&gt;0,"SOBRANTE","FALTANTE")))</f>
        <v>PENDIENTE</v>
      </c>
    </row>
    <row r="215" spans="1:10" ht="28.8" x14ac:dyDescent="0.3">
      <c r="A215" t="str">
        <f>STOCK_SISTEMA!A215</f>
        <v>TC0006PE</v>
      </c>
      <c r="B215" s="13" t="str">
        <f>STOCK_SISTEMA!B215</f>
        <v>[TC0006PE] TIYAPUY PAPAS NATIVAS MIXTAS CNV C/T 30g x 72un</v>
      </c>
      <c r="C215" t="str">
        <f>IF(STOCK_SISTEMA!C215="","",STOCK_SISTEMA!C215)</f>
        <v>SN-10326-E3</v>
      </c>
      <c r="D215" s="11">
        <f>IF(STOCK_SISTEMA!D215="","",STOCK_SISTEMA!D215)</f>
        <v>46425.732974537037</v>
      </c>
      <c r="E215" t="str">
        <f>STOCK_SISTEMA!E215</f>
        <v>SF-03/PT/SALDOS</v>
      </c>
      <c r="F215" t="str">
        <f>STOCK_SISTEMA!G215</f>
        <v>CajaX72</v>
      </c>
      <c r="G215" s="12">
        <f>STOCK_SISTEMA!F215</f>
        <v>7</v>
      </c>
      <c r="H215" s="12">
        <f>SUMIFS(CONTEOS!$N$2:$N$4000,CONTEOS!$F$2:$F$4000,A215,CONTEOS!$H$2:$H$4000,C215)</f>
        <v>0</v>
      </c>
      <c r="I215" s="12">
        <f t="shared" si="3"/>
        <v>-7</v>
      </c>
      <c r="J215" t="str">
        <f>IF(COUNTIFS(CONTEOS!$F$2:$F$4000,A215,CONTEOS!$H$2:$H$4000,C215)=0,"PENDIENTE",IF(I215=0,"CUADRA",IF(I215&gt;0,"SOBRANTE","FALTANTE")))</f>
        <v>PENDIENTE</v>
      </c>
    </row>
    <row r="216" spans="1:10" ht="43.2" x14ac:dyDescent="0.3">
      <c r="A216" t="str">
        <f>STOCK_SISTEMA!A216</f>
        <v>TC0016PE</v>
      </c>
      <c r="B216" s="13" t="str">
        <f>STOCK_SISTEMA!B216</f>
        <v>[TC0016PE] TIYAPUY  HOJUELAS DE PAPAS NATIVAS FRITAS CON SAL ALT S/T 30g x 72und.</v>
      </c>
      <c r="C216" t="str">
        <f>IF(STOCK_SISTEMA!C216="","",STOCK_SISTEMA!C216)</f>
        <v>SN-09126-E5</v>
      </c>
      <c r="D216" s="11">
        <f>IF(STOCK_SISTEMA!D216="","",STOCK_SISTEMA!D216)</f>
        <v>46419</v>
      </c>
      <c r="E216" t="str">
        <f>STOCK_SISTEMA!E216</f>
        <v>SF-03/PT/SALDOS</v>
      </c>
      <c r="F216" t="str">
        <f>STOCK_SISTEMA!G216</f>
        <v>CajaX72</v>
      </c>
      <c r="G216" s="12">
        <f>STOCK_SISTEMA!F216</f>
        <v>6</v>
      </c>
      <c r="H216" s="12">
        <f>SUMIFS(CONTEOS!$N$2:$N$4000,CONTEOS!$F$2:$F$4000,A216,CONTEOS!$H$2:$H$4000,C216)</f>
        <v>0</v>
      </c>
      <c r="I216" s="12">
        <f t="shared" si="3"/>
        <v>-6</v>
      </c>
      <c r="J216" t="str">
        <f>IF(COUNTIFS(CONTEOS!$F$2:$F$4000,A216,CONTEOS!$H$2:$H$4000,C216)=0,"PENDIENTE",IF(I216=0,"CUADRA",IF(I216&gt;0,"SOBRANTE","FALTANTE")))</f>
        <v>PENDIENTE</v>
      </c>
    </row>
    <row r="217" spans="1:10" ht="28.8" x14ac:dyDescent="0.3">
      <c r="A217" t="str">
        <f>STOCK_SISTEMA!A217</f>
        <v>TQ0038PE</v>
      </c>
      <c r="B217" s="13" t="str">
        <f>STOCK_SISTEMA!B217</f>
        <v>[TQ0038PE] TIYAPUY CHIPS QUINUA BBQ 40g x 48un</v>
      </c>
      <c r="C217" t="str">
        <f>IF(STOCK_SISTEMA!C217="","",STOCK_SISTEMA!C217)</f>
        <v>QB-05526-E10</v>
      </c>
      <c r="D217" s="11">
        <f>IF(STOCK_SISTEMA!D217="","",STOCK_SISTEMA!D217)</f>
        <v>46442.918865740743</v>
      </c>
      <c r="E217" t="str">
        <f>STOCK_SISTEMA!E217</f>
        <v>SF-03/PT/SALDOS</v>
      </c>
      <c r="F217" t="str">
        <f>STOCK_SISTEMA!G217</f>
        <v>CajaX48</v>
      </c>
      <c r="G217" s="12">
        <f>STOCK_SISTEMA!F217</f>
        <v>6</v>
      </c>
      <c r="H217" s="12">
        <f>SUMIFS(CONTEOS!$N$2:$N$4000,CONTEOS!$F$2:$F$4000,A217,CONTEOS!$H$2:$H$4000,C217)</f>
        <v>0</v>
      </c>
      <c r="I217" s="12">
        <f t="shared" si="3"/>
        <v>-6</v>
      </c>
      <c r="J217" t="str">
        <f>IF(COUNTIFS(CONTEOS!$F$2:$F$4000,A217,CONTEOS!$H$2:$H$4000,C217)=0,"PENDIENTE",IF(I217=0,"CUADRA",IF(I217&gt;0,"SOBRANTE","FALTANTE")))</f>
        <v>PENDIENTE</v>
      </c>
    </row>
    <row r="218" spans="1:10" ht="28.8" x14ac:dyDescent="0.3">
      <c r="A218" t="str">
        <f>STOCK_SISTEMA!A218</f>
        <v>TQ0035PE</v>
      </c>
      <c r="B218" s="13" t="str">
        <f>STOCK_SISTEMA!B218</f>
        <v>[TQ0035PE] TIYAPUY EXTRUIDO FRITO A BASE DE QUINUA 100g x 18und.</v>
      </c>
      <c r="C218" t="str">
        <f>IF(STOCK_SISTEMA!C218="","",STOCK_SISTEMA!C218)</f>
        <v>QN-09826-E5</v>
      </c>
      <c r="D218" s="11">
        <f>IF(STOCK_SISTEMA!D218="","",STOCK_SISTEMA!D218)</f>
        <v>46249.290613425917</v>
      </c>
      <c r="E218" t="str">
        <f>STOCK_SISTEMA!E218</f>
        <v>SF-03/PT/SALDOS</v>
      </c>
      <c r="F218" t="str">
        <f>STOCK_SISTEMA!G218</f>
        <v>CajaX18</v>
      </c>
      <c r="G218" s="12">
        <f>STOCK_SISTEMA!F218</f>
        <v>4.7222</v>
      </c>
      <c r="H218" s="12">
        <f>SUMIFS(CONTEOS!$N$2:$N$4000,CONTEOS!$F$2:$F$4000,A218,CONTEOS!$H$2:$H$4000,C218)</f>
        <v>0</v>
      </c>
      <c r="I218" s="12">
        <f t="shared" si="3"/>
        <v>-4.7222</v>
      </c>
      <c r="J218" t="str">
        <f>IF(COUNTIFS(CONTEOS!$F$2:$F$4000,A218,CONTEOS!$H$2:$H$4000,C218)=0,"PENDIENTE",IF(I218=0,"CUADRA",IF(I218&gt;0,"SOBRANTE","FALTANTE")))</f>
        <v>PENDIENTE</v>
      </c>
    </row>
    <row r="219" spans="1:10" ht="28.8" x14ac:dyDescent="0.3">
      <c r="A219" t="str">
        <f>STOCK_SISTEMA!A219</f>
        <v>TQ0037PE</v>
      </c>
      <c r="B219" s="13" t="str">
        <f>STOCK_SISTEMA!B219</f>
        <v>[TQ0037PE] TIYAPUY CHIPS QUINUA NATURAL 40g x 48un</v>
      </c>
      <c r="C219" t="str">
        <f>IF(STOCK_SISTEMA!C219="","",STOCK_SISTEMA!C219)</f>
        <v>QN-31025</v>
      </c>
      <c r="D219" s="11">
        <f>IF(STOCK_SISTEMA!D219="","",STOCK_SISTEMA!D219)</f>
        <v>46327.410393518519</v>
      </c>
      <c r="E219" t="str">
        <f>STOCK_SISTEMA!E219</f>
        <v>SF-03/PT/SALDOS</v>
      </c>
      <c r="F219" t="str">
        <f>STOCK_SISTEMA!G219</f>
        <v>CajaX48</v>
      </c>
      <c r="G219" s="12">
        <f>STOCK_SISTEMA!F219</f>
        <v>1</v>
      </c>
      <c r="H219" s="12">
        <f>SUMIFS(CONTEOS!$N$2:$N$4000,CONTEOS!$F$2:$F$4000,A219,CONTEOS!$H$2:$H$4000,C219)</f>
        <v>0</v>
      </c>
      <c r="I219" s="12">
        <f t="shared" si="3"/>
        <v>-1</v>
      </c>
      <c r="J219" t="str">
        <f>IF(COUNTIFS(CONTEOS!$F$2:$F$4000,A219,CONTEOS!$H$2:$H$4000,C219)=0,"PENDIENTE",IF(I219=0,"CUADRA",IF(I219&gt;0,"SOBRANTE","FALTANTE")))</f>
        <v>PENDIENTE</v>
      </c>
    </row>
    <row r="220" spans="1:10" ht="28.8" x14ac:dyDescent="0.3">
      <c r="A220" t="str">
        <f>STOCK_SISTEMA!A220</f>
        <v>TQ0038PE</v>
      </c>
      <c r="B220" s="13" t="str">
        <f>STOCK_SISTEMA!B220</f>
        <v>[TQ0038PE] TIYAPUY CHIPS QUINUA BBQ 40g x 48un</v>
      </c>
      <c r="C220" t="str">
        <f>IF(STOCK_SISTEMA!C220="","",STOCK_SISTEMA!C220)</f>
        <v>QB-10126-E5</v>
      </c>
      <c r="D220" s="11">
        <f>IF(STOCK_SISTEMA!D220="","",STOCK_SISTEMA!D220)</f>
        <v>46488.010358796288</v>
      </c>
      <c r="E220" t="str">
        <f>STOCK_SISTEMA!E220</f>
        <v>SF-03/PT/SALDOS</v>
      </c>
      <c r="F220" t="str">
        <f>STOCK_SISTEMA!G220</f>
        <v>CajaX48</v>
      </c>
      <c r="G220" s="12">
        <f>STOCK_SISTEMA!F220</f>
        <v>3</v>
      </c>
      <c r="H220" s="12">
        <f>SUMIFS(CONTEOS!$N$2:$N$4000,CONTEOS!$F$2:$F$4000,A220,CONTEOS!$H$2:$H$4000,C220)</f>
        <v>0</v>
      </c>
      <c r="I220" s="12">
        <f t="shared" si="3"/>
        <v>-3</v>
      </c>
      <c r="J220" t="str">
        <f>IF(COUNTIFS(CONTEOS!$F$2:$F$4000,A220,CONTEOS!$H$2:$H$4000,C220)=0,"PENDIENTE",IF(I220=0,"CUADRA",IF(I220&gt;0,"SOBRANTE","FALTANTE")))</f>
        <v>PENDIENTE</v>
      </c>
    </row>
    <row r="221" spans="1:10" ht="28.8" x14ac:dyDescent="0.3">
      <c r="A221" t="str">
        <f>STOCK_SISTEMA!A221</f>
        <v>TC0082PE</v>
      </c>
      <c r="B221" s="13" t="str">
        <f>STOCK_SISTEMA!B221</f>
        <v>[TC0082PE] TIYAPUY HOJUELAS DE PAPAS NATIVAS FRITAS CON SAL 40g x 48ud.</v>
      </c>
      <c r="C221" t="str">
        <f>IF(STOCK_SISTEMA!C221="","",STOCK_SISTEMA!C221)</f>
        <v>SN-10426-E2</v>
      </c>
      <c r="D221" s="11">
        <f>IF(STOCK_SISTEMA!D221="","",STOCK_SISTEMA!D221)</f>
        <v>46432.174756944441</v>
      </c>
      <c r="E221" t="str">
        <f>STOCK_SISTEMA!E221</f>
        <v>SF-03/PT/SALDOS</v>
      </c>
      <c r="F221" t="str">
        <f>STOCK_SISTEMA!G221</f>
        <v>CajaX48</v>
      </c>
      <c r="G221" s="12">
        <f>STOCK_SISTEMA!F221</f>
        <v>1</v>
      </c>
      <c r="H221" s="12">
        <f>SUMIFS(CONTEOS!$N$2:$N$4000,CONTEOS!$F$2:$F$4000,A221,CONTEOS!$H$2:$H$4000,C221)</f>
        <v>0</v>
      </c>
      <c r="I221" s="12">
        <f t="shared" si="3"/>
        <v>-1</v>
      </c>
      <c r="J221" t="str">
        <f>IF(COUNTIFS(CONTEOS!$F$2:$F$4000,A221,CONTEOS!$H$2:$H$4000,C221)=0,"PENDIENTE",IF(I221=0,"CUADRA",IF(I221&gt;0,"SOBRANTE","FALTANTE")))</f>
        <v>PENDIENTE</v>
      </c>
    </row>
    <row r="222" spans="1:10" ht="43.2" x14ac:dyDescent="0.3">
      <c r="A222" t="str">
        <f>STOCK_SISTEMA!A222</f>
        <v>TC0016PE</v>
      </c>
      <c r="B222" s="13" t="str">
        <f>STOCK_SISTEMA!B222</f>
        <v>[TC0016PE] TIYAPUY  HOJUELAS DE PAPAS NATIVAS FRITAS CON SAL ALT S/T 30g x 72und.</v>
      </c>
      <c r="C222" t="str">
        <f>IF(STOCK_SISTEMA!C222="","",STOCK_SISTEMA!C222)</f>
        <v>SN-09226-E7</v>
      </c>
      <c r="D222" s="11">
        <f>IF(STOCK_SISTEMA!D222="","",STOCK_SISTEMA!D222)</f>
        <v>46418.345706018517</v>
      </c>
      <c r="E222" t="str">
        <f>STOCK_SISTEMA!E222</f>
        <v>SF-03/PT/SALDOS</v>
      </c>
      <c r="F222" t="str">
        <f>STOCK_SISTEMA!G222</f>
        <v>CajaX72</v>
      </c>
      <c r="G222" s="12">
        <f>STOCK_SISTEMA!F222</f>
        <v>1</v>
      </c>
      <c r="H222" s="12">
        <f>SUMIFS(CONTEOS!$N$2:$N$4000,CONTEOS!$F$2:$F$4000,A222,CONTEOS!$H$2:$H$4000,C222)</f>
        <v>0</v>
      </c>
      <c r="I222" s="12">
        <f t="shared" si="3"/>
        <v>-1</v>
      </c>
      <c r="J222" t="str">
        <f>IF(COUNTIFS(CONTEOS!$F$2:$F$4000,A222,CONTEOS!$H$2:$H$4000,C222)=0,"PENDIENTE",IF(I222=0,"CUADRA",IF(I222&gt;0,"SOBRANTE","FALTANTE")))</f>
        <v>PENDIENTE</v>
      </c>
    </row>
    <row r="223" spans="1:10" ht="28.8" x14ac:dyDescent="0.3">
      <c r="A223" t="str">
        <f>STOCK_SISTEMA!A223</f>
        <v>TC0099PE</v>
      </c>
      <c r="B223" s="13" t="str">
        <f>STOCK_SISTEMA!B223</f>
        <v>[TC0099PE] TIYAPUY CHIFLES SALADO 142g x 20un</v>
      </c>
      <c r="C223" t="str">
        <f>IF(STOCK_SISTEMA!C223="","",STOCK_SISTEMA!C223)</f>
        <v>SP-03726-E1</v>
      </c>
      <c r="D223" s="11">
        <f>IF(STOCK_SISTEMA!D223="","",STOCK_SISTEMA!D223)</f>
        <v>46362.141400462962</v>
      </c>
      <c r="E223" t="str">
        <f>STOCK_SISTEMA!E223</f>
        <v>SF-03/PT/SALDOS</v>
      </c>
      <c r="F223" t="str">
        <f>STOCK_SISTEMA!G223</f>
        <v>CajaX20</v>
      </c>
      <c r="G223" s="12">
        <f>STOCK_SISTEMA!F223</f>
        <v>2</v>
      </c>
      <c r="H223" s="12">
        <f>SUMIFS(CONTEOS!$N$2:$N$4000,CONTEOS!$F$2:$F$4000,A223,CONTEOS!$H$2:$H$4000,C223)</f>
        <v>0</v>
      </c>
      <c r="I223" s="12">
        <f t="shared" si="3"/>
        <v>-2</v>
      </c>
      <c r="J223" t="str">
        <f>IF(COUNTIFS(CONTEOS!$F$2:$F$4000,A223,CONTEOS!$H$2:$H$4000,C223)=0,"PENDIENTE",IF(I223=0,"CUADRA",IF(I223&gt;0,"SOBRANTE","FALTANTE")))</f>
        <v>PENDIENTE</v>
      </c>
    </row>
    <row r="224" spans="1:10" ht="28.8" x14ac:dyDescent="0.3">
      <c r="A224" t="str">
        <f>STOCK_SISTEMA!A224</f>
        <v>TC0086PE</v>
      </c>
      <c r="B224" s="13" t="str">
        <f>STOCK_SISTEMA!B224</f>
        <v>[TC0086PE] TIYAPUY CAMOTES SALADO 40g x 48un</v>
      </c>
      <c r="C224" t="str">
        <f>IF(STOCK_SISTEMA!C224="","",STOCK_SISTEMA!C224)</f>
        <v>SC-08826-E8</v>
      </c>
      <c r="D224" s="11">
        <f>IF(STOCK_SISTEMA!D224="","",STOCK_SISTEMA!D224)</f>
        <v>46416.878055555557</v>
      </c>
      <c r="E224" t="str">
        <f>STOCK_SISTEMA!E224</f>
        <v>SF-03/PT/SALDOS</v>
      </c>
      <c r="F224" t="str">
        <f>STOCK_SISTEMA!G224</f>
        <v>CajaX48</v>
      </c>
      <c r="G224" s="12">
        <f>STOCK_SISTEMA!F224</f>
        <v>2</v>
      </c>
      <c r="H224" s="12">
        <f>SUMIFS(CONTEOS!$N$2:$N$4000,CONTEOS!$F$2:$F$4000,A224,CONTEOS!$H$2:$H$4000,C224)</f>
        <v>0</v>
      </c>
      <c r="I224" s="12">
        <f t="shared" si="3"/>
        <v>-2</v>
      </c>
      <c r="J224" t="str">
        <f>IF(COUNTIFS(CONTEOS!$F$2:$F$4000,A224,CONTEOS!$H$2:$H$4000,C224)=0,"PENDIENTE",IF(I224=0,"CUADRA",IF(I224&gt;0,"SOBRANTE","FALTANTE")))</f>
        <v>PENDIENTE</v>
      </c>
    </row>
    <row r="225" spans="1:10" ht="28.8" x14ac:dyDescent="0.3">
      <c r="A225" t="str">
        <f>STOCK_SISTEMA!A225</f>
        <v>TC0086PE</v>
      </c>
      <c r="B225" s="13" t="str">
        <f>STOCK_SISTEMA!B225</f>
        <v>[TC0086PE] TIYAPUY CAMOTES SALADO 40g x 48un</v>
      </c>
      <c r="C225" t="str">
        <f>IF(STOCK_SISTEMA!C225="","",STOCK_SISTEMA!C225)</f>
        <v>SC-09026-E8</v>
      </c>
      <c r="D225" s="11">
        <f>IF(STOCK_SISTEMA!D225="","",STOCK_SISTEMA!D225)</f>
        <v>46418.187719907408</v>
      </c>
      <c r="E225" t="str">
        <f>STOCK_SISTEMA!E225</f>
        <v>SF-03/PT/SALDOS</v>
      </c>
      <c r="F225" t="str">
        <f>STOCK_SISTEMA!G225</f>
        <v>CajaX48</v>
      </c>
      <c r="G225" s="12">
        <f>STOCK_SISTEMA!F225</f>
        <v>2</v>
      </c>
      <c r="H225" s="12">
        <f>SUMIFS(CONTEOS!$N$2:$N$4000,CONTEOS!$F$2:$F$4000,A225,CONTEOS!$H$2:$H$4000,C225)</f>
        <v>0</v>
      </c>
      <c r="I225" s="12">
        <f t="shared" si="3"/>
        <v>-2</v>
      </c>
      <c r="J225" t="str">
        <f>IF(COUNTIFS(CONTEOS!$F$2:$F$4000,A225,CONTEOS!$H$2:$H$4000,C225)=0,"PENDIENTE",IF(I225=0,"CUADRA",IF(I225&gt;0,"SOBRANTE","FALTANTE")))</f>
        <v>PENDIENTE</v>
      </c>
    </row>
    <row r="226" spans="1:10" ht="28.8" x14ac:dyDescent="0.3">
      <c r="A226" t="str">
        <f>STOCK_SISTEMA!A226</f>
        <v>TQ0034PE</v>
      </c>
      <c r="B226" s="13" t="str">
        <f>STOCK_SISTEMA!B226</f>
        <v>[TQ0034PE] TIYAPUY CHIPS QUINUA BBQ 100g x 18un</v>
      </c>
      <c r="C226" t="str">
        <f>IF(STOCK_SISTEMA!C226="","",STOCK_SISTEMA!C226)</f>
        <v>QB-10226-E1</v>
      </c>
      <c r="D226" s="11">
        <f>IF(STOCK_SISTEMA!D226="","",STOCK_SISTEMA!D226)</f>
        <v>46485.731446759259</v>
      </c>
      <c r="E226" t="str">
        <f>STOCK_SISTEMA!E226</f>
        <v>SF-03/PT/SALDOS</v>
      </c>
      <c r="F226" t="str">
        <f>STOCK_SISTEMA!G226</f>
        <v>CajaX18</v>
      </c>
      <c r="G226" s="12">
        <f>STOCK_SISTEMA!F226</f>
        <v>1</v>
      </c>
      <c r="H226" s="12">
        <f>SUMIFS(CONTEOS!$N$2:$N$4000,CONTEOS!$F$2:$F$4000,A226,CONTEOS!$H$2:$H$4000,C226)</f>
        <v>0</v>
      </c>
      <c r="I226" s="12">
        <f t="shared" si="3"/>
        <v>-1</v>
      </c>
      <c r="J226" t="str">
        <f>IF(COUNTIFS(CONTEOS!$F$2:$F$4000,A226,CONTEOS!$H$2:$H$4000,C226)=0,"PENDIENTE",IF(I226=0,"CUADRA",IF(I226&gt;0,"SOBRANTE","FALTANTE")))</f>
        <v>PENDIENTE</v>
      </c>
    </row>
    <row r="227" spans="1:10" ht="28.8" x14ac:dyDescent="0.3">
      <c r="A227" t="str">
        <f>STOCK_SISTEMA!A227</f>
        <v>TC0099PE</v>
      </c>
      <c r="B227" s="13" t="str">
        <f>STOCK_SISTEMA!B227</f>
        <v>[TC0099PE] TIYAPUY CHIFLES SALADO 142g x 20un</v>
      </c>
      <c r="C227" t="str">
        <f>IF(STOCK_SISTEMA!C227="","",STOCK_SISTEMA!C227)</f>
        <v>SP-03126-E7</v>
      </c>
      <c r="D227" s="11">
        <f>IF(STOCK_SISTEMA!D227="","",STOCK_SISTEMA!D227)</f>
        <v>46356.25608796296</v>
      </c>
      <c r="E227" t="str">
        <f>STOCK_SISTEMA!E227</f>
        <v>SF-03/PT/SALDOS</v>
      </c>
      <c r="F227" t="str">
        <f>STOCK_SISTEMA!G227</f>
        <v>CajaX20</v>
      </c>
      <c r="G227" s="12">
        <f>STOCK_SISTEMA!F227</f>
        <v>1</v>
      </c>
      <c r="H227" s="12">
        <f>SUMIFS(CONTEOS!$N$2:$N$4000,CONTEOS!$F$2:$F$4000,A227,CONTEOS!$H$2:$H$4000,C227)</f>
        <v>0</v>
      </c>
      <c r="I227" s="12">
        <f t="shared" si="3"/>
        <v>-1</v>
      </c>
      <c r="J227" t="str">
        <f>IF(COUNTIFS(CONTEOS!$F$2:$F$4000,A227,CONTEOS!$H$2:$H$4000,C227)=0,"PENDIENTE",IF(I227=0,"CUADRA",IF(I227&gt;0,"SOBRANTE","FALTANTE")))</f>
        <v>PENDIENTE</v>
      </c>
    </row>
    <row r="228" spans="1:10" ht="28.8" x14ac:dyDescent="0.3">
      <c r="A228" t="str">
        <f>STOCK_SISTEMA!A228</f>
        <v>TC0091PE</v>
      </c>
      <c r="B228" s="13" t="str">
        <f>STOCK_SISTEMA!B228</f>
        <v>[TC0091PE] TIYAPUY PAPAS NATIVAS MIXTAS CNV 142g x 20un</v>
      </c>
      <c r="C228" t="str">
        <f>IF(STOCK_SISTEMA!C228="","",STOCK_SISTEMA!C228)</f>
        <v>SN-04626-E3</v>
      </c>
      <c r="D228" s="11">
        <f>IF(STOCK_SISTEMA!D228="","",STOCK_SISTEMA!D228)</f>
        <v>46368.226817129631</v>
      </c>
      <c r="E228" t="str">
        <f>STOCK_SISTEMA!E228</f>
        <v>SF-03/PT/SALDOS</v>
      </c>
      <c r="F228" t="str">
        <f>STOCK_SISTEMA!G228</f>
        <v>CajaX20</v>
      </c>
      <c r="G228" s="12">
        <f>STOCK_SISTEMA!F228</f>
        <v>0.4</v>
      </c>
      <c r="H228" s="12">
        <f>SUMIFS(CONTEOS!$N$2:$N$4000,CONTEOS!$F$2:$F$4000,A228,CONTEOS!$H$2:$H$4000,C228)</f>
        <v>0</v>
      </c>
      <c r="I228" s="12">
        <f t="shared" si="3"/>
        <v>-0.4</v>
      </c>
      <c r="J228" t="str">
        <f>IF(COUNTIFS(CONTEOS!$F$2:$F$4000,A228,CONTEOS!$H$2:$H$4000,C228)=0,"PENDIENTE",IF(I228=0,"CUADRA",IF(I228&gt;0,"SOBRANTE","FALTANTE")))</f>
        <v>PENDIENTE</v>
      </c>
    </row>
    <row r="229" spans="1:10" ht="28.8" x14ac:dyDescent="0.3">
      <c r="A229" t="str">
        <f>STOCK_SISTEMA!A229</f>
        <v>EE10282</v>
      </c>
      <c r="B229" s="13" t="str">
        <f>STOCK_SISTEMA!B229</f>
        <v>[EE10282] STICKERS NUTRICIONAL BRASIL 142g LIMON PIMIENTA</v>
      </c>
      <c r="C229" t="str">
        <f>IF(STOCK_SISTEMA!C229="","",STOCK_SISTEMA!C229)</f>
        <v>INFORME 01/26</v>
      </c>
      <c r="D229" s="11">
        <f>IF(STOCK_SISTEMA!D229="","",STOCK_SISTEMA!D229)</f>
        <v>46752.536840277768</v>
      </c>
      <c r="E229" t="str">
        <f>STOCK_SISTEMA!E229</f>
        <v>SF-03/Materiales</v>
      </c>
      <c r="F229" t="str">
        <f>STOCK_SISTEMA!G229</f>
        <v>Unidades</v>
      </c>
      <c r="G229" s="12">
        <f>STOCK_SISTEMA!F229</f>
        <v>500</v>
      </c>
      <c r="H229" s="12">
        <f>SUMIFS(CONTEOS!$N$2:$N$4000,CONTEOS!$F$2:$F$4000,A229,CONTEOS!$H$2:$H$4000,C229)</f>
        <v>0</v>
      </c>
      <c r="I229" s="12">
        <f t="shared" si="3"/>
        <v>-500</v>
      </c>
      <c r="J229" t="str">
        <f>IF(COUNTIFS(CONTEOS!$F$2:$F$4000,A229,CONTEOS!$H$2:$H$4000,C229)=0,"PENDIENTE",IF(I229=0,"CUADRA",IF(I229&gt;0,"SOBRANTE","FALTANTE")))</f>
        <v>PENDIENTE</v>
      </c>
    </row>
    <row r="230" spans="1:10" ht="28.8" x14ac:dyDescent="0.3">
      <c r="A230" t="str">
        <f>STOCK_SISTEMA!A230</f>
        <v>EE10284</v>
      </c>
      <c r="B230" s="13" t="str">
        <f>STOCK_SISTEMA!B230</f>
        <v>[EE10284] STICKERS NUTRICIONAL BRASIL 142g CAMOTE</v>
      </c>
      <c r="C230" t="str">
        <f>IF(STOCK_SISTEMA!C230="","",STOCK_SISTEMA!C230)</f>
        <v>INFORME 01/26</v>
      </c>
      <c r="D230" s="11">
        <f>IF(STOCK_SISTEMA!D230="","",STOCK_SISTEMA!D230)</f>
        <v>46752.536886574067</v>
      </c>
      <c r="E230" t="str">
        <f>STOCK_SISTEMA!E230</f>
        <v>SF-03/Materiales</v>
      </c>
      <c r="F230" t="str">
        <f>STOCK_SISTEMA!G230</f>
        <v>Unidades</v>
      </c>
      <c r="G230" s="12">
        <f>STOCK_SISTEMA!F230</f>
        <v>460</v>
      </c>
      <c r="H230" s="12">
        <f>SUMIFS(CONTEOS!$N$2:$N$4000,CONTEOS!$F$2:$F$4000,A230,CONTEOS!$H$2:$H$4000,C230)</f>
        <v>0</v>
      </c>
      <c r="I230" s="12">
        <f t="shared" si="3"/>
        <v>-460</v>
      </c>
      <c r="J230" t="str">
        <f>IF(COUNTIFS(CONTEOS!$F$2:$F$4000,A230,CONTEOS!$H$2:$H$4000,C230)=0,"PENDIENTE",IF(I230=0,"CUADRA",IF(I230&gt;0,"SOBRANTE","FALTANTE")))</f>
        <v>PENDIENTE</v>
      </c>
    </row>
    <row r="231" spans="1:10" ht="28.8" x14ac:dyDescent="0.3">
      <c r="A231" t="str">
        <f>STOCK_SISTEMA!A231</f>
        <v>EE10283</v>
      </c>
      <c r="B231" s="13" t="str">
        <f>STOCK_SISTEMA!B231</f>
        <v>[EE10283] STICKERS NUTRICIONAL BRASIL 142g NATIVA PICANTE</v>
      </c>
      <c r="C231" t="str">
        <f>IF(STOCK_SISTEMA!C231="","",STOCK_SISTEMA!C231)</f>
        <v>INFORME 01/26</v>
      </c>
      <c r="D231" s="11">
        <f>IF(STOCK_SISTEMA!D231="","",STOCK_SISTEMA!D231)</f>
        <v>46752.539363425924</v>
      </c>
      <c r="E231" t="str">
        <f>STOCK_SISTEMA!E231</f>
        <v>SF-03/Materiales</v>
      </c>
      <c r="F231" t="str">
        <f>STOCK_SISTEMA!G231</f>
        <v>Unidades</v>
      </c>
      <c r="G231" s="12">
        <f>STOCK_SISTEMA!F231</f>
        <v>400</v>
      </c>
      <c r="H231" s="12">
        <f>SUMIFS(CONTEOS!$N$2:$N$4000,CONTEOS!$F$2:$F$4000,A231,CONTEOS!$H$2:$H$4000,C231)</f>
        <v>0</v>
      </c>
      <c r="I231" s="12">
        <f t="shared" si="3"/>
        <v>-400</v>
      </c>
      <c r="J231" t="str">
        <f>IF(COUNTIFS(CONTEOS!$F$2:$F$4000,A231,CONTEOS!$H$2:$H$4000,C231)=0,"PENDIENTE",IF(I231=0,"CUADRA",IF(I231&gt;0,"SOBRANTE","FALTANTE")))</f>
        <v>PENDIENTE</v>
      </c>
    </row>
    <row r="232" spans="1:10" ht="28.8" x14ac:dyDescent="0.3">
      <c r="A232" t="str">
        <f>STOCK_SISTEMA!A232</f>
        <v>TC0091PE</v>
      </c>
      <c r="B232" s="13" t="str">
        <f>STOCK_SISTEMA!B232</f>
        <v>[TC0091PE] TIYAPUY PAPAS NATIVAS MIXTAS CNV 142g x 20un</v>
      </c>
      <c r="C232" t="str">
        <f>IF(STOCK_SISTEMA!C232="","",STOCK_SISTEMA!C232)</f>
        <v>SN-10426-E1</v>
      </c>
      <c r="D232" s="11">
        <f>IF(STOCK_SISTEMA!D232="","",STOCK_SISTEMA!D232)</f>
        <v>46426.478460648148</v>
      </c>
      <c r="E232" t="str">
        <f>STOCK_SISTEMA!E232</f>
        <v>SF-03/PT/SALDOS</v>
      </c>
      <c r="F232" t="str">
        <f>STOCK_SISTEMA!G232</f>
        <v>CajaX20</v>
      </c>
      <c r="G232" s="12">
        <f>STOCK_SISTEMA!F232</f>
        <v>21</v>
      </c>
      <c r="H232" s="12">
        <f>SUMIFS(CONTEOS!$N$2:$N$4000,CONTEOS!$F$2:$F$4000,A232,CONTEOS!$H$2:$H$4000,C232)</f>
        <v>0</v>
      </c>
      <c r="I232" s="12">
        <f t="shared" si="3"/>
        <v>-21</v>
      </c>
      <c r="J232" t="str">
        <f>IF(COUNTIFS(CONTEOS!$F$2:$F$4000,A232,CONTEOS!$H$2:$H$4000,C232)=0,"PENDIENTE",IF(I232=0,"CUADRA",IF(I232&gt;0,"SOBRANTE","FALTANTE")))</f>
        <v>PENDIENTE</v>
      </c>
    </row>
    <row r="233" spans="1:10" ht="28.8" x14ac:dyDescent="0.3">
      <c r="A233" t="str">
        <f>STOCK_SISTEMA!A233</f>
        <v>TC0091PE</v>
      </c>
      <c r="B233" s="13" t="str">
        <f>STOCK_SISTEMA!B233</f>
        <v>[TC0091PE] TIYAPUY PAPAS NATIVAS MIXTAS CNV 142g x 20un</v>
      </c>
      <c r="C233" t="str">
        <f>IF(STOCK_SISTEMA!C233="","",STOCK_SISTEMA!C233)</f>
        <v>SN-03526-E2</v>
      </c>
      <c r="D233" s="11">
        <f>IF(STOCK_SISTEMA!D233="","",STOCK_SISTEMA!D233)</f>
        <v>46360.195173611108</v>
      </c>
      <c r="E233" t="str">
        <f>STOCK_SISTEMA!E233</f>
        <v>SF-03/PT/SALDOS</v>
      </c>
      <c r="F233" t="str">
        <f>STOCK_SISTEMA!G233</f>
        <v>CajaX20</v>
      </c>
      <c r="G233" s="12">
        <f>STOCK_SISTEMA!F233</f>
        <v>45.6</v>
      </c>
      <c r="H233" s="12">
        <f>SUMIFS(CONTEOS!$N$2:$N$4000,CONTEOS!$F$2:$F$4000,A233,CONTEOS!$H$2:$H$4000,C233)</f>
        <v>0</v>
      </c>
      <c r="I233" s="12">
        <f t="shared" si="3"/>
        <v>-45.6</v>
      </c>
      <c r="J233" t="str">
        <f>IF(COUNTIFS(CONTEOS!$F$2:$F$4000,A233,CONTEOS!$H$2:$H$4000,C233)=0,"PENDIENTE",IF(I233=0,"CUADRA",IF(I233&gt;0,"SOBRANTE","FALTANTE")))</f>
        <v>PENDIENTE</v>
      </c>
    </row>
    <row r="234" spans="1:10" ht="28.8" x14ac:dyDescent="0.3">
      <c r="A234" t="str">
        <f>STOCK_SISTEMA!A234</f>
        <v>TQ0034PE</v>
      </c>
      <c r="B234" s="13" t="str">
        <f>STOCK_SISTEMA!B234</f>
        <v>[TQ0034PE] TIYAPUY CHIPS QUINUA BBQ 100g x 18un</v>
      </c>
      <c r="C234" t="str">
        <f>IF(STOCK_SISTEMA!C234="","",STOCK_SISTEMA!C234)</f>
        <v>QB-09826-E10</v>
      </c>
      <c r="D234" s="11">
        <f>IF(STOCK_SISTEMA!D234="","",STOCK_SISTEMA!D234)</f>
        <v>46485.887928240743</v>
      </c>
      <c r="E234" t="str">
        <f>STOCK_SISTEMA!E234</f>
        <v>SF-03/PT/SALDOS</v>
      </c>
      <c r="F234" t="str">
        <f>STOCK_SISTEMA!G234</f>
        <v>CajaX18</v>
      </c>
      <c r="G234" s="12">
        <f>STOCK_SISTEMA!F234</f>
        <v>33.1235</v>
      </c>
      <c r="H234" s="12">
        <f>SUMIFS(CONTEOS!$N$2:$N$4000,CONTEOS!$F$2:$F$4000,A234,CONTEOS!$H$2:$H$4000,C234)</f>
        <v>0</v>
      </c>
      <c r="I234" s="12">
        <f t="shared" si="3"/>
        <v>-33.1235</v>
      </c>
      <c r="J234" t="str">
        <f>IF(COUNTIFS(CONTEOS!$F$2:$F$4000,A234,CONTEOS!$H$2:$H$4000,C234)=0,"PENDIENTE",IF(I234=0,"CUADRA",IF(I234&gt;0,"SOBRANTE","FALTANTE")))</f>
        <v>PENDIENTE</v>
      </c>
    </row>
    <row r="235" spans="1:10" ht="28.8" x14ac:dyDescent="0.3">
      <c r="A235" t="str">
        <f>STOCK_SISTEMA!A235</f>
        <v>TC0091PE</v>
      </c>
      <c r="B235" s="13" t="str">
        <f>STOCK_SISTEMA!B235</f>
        <v>[TC0091PE] TIYAPUY PAPAS NATIVAS MIXTAS CNV 142g x 20un</v>
      </c>
      <c r="C235" t="str">
        <f>IF(STOCK_SISTEMA!C235="","",STOCK_SISTEMA!C235)</f>
        <v>SN-03426-E4</v>
      </c>
      <c r="D235" s="11">
        <f>IF(STOCK_SISTEMA!D235="","",STOCK_SISTEMA!D235)</f>
        <v>46359.103564814817</v>
      </c>
      <c r="E235" t="str">
        <f>STOCK_SISTEMA!E235</f>
        <v>SF-03/PT/SALDOS</v>
      </c>
      <c r="F235" t="str">
        <f>STOCK_SISTEMA!G235</f>
        <v>CajaX20</v>
      </c>
      <c r="G235" s="12">
        <f>STOCK_SISTEMA!F235</f>
        <v>38.590000000000003</v>
      </c>
      <c r="H235" s="12">
        <f>SUMIFS(CONTEOS!$N$2:$N$4000,CONTEOS!$F$2:$F$4000,A235,CONTEOS!$H$2:$H$4000,C235)</f>
        <v>0</v>
      </c>
      <c r="I235" s="12">
        <f t="shared" si="3"/>
        <v>-38.590000000000003</v>
      </c>
      <c r="J235" t="str">
        <f>IF(COUNTIFS(CONTEOS!$F$2:$F$4000,A235,CONTEOS!$H$2:$H$4000,C235)=0,"PENDIENTE",IF(I235=0,"CUADRA",IF(I235&gt;0,"SOBRANTE","FALTANTE")))</f>
        <v>PENDIENTE</v>
      </c>
    </row>
    <row r="236" spans="1:10" ht="28.8" x14ac:dyDescent="0.3">
      <c r="A236" t="str">
        <f>STOCK_SISTEMA!A236</f>
        <v>TQ0035PE</v>
      </c>
      <c r="B236" s="13" t="str">
        <f>STOCK_SISTEMA!B236</f>
        <v>[TQ0035PE] TIYAPUY EXTRUIDO FRITO A BASE DE QUINUA 100g x 18und.</v>
      </c>
      <c r="C236" t="str">
        <f>IF(STOCK_SISTEMA!C236="","",STOCK_SISTEMA!C236)</f>
        <v>QN-10026-E5</v>
      </c>
      <c r="D236" s="11">
        <f>IF(STOCK_SISTEMA!D236="","",STOCK_SISTEMA!D236)</f>
        <v>46482.639953703707</v>
      </c>
      <c r="E236" t="str">
        <f>STOCK_SISTEMA!E236</f>
        <v>SF-03/PT/SALDOS</v>
      </c>
      <c r="F236" t="str">
        <f>STOCK_SISTEMA!G236</f>
        <v>CajaX18</v>
      </c>
      <c r="G236" s="12">
        <f>STOCK_SISTEMA!F236</f>
        <v>34</v>
      </c>
      <c r="H236" s="12">
        <f>SUMIFS(CONTEOS!$N$2:$N$4000,CONTEOS!$F$2:$F$4000,A236,CONTEOS!$H$2:$H$4000,C236)</f>
        <v>0</v>
      </c>
      <c r="I236" s="12">
        <f t="shared" si="3"/>
        <v>-34</v>
      </c>
      <c r="J236" t="str">
        <f>IF(COUNTIFS(CONTEOS!$F$2:$F$4000,A236,CONTEOS!$H$2:$H$4000,C236)=0,"PENDIENTE",IF(I236=0,"CUADRA",IF(I236&gt;0,"SOBRANTE","FALTANTE")))</f>
        <v>PENDIENTE</v>
      </c>
    </row>
    <row r="237" spans="1:10" ht="28.8" x14ac:dyDescent="0.3">
      <c r="A237" t="str">
        <f>STOCK_SISTEMA!A237</f>
        <v>EE10280</v>
      </c>
      <c r="B237" s="13" t="str">
        <f>STOCK_SISTEMA!B237</f>
        <v>[EE10280] STICKERS NUTRICIONAL BRASIL 142g MIX NATIVA</v>
      </c>
      <c r="C237" t="str">
        <f>IF(STOCK_SISTEMA!C237="","",STOCK_SISTEMA!C237)</f>
        <v>INFORME 01/26</v>
      </c>
      <c r="D237" s="11">
        <f>IF(STOCK_SISTEMA!D237="","",STOCK_SISTEMA!D237)</f>
        <v>46752.539305555547</v>
      </c>
      <c r="E237" t="str">
        <f>STOCK_SISTEMA!E237</f>
        <v>SF-03/Materiales</v>
      </c>
      <c r="F237" t="str">
        <f>STOCK_SISTEMA!G237</f>
        <v>Unidades</v>
      </c>
      <c r="G237" s="12">
        <f>STOCK_SISTEMA!F237</f>
        <v>500</v>
      </c>
      <c r="H237" s="12">
        <f>SUMIFS(CONTEOS!$N$2:$N$4000,CONTEOS!$F$2:$F$4000,A237,CONTEOS!$H$2:$H$4000,C237)</f>
        <v>0</v>
      </c>
      <c r="I237" s="12">
        <f t="shared" si="3"/>
        <v>-500</v>
      </c>
      <c r="J237" t="str">
        <f>IF(COUNTIFS(CONTEOS!$F$2:$F$4000,A237,CONTEOS!$H$2:$H$4000,C237)=0,"PENDIENTE",IF(I237=0,"CUADRA",IF(I237&gt;0,"SOBRANTE","FALTANTE")))</f>
        <v>PENDIENTE</v>
      </c>
    </row>
    <row r="238" spans="1:10" ht="43.2" x14ac:dyDescent="0.3">
      <c r="A238" t="str">
        <f>STOCK_SISTEMA!A238</f>
        <v>EE10075</v>
      </c>
      <c r="B238" s="13" t="str">
        <f>STOCK_SISTEMA!B238</f>
        <v>[EE10075] CINTA CODIFICADORA TERMOIMPRESIÓN X ROLLO 30MM X 1100 M</v>
      </c>
      <c r="C238" t="str">
        <f>IF(STOCK_SISTEMA!C238="","",STOCK_SISTEMA!C238)</f>
        <v/>
      </c>
      <c r="D238" s="11" t="str">
        <f>IF(STOCK_SISTEMA!D238="","",STOCK_SISTEMA!D238)</f>
        <v/>
      </c>
      <c r="E238" t="str">
        <f>STOCK_SISTEMA!E238</f>
        <v>SF-03/Preproducción</v>
      </c>
      <c r="F238" t="str">
        <f>STOCK_SISTEMA!G238</f>
        <v>Unidades</v>
      </c>
      <c r="G238" s="12">
        <f>STOCK_SISTEMA!F238</f>
        <v>9.609</v>
      </c>
      <c r="H238" s="12">
        <f>SUMIFS(CONTEOS!$N$2:$N$4000,CONTEOS!$F$2:$F$4000,A238,CONTEOS!$H$2:$H$4000,C238)</f>
        <v>0</v>
      </c>
      <c r="I238" s="12">
        <f t="shared" si="3"/>
        <v>-9.609</v>
      </c>
      <c r="J238" t="str">
        <f>IF(COUNTIFS(CONTEOS!$F$2:$F$4000,A238,CONTEOS!$H$2:$H$4000,C238)=0,"PENDIENTE",IF(I238=0,"CUADRA",IF(I238&gt;0,"SOBRANTE","FALTANTE")))</f>
        <v>PENDIENTE</v>
      </c>
    </row>
    <row r="239" spans="1:10" ht="28.8" x14ac:dyDescent="0.3">
      <c r="A239" t="str">
        <f>STOCK_SISTEMA!A239</f>
        <v>TC0091PE</v>
      </c>
      <c r="B239" s="13" t="str">
        <f>STOCK_SISTEMA!B239</f>
        <v>[TC0091PE] TIYAPUY PAPAS NATIVAS MIXTAS CNV 142g x 20un</v>
      </c>
      <c r="C239" t="str">
        <f>IF(STOCK_SISTEMA!C239="","",STOCK_SISTEMA!C239)</f>
        <v>SN-12526-E1</v>
      </c>
      <c r="D239" s="11">
        <f>IF(STOCK_SISTEMA!D239="","",STOCK_SISTEMA!D239)</f>
        <v>46447.720416666663</v>
      </c>
      <c r="E239" t="str">
        <f>STOCK_SISTEMA!E239</f>
        <v>SF-03/PT/STOCK</v>
      </c>
      <c r="F239" t="str">
        <f>STOCK_SISTEMA!G239</f>
        <v>CajaX20</v>
      </c>
      <c r="G239" s="12">
        <f>STOCK_SISTEMA!F239</f>
        <v>37</v>
      </c>
      <c r="H239" s="12">
        <f>SUMIFS(CONTEOS!$N$2:$N$4000,CONTEOS!$F$2:$F$4000,A239,CONTEOS!$H$2:$H$4000,C239)</f>
        <v>0</v>
      </c>
      <c r="I239" s="12">
        <f t="shared" si="3"/>
        <v>-37</v>
      </c>
      <c r="J239" t="str">
        <f>IF(COUNTIFS(CONTEOS!$F$2:$F$4000,A239,CONTEOS!$H$2:$H$4000,C239)=0,"PENDIENTE",IF(I239=0,"CUADRA",IF(I239&gt;0,"SOBRANTE","FALTANTE")))</f>
        <v>PENDIENTE</v>
      </c>
    </row>
    <row r="240" spans="1:10" ht="28.8" x14ac:dyDescent="0.3">
      <c r="A240" t="str">
        <f>STOCK_SISTEMA!A240</f>
        <v>EE10047</v>
      </c>
      <c r="B240" s="13" t="str">
        <f>STOCK_SISTEMA!B240</f>
        <v>[EE10047] LAMINA RIKY TOK 30 GR ONDA PICANTE X KG</v>
      </c>
      <c r="C240" t="str">
        <f>IF(STOCK_SISTEMA!C240="","",STOCK_SISTEMA!C240)</f>
        <v>INFORME 07/26</v>
      </c>
      <c r="D240" s="11">
        <f>IF(STOCK_SISTEMA!D240="","",STOCK_SISTEMA!D240)</f>
        <v>46337.515219907407</v>
      </c>
      <c r="E240" t="str">
        <f>STOCK_SISTEMA!E240</f>
        <v>SF-03/Materiales</v>
      </c>
      <c r="F240" t="str">
        <f>STOCK_SISTEMA!G240</f>
        <v>Kilogramo</v>
      </c>
      <c r="G240" s="12">
        <f>STOCK_SISTEMA!F240</f>
        <v>0.32</v>
      </c>
      <c r="H240" s="12">
        <f>SUMIFS(CONTEOS!$N$2:$N$4000,CONTEOS!$F$2:$F$4000,A240,CONTEOS!$H$2:$H$4000,C240)</f>
        <v>0</v>
      </c>
      <c r="I240" s="12">
        <f t="shared" si="3"/>
        <v>-0.32</v>
      </c>
      <c r="J240" t="str">
        <f>IF(COUNTIFS(CONTEOS!$F$2:$F$4000,A240,CONTEOS!$H$2:$H$4000,C240)=0,"PENDIENTE",IF(I240=0,"CUADRA",IF(I240&gt;0,"SOBRANTE","FALTANTE")))</f>
        <v>PENDIENTE</v>
      </c>
    </row>
    <row r="241" spans="1:10" ht="28.8" x14ac:dyDescent="0.3">
      <c r="A241" t="str">
        <f>STOCK_SISTEMA!A241</f>
        <v>TC0091PE</v>
      </c>
      <c r="B241" s="13" t="str">
        <f>STOCK_SISTEMA!B241</f>
        <v>[TC0091PE] TIYAPUY PAPAS NATIVAS MIXTAS CNV 142g x 20un</v>
      </c>
      <c r="C241" t="str">
        <f>IF(STOCK_SISTEMA!C241="","",STOCK_SISTEMA!C241)</f>
        <v>SN-12626-E1</v>
      </c>
      <c r="D241" s="11">
        <f>IF(STOCK_SISTEMA!D241="","",STOCK_SISTEMA!D241)</f>
        <v>46452.092465277783</v>
      </c>
      <c r="E241" t="str">
        <f>STOCK_SISTEMA!E241</f>
        <v>SF-03/PT/STOCK</v>
      </c>
      <c r="F241" t="str">
        <f>STOCK_SISTEMA!G241</f>
        <v>CajaX20</v>
      </c>
      <c r="G241" s="12">
        <f>STOCK_SISTEMA!F241</f>
        <v>2</v>
      </c>
      <c r="H241" s="12">
        <f>SUMIFS(CONTEOS!$N$2:$N$4000,CONTEOS!$F$2:$F$4000,A241,CONTEOS!$H$2:$H$4000,C241)</f>
        <v>0</v>
      </c>
      <c r="I241" s="12">
        <f t="shared" si="3"/>
        <v>-2</v>
      </c>
      <c r="J241" t="str">
        <f>IF(COUNTIFS(CONTEOS!$F$2:$F$4000,A241,CONTEOS!$H$2:$H$4000,C241)=0,"PENDIENTE",IF(I241=0,"CUADRA",IF(I241&gt;0,"SOBRANTE","FALTANTE")))</f>
        <v>PENDIENTE</v>
      </c>
    </row>
    <row r="242" spans="1:10" ht="28.8" x14ac:dyDescent="0.3">
      <c r="A242" t="str">
        <f>STOCK_SISTEMA!A242</f>
        <v>TC0091PE</v>
      </c>
      <c r="B242" s="13" t="str">
        <f>STOCK_SISTEMA!B242</f>
        <v>[TC0091PE] TIYAPUY PAPAS NATIVAS MIXTAS CNV 142g x 20un</v>
      </c>
      <c r="C242" t="str">
        <f>IF(STOCK_SISTEMA!C242="","",STOCK_SISTEMA!C242)</f>
        <v>SN-12626-E5</v>
      </c>
      <c r="D242" s="11">
        <f>IF(STOCK_SISTEMA!D242="","",STOCK_SISTEMA!D242)</f>
        <v>46452.10229166667</v>
      </c>
      <c r="E242" t="str">
        <f>STOCK_SISTEMA!E242</f>
        <v>SF-03/PT/STOCK</v>
      </c>
      <c r="F242" t="str">
        <f>STOCK_SISTEMA!G242</f>
        <v>CajaX20</v>
      </c>
      <c r="G242" s="12">
        <f>STOCK_SISTEMA!F242</f>
        <v>3</v>
      </c>
      <c r="H242" s="12">
        <f>SUMIFS(CONTEOS!$N$2:$N$4000,CONTEOS!$F$2:$F$4000,A242,CONTEOS!$H$2:$H$4000,C242)</f>
        <v>0</v>
      </c>
      <c r="I242" s="12">
        <f t="shared" si="3"/>
        <v>-3</v>
      </c>
      <c r="J242" t="str">
        <f>IF(COUNTIFS(CONTEOS!$F$2:$F$4000,A242,CONTEOS!$H$2:$H$4000,C242)=0,"PENDIENTE",IF(I242=0,"CUADRA",IF(I242&gt;0,"SOBRANTE","FALTANTE")))</f>
        <v>PENDIENTE</v>
      </c>
    </row>
    <row r="243" spans="1:10" ht="28.8" x14ac:dyDescent="0.3">
      <c r="A243" t="str">
        <f>STOCK_SISTEMA!A243</f>
        <v>TC0233PE</v>
      </c>
      <c r="B243" s="13" t="str">
        <f>STOCK_SISTEMA!B243</f>
        <v>[TC0233PE] TIYAPUY PAPAS NATIVAS MIXTAS JALAPEÑO C/T 30g x 72un</v>
      </c>
      <c r="C243" t="str">
        <f>IF(STOCK_SISTEMA!C243="","",STOCK_SISTEMA!C243)</f>
        <v>PJ-27725</v>
      </c>
      <c r="D243" s="11">
        <f>IF(STOCK_SISTEMA!D243="","",STOCK_SISTEMA!D243)</f>
        <v>46269</v>
      </c>
      <c r="E243" t="str">
        <f>STOCK_SISTEMA!E243</f>
        <v>SF-03/PT/SALDOS</v>
      </c>
      <c r="F243" t="str">
        <f>STOCK_SISTEMA!G243</f>
        <v>CajaX72</v>
      </c>
      <c r="G243" s="12">
        <f>STOCK_SISTEMA!F243</f>
        <v>1</v>
      </c>
      <c r="H243" s="12">
        <f>SUMIFS(CONTEOS!$N$2:$N$4000,CONTEOS!$F$2:$F$4000,A243,CONTEOS!$H$2:$H$4000,C243)</f>
        <v>0</v>
      </c>
      <c r="I243" s="12">
        <f t="shared" si="3"/>
        <v>-1</v>
      </c>
      <c r="J243" t="str">
        <f>IF(COUNTIFS(CONTEOS!$F$2:$F$4000,A243,CONTEOS!$H$2:$H$4000,C243)=0,"PENDIENTE",IF(I243=0,"CUADRA",IF(I243&gt;0,"SOBRANTE","FALTANTE")))</f>
        <v>PENDIENTE</v>
      </c>
    </row>
    <row r="244" spans="1:10" ht="28.8" x14ac:dyDescent="0.3">
      <c r="A244" t="str">
        <f>STOCK_SISTEMA!A244</f>
        <v>TC0087PE</v>
      </c>
      <c r="B244" s="13" t="str">
        <f>STOCK_SISTEMA!B244</f>
        <v>[TC0087PE] TIYAPUY CHIFLES SALADO 40g x 48un</v>
      </c>
      <c r="C244" t="str">
        <f>IF(STOCK_SISTEMA!C244="","",STOCK_SISTEMA!C244)</f>
        <v>SP-08626-E7</v>
      </c>
      <c r="D244" s="11">
        <f>IF(STOCK_SISTEMA!D244="","",STOCK_SISTEMA!D244)</f>
        <v>46408.517870370371</v>
      </c>
      <c r="E244" t="str">
        <f>STOCK_SISTEMA!E244</f>
        <v>SF-03/PT/SALDOS</v>
      </c>
      <c r="F244" t="str">
        <f>STOCK_SISTEMA!G244</f>
        <v>CajaX48</v>
      </c>
      <c r="G244" s="12">
        <f>STOCK_SISTEMA!F244</f>
        <v>1</v>
      </c>
      <c r="H244" s="12">
        <f>SUMIFS(CONTEOS!$N$2:$N$4000,CONTEOS!$F$2:$F$4000,A244,CONTEOS!$H$2:$H$4000,C244)</f>
        <v>0</v>
      </c>
      <c r="I244" s="12">
        <f t="shared" si="3"/>
        <v>-1</v>
      </c>
      <c r="J244" t="str">
        <f>IF(COUNTIFS(CONTEOS!$F$2:$F$4000,A244,CONTEOS!$H$2:$H$4000,C244)=0,"PENDIENTE",IF(I244=0,"CUADRA",IF(I244&gt;0,"SOBRANTE","FALTANTE")))</f>
        <v>PENDIENTE</v>
      </c>
    </row>
    <row r="245" spans="1:10" ht="28.8" x14ac:dyDescent="0.3">
      <c r="A245" t="str">
        <f>STOCK_SISTEMA!A245</f>
        <v>TC0082PE</v>
      </c>
      <c r="B245" s="13" t="str">
        <f>STOCK_SISTEMA!B245</f>
        <v>[TC0082PE] TIYAPUY HOJUELAS DE PAPAS NATIVAS FRITAS CON SAL 40g x 48ud.</v>
      </c>
      <c r="C245" t="str">
        <f>IF(STOCK_SISTEMA!C245="","",STOCK_SISTEMA!C245)</f>
        <v>SN-12626-E2</v>
      </c>
      <c r="D245" s="11">
        <f>IF(STOCK_SISTEMA!D245="","",STOCK_SISTEMA!D245)</f>
        <v>46452.280092592591</v>
      </c>
      <c r="E245" t="str">
        <f>STOCK_SISTEMA!E245</f>
        <v>SF-03/PT/SALDOS</v>
      </c>
      <c r="F245" t="str">
        <f>STOCK_SISTEMA!G245</f>
        <v>CajaX48</v>
      </c>
      <c r="G245" s="12">
        <f>STOCK_SISTEMA!F245</f>
        <v>13</v>
      </c>
      <c r="H245" s="12">
        <f>SUMIFS(CONTEOS!$N$2:$N$4000,CONTEOS!$F$2:$F$4000,A245,CONTEOS!$H$2:$H$4000,C245)</f>
        <v>0</v>
      </c>
      <c r="I245" s="12">
        <f t="shared" si="3"/>
        <v>-13</v>
      </c>
      <c r="J245" t="str">
        <f>IF(COUNTIFS(CONTEOS!$F$2:$F$4000,A245,CONTEOS!$H$2:$H$4000,C245)=0,"PENDIENTE",IF(I245=0,"CUADRA",IF(I245&gt;0,"SOBRANTE","FALTANTE")))</f>
        <v>PENDIENTE</v>
      </c>
    </row>
    <row r="246" spans="1:10" ht="28.8" x14ac:dyDescent="0.3">
      <c r="A246" t="str">
        <f>STOCK_SISTEMA!A246</f>
        <v>TC0086PE</v>
      </c>
      <c r="B246" s="13" t="str">
        <f>STOCK_SISTEMA!B246</f>
        <v>[TC0086PE] TIYAPUY CAMOTES SALADO 40g x 48un</v>
      </c>
      <c r="C246" t="str">
        <f>IF(STOCK_SISTEMA!C246="","",STOCK_SISTEMA!C246)</f>
        <v>SC-08926-E8</v>
      </c>
      <c r="D246" s="11">
        <f>IF(STOCK_SISTEMA!D246="","",STOCK_SISTEMA!D246)</f>
        <v>46411.775439814817</v>
      </c>
      <c r="E246" t="str">
        <f>STOCK_SISTEMA!E246</f>
        <v>SF-03/PT/SALDOS</v>
      </c>
      <c r="F246" t="str">
        <f>STOCK_SISTEMA!G246</f>
        <v>CajaX48</v>
      </c>
      <c r="G246" s="12">
        <f>STOCK_SISTEMA!F246</f>
        <v>1</v>
      </c>
      <c r="H246" s="12">
        <f>SUMIFS(CONTEOS!$N$2:$N$4000,CONTEOS!$F$2:$F$4000,A246,CONTEOS!$H$2:$H$4000,C246)</f>
        <v>0</v>
      </c>
      <c r="I246" s="12">
        <f t="shared" si="3"/>
        <v>-1</v>
      </c>
      <c r="J246" t="str">
        <f>IF(COUNTIFS(CONTEOS!$F$2:$F$4000,A246,CONTEOS!$H$2:$H$4000,C246)=0,"PENDIENTE",IF(I246=0,"CUADRA",IF(I246&gt;0,"SOBRANTE","FALTANTE")))</f>
        <v>PENDIENTE</v>
      </c>
    </row>
    <row r="247" spans="1:10" ht="28.8" x14ac:dyDescent="0.3">
      <c r="A247" t="str">
        <f>STOCK_SISTEMA!A247</f>
        <v>TC0091PE</v>
      </c>
      <c r="B247" s="13" t="str">
        <f>STOCK_SISTEMA!B247</f>
        <v>[TC0091PE] TIYAPUY PAPAS NATIVAS MIXTAS CNV 142g x 20un</v>
      </c>
      <c r="C247" t="str">
        <f>IF(STOCK_SISTEMA!C247="","",STOCK_SISTEMA!C247)</f>
        <v>SN-12726-E3</v>
      </c>
      <c r="D247" s="11">
        <f>IF(STOCK_SISTEMA!D247="","",STOCK_SISTEMA!D247)</f>
        <v>46449.931585648148</v>
      </c>
      <c r="E247" t="str">
        <f>STOCK_SISTEMA!E247</f>
        <v>SF-03/PT/STOCK</v>
      </c>
      <c r="F247" t="str">
        <f>STOCK_SISTEMA!G247</f>
        <v>CajaX20</v>
      </c>
      <c r="G247" s="12">
        <f>STOCK_SISTEMA!F247</f>
        <v>39</v>
      </c>
      <c r="H247" s="12">
        <f>SUMIFS(CONTEOS!$N$2:$N$4000,CONTEOS!$F$2:$F$4000,A247,CONTEOS!$H$2:$H$4000,C247)</f>
        <v>0</v>
      </c>
      <c r="I247" s="12">
        <f t="shared" si="3"/>
        <v>-39</v>
      </c>
      <c r="J247" t="str">
        <f>IF(COUNTIFS(CONTEOS!$F$2:$F$4000,A247,CONTEOS!$H$2:$H$4000,C247)=0,"PENDIENTE",IF(I247=0,"CUADRA",IF(I247&gt;0,"SOBRANTE","FALTANTE")))</f>
        <v>PENDIENTE</v>
      </c>
    </row>
    <row r="248" spans="1:10" ht="28.8" x14ac:dyDescent="0.3">
      <c r="A248" t="str">
        <f>STOCK_SISTEMA!A248</f>
        <v>TC0091PE</v>
      </c>
      <c r="B248" s="13" t="str">
        <f>STOCK_SISTEMA!B248</f>
        <v>[TC0091PE] TIYAPUY PAPAS NATIVAS MIXTAS CNV 142g x 20un</v>
      </c>
      <c r="C248" t="str">
        <f>IF(STOCK_SISTEMA!C248="","",STOCK_SISTEMA!C248)</f>
        <v>SN-12726-E1</v>
      </c>
      <c r="D248" s="11">
        <f>IF(STOCK_SISTEMA!D248="","",STOCK_SISTEMA!D248)</f>
        <v>46450.197615740741</v>
      </c>
      <c r="E248" t="str">
        <f>STOCK_SISTEMA!E248</f>
        <v>SF-03/PT/STOCK</v>
      </c>
      <c r="F248" t="str">
        <f>STOCK_SISTEMA!G248</f>
        <v>CajaX20</v>
      </c>
      <c r="G248" s="12">
        <f>STOCK_SISTEMA!F248</f>
        <v>3</v>
      </c>
      <c r="H248" s="12">
        <f>SUMIFS(CONTEOS!$N$2:$N$4000,CONTEOS!$F$2:$F$4000,A248,CONTEOS!$H$2:$H$4000,C248)</f>
        <v>0</v>
      </c>
      <c r="I248" s="12">
        <f t="shared" si="3"/>
        <v>-3</v>
      </c>
      <c r="J248" t="str">
        <f>IF(COUNTIFS(CONTEOS!$F$2:$F$4000,A248,CONTEOS!$H$2:$H$4000,C248)=0,"PENDIENTE",IF(I248=0,"CUADRA",IF(I248&gt;0,"SOBRANTE","FALTANTE")))</f>
        <v>PENDIENTE</v>
      </c>
    </row>
    <row r="249" spans="1:10" ht="28.8" x14ac:dyDescent="0.3">
      <c r="A249" t="str">
        <f>STOCK_SISTEMA!A249</f>
        <v>EE10025</v>
      </c>
      <c r="B249" s="13" t="str">
        <f>STOCK_SISTEMA!B249</f>
        <v>[EE10025] LAMINA TIYAPUY NATIVA MIX 30GR CONVENCIONAL X KG</v>
      </c>
      <c r="C249" t="str">
        <f>IF(STOCK_SISTEMA!C249="","",STOCK_SISTEMA!C249)</f>
        <v>INFORME 02/26</v>
      </c>
      <c r="D249" s="11">
        <f>IF(STOCK_SISTEMA!D249="","",STOCK_SISTEMA!D249)</f>
        <v>46298.727199074077</v>
      </c>
      <c r="E249" t="str">
        <f>STOCK_SISTEMA!E249</f>
        <v>SF-03/Cuarentena</v>
      </c>
      <c r="F249" t="str">
        <f>STOCK_SISTEMA!G249</f>
        <v>Kilogramo</v>
      </c>
      <c r="G249" s="12">
        <f>STOCK_SISTEMA!F249</f>
        <v>88</v>
      </c>
      <c r="H249" s="12">
        <f>SUMIFS(CONTEOS!$N$2:$N$4000,CONTEOS!$F$2:$F$4000,A249,CONTEOS!$H$2:$H$4000,C249)</f>
        <v>0</v>
      </c>
      <c r="I249" s="12">
        <f t="shared" si="3"/>
        <v>-88</v>
      </c>
      <c r="J249" t="str">
        <f>IF(COUNTIFS(CONTEOS!$F$2:$F$4000,A249,CONTEOS!$H$2:$H$4000,C249)=0,"PENDIENTE",IF(I249=0,"CUADRA",IF(I249&gt;0,"SOBRANTE","FALTANTE")))</f>
        <v>PENDIENTE</v>
      </c>
    </row>
    <row r="250" spans="1:10" ht="28.8" x14ac:dyDescent="0.3">
      <c r="A250" t="str">
        <f>STOCK_SISTEMA!A250</f>
        <v>EE10106</v>
      </c>
      <c r="B250" s="13" t="str">
        <f>STOCK_SISTEMA!B250</f>
        <v>[EE10106] LAMINA TIYAPUY PAPAS NATIVAS CONGELADAS PEBD 1KG</v>
      </c>
      <c r="C250" t="str">
        <f>IF(STOCK_SISTEMA!C250="","",STOCK_SISTEMA!C250)</f>
        <v>INFORME 01/26</v>
      </c>
      <c r="D250" s="11">
        <f>IF(STOCK_SISTEMA!D250="","",STOCK_SISTEMA!D250)</f>
        <v>46519.580706018518</v>
      </c>
      <c r="E250" t="str">
        <f>STOCK_SISTEMA!E250</f>
        <v>SF-03/Materiales</v>
      </c>
      <c r="F250" t="str">
        <f>STOCK_SISTEMA!G250</f>
        <v>Kilogramo</v>
      </c>
      <c r="G250" s="12">
        <f>STOCK_SISTEMA!F250</f>
        <v>544.75</v>
      </c>
      <c r="H250" s="12">
        <f>SUMIFS(CONTEOS!$N$2:$N$4000,CONTEOS!$F$2:$F$4000,A250,CONTEOS!$H$2:$H$4000,C250)</f>
        <v>0</v>
      </c>
      <c r="I250" s="12">
        <f t="shared" si="3"/>
        <v>-544.75</v>
      </c>
      <c r="J250" t="str">
        <f>IF(COUNTIFS(CONTEOS!$F$2:$F$4000,A250,CONTEOS!$H$2:$H$4000,C250)=0,"PENDIENTE",IF(I250=0,"CUADRA",IF(I250&gt;0,"SOBRANTE","FALTANTE")))</f>
        <v>PENDIENTE</v>
      </c>
    </row>
    <row r="251" spans="1:10" ht="28.8" x14ac:dyDescent="0.3">
      <c r="A251" t="str">
        <f>STOCK_SISTEMA!A251</f>
        <v>TC0091PE</v>
      </c>
      <c r="B251" s="13" t="str">
        <f>STOCK_SISTEMA!B251</f>
        <v>[TC0091PE] TIYAPUY PAPAS NATIVAS MIXTAS CNV 142g x 20un</v>
      </c>
      <c r="C251" t="str">
        <f>IF(STOCK_SISTEMA!C251="","",STOCK_SISTEMA!C251)</f>
        <v>SN-11126-E3</v>
      </c>
      <c r="D251" s="11">
        <f>IF(STOCK_SISTEMA!D251="","",STOCK_SISTEMA!D251)</f>
        <v>46439.242395833331</v>
      </c>
      <c r="E251" t="str">
        <f>STOCK_SISTEMA!E251</f>
        <v>SF-03/PT/SALDOS</v>
      </c>
      <c r="F251" t="str">
        <f>STOCK_SISTEMA!G251</f>
        <v>CajaX20</v>
      </c>
      <c r="G251" s="12">
        <f>STOCK_SISTEMA!F251</f>
        <v>0.91849999999999998</v>
      </c>
      <c r="H251" s="12">
        <f>SUMIFS(CONTEOS!$N$2:$N$4000,CONTEOS!$F$2:$F$4000,A251,CONTEOS!$H$2:$H$4000,C251)</f>
        <v>0</v>
      </c>
      <c r="I251" s="12">
        <f t="shared" si="3"/>
        <v>-0.91849999999999998</v>
      </c>
      <c r="J251" t="str">
        <f>IF(COUNTIFS(CONTEOS!$F$2:$F$4000,A251,CONTEOS!$H$2:$H$4000,C251)=0,"PENDIENTE",IF(I251=0,"CUADRA",IF(I251&gt;0,"SOBRANTE","FALTANTE")))</f>
        <v>PENDIENTE</v>
      </c>
    </row>
    <row r="252" spans="1:10" ht="28.8" x14ac:dyDescent="0.3">
      <c r="A252" t="str">
        <f>STOCK_SISTEMA!A252</f>
        <v>TC0006PE</v>
      </c>
      <c r="B252" s="13" t="str">
        <f>STOCK_SISTEMA!B252</f>
        <v>[TC0006PE] TIYAPUY PAPAS NATIVAS MIXTAS CNV C/T 30g x 72un</v>
      </c>
      <c r="C252" t="str">
        <f>IF(STOCK_SISTEMA!C252="","",STOCK_SISTEMA!C252)</f>
        <v>SN-12526-E3</v>
      </c>
      <c r="D252" s="11">
        <f>IF(STOCK_SISTEMA!D252="","",STOCK_SISTEMA!D252)</f>
        <v>46447.61378472222</v>
      </c>
      <c r="E252" t="str">
        <f>STOCK_SISTEMA!E252</f>
        <v>SF-03/PT/SALDOS</v>
      </c>
      <c r="F252" t="str">
        <f>STOCK_SISTEMA!G252</f>
        <v>CajaX72</v>
      </c>
      <c r="G252" s="12">
        <f>STOCK_SISTEMA!F252</f>
        <v>1.9443999999999999</v>
      </c>
      <c r="H252" s="12">
        <f>SUMIFS(CONTEOS!$N$2:$N$4000,CONTEOS!$F$2:$F$4000,A252,CONTEOS!$H$2:$H$4000,C252)</f>
        <v>0</v>
      </c>
      <c r="I252" s="12">
        <f t="shared" si="3"/>
        <v>-1.9443999999999999</v>
      </c>
      <c r="J252" t="str">
        <f>IF(COUNTIFS(CONTEOS!$F$2:$F$4000,A252,CONTEOS!$H$2:$H$4000,C252)=0,"PENDIENTE",IF(I252=0,"CUADRA",IF(I252&gt;0,"SOBRANTE","FALTANTE")))</f>
        <v>PENDIENTE</v>
      </c>
    </row>
    <row r="253" spans="1:10" ht="28.8" x14ac:dyDescent="0.3">
      <c r="A253" t="str">
        <f>STOCK_SISTEMA!A253</f>
        <v>TC0113PE</v>
      </c>
      <c r="B253" s="13" t="str">
        <f>STOCK_SISTEMA!B253</f>
        <v>[TC0113PE] TIYAPUY CHIFLES SALADO ALTURA 142g x 20un</v>
      </c>
      <c r="C253" t="str">
        <f>IF(STOCK_SISTEMA!C253="","",STOCK_SISTEMA!C253)</f>
        <v>SP-08626-E7</v>
      </c>
      <c r="D253" s="11">
        <f>IF(STOCK_SISTEMA!D253="","",STOCK_SISTEMA!D253)</f>
        <v>46408.896585648137</v>
      </c>
      <c r="E253" t="str">
        <f>STOCK_SISTEMA!E253</f>
        <v>SF-03/PT/SALDOS</v>
      </c>
      <c r="F253" t="str">
        <f>STOCK_SISTEMA!G253</f>
        <v>CajaX20</v>
      </c>
      <c r="G253" s="12">
        <f>STOCK_SISTEMA!F253</f>
        <v>1.65</v>
      </c>
      <c r="H253" s="12">
        <f>SUMIFS(CONTEOS!$N$2:$N$4000,CONTEOS!$F$2:$F$4000,A253,CONTEOS!$H$2:$H$4000,C253)</f>
        <v>0</v>
      </c>
      <c r="I253" s="12">
        <f t="shared" si="3"/>
        <v>-1.65</v>
      </c>
      <c r="J253" t="str">
        <f>IF(COUNTIFS(CONTEOS!$F$2:$F$4000,A253,CONTEOS!$H$2:$H$4000,C253)=0,"PENDIENTE",IF(I253=0,"CUADRA",IF(I253&gt;0,"SOBRANTE","FALTANTE")))</f>
        <v>PENDIENTE</v>
      </c>
    </row>
    <row r="254" spans="1:10" ht="43.2" x14ac:dyDescent="0.3">
      <c r="A254" t="str">
        <f>STOCK_SISTEMA!A254</f>
        <v>TC0123PE</v>
      </c>
      <c r="B254" s="13" t="str">
        <f>STOCK_SISTEMA!B254</f>
        <v>[TC0123PE] TIYAPUY HOJUELAS DE CAMOTES FRITOS CON SAL ALT 142g x 20und.</v>
      </c>
      <c r="C254" t="str">
        <f>IF(STOCK_SISTEMA!C254="","",STOCK_SISTEMA!C254)</f>
        <v>SC-26325</v>
      </c>
      <c r="D254" s="11">
        <f>IF(STOCK_SISTEMA!D254="","",STOCK_SISTEMA!D254)</f>
        <v>46223.094085648147</v>
      </c>
      <c r="E254" t="str">
        <f>STOCK_SISTEMA!E254</f>
        <v>SF-03/PT/SALDOS</v>
      </c>
      <c r="F254" t="str">
        <f>STOCK_SISTEMA!G254</f>
        <v>CajaX20</v>
      </c>
      <c r="G254" s="12">
        <f>STOCK_SISTEMA!F254</f>
        <v>1</v>
      </c>
      <c r="H254" s="12">
        <f>SUMIFS(CONTEOS!$N$2:$N$4000,CONTEOS!$F$2:$F$4000,A254,CONTEOS!$H$2:$H$4000,C254)</f>
        <v>0</v>
      </c>
      <c r="I254" s="12">
        <f t="shared" si="3"/>
        <v>-1</v>
      </c>
      <c r="J254" t="str">
        <f>IF(COUNTIFS(CONTEOS!$F$2:$F$4000,A254,CONTEOS!$H$2:$H$4000,C254)=0,"PENDIENTE",IF(I254=0,"CUADRA",IF(I254&gt;0,"SOBRANTE","FALTANTE")))</f>
        <v>PENDIENTE</v>
      </c>
    </row>
    <row r="255" spans="1:10" ht="43.2" x14ac:dyDescent="0.3">
      <c r="A255" t="str">
        <f>STOCK_SISTEMA!A255</f>
        <v>TC0029PE</v>
      </c>
      <c r="B255" s="13" t="str">
        <f>STOCK_SISTEMA!B255</f>
        <v>[TC0029PE] TIYAPUY HOJUELAS DE CAMOTES FRITOS CON SAL S/T 30g x 72und.</v>
      </c>
      <c r="C255" t="str">
        <f>IF(STOCK_SISTEMA!C255="","",STOCK_SISTEMA!C255)</f>
        <v>SC-10726-E8</v>
      </c>
      <c r="D255" s="11">
        <f>IF(STOCK_SISTEMA!D255="","",STOCK_SISTEMA!D255)</f>
        <v>46429.44771990741</v>
      </c>
      <c r="E255" t="str">
        <f>STOCK_SISTEMA!E255</f>
        <v>SF-03/PT/SALDOS</v>
      </c>
      <c r="F255" t="str">
        <f>STOCK_SISTEMA!G255</f>
        <v>CajaX72</v>
      </c>
      <c r="G255" s="12">
        <f>STOCK_SISTEMA!F255</f>
        <v>1</v>
      </c>
      <c r="H255" s="12">
        <f>SUMIFS(CONTEOS!$N$2:$N$4000,CONTEOS!$F$2:$F$4000,A255,CONTEOS!$H$2:$H$4000,C255)</f>
        <v>0</v>
      </c>
      <c r="I255" s="12">
        <f t="shared" si="3"/>
        <v>-1</v>
      </c>
      <c r="J255" t="str">
        <f>IF(COUNTIFS(CONTEOS!$F$2:$F$4000,A255,CONTEOS!$H$2:$H$4000,C255)=0,"PENDIENTE",IF(I255=0,"CUADRA",IF(I255&gt;0,"SOBRANTE","FALTANTE")))</f>
        <v>PENDIENTE</v>
      </c>
    </row>
    <row r="256" spans="1:10" ht="28.8" x14ac:dyDescent="0.3">
      <c r="A256" t="str">
        <f>STOCK_SISTEMA!A256</f>
        <v>TQ0034PE</v>
      </c>
      <c r="B256" s="13" t="str">
        <f>STOCK_SISTEMA!B256</f>
        <v>[TQ0034PE] TIYAPUY CHIPS QUINUA BBQ 100g x 18un</v>
      </c>
      <c r="C256" t="str">
        <f>IF(STOCK_SISTEMA!C256="","",STOCK_SISTEMA!C256)</f>
        <v>QB-12826-E10</v>
      </c>
      <c r="D256" s="11">
        <f>IF(STOCK_SISTEMA!D256="","",STOCK_SISTEMA!D256)</f>
        <v>46515.752280092587</v>
      </c>
      <c r="E256" t="str">
        <f>STOCK_SISTEMA!E256</f>
        <v>SF-03/PT/SALDOS</v>
      </c>
      <c r="F256" t="str">
        <f>STOCK_SISTEMA!G256</f>
        <v>CajaX18</v>
      </c>
      <c r="G256" s="12">
        <f>STOCK_SISTEMA!F256</f>
        <v>41.5</v>
      </c>
      <c r="H256" s="12">
        <f>SUMIFS(CONTEOS!$N$2:$N$4000,CONTEOS!$F$2:$F$4000,A256,CONTEOS!$H$2:$H$4000,C256)</f>
        <v>0</v>
      </c>
      <c r="I256" s="12">
        <f t="shared" si="3"/>
        <v>-41.5</v>
      </c>
      <c r="J256" t="str">
        <f>IF(COUNTIFS(CONTEOS!$F$2:$F$4000,A256,CONTEOS!$H$2:$H$4000,C256)=0,"PENDIENTE",IF(I256=0,"CUADRA",IF(I256&gt;0,"SOBRANTE","FALTANTE")))</f>
        <v>PENDIENTE</v>
      </c>
    </row>
    <row r="257" spans="1:10" ht="28.8" x14ac:dyDescent="0.3">
      <c r="A257" t="str">
        <f>STOCK_SISTEMA!A257</f>
        <v>TC0091PE</v>
      </c>
      <c r="B257" s="13" t="str">
        <f>STOCK_SISTEMA!B257</f>
        <v>[TC0091PE] TIYAPUY PAPAS NATIVAS MIXTAS CNV 142g x 20un</v>
      </c>
      <c r="C257" t="str">
        <f>IF(STOCK_SISTEMA!C257="","",STOCK_SISTEMA!C257)</f>
        <v>SN-12526-E1</v>
      </c>
      <c r="D257" s="11">
        <f>IF(STOCK_SISTEMA!D257="","",STOCK_SISTEMA!D257)</f>
        <v>46447.720416666663</v>
      </c>
      <c r="E257" t="str">
        <f>STOCK_SISTEMA!E257</f>
        <v>SF-03/PT/SALDOS</v>
      </c>
      <c r="F257" t="str">
        <f>STOCK_SISTEMA!G257</f>
        <v>CajaX20</v>
      </c>
      <c r="G257" s="12">
        <f>STOCK_SISTEMA!F257</f>
        <v>77</v>
      </c>
      <c r="H257" s="12">
        <f>SUMIFS(CONTEOS!$N$2:$N$4000,CONTEOS!$F$2:$F$4000,A257,CONTEOS!$H$2:$H$4000,C257)</f>
        <v>0</v>
      </c>
      <c r="I257" s="12">
        <f t="shared" si="3"/>
        <v>-77</v>
      </c>
      <c r="J257" t="str">
        <f>IF(COUNTIFS(CONTEOS!$F$2:$F$4000,A257,CONTEOS!$H$2:$H$4000,C257)=0,"PENDIENTE",IF(I257=0,"CUADRA",IF(I257&gt;0,"SOBRANTE","FALTANTE")))</f>
        <v>PENDIENTE</v>
      </c>
    </row>
    <row r="258" spans="1:10" ht="43.2" x14ac:dyDescent="0.3">
      <c r="A258" t="str">
        <f>STOCK_SISTEMA!A258</f>
        <v>TC0016PE</v>
      </c>
      <c r="B258" s="13" t="str">
        <f>STOCK_SISTEMA!B258</f>
        <v>[TC0016PE] TIYAPUY  HOJUELAS DE PAPAS NATIVAS FRITAS CON SAL ALT S/T 30g x 72und.</v>
      </c>
      <c r="C258" t="str">
        <f>IF(STOCK_SISTEMA!C258="","",STOCK_SISTEMA!C258)</f>
        <v>SN-09726-E1</v>
      </c>
      <c r="D258" s="11">
        <f>IF(STOCK_SISTEMA!D258="","",STOCK_SISTEMA!D258)</f>
        <v>46425.951203703713</v>
      </c>
      <c r="E258" t="str">
        <f>STOCK_SISTEMA!E258</f>
        <v>SF-03/PT/SALDOS</v>
      </c>
      <c r="F258" t="str">
        <f>STOCK_SISTEMA!G258</f>
        <v>CajaX72</v>
      </c>
      <c r="G258" s="12">
        <f>STOCK_SISTEMA!F258</f>
        <v>1</v>
      </c>
      <c r="H258" s="12">
        <f>SUMIFS(CONTEOS!$N$2:$N$4000,CONTEOS!$F$2:$F$4000,A258,CONTEOS!$H$2:$H$4000,C258)</f>
        <v>0</v>
      </c>
      <c r="I258" s="12">
        <f t="shared" ref="I258:I321" si="4">H258-G258</f>
        <v>-1</v>
      </c>
      <c r="J258" t="str">
        <f>IF(COUNTIFS(CONTEOS!$F$2:$F$4000,A258,CONTEOS!$H$2:$H$4000,C258)=0,"PENDIENTE",IF(I258=0,"CUADRA",IF(I258&gt;0,"SOBRANTE","FALTANTE")))</f>
        <v>PENDIENTE</v>
      </c>
    </row>
    <row r="259" spans="1:10" ht="28.8" x14ac:dyDescent="0.3">
      <c r="A259" t="str">
        <f>STOCK_SISTEMA!A259</f>
        <v>TC0058PE</v>
      </c>
      <c r="B259" s="13" t="str">
        <f>STOCK_SISTEMA!B259</f>
        <v>[TC0058PE] TIYAPUY HOJUELAS DE CAMOTES FRITOS CON SAL 142g x 20und.</v>
      </c>
      <c r="C259" t="str">
        <f>IF(STOCK_SISTEMA!C259="","",STOCK_SISTEMA!C259)</f>
        <v>SC-11226-E7</v>
      </c>
      <c r="D259" s="11">
        <f>IF(STOCK_SISTEMA!D259="","",STOCK_SISTEMA!D259)</f>
        <v>46434.200775462959</v>
      </c>
      <c r="E259" t="str">
        <f>STOCK_SISTEMA!E259</f>
        <v>SF-03/PT/SALDOS</v>
      </c>
      <c r="F259" t="str">
        <f>STOCK_SISTEMA!G259</f>
        <v>CajaX20</v>
      </c>
      <c r="G259" s="12">
        <f>STOCK_SISTEMA!F259</f>
        <v>15</v>
      </c>
      <c r="H259" s="12">
        <f>SUMIFS(CONTEOS!$N$2:$N$4000,CONTEOS!$F$2:$F$4000,A259,CONTEOS!$H$2:$H$4000,C259)</f>
        <v>0</v>
      </c>
      <c r="I259" s="12">
        <f t="shared" si="4"/>
        <v>-15</v>
      </c>
      <c r="J259" t="str">
        <f>IF(COUNTIFS(CONTEOS!$F$2:$F$4000,A259,CONTEOS!$H$2:$H$4000,C259)=0,"PENDIENTE",IF(I259=0,"CUADRA",IF(I259&gt;0,"SOBRANTE","FALTANTE")))</f>
        <v>PENDIENTE</v>
      </c>
    </row>
    <row r="260" spans="1:10" ht="28.8" x14ac:dyDescent="0.3">
      <c r="A260" t="str">
        <f>STOCK_SISTEMA!A260</f>
        <v>TC0086PE</v>
      </c>
      <c r="B260" s="13" t="str">
        <f>STOCK_SISTEMA!B260</f>
        <v>[TC0086PE] TIYAPUY CAMOTES SALADO 40g x 48un</v>
      </c>
      <c r="C260" t="str">
        <f>IF(STOCK_SISTEMA!C260="","",STOCK_SISTEMA!C260)</f>
        <v>SC-13026-E5</v>
      </c>
      <c r="D260" s="11">
        <f>IF(STOCK_SISTEMA!D260="","",STOCK_SISTEMA!D260)</f>
        <v>46456.732777777783</v>
      </c>
      <c r="E260" t="str">
        <f>STOCK_SISTEMA!E260</f>
        <v>SF-03/PT/SALDOS</v>
      </c>
      <c r="F260" t="str">
        <f>STOCK_SISTEMA!G260</f>
        <v>CajaX48</v>
      </c>
      <c r="G260" s="12">
        <f>STOCK_SISTEMA!F260</f>
        <v>18</v>
      </c>
      <c r="H260" s="12">
        <f>SUMIFS(CONTEOS!$N$2:$N$4000,CONTEOS!$F$2:$F$4000,A260,CONTEOS!$H$2:$H$4000,C260)</f>
        <v>0</v>
      </c>
      <c r="I260" s="12">
        <f t="shared" si="4"/>
        <v>-18</v>
      </c>
      <c r="J260" t="str">
        <f>IF(COUNTIFS(CONTEOS!$F$2:$F$4000,A260,CONTEOS!$H$2:$H$4000,C260)=0,"PENDIENTE",IF(I260=0,"CUADRA",IF(I260&gt;0,"SOBRANTE","FALTANTE")))</f>
        <v>PENDIENTE</v>
      </c>
    </row>
    <row r="261" spans="1:10" ht="28.8" x14ac:dyDescent="0.3">
      <c r="A261" t="str">
        <f>STOCK_SISTEMA!A261</f>
        <v>TQ0035PE</v>
      </c>
      <c r="B261" s="13" t="str">
        <f>STOCK_SISTEMA!B261</f>
        <v>[TQ0035PE] TIYAPUY EXTRUIDO FRITO A BASE DE QUINUA 100g x 18und.</v>
      </c>
      <c r="C261" t="str">
        <f>IF(STOCK_SISTEMA!C261="","",STOCK_SISTEMA!C261)</f>
        <v>QN-12726-E10</v>
      </c>
      <c r="D261" s="11">
        <f>IF(STOCK_SISTEMA!D261="","",STOCK_SISTEMA!D261)</f>
        <v>46509.719756944447</v>
      </c>
      <c r="E261" t="str">
        <f>STOCK_SISTEMA!E261</f>
        <v>SF-03/PT/SALDOS</v>
      </c>
      <c r="F261" t="str">
        <f>STOCK_SISTEMA!G261</f>
        <v>CajaX18</v>
      </c>
      <c r="G261" s="12">
        <f>STOCK_SISTEMA!F261</f>
        <v>42.5</v>
      </c>
      <c r="H261" s="12">
        <f>SUMIFS(CONTEOS!$N$2:$N$4000,CONTEOS!$F$2:$F$4000,A261,CONTEOS!$H$2:$H$4000,C261)</f>
        <v>0</v>
      </c>
      <c r="I261" s="12">
        <f t="shared" si="4"/>
        <v>-42.5</v>
      </c>
      <c r="J261" t="str">
        <f>IF(COUNTIFS(CONTEOS!$F$2:$F$4000,A261,CONTEOS!$H$2:$H$4000,C261)=0,"PENDIENTE",IF(I261=0,"CUADRA",IF(I261&gt;0,"SOBRANTE","FALTANTE")))</f>
        <v>PENDIENTE</v>
      </c>
    </row>
    <row r="262" spans="1:10" ht="43.2" x14ac:dyDescent="0.3">
      <c r="A262" t="str">
        <f>STOCK_SISTEMA!A262</f>
        <v>TC0016PE</v>
      </c>
      <c r="B262" s="13" t="str">
        <f>STOCK_SISTEMA!B262</f>
        <v>[TC0016PE] TIYAPUY  HOJUELAS DE PAPAS NATIVAS FRITAS CON SAL ALT S/T 30g x 72und.</v>
      </c>
      <c r="C262" t="str">
        <f>IF(STOCK_SISTEMA!C262="","",STOCK_SISTEMA!C262)</f>
        <v>SN-12726-E2</v>
      </c>
      <c r="D262" s="11">
        <f>IF(STOCK_SISTEMA!D262="","",STOCK_SISTEMA!D262)</f>
        <v>46449.926550925928</v>
      </c>
      <c r="E262" t="str">
        <f>STOCK_SISTEMA!E262</f>
        <v>SF-03/PT/SALDOS</v>
      </c>
      <c r="F262" t="str">
        <f>STOCK_SISTEMA!G262</f>
        <v>CajaX72</v>
      </c>
      <c r="G262" s="12">
        <f>STOCK_SISTEMA!F262</f>
        <v>1</v>
      </c>
      <c r="H262" s="12">
        <f>SUMIFS(CONTEOS!$N$2:$N$4000,CONTEOS!$F$2:$F$4000,A262,CONTEOS!$H$2:$H$4000,C262)</f>
        <v>0</v>
      </c>
      <c r="I262" s="12">
        <f t="shared" si="4"/>
        <v>-1</v>
      </c>
      <c r="J262" t="str">
        <f>IF(COUNTIFS(CONTEOS!$F$2:$F$4000,A262,CONTEOS!$H$2:$H$4000,C262)=0,"PENDIENTE",IF(I262=0,"CUADRA",IF(I262&gt;0,"SOBRANTE","FALTANTE")))</f>
        <v>PENDIENTE</v>
      </c>
    </row>
    <row r="263" spans="1:10" ht="28.8" x14ac:dyDescent="0.3">
      <c r="A263" t="str">
        <f>STOCK_SISTEMA!A263</f>
        <v>MP10020</v>
      </c>
      <c r="B263" s="13" t="str">
        <f>STOCK_SISTEMA!B263</f>
        <v>[MP10020] SABOR TIYAPUY BBQ B48620-26 CRAMER X KG</v>
      </c>
      <c r="C263" t="str">
        <f>IF(STOCK_SISTEMA!C263="","",STOCK_SISTEMA!C263)</f>
        <v>INFORME 02/26</v>
      </c>
      <c r="D263" s="11">
        <f>IF(STOCK_SISTEMA!D263="","",STOCK_SISTEMA!D263)</f>
        <v>46499.592499999999</v>
      </c>
      <c r="E263" t="str">
        <f>STOCK_SISTEMA!E263</f>
        <v>SF-03/Materiales</v>
      </c>
      <c r="F263" t="str">
        <f>STOCK_SISTEMA!G263</f>
        <v>Kilogramo</v>
      </c>
      <c r="G263" s="12">
        <f>STOCK_SISTEMA!F263</f>
        <v>117</v>
      </c>
      <c r="H263" s="12">
        <f>SUMIFS(CONTEOS!$N$2:$N$4000,CONTEOS!$F$2:$F$4000,A263,CONTEOS!$H$2:$H$4000,C263)</f>
        <v>0</v>
      </c>
      <c r="I263" s="12">
        <f t="shared" si="4"/>
        <v>-117</v>
      </c>
      <c r="J263" t="str">
        <f>IF(COUNTIFS(CONTEOS!$F$2:$F$4000,A263,CONTEOS!$H$2:$H$4000,C263)=0,"PENDIENTE",IF(I263=0,"CUADRA",IF(I263&gt;0,"SOBRANTE","FALTANTE")))</f>
        <v>PENDIENTE</v>
      </c>
    </row>
    <row r="264" spans="1:10" ht="28.8" x14ac:dyDescent="0.3">
      <c r="A264" t="str">
        <f>STOCK_SISTEMA!A264</f>
        <v>TC0087PE</v>
      </c>
      <c r="B264" s="13" t="str">
        <f>STOCK_SISTEMA!B264</f>
        <v>[TC0087PE] TIYAPUY CHIFLES SALADO 40g x 48un</v>
      </c>
      <c r="C264" t="str">
        <f>IF(STOCK_SISTEMA!C264="","",STOCK_SISTEMA!C264)</f>
        <v>SP-11926-E7</v>
      </c>
      <c r="D264" s="11">
        <f>IF(STOCK_SISTEMA!D264="","",STOCK_SISTEMA!D264)</f>
        <v>46441.450046296297</v>
      </c>
      <c r="E264" t="str">
        <f>STOCK_SISTEMA!E264</f>
        <v>SF-03/PT/SALDOS</v>
      </c>
      <c r="F264" t="str">
        <f>STOCK_SISTEMA!G264</f>
        <v>CajaX48</v>
      </c>
      <c r="G264" s="12">
        <f>STOCK_SISTEMA!F264</f>
        <v>5</v>
      </c>
      <c r="H264" s="12">
        <f>SUMIFS(CONTEOS!$N$2:$N$4000,CONTEOS!$F$2:$F$4000,A264,CONTEOS!$H$2:$H$4000,C264)</f>
        <v>0</v>
      </c>
      <c r="I264" s="12">
        <f t="shared" si="4"/>
        <v>-5</v>
      </c>
      <c r="J264" t="str">
        <f>IF(COUNTIFS(CONTEOS!$F$2:$F$4000,A264,CONTEOS!$H$2:$H$4000,C264)=0,"PENDIENTE",IF(I264=0,"CUADRA",IF(I264&gt;0,"SOBRANTE","FALTANTE")))</f>
        <v>PENDIENTE</v>
      </c>
    </row>
    <row r="265" spans="1:10" ht="28.8" x14ac:dyDescent="0.3">
      <c r="A265" t="str">
        <f>STOCK_SISTEMA!A265</f>
        <v>TC0006PE</v>
      </c>
      <c r="B265" s="13" t="str">
        <f>STOCK_SISTEMA!B265</f>
        <v>[TC0006PE] TIYAPUY PAPAS NATIVAS MIXTAS CNV C/T 30g x 72un</v>
      </c>
      <c r="C265" t="str">
        <f>IF(STOCK_SISTEMA!C265="","",STOCK_SISTEMA!C265)</f>
        <v>SN-10426-E4</v>
      </c>
      <c r="D265" s="11">
        <f>IF(STOCK_SISTEMA!D265="","",STOCK_SISTEMA!D265)</f>
        <v>46426.341793981483</v>
      </c>
      <c r="E265" t="str">
        <f>STOCK_SISTEMA!E265</f>
        <v>SF-03/PT/SALDOS</v>
      </c>
      <c r="F265" t="str">
        <f>STOCK_SISTEMA!G265</f>
        <v>CajaX72</v>
      </c>
      <c r="G265" s="12">
        <f>STOCK_SISTEMA!F265</f>
        <v>1</v>
      </c>
      <c r="H265" s="12">
        <f>SUMIFS(CONTEOS!$N$2:$N$4000,CONTEOS!$F$2:$F$4000,A265,CONTEOS!$H$2:$H$4000,C265)</f>
        <v>0</v>
      </c>
      <c r="I265" s="12">
        <f t="shared" si="4"/>
        <v>-1</v>
      </c>
      <c r="J265" t="str">
        <f>IF(COUNTIFS(CONTEOS!$F$2:$F$4000,A265,CONTEOS!$H$2:$H$4000,C265)=0,"PENDIENTE",IF(I265=0,"CUADRA",IF(I265&gt;0,"SOBRANTE","FALTANTE")))</f>
        <v>PENDIENTE</v>
      </c>
    </row>
    <row r="266" spans="1:10" ht="28.8" x14ac:dyDescent="0.3">
      <c r="A266" t="str">
        <f>STOCK_SISTEMA!A266</f>
        <v>TC0004PE</v>
      </c>
      <c r="B266" s="13" t="str">
        <f>STOCK_SISTEMA!B266</f>
        <v>[TC0004PE] TIYAPUY CHIFLES SALADO C/T 30g x 72un</v>
      </c>
      <c r="C266" t="str">
        <f>IF(STOCK_SISTEMA!C266="","",STOCK_SISTEMA!C266)</f>
        <v>SP-10826-E7</v>
      </c>
      <c r="D266" s="11">
        <f>IF(STOCK_SISTEMA!D266="","",STOCK_SISTEMA!D266)</f>
        <v>46430.493194444447</v>
      </c>
      <c r="E266" t="str">
        <f>STOCK_SISTEMA!E266</f>
        <v>SF-03/PT/SALDOS</v>
      </c>
      <c r="F266" t="str">
        <f>STOCK_SISTEMA!G266</f>
        <v>CajaX72</v>
      </c>
      <c r="G266" s="12">
        <f>STOCK_SISTEMA!F266</f>
        <v>1</v>
      </c>
      <c r="H266" s="12">
        <f>SUMIFS(CONTEOS!$N$2:$N$4000,CONTEOS!$F$2:$F$4000,A266,CONTEOS!$H$2:$H$4000,C266)</f>
        <v>0</v>
      </c>
      <c r="I266" s="12">
        <f t="shared" si="4"/>
        <v>-1</v>
      </c>
      <c r="J266" t="str">
        <f>IF(COUNTIFS(CONTEOS!$F$2:$F$4000,A266,CONTEOS!$H$2:$H$4000,C266)=0,"PENDIENTE",IF(I266=0,"CUADRA",IF(I266&gt;0,"SOBRANTE","FALTANTE")))</f>
        <v>PENDIENTE</v>
      </c>
    </row>
    <row r="267" spans="1:10" ht="28.8" x14ac:dyDescent="0.3">
      <c r="A267" t="str">
        <f>STOCK_SISTEMA!A267</f>
        <v>TC0086PE</v>
      </c>
      <c r="B267" s="13" t="str">
        <f>STOCK_SISTEMA!B267</f>
        <v>[TC0086PE] TIYAPUY CAMOTES SALADO 40g x 48un</v>
      </c>
      <c r="C267" t="str">
        <f>IF(STOCK_SISTEMA!C267="","",STOCK_SISTEMA!C267)</f>
        <v>SC-13726-E8</v>
      </c>
      <c r="D267" s="11">
        <f>IF(STOCK_SISTEMA!D267="","",STOCK_SISTEMA!D267)</f>
        <v>46459.276805555557</v>
      </c>
      <c r="E267" t="str">
        <f>STOCK_SISTEMA!E267</f>
        <v>SF-03/PT/SALDOS</v>
      </c>
      <c r="F267" t="str">
        <f>STOCK_SISTEMA!G267</f>
        <v>CajaX48</v>
      </c>
      <c r="G267" s="12">
        <f>STOCK_SISTEMA!F267</f>
        <v>1</v>
      </c>
      <c r="H267" s="12">
        <f>SUMIFS(CONTEOS!$N$2:$N$4000,CONTEOS!$F$2:$F$4000,A267,CONTEOS!$H$2:$H$4000,C267)</f>
        <v>0</v>
      </c>
      <c r="I267" s="12">
        <f t="shared" si="4"/>
        <v>-1</v>
      </c>
      <c r="J267" t="str">
        <f>IF(COUNTIFS(CONTEOS!$F$2:$F$4000,A267,CONTEOS!$H$2:$H$4000,C267)=0,"PENDIENTE",IF(I267=0,"CUADRA",IF(I267&gt;0,"SOBRANTE","FALTANTE")))</f>
        <v>PENDIENTE</v>
      </c>
    </row>
    <row r="268" spans="1:10" ht="28.8" x14ac:dyDescent="0.3">
      <c r="A268" t="str">
        <f>STOCK_SISTEMA!A268</f>
        <v>TC0086PE</v>
      </c>
      <c r="B268" s="13" t="str">
        <f>STOCK_SISTEMA!B268</f>
        <v>[TC0086PE] TIYAPUY CAMOTES SALADO 40g x 48un</v>
      </c>
      <c r="C268" t="str">
        <f>IF(STOCK_SISTEMA!C268="","",STOCK_SISTEMA!C268)</f>
        <v>SC-13826-E7</v>
      </c>
      <c r="D268" s="11">
        <f>IF(STOCK_SISTEMA!D268="","",STOCK_SISTEMA!D268)</f>
        <v>46460.984201388892</v>
      </c>
      <c r="E268" t="str">
        <f>STOCK_SISTEMA!E268</f>
        <v>SF-03/PT/SALDOS</v>
      </c>
      <c r="F268" t="str">
        <f>STOCK_SISTEMA!G268</f>
        <v>CajaX48</v>
      </c>
      <c r="G268" s="12">
        <f>STOCK_SISTEMA!F268</f>
        <v>1</v>
      </c>
      <c r="H268" s="12">
        <f>SUMIFS(CONTEOS!$N$2:$N$4000,CONTEOS!$F$2:$F$4000,A268,CONTEOS!$H$2:$H$4000,C268)</f>
        <v>0</v>
      </c>
      <c r="I268" s="12">
        <f t="shared" si="4"/>
        <v>-1</v>
      </c>
      <c r="J268" t="str">
        <f>IF(COUNTIFS(CONTEOS!$F$2:$F$4000,A268,CONTEOS!$H$2:$H$4000,C268)=0,"PENDIENTE",IF(I268=0,"CUADRA",IF(I268&gt;0,"SOBRANTE","FALTANTE")))</f>
        <v>PENDIENTE</v>
      </c>
    </row>
    <row r="269" spans="1:10" ht="28.8" x14ac:dyDescent="0.3">
      <c r="A269" t="str">
        <f>STOCK_SISTEMA!A269</f>
        <v>EE10300</v>
      </c>
      <c r="B269" s="13" t="str">
        <f>STOCK_SISTEMA!B269</f>
        <v>[EE10300] LAMINA RIKY TOK 25 G JALAPEÑO X KG</v>
      </c>
      <c r="C269" t="str">
        <f>IF(STOCK_SISTEMA!C269="","",STOCK_SISTEMA!C269)</f>
        <v>INFORME 01/26</v>
      </c>
      <c r="D269" s="11">
        <f>IF(STOCK_SISTEMA!D269="","",STOCK_SISTEMA!D269)</f>
        <v>46341.520405092589</v>
      </c>
      <c r="E269" t="str">
        <f>STOCK_SISTEMA!E269</f>
        <v>SF-03/Materiales</v>
      </c>
      <c r="F269" t="str">
        <f>STOCK_SISTEMA!G269</f>
        <v>Kilogramo</v>
      </c>
      <c r="G269" s="12">
        <f>STOCK_SISTEMA!F269</f>
        <v>105.14</v>
      </c>
      <c r="H269" s="12">
        <f>SUMIFS(CONTEOS!$N$2:$N$4000,CONTEOS!$F$2:$F$4000,A269,CONTEOS!$H$2:$H$4000,C269)</f>
        <v>0</v>
      </c>
      <c r="I269" s="12">
        <f t="shared" si="4"/>
        <v>-105.14</v>
      </c>
      <c r="J269" t="str">
        <f>IF(COUNTIFS(CONTEOS!$F$2:$F$4000,A269,CONTEOS!$H$2:$H$4000,C269)=0,"PENDIENTE",IF(I269=0,"CUADRA",IF(I269&gt;0,"SOBRANTE","FALTANTE")))</f>
        <v>PENDIENTE</v>
      </c>
    </row>
    <row r="270" spans="1:10" ht="28.8" x14ac:dyDescent="0.3">
      <c r="A270" t="str">
        <f>STOCK_SISTEMA!A270</f>
        <v>EE10297</v>
      </c>
      <c r="B270" s="13" t="str">
        <f>STOCK_SISTEMA!B270</f>
        <v>[EE10297] LAMINA RIKY TOK 25 G NATURAL X KG</v>
      </c>
      <c r="C270" t="str">
        <f>IF(STOCK_SISTEMA!C270="","",STOCK_SISTEMA!C270)</f>
        <v>INFORME 01/26</v>
      </c>
      <c r="D270" s="11">
        <f>IF(STOCK_SISTEMA!D270="","",STOCK_SISTEMA!D270)</f>
        <v>46341.524618055562</v>
      </c>
      <c r="E270" t="str">
        <f>STOCK_SISTEMA!E270</f>
        <v>SF-03/Materiales</v>
      </c>
      <c r="F270" t="str">
        <f>STOCK_SISTEMA!G270</f>
        <v>Kilogramo</v>
      </c>
      <c r="G270" s="12">
        <f>STOCK_SISTEMA!F270</f>
        <v>1135.45</v>
      </c>
      <c r="H270" s="12">
        <f>SUMIFS(CONTEOS!$N$2:$N$4000,CONTEOS!$F$2:$F$4000,A270,CONTEOS!$H$2:$H$4000,C270)</f>
        <v>0</v>
      </c>
      <c r="I270" s="12">
        <f t="shared" si="4"/>
        <v>-1135.45</v>
      </c>
      <c r="J270" t="str">
        <f>IF(COUNTIFS(CONTEOS!$F$2:$F$4000,A270,CONTEOS!$H$2:$H$4000,C270)=0,"PENDIENTE",IF(I270=0,"CUADRA",IF(I270&gt;0,"SOBRANTE","FALTANTE")))</f>
        <v>PENDIENTE</v>
      </c>
    </row>
    <row r="271" spans="1:10" ht="28.8" x14ac:dyDescent="0.3">
      <c r="A271" t="str">
        <f>STOCK_SISTEMA!A271</f>
        <v>EE10299</v>
      </c>
      <c r="B271" s="13" t="str">
        <f>STOCK_SISTEMA!B271</f>
        <v>[EE10299] LAMINA RIKY TOK 25 G BBQ X KG</v>
      </c>
      <c r="C271" t="str">
        <f>IF(STOCK_SISTEMA!C271="","",STOCK_SISTEMA!C271)</f>
        <v>INFORME 01/26</v>
      </c>
      <c r="D271" s="11">
        <f>IF(STOCK_SISTEMA!D271="","",STOCK_SISTEMA!D271)</f>
        <v>46341.526516203703</v>
      </c>
      <c r="E271" t="str">
        <f>STOCK_SISTEMA!E271</f>
        <v>SF-03/Materiales</v>
      </c>
      <c r="F271" t="str">
        <f>STOCK_SISTEMA!G271</f>
        <v>Kilogramo</v>
      </c>
      <c r="G271" s="12">
        <f>STOCK_SISTEMA!F271</f>
        <v>604.94000000000005</v>
      </c>
      <c r="H271" s="12">
        <f>SUMIFS(CONTEOS!$N$2:$N$4000,CONTEOS!$F$2:$F$4000,A271,CONTEOS!$H$2:$H$4000,C271)</f>
        <v>0</v>
      </c>
      <c r="I271" s="12">
        <f t="shared" si="4"/>
        <v>-604.94000000000005</v>
      </c>
      <c r="J271" t="str">
        <f>IF(COUNTIFS(CONTEOS!$F$2:$F$4000,A271,CONTEOS!$H$2:$H$4000,C271)=0,"PENDIENTE",IF(I271=0,"CUADRA",IF(I271&gt;0,"SOBRANTE","FALTANTE")))</f>
        <v>PENDIENTE</v>
      </c>
    </row>
    <row r="272" spans="1:10" ht="28.8" x14ac:dyDescent="0.3">
      <c r="A272" t="str">
        <f>STOCK_SISTEMA!A272</f>
        <v>EE10041</v>
      </c>
      <c r="B272" s="13" t="str">
        <f>STOCK_SISTEMA!B272</f>
        <v>[EE10041] LAMINA TIYAPUY CHIPS QUINUA NATURAL 100 GR X KG</v>
      </c>
      <c r="C272" t="str">
        <f>IF(STOCK_SISTEMA!C272="","",STOCK_SISTEMA!C272)</f>
        <v>INFORME 01/25</v>
      </c>
      <c r="D272" s="11">
        <f>IF(STOCK_SISTEMA!D272="","",STOCK_SISTEMA!D272)</f>
        <v>46248.805</v>
      </c>
      <c r="E272" t="str">
        <f>STOCK_SISTEMA!E272</f>
        <v>SF-03/Materiales</v>
      </c>
      <c r="F272" t="str">
        <f>STOCK_SISTEMA!G272</f>
        <v>Kilogramo</v>
      </c>
      <c r="G272" s="12">
        <f>STOCK_SISTEMA!F272</f>
        <v>2.8643999999999998</v>
      </c>
      <c r="H272" s="12">
        <f>SUMIFS(CONTEOS!$N$2:$N$4000,CONTEOS!$F$2:$F$4000,A272,CONTEOS!$H$2:$H$4000,C272)</f>
        <v>0</v>
      </c>
      <c r="I272" s="12">
        <f t="shared" si="4"/>
        <v>-2.8643999999999998</v>
      </c>
      <c r="J272" t="str">
        <f>IF(COUNTIFS(CONTEOS!$F$2:$F$4000,A272,CONTEOS!$H$2:$H$4000,C272)=0,"PENDIENTE",IF(I272=0,"CUADRA",IF(I272&gt;0,"SOBRANTE","FALTANTE")))</f>
        <v>PENDIENTE</v>
      </c>
    </row>
    <row r="273" spans="1:10" ht="43.2" x14ac:dyDescent="0.3">
      <c r="A273" t="str">
        <f>STOCK_SISTEMA!A273</f>
        <v>TC0016PE</v>
      </c>
      <c r="B273" s="13" t="str">
        <f>STOCK_SISTEMA!B273</f>
        <v>[TC0016PE] TIYAPUY  HOJUELAS DE PAPAS NATIVAS FRITAS CON SAL ALT S/T 30g x 72und.</v>
      </c>
      <c r="C273" t="str">
        <f>IF(STOCK_SISTEMA!C273="","",STOCK_SISTEMA!C273)</f>
        <v>SN-09726-E3</v>
      </c>
      <c r="D273" s="11">
        <f>IF(STOCK_SISTEMA!D273="","",STOCK_SISTEMA!D273)</f>
        <v>46419.729780092603</v>
      </c>
      <c r="E273" t="str">
        <f>STOCK_SISTEMA!E273</f>
        <v>SF-03/PT/SALDOS</v>
      </c>
      <c r="F273" t="str">
        <f>STOCK_SISTEMA!G273</f>
        <v>CajaX72</v>
      </c>
      <c r="G273" s="12">
        <f>STOCK_SISTEMA!F273</f>
        <v>4.9722</v>
      </c>
      <c r="H273" s="12">
        <f>SUMIFS(CONTEOS!$N$2:$N$4000,CONTEOS!$F$2:$F$4000,A273,CONTEOS!$H$2:$H$4000,C273)</f>
        <v>0</v>
      </c>
      <c r="I273" s="12">
        <f t="shared" si="4"/>
        <v>-4.9722</v>
      </c>
      <c r="J273" t="str">
        <f>IF(COUNTIFS(CONTEOS!$F$2:$F$4000,A273,CONTEOS!$H$2:$H$4000,C273)=0,"PENDIENTE",IF(I273=0,"CUADRA",IF(I273&gt;0,"SOBRANTE","FALTANTE")))</f>
        <v>PENDIENTE</v>
      </c>
    </row>
    <row r="274" spans="1:10" ht="28.8" x14ac:dyDescent="0.3">
      <c r="A274" t="str">
        <f>STOCK_SISTEMA!A274</f>
        <v>TC0086PE</v>
      </c>
      <c r="B274" s="13" t="str">
        <f>STOCK_SISTEMA!B274</f>
        <v>[TC0086PE] TIYAPUY CAMOTES SALADO 40g x 48un</v>
      </c>
      <c r="C274" t="str">
        <f>IF(STOCK_SISTEMA!C274="","",STOCK_SISTEMA!C274)</f>
        <v>SC-13626-E8</v>
      </c>
      <c r="D274" s="11">
        <f>IF(STOCK_SISTEMA!D274="","",STOCK_SISTEMA!D274)</f>
        <v>46458.73778935185</v>
      </c>
      <c r="E274" t="str">
        <f>STOCK_SISTEMA!E274</f>
        <v>SF-03/PT/SALDOS</v>
      </c>
      <c r="F274" t="str">
        <f>STOCK_SISTEMA!G274</f>
        <v>CajaX48</v>
      </c>
      <c r="G274" s="12">
        <f>STOCK_SISTEMA!F274</f>
        <v>2</v>
      </c>
      <c r="H274" s="12">
        <f>SUMIFS(CONTEOS!$N$2:$N$4000,CONTEOS!$F$2:$F$4000,A274,CONTEOS!$H$2:$H$4000,C274)</f>
        <v>0</v>
      </c>
      <c r="I274" s="12">
        <f t="shared" si="4"/>
        <v>-2</v>
      </c>
      <c r="J274" t="str">
        <f>IF(COUNTIFS(CONTEOS!$F$2:$F$4000,A274,CONTEOS!$H$2:$H$4000,C274)=0,"PENDIENTE",IF(I274=0,"CUADRA",IF(I274&gt;0,"SOBRANTE","FALTANTE")))</f>
        <v>PENDIENTE</v>
      </c>
    </row>
    <row r="275" spans="1:10" ht="28.8" x14ac:dyDescent="0.3">
      <c r="A275" t="str">
        <f>STOCK_SISTEMA!A275</f>
        <v>TC0082PE</v>
      </c>
      <c r="B275" s="13" t="str">
        <f>STOCK_SISTEMA!B275</f>
        <v>[TC0082PE] TIYAPUY HOJUELAS DE PAPAS NATIVAS FRITAS CON SAL 40g x 48ud.</v>
      </c>
      <c r="C275" t="str">
        <f>IF(STOCK_SISTEMA!C275="","",STOCK_SISTEMA!C275)</f>
        <v>SN-13926-E8</v>
      </c>
      <c r="D275" s="11">
        <f>IF(STOCK_SISTEMA!D275="","",STOCK_SISTEMA!D275)</f>
        <v>46461.894687499997</v>
      </c>
      <c r="E275" t="str">
        <f>STOCK_SISTEMA!E275</f>
        <v>SF-03/PT/SALDOS</v>
      </c>
      <c r="F275" t="str">
        <f>STOCK_SISTEMA!G275</f>
        <v>CajaX48</v>
      </c>
      <c r="G275" s="12">
        <f>STOCK_SISTEMA!F275</f>
        <v>4</v>
      </c>
      <c r="H275" s="12">
        <f>SUMIFS(CONTEOS!$N$2:$N$4000,CONTEOS!$F$2:$F$4000,A275,CONTEOS!$H$2:$H$4000,C275)</f>
        <v>0</v>
      </c>
      <c r="I275" s="12">
        <f t="shared" si="4"/>
        <v>-4</v>
      </c>
      <c r="J275" t="str">
        <f>IF(COUNTIFS(CONTEOS!$F$2:$F$4000,A275,CONTEOS!$H$2:$H$4000,C275)=0,"PENDIENTE",IF(I275=0,"CUADRA",IF(I275&gt;0,"SOBRANTE","FALTANTE")))</f>
        <v>PENDIENTE</v>
      </c>
    </row>
    <row r="276" spans="1:10" ht="28.8" x14ac:dyDescent="0.3">
      <c r="A276" t="str">
        <f>STOCK_SISTEMA!A276</f>
        <v>TC0015PE</v>
      </c>
      <c r="B276" s="13" t="str">
        <f>STOCK_SISTEMA!B276</f>
        <v>[TC0015PE] TIYAPUY HOJUELAS DE PAPAS NATIVAS FRITAS CON SAL S/T 30g x 72und.</v>
      </c>
      <c r="C276" t="str">
        <f>IF(STOCK_SISTEMA!C276="","",STOCK_SISTEMA!C276)</f>
        <v>SN-13026-E5</v>
      </c>
      <c r="D276" s="11">
        <f>IF(STOCK_SISTEMA!D276="","",STOCK_SISTEMA!D276)</f>
        <v>46454.429305555554</v>
      </c>
      <c r="E276" t="str">
        <f>STOCK_SISTEMA!E276</f>
        <v>SF-03/PT/SALDOS</v>
      </c>
      <c r="F276" t="str">
        <f>STOCK_SISTEMA!G276</f>
        <v>CajaX72</v>
      </c>
      <c r="G276" s="12">
        <f>STOCK_SISTEMA!F276</f>
        <v>12</v>
      </c>
      <c r="H276" s="12">
        <f>SUMIFS(CONTEOS!$N$2:$N$4000,CONTEOS!$F$2:$F$4000,A276,CONTEOS!$H$2:$H$4000,C276)</f>
        <v>0</v>
      </c>
      <c r="I276" s="12">
        <f t="shared" si="4"/>
        <v>-12</v>
      </c>
      <c r="J276" t="str">
        <f>IF(COUNTIFS(CONTEOS!$F$2:$F$4000,A276,CONTEOS!$H$2:$H$4000,C276)=0,"PENDIENTE",IF(I276=0,"CUADRA",IF(I276&gt;0,"SOBRANTE","FALTANTE")))</f>
        <v>PENDIENTE</v>
      </c>
    </row>
    <row r="277" spans="1:10" ht="43.2" x14ac:dyDescent="0.3">
      <c r="A277" t="str">
        <f>STOCK_SISTEMA!A277</f>
        <v>TC0016PE</v>
      </c>
      <c r="B277" s="13" t="str">
        <f>STOCK_SISTEMA!B277</f>
        <v>[TC0016PE] TIYAPUY  HOJUELAS DE PAPAS NATIVAS FRITAS CON SAL ALT S/T 30g x 72und.</v>
      </c>
      <c r="C277" t="str">
        <f>IF(STOCK_SISTEMA!C277="","",STOCK_SISTEMA!C277)</f>
        <v>SN-12826-E2</v>
      </c>
      <c r="D277" s="11">
        <f>IF(STOCK_SISTEMA!D277="","",STOCK_SISTEMA!D277)</f>
        <v>46450.232303240737</v>
      </c>
      <c r="E277" t="str">
        <f>STOCK_SISTEMA!E277</f>
        <v>SF-03/PT/SALDOS</v>
      </c>
      <c r="F277" t="str">
        <f>STOCK_SISTEMA!G277</f>
        <v>CajaX72</v>
      </c>
      <c r="G277" s="12">
        <f>STOCK_SISTEMA!F277</f>
        <v>52</v>
      </c>
      <c r="H277" s="12">
        <f>SUMIFS(CONTEOS!$N$2:$N$4000,CONTEOS!$F$2:$F$4000,A277,CONTEOS!$H$2:$H$4000,C277)</f>
        <v>0</v>
      </c>
      <c r="I277" s="12">
        <f t="shared" si="4"/>
        <v>-52</v>
      </c>
      <c r="J277" t="str">
        <f>IF(COUNTIFS(CONTEOS!$F$2:$F$4000,A277,CONTEOS!$H$2:$H$4000,C277)=0,"PENDIENTE",IF(I277=0,"CUADRA",IF(I277&gt;0,"SOBRANTE","FALTANTE")))</f>
        <v>PENDIENTE</v>
      </c>
    </row>
    <row r="278" spans="1:10" ht="43.2" x14ac:dyDescent="0.3">
      <c r="A278" t="str">
        <f>STOCK_SISTEMA!A278</f>
        <v>TC0016PE</v>
      </c>
      <c r="B278" s="13" t="str">
        <f>STOCK_SISTEMA!B278</f>
        <v>[TC0016PE] TIYAPUY  HOJUELAS DE PAPAS NATIVAS FRITAS CON SAL ALT S/T 30g x 72und.</v>
      </c>
      <c r="C278" t="str">
        <f>IF(STOCK_SISTEMA!C278="","",STOCK_SISTEMA!C278)</f>
        <v>SN-12626-E3</v>
      </c>
      <c r="D278" s="11">
        <f>IF(STOCK_SISTEMA!D278="","",STOCK_SISTEMA!D278)</f>
        <v>46448.607673611114</v>
      </c>
      <c r="E278" t="str">
        <f>STOCK_SISTEMA!E278</f>
        <v>SF-03/PT/SALDOS</v>
      </c>
      <c r="F278" t="str">
        <f>STOCK_SISTEMA!G278</f>
        <v>CajaX72</v>
      </c>
      <c r="G278" s="12">
        <f>STOCK_SISTEMA!F278</f>
        <v>30</v>
      </c>
      <c r="H278" s="12">
        <f>SUMIFS(CONTEOS!$N$2:$N$4000,CONTEOS!$F$2:$F$4000,A278,CONTEOS!$H$2:$H$4000,C278)</f>
        <v>0</v>
      </c>
      <c r="I278" s="12">
        <f t="shared" si="4"/>
        <v>-30</v>
      </c>
      <c r="J278" t="str">
        <f>IF(COUNTIFS(CONTEOS!$F$2:$F$4000,A278,CONTEOS!$H$2:$H$4000,C278)=0,"PENDIENTE",IF(I278=0,"CUADRA",IF(I278&gt;0,"SOBRANTE","FALTANTE")))</f>
        <v>PENDIENTE</v>
      </c>
    </row>
    <row r="279" spans="1:10" ht="43.2" x14ac:dyDescent="0.3">
      <c r="A279" t="str">
        <f>STOCK_SISTEMA!A279</f>
        <v>TC0029PE</v>
      </c>
      <c r="B279" s="13" t="str">
        <f>STOCK_SISTEMA!B279</f>
        <v>[TC0029PE] TIYAPUY HOJUELAS DE CAMOTES FRITOS CON SAL S/T 30g x 72und.</v>
      </c>
      <c r="C279" t="str">
        <f>IF(STOCK_SISTEMA!C279="","",STOCK_SISTEMA!C279)</f>
        <v>SC-13626-E8</v>
      </c>
      <c r="D279" s="11">
        <f>IF(STOCK_SISTEMA!D279="","",STOCK_SISTEMA!D279)</f>
        <v>46458.571122685193</v>
      </c>
      <c r="E279" t="str">
        <f>STOCK_SISTEMA!E279</f>
        <v>SF-03/PT/SALDOS</v>
      </c>
      <c r="F279" t="str">
        <f>STOCK_SISTEMA!G279</f>
        <v>CajaX72</v>
      </c>
      <c r="G279" s="12">
        <f>STOCK_SISTEMA!F279</f>
        <v>2</v>
      </c>
      <c r="H279" s="12">
        <f>SUMIFS(CONTEOS!$N$2:$N$4000,CONTEOS!$F$2:$F$4000,A279,CONTEOS!$H$2:$H$4000,C279)</f>
        <v>0</v>
      </c>
      <c r="I279" s="12">
        <f t="shared" si="4"/>
        <v>-2</v>
      </c>
      <c r="J279" t="str">
        <f>IF(COUNTIFS(CONTEOS!$F$2:$F$4000,A279,CONTEOS!$H$2:$H$4000,C279)=0,"PENDIENTE",IF(I279=0,"CUADRA",IF(I279&gt;0,"SOBRANTE","FALTANTE")))</f>
        <v>PENDIENTE</v>
      </c>
    </row>
    <row r="280" spans="1:10" ht="28.8" x14ac:dyDescent="0.3">
      <c r="A280" t="str">
        <f>STOCK_SISTEMA!A280</f>
        <v>TC0082PE</v>
      </c>
      <c r="B280" s="13" t="str">
        <f>STOCK_SISTEMA!B280</f>
        <v>[TC0082PE] TIYAPUY HOJUELAS DE PAPAS NATIVAS FRITAS CON SAL 40g x 48ud.</v>
      </c>
      <c r="C280" t="str">
        <f>IF(STOCK_SISTEMA!C280="","",STOCK_SISTEMA!C280)</f>
        <v>SN-14026-E8</v>
      </c>
      <c r="D280" s="11">
        <f>IF(STOCK_SISTEMA!D280="","",STOCK_SISTEMA!D280)</f>
        <v>46462.40452546296</v>
      </c>
      <c r="E280" t="str">
        <f>STOCK_SISTEMA!E280</f>
        <v>SF-03/PT/SALDOS</v>
      </c>
      <c r="F280" t="str">
        <f>STOCK_SISTEMA!G280</f>
        <v>CajaX48</v>
      </c>
      <c r="G280" s="12">
        <f>STOCK_SISTEMA!F280</f>
        <v>7</v>
      </c>
      <c r="H280" s="12">
        <f>SUMIFS(CONTEOS!$N$2:$N$4000,CONTEOS!$F$2:$F$4000,A280,CONTEOS!$H$2:$H$4000,C280)</f>
        <v>0</v>
      </c>
      <c r="I280" s="12">
        <f t="shared" si="4"/>
        <v>-7</v>
      </c>
      <c r="J280" t="str">
        <f>IF(COUNTIFS(CONTEOS!$F$2:$F$4000,A280,CONTEOS!$H$2:$H$4000,C280)=0,"PENDIENTE",IF(I280=0,"CUADRA",IF(I280&gt;0,"SOBRANTE","FALTANTE")))</f>
        <v>PENDIENTE</v>
      </c>
    </row>
    <row r="281" spans="1:10" ht="43.2" x14ac:dyDescent="0.3">
      <c r="A281" t="str">
        <f>STOCK_SISTEMA!A281</f>
        <v>EE10058-1</v>
      </c>
      <c r="B281" s="13" t="str">
        <f>STOCK_SISTEMA!B281</f>
        <v>[EE10058-1] ENVASE FIBRA MIX NATIVA 73x220mm TUBO 100g + TAPAS (metal + plástico)</v>
      </c>
      <c r="C281" t="str">
        <f>IF(STOCK_SISTEMA!C281="","",STOCK_SISTEMA!C281)</f>
        <v>INFORME 07/26</v>
      </c>
      <c r="D281" s="11">
        <f>IF(STOCK_SISTEMA!D281="","",STOCK_SISTEMA!D281)</f>
        <v>46515.428807870368</v>
      </c>
      <c r="E281" t="str">
        <f>STOCK_SISTEMA!E281</f>
        <v>SF-03/Materiales</v>
      </c>
      <c r="F281" t="str">
        <f>STOCK_SISTEMA!G281</f>
        <v>Unidades</v>
      </c>
      <c r="G281" s="12">
        <f>STOCK_SISTEMA!F281</f>
        <v>2880</v>
      </c>
      <c r="H281" s="12">
        <f>SUMIFS(CONTEOS!$N$2:$N$4000,CONTEOS!$F$2:$F$4000,A281,CONTEOS!$H$2:$H$4000,C281)</f>
        <v>0</v>
      </c>
      <c r="I281" s="12">
        <f t="shared" si="4"/>
        <v>-2880</v>
      </c>
      <c r="J281" t="str">
        <f>IF(COUNTIFS(CONTEOS!$F$2:$F$4000,A281,CONTEOS!$H$2:$H$4000,C281)=0,"PENDIENTE",IF(I281=0,"CUADRA",IF(I281&gt;0,"SOBRANTE","FALTANTE")))</f>
        <v>PENDIENTE</v>
      </c>
    </row>
    <row r="282" spans="1:10" ht="28.8" x14ac:dyDescent="0.3">
      <c r="A282" t="str">
        <f>STOCK_SISTEMA!A282</f>
        <v>EE10213</v>
      </c>
      <c r="B282" s="13" t="str">
        <f>STOCK_SISTEMA!B282</f>
        <v>[EE10213] CAJA MASTER TIYAPUY S/LOGO # 15 X UND</v>
      </c>
      <c r="C282" t="str">
        <f>IF(STOCK_SISTEMA!C282="","",STOCK_SISTEMA!C282)</f>
        <v>INFORME 02/26</v>
      </c>
      <c r="D282" s="11">
        <f>IF(STOCK_SISTEMA!D282="","",STOCK_SISTEMA!D282)</f>
        <v>46533.916180555563</v>
      </c>
      <c r="E282" t="str">
        <f>STOCK_SISTEMA!E282</f>
        <v>SF-03/Materiales</v>
      </c>
      <c r="F282" t="str">
        <f>STOCK_SISTEMA!G282</f>
        <v>Unidades</v>
      </c>
      <c r="G282" s="12">
        <f>STOCK_SISTEMA!F282</f>
        <v>394</v>
      </c>
      <c r="H282" s="12">
        <f>SUMIFS(CONTEOS!$N$2:$N$4000,CONTEOS!$F$2:$F$4000,A282,CONTEOS!$H$2:$H$4000,C282)</f>
        <v>0</v>
      </c>
      <c r="I282" s="12">
        <f t="shared" si="4"/>
        <v>-394</v>
      </c>
      <c r="J282" t="str">
        <f>IF(COUNTIFS(CONTEOS!$F$2:$F$4000,A282,CONTEOS!$H$2:$H$4000,C282)=0,"PENDIENTE",IF(I282=0,"CUADRA",IF(I282&gt;0,"SOBRANTE","FALTANTE")))</f>
        <v>PENDIENTE</v>
      </c>
    </row>
    <row r="283" spans="1:10" ht="28.8" x14ac:dyDescent="0.3">
      <c r="A283" t="str">
        <f>STOCK_SISTEMA!A283</f>
        <v>EE10256</v>
      </c>
      <c r="B283" s="13" t="str">
        <f>STOCK_SISTEMA!B283</f>
        <v>[EE10256] ETIQUETA TEXTOS LEGALES CAMOTE 142g USA</v>
      </c>
      <c r="C283" t="str">
        <f>IF(STOCK_SISTEMA!C283="","",STOCK_SISTEMA!C283)</f>
        <v>INFORME 02/26</v>
      </c>
      <c r="D283" s="11">
        <f>IF(STOCK_SISTEMA!D283="","",STOCK_SISTEMA!D283)</f>
        <v>46538.483969907407</v>
      </c>
      <c r="E283" t="str">
        <f>STOCK_SISTEMA!E283</f>
        <v>SF-03/Materiales</v>
      </c>
      <c r="F283" t="str">
        <f>STOCK_SISTEMA!G283</f>
        <v>Unidades</v>
      </c>
      <c r="G283" s="12">
        <f>STOCK_SISTEMA!F283</f>
        <v>696</v>
      </c>
      <c r="H283" s="12">
        <f>SUMIFS(CONTEOS!$N$2:$N$4000,CONTEOS!$F$2:$F$4000,A283,CONTEOS!$H$2:$H$4000,C283)</f>
        <v>0</v>
      </c>
      <c r="I283" s="12">
        <f t="shared" si="4"/>
        <v>-696</v>
      </c>
      <c r="J283" t="str">
        <f>IF(COUNTIFS(CONTEOS!$F$2:$F$4000,A283,CONTEOS!$H$2:$H$4000,C283)=0,"PENDIENTE",IF(I283=0,"CUADRA",IF(I283&gt;0,"SOBRANTE","FALTANTE")))</f>
        <v>PENDIENTE</v>
      </c>
    </row>
    <row r="284" spans="1:10" ht="28.8" x14ac:dyDescent="0.3">
      <c r="A284" t="str">
        <f>STOCK_SISTEMA!A284</f>
        <v>EE10302</v>
      </c>
      <c r="B284" s="13" t="str">
        <f>STOCK_SISTEMA!B284</f>
        <v>[EE10302] ETIQUETA TEXTOS LEGALES MIX NATIVA 40g USA</v>
      </c>
      <c r="C284" t="str">
        <f>IF(STOCK_SISTEMA!C284="","",STOCK_SISTEMA!C284)</f>
        <v>INFORME 01/26</v>
      </c>
      <c r="D284" s="11">
        <f>IF(STOCK_SISTEMA!D284="","",STOCK_SISTEMA!D284)</f>
        <v>46538.479768518519</v>
      </c>
      <c r="E284" t="str">
        <f>STOCK_SISTEMA!E284</f>
        <v>SF-03/Materiales</v>
      </c>
      <c r="F284" t="str">
        <f>STOCK_SISTEMA!G284</f>
        <v>Unidades</v>
      </c>
      <c r="G284" s="12">
        <f>STOCK_SISTEMA!F284</f>
        <v>235</v>
      </c>
      <c r="H284" s="12">
        <f>SUMIFS(CONTEOS!$N$2:$N$4000,CONTEOS!$F$2:$F$4000,A284,CONTEOS!$H$2:$H$4000,C284)</f>
        <v>0</v>
      </c>
      <c r="I284" s="12">
        <f t="shared" si="4"/>
        <v>-235</v>
      </c>
      <c r="J284" t="str">
        <f>IF(COUNTIFS(CONTEOS!$F$2:$F$4000,A284,CONTEOS!$H$2:$H$4000,C284)=0,"PENDIENTE",IF(I284=0,"CUADRA",IF(I284&gt;0,"SOBRANTE","FALTANTE")))</f>
        <v>PENDIENTE</v>
      </c>
    </row>
    <row r="285" spans="1:10" ht="28.8" x14ac:dyDescent="0.3">
      <c r="A285" t="str">
        <f>STOCK_SISTEMA!A285</f>
        <v>MP10002</v>
      </c>
      <c r="B285" s="13" t="str">
        <f>STOCK_SISTEMA!B285</f>
        <v>[MP10002] PAPA NATIVA MIX CONVENCIONAL X KG</v>
      </c>
      <c r="C285" t="str">
        <f>IF(STOCK_SISTEMA!C285="","",STOCK_SISTEMA!C285)</f>
        <v>INFORME 118/26</v>
      </c>
      <c r="D285" s="11">
        <f>IF(STOCK_SISTEMA!D285="","",STOCK_SISTEMA!D285)</f>
        <v>46265.946539351848</v>
      </c>
      <c r="E285" t="str">
        <f>STOCK_SISTEMA!E285</f>
        <v>SF-03/Materiales</v>
      </c>
      <c r="F285" t="str">
        <f>STOCK_SISTEMA!G285</f>
        <v>Kilogramo</v>
      </c>
      <c r="G285" s="12">
        <f>STOCK_SISTEMA!F285</f>
        <v>3069.3292000000001</v>
      </c>
      <c r="H285" s="12">
        <f>SUMIFS(CONTEOS!$N$2:$N$4000,CONTEOS!$F$2:$F$4000,A285,CONTEOS!$H$2:$H$4000,C285)</f>
        <v>0</v>
      </c>
      <c r="I285" s="12">
        <f t="shared" si="4"/>
        <v>-3069.3292000000001</v>
      </c>
      <c r="J285" t="str">
        <f>IF(COUNTIFS(CONTEOS!$F$2:$F$4000,A285,CONTEOS!$H$2:$H$4000,C285)=0,"PENDIENTE",IF(I285=0,"CUADRA",IF(I285&gt;0,"SOBRANTE","FALTANTE")))</f>
        <v>PENDIENTE</v>
      </c>
    </row>
    <row r="286" spans="1:10" ht="28.8" x14ac:dyDescent="0.3">
      <c r="A286" t="str">
        <f>STOCK_SISTEMA!A286</f>
        <v>EE10079</v>
      </c>
      <c r="B286" s="13" t="str">
        <f>STOCK_SISTEMA!B286</f>
        <v>[EE10079] CINTILLOS TIRA 1.7CM X 43.5CM X UND</v>
      </c>
      <c r="C286" t="str">
        <f>IF(STOCK_SISTEMA!C286="","",STOCK_SISTEMA!C286)</f>
        <v/>
      </c>
      <c r="D286" s="11" t="str">
        <f>IF(STOCK_SISTEMA!D286="","",STOCK_SISTEMA!D286)</f>
        <v/>
      </c>
      <c r="E286" t="str">
        <f>STOCK_SISTEMA!E286</f>
        <v>SF-03/Preproducción</v>
      </c>
      <c r="F286" t="str">
        <f>STOCK_SISTEMA!G286</f>
        <v>Unidades</v>
      </c>
      <c r="G286" s="12">
        <f>STOCK_SISTEMA!F286</f>
        <v>87341</v>
      </c>
      <c r="H286" s="12">
        <f>SUMIFS(CONTEOS!$N$2:$N$4000,CONTEOS!$F$2:$F$4000,A286,CONTEOS!$H$2:$H$4000,C286)</f>
        <v>0</v>
      </c>
      <c r="I286" s="12">
        <f t="shared" si="4"/>
        <v>-87341</v>
      </c>
      <c r="J286" t="str">
        <f>IF(COUNTIFS(CONTEOS!$F$2:$F$4000,A286,CONTEOS!$H$2:$H$4000,C286)=0,"PENDIENTE",IF(I286=0,"CUADRA",IF(I286&gt;0,"SOBRANTE","FALTANTE")))</f>
        <v>PENDIENTE</v>
      </c>
    </row>
    <row r="287" spans="1:10" ht="28.8" x14ac:dyDescent="0.3">
      <c r="A287" t="str">
        <f>STOCK_SISTEMA!A287</f>
        <v>EE10249</v>
      </c>
      <c r="B287" s="13" t="str">
        <f>STOCK_SISTEMA!B287</f>
        <v>[EE10249] CINTA DE EMBALAJE TRANSPARENTE 48MMX548M X ROLLO</v>
      </c>
      <c r="C287" t="str">
        <f>IF(STOCK_SISTEMA!C287="","",STOCK_SISTEMA!C287)</f>
        <v>INFORME 04/26</v>
      </c>
      <c r="D287" s="11">
        <f>IF(STOCK_SISTEMA!D287="","",STOCK_SISTEMA!D287)</f>
        <v>46536.400451388887</v>
      </c>
      <c r="E287" t="str">
        <f>STOCK_SISTEMA!E287</f>
        <v>SF-03/Materiales</v>
      </c>
      <c r="F287" t="str">
        <f>STOCK_SISTEMA!G287</f>
        <v>Unidades</v>
      </c>
      <c r="G287" s="12">
        <f>STOCK_SISTEMA!F287</f>
        <v>101.30459999999999</v>
      </c>
      <c r="H287" s="12">
        <f>SUMIFS(CONTEOS!$N$2:$N$4000,CONTEOS!$F$2:$F$4000,A287,CONTEOS!$H$2:$H$4000,C287)</f>
        <v>0</v>
      </c>
      <c r="I287" s="12">
        <f t="shared" si="4"/>
        <v>-101.30459999999999</v>
      </c>
      <c r="J287" t="str">
        <f>IF(COUNTIFS(CONTEOS!$F$2:$F$4000,A287,CONTEOS!$H$2:$H$4000,C287)=0,"PENDIENTE",IF(I287=0,"CUADRA",IF(I287&gt;0,"SOBRANTE","FALTANTE")))</f>
        <v>PENDIENTE</v>
      </c>
    </row>
    <row r="288" spans="1:10" ht="28.8" x14ac:dyDescent="0.3">
      <c r="A288" t="str">
        <f>STOCK_SISTEMA!A288</f>
        <v>MP10062</v>
      </c>
      <c r="B288" s="13" t="str">
        <f>STOCK_SISTEMA!B288</f>
        <v>[MP10062] SABOR JALAPEÑO II SP J9441328 CRAMER  X KG</v>
      </c>
      <c r="C288" t="str">
        <f>IF(STOCK_SISTEMA!C288="","",STOCK_SISTEMA!C288)</f>
        <v>INFORME 04/26</v>
      </c>
      <c r="D288" s="11">
        <f>IF(STOCK_SISTEMA!D288="","",STOCK_SISTEMA!D288)</f>
        <v>46498.436979166669</v>
      </c>
      <c r="E288" t="str">
        <f>STOCK_SISTEMA!E288</f>
        <v>SF-03/Materiales</v>
      </c>
      <c r="F288" t="str">
        <f>STOCK_SISTEMA!G288</f>
        <v>Kilogramo</v>
      </c>
      <c r="G288" s="12">
        <f>STOCK_SISTEMA!F288</f>
        <v>20.04</v>
      </c>
      <c r="H288" s="12">
        <f>SUMIFS(CONTEOS!$N$2:$N$4000,CONTEOS!$F$2:$F$4000,A288,CONTEOS!$H$2:$H$4000,C288)</f>
        <v>0</v>
      </c>
      <c r="I288" s="12">
        <f t="shared" si="4"/>
        <v>-20.04</v>
      </c>
      <c r="J288" t="str">
        <f>IF(COUNTIFS(CONTEOS!$F$2:$F$4000,A288,CONTEOS!$H$2:$H$4000,C288)=0,"PENDIENTE",IF(I288=0,"CUADRA",IF(I288&gt;0,"SOBRANTE","FALTANTE")))</f>
        <v>PENDIENTE</v>
      </c>
    </row>
    <row r="289" spans="1:10" ht="28.8" x14ac:dyDescent="0.3">
      <c r="A289" t="str">
        <f>STOCK_SISTEMA!A289</f>
        <v>EE10256</v>
      </c>
      <c r="B289" s="13" t="str">
        <f>STOCK_SISTEMA!B289</f>
        <v>[EE10256] ETIQUETA TEXTOS LEGALES CAMOTE 142g USA</v>
      </c>
      <c r="C289" t="str">
        <f>IF(STOCK_SISTEMA!C289="","",STOCK_SISTEMA!C289)</f>
        <v>INFORME 03/26</v>
      </c>
      <c r="D289" s="11">
        <f>IF(STOCK_SISTEMA!D289="","",STOCK_SISTEMA!D289)</f>
        <v>46565.562094907407</v>
      </c>
      <c r="E289" t="str">
        <f>STOCK_SISTEMA!E289</f>
        <v>SF-03/Materiales</v>
      </c>
      <c r="F289" t="str">
        <f>STOCK_SISTEMA!G289</f>
        <v>Unidades</v>
      </c>
      <c r="G289" s="12">
        <f>STOCK_SISTEMA!F289</f>
        <v>900</v>
      </c>
      <c r="H289" s="12">
        <f>SUMIFS(CONTEOS!$N$2:$N$4000,CONTEOS!$F$2:$F$4000,A289,CONTEOS!$H$2:$H$4000,C289)</f>
        <v>0</v>
      </c>
      <c r="I289" s="12">
        <f t="shared" si="4"/>
        <v>-900</v>
      </c>
      <c r="J289" t="str">
        <f>IF(COUNTIFS(CONTEOS!$F$2:$F$4000,A289,CONTEOS!$H$2:$H$4000,C289)=0,"PENDIENTE",IF(I289=0,"CUADRA",IF(I289&gt;0,"SOBRANTE","FALTANTE")))</f>
        <v>PENDIENTE</v>
      </c>
    </row>
    <row r="290" spans="1:10" ht="28.8" x14ac:dyDescent="0.3">
      <c r="A290" t="str">
        <f>STOCK_SISTEMA!A290</f>
        <v>EE10256</v>
      </c>
      <c r="B290" s="13" t="str">
        <f>STOCK_SISTEMA!B290</f>
        <v>[EE10256] ETIQUETA TEXTOS LEGALES CAMOTE 142g USA</v>
      </c>
      <c r="C290" t="str">
        <f>IF(STOCK_SISTEMA!C290="","",STOCK_SISTEMA!C290)</f>
        <v>INFORME 04/26</v>
      </c>
      <c r="D290" s="11">
        <f>IF(STOCK_SISTEMA!D290="","",STOCK_SISTEMA!D290)</f>
        <v>46542.565196759257</v>
      </c>
      <c r="E290" t="str">
        <f>STOCK_SISTEMA!E290</f>
        <v>SF-03/Materiales</v>
      </c>
      <c r="F290" t="str">
        <f>STOCK_SISTEMA!G290</f>
        <v>Unidades</v>
      </c>
      <c r="G290" s="12">
        <f>STOCK_SISTEMA!F290</f>
        <v>3400</v>
      </c>
      <c r="H290" s="12">
        <f>SUMIFS(CONTEOS!$N$2:$N$4000,CONTEOS!$F$2:$F$4000,A290,CONTEOS!$H$2:$H$4000,C290)</f>
        <v>0</v>
      </c>
      <c r="I290" s="12">
        <f t="shared" si="4"/>
        <v>-3400</v>
      </c>
      <c r="J290" t="str">
        <f>IF(COUNTIFS(CONTEOS!$F$2:$F$4000,A290,CONTEOS!$H$2:$H$4000,C290)=0,"PENDIENTE",IF(I290=0,"CUADRA",IF(I290&gt;0,"SOBRANTE","FALTANTE")))</f>
        <v>PENDIENTE</v>
      </c>
    </row>
    <row r="291" spans="1:10" ht="28.8" x14ac:dyDescent="0.3">
      <c r="A291" t="str">
        <f>STOCK_SISTEMA!A291</f>
        <v>EE10251</v>
      </c>
      <c r="B291" s="13" t="str">
        <f>STOCK_SISTEMA!B291</f>
        <v>[EE10251] ETIQUETA TEXTOS LEGALES PAPAS NATIVAS AJI AMARILLO 142g USA</v>
      </c>
      <c r="C291" t="str">
        <f>IF(STOCK_SISTEMA!C291="","",STOCK_SISTEMA!C291)</f>
        <v>INFORME 01/26</v>
      </c>
      <c r="D291" s="11">
        <f>IF(STOCK_SISTEMA!D291="","",STOCK_SISTEMA!D291)</f>
        <v>46254.501076388893</v>
      </c>
      <c r="E291" t="str">
        <f>STOCK_SISTEMA!E291</f>
        <v>SF-03/Materiales</v>
      </c>
      <c r="F291" t="str">
        <f>STOCK_SISTEMA!G291</f>
        <v>Unidades</v>
      </c>
      <c r="G291" s="12">
        <f>STOCK_SISTEMA!F291</f>
        <v>1000</v>
      </c>
      <c r="H291" s="12">
        <f>SUMIFS(CONTEOS!$N$2:$N$4000,CONTEOS!$F$2:$F$4000,A291,CONTEOS!$H$2:$H$4000,C291)</f>
        <v>0</v>
      </c>
      <c r="I291" s="12">
        <f t="shared" si="4"/>
        <v>-1000</v>
      </c>
      <c r="J291" t="str">
        <f>IF(COUNTIFS(CONTEOS!$F$2:$F$4000,A291,CONTEOS!$H$2:$H$4000,C291)=0,"PENDIENTE",IF(I291=0,"CUADRA",IF(I291&gt;0,"SOBRANTE","FALTANTE")))</f>
        <v>PENDIENTE</v>
      </c>
    </row>
    <row r="292" spans="1:10" ht="28.8" x14ac:dyDescent="0.3">
      <c r="A292" t="str">
        <f>STOCK_SISTEMA!A292</f>
        <v>EE10093</v>
      </c>
      <c r="B292" s="13" t="str">
        <f>STOCK_SISTEMA!B292</f>
        <v>[EE10093] ETIQUETA TEXTOS LEGALES PAPAS NATIVAS 142g USA</v>
      </c>
      <c r="C292" t="str">
        <f>IF(STOCK_SISTEMA!C292="","",STOCK_SISTEMA!C292)</f>
        <v>INFORME 02/26</v>
      </c>
      <c r="D292" s="11" t="str">
        <f>IF(STOCK_SISTEMA!D292="","",STOCK_SISTEMA!D292)</f>
        <v/>
      </c>
      <c r="E292" t="str">
        <f>STOCK_SISTEMA!E292</f>
        <v>SF-03/Materiales</v>
      </c>
      <c r="F292" t="str">
        <f>STOCK_SISTEMA!G292</f>
        <v>Unidades</v>
      </c>
      <c r="G292" s="12">
        <f>STOCK_SISTEMA!F292</f>
        <v>3400</v>
      </c>
      <c r="H292" s="12">
        <f>SUMIFS(CONTEOS!$N$2:$N$4000,CONTEOS!$F$2:$F$4000,A292,CONTEOS!$H$2:$H$4000,C292)</f>
        <v>0</v>
      </c>
      <c r="I292" s="12">
        <f t="shared" si="4"/>
        <v>-3400</v>
      </c>
      <c r="J292" t="str">
        <f>IF(COUNTIFS(CONTEOS!$F$2:$F$4000,A292,CONTEOS!$H$2:$H$4000,C292)=0,"PENDIENTE",IF(I292=0,"CUADRA",IF(I292&gt;0,"SOBRANTE","FALTANTE")))</f>
        <v>PENDIENTE</v>
      </c>
    </row>
    <row r="293" spans="1:10" ht="28.8" x14ac:dyDescent="0.3">
      <c r="A293" t="str">
        <f>STOCK_SISTEMA!A293</f>
        <v>EE10304</v>
      </c>
      <c r="B293" s="13" t="str">
        <f>STOCK_SISTEMA!B293</f>
        <v>[EE10304] ETIQUETA TEXTOS LEGALES CHIFLE 142g USA</v>
      </c>
      <c r="C293" t="str">
        <f>IF(STOCK_SISTEMA!C293="","",STOCK_SISTEMA!C293)</f>
        <v>INFORME 01/26</v>
      </c>
      <c r="D293" s="11">
        <f>IF(STOCK_SISTEMA!D293="","",STOCK_SISTEMA!D293)</f>
        <v>46542.566006944442</v>
      </c>
      <c r="E293" t="str">
        <f>STOCK_SISTEMA!E293</f>
        <v>SF-03/Materiales</v>
      </c>
      <c r="F293" t="str">
        <f>STOCK_SISTEMA!G293</f>
        <v>Unidades</v>
      </c>
      <c r="G293" s="12">
        <f>STOCK_SISTEMA!F293</f>
        <v>1000</v>
      </c>
      <c r="H293" s="12">
        <f>SUMIFS(CONTEOS!$N$2:$N$4000,CONTEOS!$F$2:$F$4000,A293,CONTEOS!$H$2:$H$4000,C293)</f>
        <v>0</v>
      </c>
      <c r="I293" s="12">
        <f t="shared" si="4"/>
        <v>-1000</v>
      </c>
      <c r="J293" t="str">
        <f>IF(COUNTIFS(CONTEOS!$F$2:$F$4000,A293,CONTEOS!$H$2:$H$4000,C293)=0,"PENDIENTE",IF(I293=0,"CUADRA",IF(I293&gt;0,"SOBRANTE","FALTANTE")))</f>
        <v>PENDIENTE</v>
      </c>
    </row>
    <row r="294" spans="1:10" ht="28.8" x14ac:dyDescent="0.3">
      <c r="A294" t="str">
        <f>STOCK_SISTEMA!A294</f>
        <v>MP10002</v>
      </c>
      <c r="B294" s="13" t="str">
        <f>STOCK_SISTEMA!B294</f>
        <v>[MP10002] PAPA NATIVA MIX CONVENCIONAL X KG</v>
      </c>
      <c r="C294" t="str">
        <f>IF(STOCK_SISTEMA!C294="","",STOCK_SISTEMA!C294)</f>
        <v>INFORME 102/26</v>
      </c>
      <c r="D294" s="11">
        <f>IF(STOCK_SISTEMA!D294="","",STOCK_SISTEMA!D294)</f>
        <v>46231.62259259259</v>
      </c>
      <c r="E294" t="str">
        <f>STOCK_SISTEMA!E294</f>
        <v>SF-03/Materiales</v>
      </c>
      <c r="F294" t="str">
        <f>STOCK_SISTEMA!G294</f>
        <v>Kilogramo</v>
      </c>
      <c r="G294" s="12">
        <f>STOCK_SISTEMA!F294</f>
        <v>1217.1931999999999</v>
      </c>
      <c r="H294" s="12">
        <f>SUMIFS(CONTEOS!$N$2:$N$4000,CONTEOS!$F$2:$F$4000,A294,CONTEOS!$H$2:$H$4000,C294)</f>
        <v>0</v>
      </c>
      <c r="I294" s="12">
        <f t="shared" si="4"/>
        <v>-1217.1931999999999</v>
      </c>
      <c r="J294" t="str">
        <f>IF(COUNTIFS(CONTEOS!$F$2:$F$4000,A294,CONTEOS!$H$2:$H$4000,C294)=0,"PENDIENTE",IF(I294=0,"CUADRA",IF(I294&gt;0,"SOBRANTE","FALTANTE")))</f>
        <v>PENDIENTE</v>
      </c>
    </row>
    <row r="295" spans="1:10" ht="28.8" x14ac:dyDescent="0.3">
      <c r="A295" t="str">
        <f>STOCK_SISTEMA!A295</f>
        <v>EE10200</v>
      </c>
      <c r="B295" s="13" t="str">
        <f>STOCK_SISTEMA!B295</f>
        <v>[EE10200] ETIQUETA AMARILLA CAJA (ALTURA) TT-50MMx100MM 1C-T1x1000</v>
      </c>
      <c r="C295" t="str">
        <f>IF(STOCK_SISTEMA!C295="","",STOCK_SISTEMA!C295)</f>
        <v>INFORME 02/26</v>
      </c>
      <c r="D295" s="11">
        <f>IF(STOCK_SISTEMA!D295="","",STOCK_SISTEMA!D295)</f>
        <v>46543.728750000002</v>
      </c>
      <c r="E295" t="str">
        <f>STOCK_SISTEMA!E295</f>
        <v>SF-03/Materiales</v>
      </c>
      <c r="F295" t="str">
        <f>STOCK_SISTEMA!G295</f>
        <v>Unidades</v>
      </c>
      <c r="G295" s="12">
        <f>STOCK_SISTEMA!F295</f>
        <v>2.0009999999999999</v>
      </c>
      <c r="H295" s="12">
        <f>SUMIFS(CONTEOS!$N$2:$N$4000,CONTEOS!$F$2:$F$4000,A295,CONTEOS!$H$2:$H$4000,C295)</f>
        <v>0</v>
      </c>
      <c r="I295" s="12">
        <f t="shared" si="4"/>
        <v>-2.0009999999999999</v>
      </c>
      <c r="J295" t="str">
        <f>IF(COUNTIFS(CONTEOS!$F$2:$F$4000,A295,CONTEOS!$H$2:$H$4000,C295)=0,"PENDIENTE",IF(I295=0,"CUADRA",IF(I295&gt;0,"SOBRANTE","FALTANTE")))</f>
        <v>PENDIENTE</v>
      </c>
    </row>
    <row r="296" spans="1:10" ht="28.8" x14ac:dyDescent="0.3">
      <c r="A296" t="str">
        <f>STOCK_SISTEMA!A296</f>
        <v>EE10012</v>
      </c>
      <c r="B296" s="13" t="str">
        <f>STOCK_SISTEMA!B296</f>
        <v>[EE10012] ENVASE TIYAPUY LATA + TAPA 400 GR X UND</v>
      </c>
      <c r="C296" t="str">
        <f>IF(STOCK_SISTEMA!C296="","",STOCK_SISTEMA!C296)</f>
        <v>INFORME 09/26</v>
      </c>
      <c r="D296" s="11">
        <f>IF(STOCK_SISTEMA!D296="","",STOCK_SISTEMA!D296)</f>
        <v>46542.732071759259</v>
      </c>
      <c r="E296" t="str">
        <f>STOCK_SISTEMA!E296</f>
        <v>SF-03/Materiales</v>
      </c>
      <c r="F296" t="str">
        <f>STOCK_SISTEMA!G296</f>
        <v>Unidades</v>
      </c>
      <c r="G296" s="12">
        <f>STOCK_SISTEMA!F296</f>
        <v>853</v>
      </c>
      <c r="H296" s="12">
        <f>SUMIFS(CONTEOS!$N$2:$N$4000,CONTEOS!$F$2:$F$4000,A296,CONTEOS!$H$2:$H$4000,C296)</f>
        <v>0</v>
      </c>
      <c r="I296" s="12">
        <f t="shared" si="4"/>
        <v>-853</v>
      </c>
      <c r="J296" t="str">
        <f>IF(COUNTIFS(CONTEOS!$F$2:$F$4000,A296,CONTEOS!$H$2:$H$4000,C296)=0,"PENDIENTE",IF(I296=0,"CUADRA",IF(I296&gt;0,"SOBRANTE","FALTANTE")))</f>
        <v>PENDIENTE</v>
      </c>
    </row>
    <row r="297" spans="1:10" ht="28.8" x14ac:dyDescent="0.3">
      <c r="A297" t="str">
        <f>STOCK_SISTEMA!A297</f>
        <v>RT0055PE</v>
      </c>
      <c r="B297" s="13" t="str">
        <f>STOCK_SISTEMA!B297</f>
        <v>[RT0055PE] RIKYTOK PAPAS ONDAS NATURAL ALTURA 180g x 26un</v>
      </c>
      <c r="C297" t="str">
        <f>IF(STOCK_SISTEMA!C297="","",STOCK_SISTEMA!C297)</f>
        <v>RO-24925</v>
      </c>
      <c r="D297" s="11">
        <f>IF(STOCK_SISTEMA!D297="","",STOCK_SISTEMA!D297)</f>
        <v>46148</v>
      </c>
      <c r="E297" t="str">
        <f>STOCK_SISTEMA!E297</f>
        <v>SF-03/PT/VENCIDOS Y OBSERVADOS</v>
      </c>
      <c r="F297" t="str">
        <f>STOCK_SISTEMA!G297</f>
        <v>CajaX26</v>
      </c>
      <c r="G297" s="12">
        <f>STOCK_SISTEMA!F297</f>
        <v>9</v>
      </c>
      <c r="H297" s="12">
        <f>SUMIFS(CONTEOS!$N$2:$N$4000,CONTEOS!$F$2:$F$4000,A297,CONTEOS!$H$2:$H$4000,C297)</f>
        <v>0</v>
      </c>
      <c r="I297" s="12">
        <f t="shared" si="4"/>
        <v>-9</v>
      </c>
      <c r="J297" t="str">
        <f>IF(COUNTIFS(CONTEOS!$F$2:$F$4000,A297,CONTEOS!$H$2:$H$4000,C297)=0,"PENDIENTE",IF(I297=0,"CUADRA",IF(I297&gt;0,"SOBRANTE","FALTANTE")))</f>
        <v>PENDIENTE</v>
      </c>
    </row>
    <row r="298" spans="1:10" ht="28.8" x14ac:dyDescent="0.3">
      <c r="A298" t="str">
        <f>STOCK_SISTEMA!A298</f>
        <v>RT0063PE</v>
      </c>
      <c r="B298" s="13" t="str">
        <f>STOCK_SISTEMA!B298</f>
        <v>[RT0063PE] RIKYTOK PAPAS ONDAS PICANTE S/T 30g x 120un</v>
      </c>
      <c r="C298" t="str">
        <f>IF(STOCK_SISTEMA!C298="","",STOCK_SISTEMA!C298)</f>
        <v>OP-01126-E3</v>
      </c>
      <c r="D298" s="11">
        <f>IF(STOCK_SISTEMA!D298="","",STOCK_SISTEMA!D298)</f>
        <v>46276.126875000002</v>
      </c>
      <c r="E298" t="str">
        <f>STOCK_SISTEMA!E298</f>
        <v>SF-03/PT/VENCIDOS Y OBSERVADOS</v>
      </c>
      <c r="F298" t="str">
        <f>STOCK_SISTEMA!G298</f>
        <v>CajaX120</v>
      </c>
      <c r="G298" s="12">
        <f>STOCK_SISTEMA!F298</f>
        <v>1</v>
      </c>
      <c r="H298" s="12">
        <f>SUMIFS(CONTEOS!$N$2:$N$4000,CONTEOS!$F$2:$F$4000,A298,CONTEOS!$H$2:$H$4000,C298)</f>
        <v>0</v>
      </c>
      <c r="I298" s="12">
        <f t="shared" si="4"/>
        <v>-1</v>
      </c>
      <c r="J298" t="str">
        <f>IF(COUNTIFS(CONTEOS!$F$2:$F$4000,A298,CONTEOS!$H$2:$H$4000,C298)=0,"PENDIENTE",IF(I298=0,"CUADRA",IF(I298&gt;0,"SOBRANTE","FALTANTE")))</f>
        <v>PENDIENTE</v>
      </c>
    </row>
    <row r="299" spans="1:10" ht="28.8" x14ac:dyDescent="0.3">
      <c r="A299" t="str">
        <f>STOCK_SISTEMA!A299</f>
        <v>TC0006PE</v>
      </c>
      <c r="B299" s="13" t="str">
        <f>STOCK_SISTEMA!B299</f>
        <v>[TC0006PE] TIYAPUY PAPAS NATIVAS MIXTAS CNV C/T 30g x 72un</v>
      </c>
      <c r="C299" t="str">
        <f>IF(STOCK_SISTEMA!C299="","",STOCK_SISTEMA!C299)</f>
        <v>SN-10526-E3</v>
      </c>
      <c r="D299" s="11">
        <f>IF(STOCK_SISTEMA!D299="","",STOCK_SISTEMA!D299)</f>
        <v>46433.147962962961</v>
      </c>
      <c r="E299" t="str">
        <f>STOCK_SISTEMA!E299</f>
        <v>SF-03/PT/VENCIDOS Y OBSERVADOS</v>
      </c>
      <c r="F299" t="str">
        <f>STOCK_SISTEMA!G299</f>
        <v>CajaX72</v>
      </c>
      <c r="G299" s="12">
        <f>STOCK_SISTEMA!F299</f>
        <v>59</v>
      </c>
      <c r="H299" s="12">
        <f>SUMIFS(CONTEOS!$N$2:$N$4000,CONTEOS!$F$2:$F$4000,A299,CONTEOS!$H$2:$H$4000,C299)</f>
        <v>0</v>
      </c>
      <c r="I299" s="12">
        <f t="shared" si="4"/>
        <v>-59</v>
      </c>
      <c r="J299" t="str">
        <f>IF(COUNTIFS(CONTEOS!$F$2:$F$4000,A299,CONTEOS!$H$2:$H$4000,C299)=0,"PENDIENTE",IF(I299=0,"CUADRA",IF(I299&gt;0,"SOBRANTE","FALTANTE")))</f>
        <v>PENDIENTE</v>
      </c>
    </row>
    <row r="300" spans="1:10" ht="43.2" x14ac:dyDescent="0.3">
      <c r="A300" t="str">
        <f>STOCK_SISTEMA!A300</f>
        <v>TC0114PE</v>
      </c>
      <c r="B300" s="13" t="str">
        <f>STOCK_SISTEMA!B300</f>
        <v>[TC0114PE] TIYAPUY HOJUELAS DE PAPAS NATIVAS FRITAS CON SAL ALT 142g x 20und.</v>
      </c>
      <c r="C300" t="str">
        <f>IF(STOCK_SISTEMA!C300="","",STOCK_SISTEMA!C300)</f>
        <v>SN-22125</v>
      </c>
      <c r="D300" s="11">
        <f>IF(STOCK_SISTEMA!D300="","",STOCK_SISTEMA!D300)</f>
        <v>46243</v>
      </c>
      <c r="E300" t="str">
        <f>STOCK_SISTEMA!E300</f>
        <v>SF-03/PT/VENCIDOS Y OBSERVADOS</v>
      </c>
      <c r="F300" t="str">
        <f>STOCK_SISTEMA!G300</f>
        <v>CajaX20</v>
      </c>
      <c r="G300" s="12">
        <f>STOCK_SISTEMA!F300</f>
        <v>5</v>
      </c>
      <c r="H300" s="12">
        <f>SUMIFS(CONTEOS!$N$2:$N$4000,CONTEOS!$F$2:$F$4000,A300,CONTEOS!$H$2:$H$4000,C300)</f>
        <v>0</v>
      </c>
      <c r="I300" s="12">
        <f t="shared" si="4"/>
        <v>-5</v>
      </c>
      <c r="J300" t="str">
        <f>IF(COUNTIFS(CONTEOS!$F$2:$F$4000,A300,CONTEOS!$H$2:$H$4000,C300)=0,"PENDIENTE",IF(I300=0,"CUADRA",IF(I300&gt;0,"SOBRANTE","FALTANTE")))</f>
        <v>PENDIENTE</v>
      </c>
    </row>
    <row r="301" spans="1:10" ht="43.2" x14ac:dyDescent="0.3">
      <c r="A301" t="str">
        <f>STOCK_SISTEMA!A301</f>
        <v>TC0114PE</v>
      </c>
      <c r="B301" s="13" t="str">
        <f>STOCK_SISTEMA!B301</f>
        <v>[TC0114PE] TIYAPUY HOJUELAS DE PAPAS NATIVAS FRITAS CON SAL ALT 142g x 20und.</v>
      </c>
      <c r="C301" t="str">
        <f>IF(STOCK_SISTEMA!C301="","",STOCK_SISTEMA!C301)</f>
        <v>SN-14126-E7</v>
      </c>
      <c r="D301" s="11">
        <f>IF(STOCK_SISTEMA!D301="","",STOCK_SISTEMA!D301)</f>
        <v>46463.994745370372</v>
      </c>
      <c r="E301" t="str">
        <f>STOCK_SISTEMA!E301</f>
        <v>SF-03/PT/VENCIDOS Y OBSERVADOS</v>
      </c>
      <c r="F301" t="str">
        <f>STOCK_SISTEMA!G301</f>
        <v>CajaX20</v>
      </c>
      <c r="G301" s="12">
        <f>STOCK_SISTEMA!F301</f>
        <v>2</v>
      </c>
      <c r="H301" s="12">
        <f>SUMIFS(CONTEOS!$N$2:$N$4000,CONTEOS!$F$2:$F$4000,A301,CONTEOS!$H$2:$H$4000,C301)</f>
        <v>0</v>
      </c>
      <c r="I301" s="12">
        <f t="shared" si="4"/>
        <v>-2</v>
      </c>
      <c r="J301" t="str">
        <f>IF(COUNTIFS(CONTEOS!$F$2:$F$4000,A301,CONTEOS!$H$2:$H$4000,C301)=0,"PENDIENTE",IF(I301=0,"CUADRA",IF(I301&gt;0,"SOBRANTE","FALTANTE")))</f>
        <v>PENDIENTE</v>
      </c>
    </row>
    <row r="302" spans="1:10" ht="28.8" x14ac:dyDescent="0.3">
      <c r="A302" t="str">
        <f>STOCK_SISTEMA!A302</f>
        <v>EE10298</v>
      </c>
      <c r="B302" s="13" t="str">
        <f>STOCK_SISTEMA!B302</f>
        <v>[EE10298] LAMINA RIKY TOK 25 G PICANTE X KG</v>
      </c>
      <c r="C302" t="str">
        <f>IF(STOCK_SISTEMA!C302="","",STOCK_SISTEMA!C302)</f>
        <v>INFORME 02/26</v>
      </c>
      <c r="D302" s="11">
        <f>IF(STOCK_SISTEMA!D302="","",STOCK_SISTEMA!D302)</f>
        <v>46358.397164351853</v>
      </c>
      <c r="E302" t="str">
        <f>STOCK_SISTEMA!E302</f>
        <v>SF-03/Cuarentena</v>
      </c>
      <c r="F302" t="str">
        <f>STOCK_SISTEMA!G302</f>
        <v>Kilogramo</v>
      </c>
      <c r="G302" s="12">
        <f>STOCK_SISTEMA!F302</f>
        <v>17</v>
      </c>
      <c r="H302" s="12">
        <f>SUMIFS(CONTEOS!$N$2:$N$4000,CONTEOS!$F$2:$F$4000,A302,CONTEOS!$H$2:$H$4000,C302)</f>
        <v>0</v>
      </c>
      <c r="I302" s="12">
        <f t="shared" si="4"/>
        <v>-17</v>
      </c>
      <c r="J302" t="str">
        <f>IF(COUNTIFS(CONTEOS!$F$2:$F$4000,A302,CONTEOS!$H$2:$H$4000,C302)=0,"PENDIENTE",IF(I302=0,"CUADRA",IF(I302&gt;0,"SOBRANTE","FALTANTE")))</f>
        <v>PENDIENTE</v>
      </c>
    </row>
    <row r="303" spans="1:10" ht="28.8" x14ac:dyDescent="0.3">
      <c r="A303" t="str">
        <f>STOCK_SISTEMA!A303</f>
        <v>EE10287</v>
      </c>
      <c r="B303" s="13" t="str">
        <f>STOCK_SISTEMA!B303</f>
        <v>[EE10287] STICKERS NUTRICIONAL BRASIL 40g MIX NATIVA</v>
      </c>
      <c r="C303" t="str">
        <f>IF(STOCK_SISTEMA!C303="","",STOCK_SISTEMA!C303)</f>
        <v>INFORME 02/26</v>
      </c>
      <c r="D303" s="11">
        <f>IF(STOCK_SISTEMA!D303="","",STOCK_SISTEMA!D303)</f>
        <v>46548.681793981479</v>
      </c>
      <c r="E303" t="str">
        <f>STOCK_SISTEMA!E303</f>
        <v>SF-03/Materiales</v>
      </c>
      <c r="F303" t="str">
        <f>STOCK_SISTEMA!G303</f>
        <v>Unidades</v>
      </c>
      <c r="G303" s="12">
        <f>STOCK_SISTEMA!F303</f>
        <v>600</v>
      </c>
      <c r="H303" s="12">
        <f>SUMIFS(CONTEOS!$N$2:$N$4000,CONTEOS!$F$2:$F$4000,A303,CONTEOS!$H$2:$H$4000,C303)</f>
        <v>0</v>
      </c>
      <c r="I303" s="12">
        <f t="shared" si="4"/>
        <v>-600</v>
      </c>
      <c r="J303" t="str">
        <f>IF(COUNTIFS(CONTEOS!$F$2:$F$4000,A303,CONTEOS!$H$2:$H$4000,C303)=0,"PENDIENTE",IF(I303=0,"CUADRA",IF(I303&gt;0,"SOBRANTE","FALTANTE")))</f>
        <v>PENDIENTE</v>
      </c>
    </row>
    <row r="304" spans="1:10" ht="28.8" x14ac:dyDescent="0.3">
      <c r="A304" t="str">
        <f>STOCK_SISTEMA!A304</f>
        <v>TC0091PE</v>
      </c>
      <c r="B304" s="13" t="str">
        <f>STOCK_SISTEMA!B304</f>
        <v>[TC0091PE] TIYAPUY PAPAS NATIVAS MIXTAS CNV 142g x 20un</v>
      </c>
      <c r="C304" t="str">
        <f>IF(STOCK_SISTEMA!C304="","",STOCK_SISTEMA!C304)</f>
        <v>SN-16126-E5</v>
      </c>
      <c r="D304" s="11">
        <f>IF(STOCK_SISTEMA!D304="","",STOCK_SISTEMA!D304)</f>
        <v>46487.143692129634</v>
      </c>
      <c r="E304" t="str">
        <f>STOCK_SISTEMA!E304</f>
        <v>SF-03/PT/STOCK</v>
      </c>
      <c r="F304" t="str">
        <f>STOCK_SISTEMA!G304</f>
        <v>CajaX20</v>
      </c>
      <c r="G304" s="12">
        <f>STOCK_SISTEMA!F304</f>
        <v>58</v>
      </c>
      <c r="H304" s="12">
        <f>SUMIFS(CONTEOS!$N$2:$N$4000,CONTEOS!$F$2:$F$4000,A304,CONTEOS!$H$2:$H$4000,C304)</f>
        <v>0</v>
      </c>
      <c r="I304" s="12">
        <f t="shared" si="4"/>
        <v>-58</v>
      </c>
      <c r="J304" t="str">
        <f>IF(COUNTIFS(CONTEOS!$F$2:$F$4000,A304,CONTEOS!$H$2:$H$4000,C304)=0,"PENDIENTE",IF(I304=0,"CUADRA",IF(I304&gt;0,"SOBRANTE","FALTANTE")))</f>
        <v>PENDIENTE</v>
      </c>
    </row>
    <row r="305" spans="1:10" ht="28.8" x14ac:dyDescent="0.3">
      <c r="A305" t="str">
        <f>STOCK_SISTEMA!A305</f>
        <v>TC0091PE</v>
      </c>
      <c r="B305" s="13" t="str">
        <f>STOCK_SISTEMA!B305</f>
        <v>[TC0091PE] TIYAPUY PAPAS NATIVAS MIXTAS CNV 142g x 20un</v>
      </c>
      <c r="C305" t="str">
        <f>IF(STOCK_SISTEMA!C305="","",STOCK_SISTEMA!C305)</f>
        <v>SN-16126-E2</v>
      </c>
      <c r="D305" s="11">
        <f>IF(STOCK_SISTEMA!D305="","",STOCK_SISTEMA!D305)</f>
        <v>46487.961805555547</v>
      </c>
      <c r="E305" t="str">
        <f>STOCK_SISTEMA!E305</f>
        <v>SF-03/PT/STOCK</v>
      </c>
      <c r="F305" t="str">
        <f>STOCK_SISTEMA!G305</f>
        <v>CajaX20</v>
      </c>
      <c r="G305" s="12">
        <f>STOCK_SISTEMA!F305</f>
        <v>39</v>
      </c>
      <c r="H305" s="12">
        <f>SUMIFS(CONTEOS!$N$2:$N$4000,CONTEOS!$F$2:$F$4000,A305,CONTEOS!$H$2:$H$4000,C305)</f>
        <v>0</v>
      </c>
      <c r="I305" s="12">
        <f t="shared" si="4"/>
        <v>-39</v>
      </c>
      <c r="J305" t="str">
        <f>IF(COUNTIFS(CONTEOS!$F$2:$F$4000,A305,CONTEOS!$H$2:$H$4000,C305)=0,"PENDIENTE",IF(I305=0,"CUADRA",IF(I305&gt;0,"SOBRANTE","FALTANTE")))</f>
        <v>PENDIENTE</v>
      </c>
    </row>
    <row r="306" spans="1:10" ht="28.8" x14ac:dyDescent="0.3">
      <c r="A306" t="str">
        <f>STOCK_SISTEMA!A306</f>
        <v>TC0103PE</v>
      </c>
      <c r="B306" s="13" t="str">
        <f>STOCK_SISTEMA!B306</f>
        <v>[TC0103PE] TIYAPUY CHIFLES SALADO ALTURA S/T 30g x 72un</v>
      </c>
      <c r="C306" t="str">
        <f>IF(STOCK_SISTEMA!C306="","",STOCK_SISTEMA!C306)</f>
        <v>SP-30525</v>
      </c>
      <c r="D306" s="11">
        <f>IF(STOCK_SISTEMA!D306="","",STOCK_SISTEMA!D306)</f>
        <v>46264.58011574074</v>
      </c>
      <c r="E306" t="str">
        <f>STOCK_SISTEMA!E306</f>
        <v>SF-03/PT/VENCIDOS Y OBSERVADOS</v>
      </c>
      <c r="F306" t="str">
        <f>STOCK_SISTEMA!G306</f>
        <v>CajaX72</v>
      </c>
      <c r="G306" s="12">
        <f>STOCK_SISTEMA!F306</f>
        <v>1</v>
      </c>
      <c r="H306" s="12">
        <f>SUMIFS(CONTEOS!$N$2:$N$4000,CONTEOS!$F$2:$F$4000,A306,CONTEOS!$H$2:$H$4000,C306)</f>
        <v>0</v>
      </c>
      <c r="I306" s="12">
        <f t="shared" si="4"/>
        <v>-1</v>
      </c>
      <c r="J306" t="str">
        <f>IF(COUNTIFS(CONTEOS!$F$2:$F$4000,A306,CONTEOS!$H$2:$H$4000,C306)=0,"PENDIENTE",IF(I306=0,"CUADRA",IF(I306&gt;0,"SOBRANTE","FALTANTE")))</f>
        <v>PENDIENTE</v>
      </c>
    </row>
    <row r="307" spans="1:10" ht="43.2" x14ac:dyDescent="0.3">
      <c r="A307" t="str">
        <f>STOCK_SISTEMA!A307</f>
        <v>TC0119PE</v>
      </c>
      <c r="B307" s="13" t="str">
        <f>STOCK_SISTEMA!B307</f>
        <v>[TC0119PE] TIYAPUY SUPER PACK NATIVAS (3UN MIX 142g + 3UN AMARILLAS 142g) 852g x 3un</v>
      </c>
      <c r="C307" t="str">
        <f>IF(STOCK_SISTEMA!C307="","",STOCK_SISTEMA!C307)</f>
        <v>PACK-19025</v>
      </c>
      <c r="D307" s="11">
        <f>IF(STOCK_SISTEMA!D307="","",STOCK_SISTEMA!D307)</f>
        <v>46143</v>
      </c>
      <c r="E307" t="str">
        <f>STOCK_SISTEMA!E307</f>
        <v>SF-03/PT/VENCIDOS Y OBSERVADOS</v>
      </c>
      <c r="F307" t="str">
        <f>STOCK_SISTEMA!G307</f>
        <v>CajaX3</v>
      </c>
      <c r="G307" s="12">
        <f>STOCK_SISTEMA!F307</f>
        <v>1</v>
      </c>
      <c r="H307" s="12">
        <f>SUMIFS(CONTEOS!$N$2:$N$4000,CONTEOS!$F$2:$F$4000,A307,CONTEOS!$H$2:$H$4000,C307)</f>
        <v>0</v>
      </c>
      <c r="I307" s="12">
        <f t="shared" si="4"/>
        <v>-1</v>
      </c>
      <c r="J307" t="str">
        <f>IF(COUNTIFS(CONTEOS!$F$2:$F$4000,A307,CONTEOS!$H$2:$H$4000,C307)=0,"PENDIENTE",IF(I307=0,"CUADRA",IF(I307&gt;0,"SOBRANTE","FALTANTE")))</f>
        <v>PENDIENTE</v>
      </c>
    </row>
    <row r="308" spans="1:10" ht="43.2" x14ac:dyDescent="0.3">
      <c r="A308" t="str">
        <f>STOCK_SISTEMA!A308</f>
        <v>TC0227PE</v>
      </c>
      <c r="B308" s="13" t="str">
        <f>STOCK_SISTEMA!B308</f>
        <v>[TC0227PE] TIYAPUY HOJUELAS DE CAMOTES FRITOS CON SAL ALT 40g x 48und.</v>
      </c>
      <c r="C308" t="str">
        <f>IF(STOCK_SISTEMA!C308="","",STOCK_SISTEMA!C308)</f>
        <v>SC-18525</v>
      </c>
      <c r="D308" s="11">
        <f>IF(STOCK_SISTEMA!D308="","",STOCK_SISTEMA!D308)</f>
        <v>46146</v>
      </c>
      <c r="E308" t="str">
        <f>STOCK_SISTEMA!E308</f>
        <v>SF-03/PT/VENCIDOS Y OBSERVADOS</v>
      </c>
      <c r="F308" t="str">
        <f>STOCK_SISTEMA!G308</f>
        <v>CajaX48</v>
      </c>
      <c r="G308" s="12">
        <f>STOCK_SISTEMA!F308</f>
        <v>2</v>
      </c>
      <c r="H308" s="12">
        <f>SUMIFS(CONTEOS!$N$2:$N$4000,CONTEOS!$F$2:$F$4000,A308,CONTEOS!$H$2:$H$4000,C308)</f>
        <v>0</v>
      </c>
      <c r="I308" s="12">
        <f t="shared" si="4"/>
        <v>-2</v>
      </c>
      <c r="J308" t="str">
        <f>IF(COUNTIFS(CONTEOS!$F$2:$F$4000,A308,CONTEOS!$H$2:$H$4000,C308)=0,"PENDIENTE",IF(I308=0,"CUADRA",IF(I308&gt;0,"SOBRANTE","FALTANTE")))</f>
        <v>PENDIENTE</v>
      </c>
    </row>
    <row r="309" spans="1:10" ht="28.8" x14ac:dyDescent="0.3">
      <c r="A309" t="str">
        <f>STOCK_SISTEMA!A309</f>
        <v>TC0233PE</v>
      </c>
      <c r="B309" s="13" t="str">
        <f>STOCK_SISTEMA!B309</f>
        <v>[TC0233PE] TIYAPUY PAPAS NATIVAS MIXTAS JALAPEÑO C/T 30g x 72un</v>
      </c>
      <c r="C309" t="str">
        <f>IF(STOCK_SISTEMA!C309="","",STOCK_SISTEMA!C309)</f>
        <v>PJ-27825</v>
      </c>
      <c r="D309" s="11">
        <f>IF(STOCK_SISTEMA!D309="","",STOCK_SISTEMA!D309)</f>
        <v>46270.11922453704</v>
      </c>
      <c r="E309" t="str">
        <f>STOCK_SISTEMA!E309</f>
        <v>SF-03/PT/VENCIDOS Y OBSERVADOS</v>
      </c>
      <c r="F309" t="str">
        <f>STOCK_SISTEMA!G309</f>
        <v>CajaX72</v>
      </c>
      <c r="G309" s="12">
        <f>STOCK_SISTEMA!F309</f>
        <v>2</v>
      </c>
      <c r="H309" s="12">
        <f>SUMIFS(CONTEOS!$N$2:$N$4000,CONTEOS!$F$2:$F$4000,A309,CONTEOS!$H$2:$H$4000,C309)</f>
        <v>0</v>
      </c>
      <c r="I309" s="12">
        <f t="shared" si="4"/>
        <v>-2</v>
      </c>
      <c r="J309" t="str">
        <f>IF(COUNTIFS(CONTEOS!$F$2:$F$4000,A309,CONTEOS!$H$2:$H$4000,C309)=0,"PENDIENTE",IF(I309=0,"CUADRA",IF(I309&gt;0,"SOBRANTE","FALTANTE")))</f>
        <v>PENDIENTE</v>
      </c>
    </row>
    <row r="310" spans="1:10" ht="28.8" x14ac:dyDescent="0.3">
      <c r="A310" t="str">
        <f>STOCK_SISTEMA!A310</f>
        <v>TC0091PE</v>
      </c>
      <c r="B310" s="13" t="str">
        <f>STOCK_SISTEMA!B310</f>
        <v>[TC0091PE] TIYAPUY PAPAS NATIVAS MIXTAS CNV 142g x 20un</v>
      </c>
      <c r="C310" t="str">
        <f>IF(STOCK_SISTEMA!C310="","",STOCK_SISTEMA!C310)</f>
        <v>SN-16226-E2</v>
      </c>
      <c r="D310" s="11">
        <f>IF(STOCK_SISTEMA!D310="","",STOCK_SISTEMA!D310)</f>
        <v>46487.187928240739</v>
      </c>
      <c r="E310" t="str">
        <f>STOCK_SISTEMA!E310</f>
        <v>SF-03/PT/STOCK</v>
      </c>
      <c r="F310" t="str">
        <f>STOCK_SISTEMA!G310</f>
        <v>CajaX20</v>
      </c>
      <c r="G310" s="12">
        <f>STOCK_SISTEMA!F310</f>
        <v>15</v>
      </c>
      <c r="H310" s="12">
        <f>SUMIFS(CONTEOS!$N$2:$N$4000,CONTEOS!$F$2:$F$4000,A310,CONTEOS!$H$2:$H$4000,C310)</f>
        <v>0</v>
      </c>
      <c r="I310" s="12">
        <f t="shared" si="4"/>
        <v>-15</v>
      </c>
      <c r="J310" t="str">
        <f>IF(COUNTIFS(CONTEOS!$F$2:$F$4000,A310,CONTEOS!$H$2:$H$4000,C310)=0,"PENDIENTE",IF(I310=0,"CUADRA",IF(I310&gt;0,"SOBRANTE","FALTANTE")))</f>
        <v>PENDIENTE</v>
      </c>
    </row>
    <row r="311" spans="1:10" ht="28.8" x14ac:dyDescent="0.3">
      <c r="A311" t="str">
        <f>STOCK_SISTEMA!A311</f>
        <v>TC0091PE</v>
      </c>
      <c r="B311" s="13" t="str">
        <f>STOCK_SISTEMA!B311</f>
        <v>[TC0091PE] TIYAPUY PAPAS NATIVAS MIXTAS CNV 142g x 20un</v>
      </c>
      <c r="C311" t="str">
        <f>IF(STOCK_SISTEMA!C311="","",STOCK_SISTEMA!C311)</f>
        <v>SN-16226-E5</v>
      </c>
      <c r="D311" s="11">
        <f>IF(STOCK_SISTEMA!D311="","",STOCK_SISTEMA!D311)</f>
        <v>46488.196759259263</v>
      </c>
      <c r="E311" t="str">
        <f>STOCK_SISTEMA!E311</f>
        <v>SF-03/PT/STOCK</v>
      </c>
      <c r="F311" t="str">
        <f>STOCK_SISTEMA!G311</f>
        <v>CajaX20</v>
      </c>
      <c r="G311" s="12">
        <f>STOCK_SISTEMA!F311</f>
        <v>55</v>
      </c>
      <c r="H311" s="12">
        <f>SUMIFS(CONTEOS!$N$2:$N$4000,CONTEOS!$F$2:$F$4000,A311,CONTEOS!$H$2:$H$4000,C311)</f>
        <v>0</v>
      </c>
      <c r="I311" s="12">
        <f t="shared" si="4"/>
        <v>-55</v>
      </c>
      <c r="J311" t="str">
        <f>IF(COUNTIFS(CONTEOS!$F$2:$F$4000,A311,CONTEOS!$H$2:$H$4000,C311)=0,"PENDIENTE",IF(I311=0,"CUADRA",IF(I311&gt;0,"SOBRANTE","FALTANTE")))</f>
        <v>PENDIENTE</v>
      </c>
    </row>
    <row r="312" spans="1:10" ht="28.8" x14ac:dyDescent="0.3">
      <c r="A312" t="str">
        <f>STOCK_SISTEMA!A312</f>
        <v>EE10200</v>
      </c>
      <c r="B312" s="13" t="str">
        <f>STOCK_SISTEMA!B312</f>
        <v>[EE10200] ETIQUETA AMARILLA CAJA (ALTURA) TT-50MMx100MM 1C-T1x1000</v>
      </c>
      <c r="C312" t="str">
        <f>IF(STOCK_SISTEMA!C312="","",STOCK_SISTEMA!C312)</f>
        <v>INFORME 02/26</v>
      </c>
      <c r="D312" s="11">
        <f>IF(STOCK_SISTEMA!D312="","",STOCK_SISTEMA!D312)</f>
        <v>46543.728750000002</v>
      </c>
      <c r="E312" t="str">
        <f>STOCK_SISTEMA!E312</f>
        <v>SF-03/Preproducción</v>
      </c>
      <c r="F312" t="str">
        <f>STOCK_SISTEMA!G312</f>
        <v>Unidades</v>
      </c>
      <c r="G312" s="12">
        <f>STOCK_SISTEMA!F312</f>
        <v>11.72</v>
      </c>
      <c r="H312" s="12">
        <f>SUMIFS(CONTEOS!$N$2:$N$4000,CONTEOS!$F$2:$F$4000,A312,CONTEOS!$H$2:$H$4000,C312)</f>
        <v>0</v>
      </c>
      <c r="I312" s="12">
        <f t="shared" si="4"/>
        <v>-11.72</v>
      </c>
      <c r="J312" t="str">
        <f>IF(COUNTIFS(CONTEOS!$F$2:$F$4000,A312,CONTEOS!$H$2:$H$4000,C312)=0,"PENDIENTE",IF(I312=0,"CUADRA",IF(I312&gt;0,"SOBRANTE","FALTANTE")))</f>
        <v>PENDIENTE</v>
      </c>
    </row>
    <row r="313" spans="1:10" ht="28.8" x14ac:dyDescent="0.3">
      <c r="A313" t="str">
        <f>STOCK_SISTEMA!A313</f>
        <v>TC0091PE</v>
      </c>
      <c r="B313" s="13" t="str">
        <f>STOCK_SISTEMA!B313</f>
        <v>[TC0091PE] TIYAPUY PAPAS NATIVAS MIXTAS CNV 142g x 20un</v>
      </c>
      <c r="C313" t="str">
        <f>IF(STOCK_SISTEMA!C313="","",STOCK_SISTEMA!C313)</f>
        <v>SN-16226-E1</v>
      </c>
      <c r="D313" s="11">
        <f>IF(STOCK_SISTEMA!D313="","",STOCK_SISTEMA!D313)</f>
        <v>46488</v>
      </c>
      <c r="E313" t="str">
        <f>STOCK_SISTEMA!E313</f>
        <v>SF-03/PT/STOCK</v>
      </c>
      <c r="F313" t="str">
        <f>STOCK_SISTEMA!G313</f>
        <v>CajaX20</v>
      </c>
      <c r="G313" s="12">
        <f>STOCK_SISTEMA!F313</f>
        <v>39</v>
      </c>
      <c r="H313" s="12">
        <f>SUMIFS(CONTEOS!$N$2:$N$4000,CONTEOS!$F$2:$F$4000,A313,CONTEOS!$H$2:$H$4000,C313)</f>
        <v>0</v>
      </c>
      <c r="I313" s="12">
        <f t="shared" si="4"/>
        <v>-39</v>
      </c>
      <c r="J313" t="str">
        <f>IF(COUNTIFS(CONTEOS!$F$2:$F$4000,A313,CONTEOS!$H$2:$H$4000,C313)=0,"PENDIENTE",IF(I313=0,"CUADRA",IF(I313&gt;0,"SOBRANTE","FALTANTE")))</f>
        <v>PENDIENTE</v>
      </c>
    </row>
    <row r="314" spans="1:10" ht="28.8" x14ac:dyDescent="0.3">
      <c r="A314" t="str">
        <f>STOCK_SISTEMA!A314</f>
        <v>TC0091PE</v>
      </c>
      <c r="B314" s="13" t="str">
        <f>STOCK_SISTEMA!B314</f>
        <v>[TC0091PE] TIYAPUY PAPAS NATIVAS MIXTAS CNV 142g x 20un</v>
      </c>
      <c r="C314" t="str">
        <f>IF(STOCK_SISTEMA!C314="","",STOCK_SISTEMA!C314)</f>
        <v>SN-16326-E2</v>
      </c>
      <c r="D314" s="11">
        <f>IF(STOCK_SISTEMA!D314="","",STOCK_SISTEMA!D314)</f>
        <v>46489.204525462963</v>
      </c>
      <c r="E314" t="str">
        <f>STOCK_SISTEMA!E314</f>
        <v>SF-03/PT/STOCK</v>
      </c>
      <c r="F314" t="str">
        <f>STOCK_SISTEMA!G314</f>
        <v>CajaX20</v>
      </c>
      <c r="G314" s="12">
        <f>STOCK_SISTEMA!F314</f>
        <v>9</v>
      </c>
      <c r="H314" s="12">
        <f>SUMIFS(CONTEOS!$N$2:$N$4000,CONTEOS!$F$2:$F$4000,A314,CONTEOS!$H$2:$H$4000,C314)</f>
        <v>0</v>
      </c>
      <c r="I314" s="12">
        <f t="shared" si="4"/>
        <v>-9</v>
      </c>
      <c r="J314" t="str">
        <f>IF(COUNTIFS(CONTEOS!$F$2:$F$4000,A314,CONTEOS!$H$2:$H$4000,C314)=0,"PENDIENTE",IF(I314=0,"CUADRA",IF(I314&gt;0,"SOBRANTE","FALTANTE")))</f>
        <v>PENDIENTE</v>
      </c>
    </row>
    <row r="315" spans="1:10" ht="28.8" x14ac:dyDescent="0.3">
      <c r="A315" t="str">
        <f>STOCK_SISTEMA!A315</f>
        <v>TC0091PE</v>
      </c>
      <c r="B315" s="13" t="str">
        <f>STOCK_SISTEMA!B315</f>
        <v>[TC0091PE] TIYAPUY PAPAS NATIVAS MIXTAS CNV 142g x 20un</v>
      </c>
      <c r="C315" t="str">
        <f>IF(STOCK_SISTEMA!C315="","",STOCK_SISTEMA!C315)</f>
        <v>SN-16226-E3</v>
      </c>
      <c r="D315" s="11">
        <f>IF(STOCK_SISTEMA!D315="","",STOCK_SISTEMA!D315)</f>
        <v>46488.182858796303</v>
      </c>
      <c r="E315" t="str">
        <f>STOCK_SISTEMA!E315</f>
        <v>SF-03/PT/STOCK</v>
      </c>
      <c r="F315" t="str">
        <f>STOCK_SISTEMA!G315</f>
        <v>CajaX20</v>
      </c>
      <c r="G315" s="12">
        <f>STOCK_SISTEMA!F315</f>
        <v>15</v>
      </c>
      <c r="H315" s="12">
        <f>SUMIFS(CONTEOS!$N$2:$N$4000,CONTEOS!$F$2:$F$4000,A315,CONTEOS!$H$2:$H$4000,C315)</f>
        <v>0</v>
      </c>
      <c r="I315" s="12">
        <f t="shared" si="4"/>
        <v>-15</v>
      </c>
      <c r="J315" t="str">
        <f>IF(COUNTIFS(CONTEOS!$F$2:$F$4000,A315,CONTEOS!$H$2:$H$4000,C315)=0,"PENDIENTE",IF(I315=0,"CUADRA",IF(I315&gt;0,"SOBRANTE","FALTANTE")))</f>
        <v>PENDIENTE</v>
      </c>
    </row>
    <row r="316" spans="1:10" ht="28.8" x14ac:dyDescent="0.3">
      <c r="A316" t="str">
        <f>STOCK_SISTEMA!A316</f>
        <v>TC0091PE</v>
      </c>
      <c r="B316" s="13" t="str">
        <f>STOCK_SISTEMA!B316</f>
        <v>[TC0091PE] TIYAPUY PAPAS NATIVAS MIXTAS CNV 142g x 20un</v>
      </c>
      <c r="C316" t="str">
        <f>IF(STOCK_SISTEMA!C316="","",STOCK_SISTEMA!C316)</f>
        <v>SN-16326-E3</v>
      </c>
      <c r="D316" s="11">
        <f>IF(STOCK_SISTEMA!D316="","",STOCK_SISTEMA!D316)</f>
        <v>46488.212071759262</v>
      </c>
      <c r="E316" t="str">
        <f>STOCK_SISTEMA!E316</f>
        <v>SF-03/PT/STOCK</v>
      </c>
      <c r="F316" t="str">
        <f>STOCK_SISTEMA!G316</f>
        <v>CajaX20</v>
      </c>
      <c r="G316" s="12">
        <f>STOCK_SISTEMA!F316</f>
        <v>2</v>
      </c>
      <c r="H316" s="12">
        <f>SUMIFS(CONTEOS!$N$2:$N$4000,CONTEOS!$F$2:$F$4000,A316,CONTEOS!$H$2:$H$4000,C316)</f>
        <v>0</v>
      </c>
      <c r="I316" s="12">
        <f t="shared" si="4"/>
        <v>-2</v>
      </c>
      <c r="J316" t="str">
        <f>IF(COUNTIFS(CONTEOS!$F$2:$F$4000,A316,CONTEOS!$H$2:$H$4000,C316)=0,"PENDIENTE",IF(I316=0,"CUADRA",IF(I316&gt;0,"SOBRANTE","FALTANTE")))</f>
        <v>PENDIENTE</v>
      </c>
    </row>
    <row r="317" spans="1:10" ht="28.8" x14ac:dyDescent="0.3">
      <c r="A317" t="str">
        <f>STOCK_SISTEMA!A317</f>
        <v>TC0091PE</v>
      </c>
      <c r="B317" s="13" t="str">
        <f>STOCK_SISTEMA!B317</f>
        <v>[TC0091PE] TIYAPUY PAPAS NATIVAS MIXTAS CNV 142g x 20un</v>
      </c>
      <c r="C317" t="str">
        <f>IF(STOCK_SISTEMA!C317="","",STOCK_SISTEMA!C317)</f>
        <v>SN-16326-E4</v>
      </c>
      <c r="D317" s="11">
        <f>IF(STOCK_SISTEMA!D317="","",STOCK_SISTEMA!D317)</f>
        <v>46489.215787037043</v>
      </c>
      <c r="E317" t="str">
        <f>STOCK_SISTEMA!E317</f>
        <v>SF-03/PT/STOCK</v>
      </c>
      <c r="F317" t="str">
        <f>STOCK_SISTEMA!G317</f>
        <v>CajaX20</v>
      </c>
      <c r="G317" s="12">
        <f>STOCK_SISTEMA!F317</f>
        <v>24</v>
      </c>
      <c r="H317" s="12">
        <f>SUMIFS(CONTEOS!$N$2:$N$4000,CONTEOS!$F$2:$F$4000,A317,CONTEOS!$H$2:$H$4000,C317)</f>
        <v>0</v>
      </c>
      <c r="I317" s="12">
        <f t="shared" si="4"/>
        <v>-24</v>
      </c>
      <c r="J317" t="str">
        <f>IF(COUNTIFS(CONTEOS!$F$2:$F$4000,A317,CONTEOS!$H$2:$H$4000,C317)=0,"PENDIENTE",IF(I317=0,"CUADRA",IF(I317&gt;0,"SOBRANTE","FALTANTE")))</f>
        <v>PENDIENTE</v>
      </c>
    </row>
    <row r="318" spans="1:10" ht="28.8" x14ac:dyDescent="0.3">
      <c r="A318" t="str">
        <f>STOCK_SISTEMA!A318</f>
        <v>TC0091PE</v>
      </c>
      <c r="B318" s="13" t="str">
        <f>STOCK_SISTEMA!B318</f>
        <v>[TC0091PE] TIYAPUY PAPAS NATIVAS MIXTAS CNV 142g x 20un</v>
      </c>
      <c r="C318" t="str">
        <f>IF(STOCK_SISTEMA!C318="","",STOCK_SISTEMA!C318)</f>
        <v>SN-16326-E5</v>
      </c>
      <c r="D318" s="11">
        <f>IF(STOCK_SISTEMA!D318="","",STOCK_SISTEMA!D318)</f>
        <v>46489.219027777777</v>
      </c>
      <c r="E318" t="str">
        <f>STOCK_SISTEMA!E318</f>
        <v>SF-03/PT/STOCK</v>
      </c>
      <c r="F318" t="str">
        <f>STOCK_SISTEMA!G318</f>
        <v>CajaX20</v>
      </c>
      <c r="G318" s="12">
        <f>STOCK_SISTEMA!F318</f>
        <v>46</v>
      </c>
      <c r="H318" s="12">
        <f>SUMIFS(CONTEOS!$N$2:$N$4000,CONTEOS!$F$2:$F$4000,A318,CONTEOS!$H$2:$H$4000,C318)</f>
        <v>0</v>
      </c>
      <c r="I318" s="12">
        <f t="shared" si="4"/>
        <v>-46</v>
      </c>
      <c r="J318" t="str">
        <f>IF(COUNTIFS(CONTEOS!$F$2:$F$4000,A318,CONTEOS!$H$2:$H$4000,C318)=0,"PENDIENTE",IF(I318=0,"CUADRA",IF(I318&gt;0,"SOBRANTE","FALTANTE")))</f>
        <v>PENDIENTE</v>
      </c>
    </row>
    <row r="319" spans="1:10" ht="28.8" x14ac:dyDescent="0.3">
      <c r="A319" t="str">
        <f>STOCK_SISTEMA!A319</f>
        <v>EE10012</v>
      </c>
      <c r="B319" s="13" t="str">
        <f>STOCK_SISTEMA!B319</f>
        <v>[EE10012] ENVASE TIYAPUY LATA + TAPA 400 GR X UND</v>
      </c>
      <c r="C319" t="str">
        <f>IF(STOCK_SISTEMA!C319="","",STOCK_SISTEMA!C319)</f>
        <v>INFORME 09/26</v>
      </c>
      <c r="D319" s="11">
        <f>IF(STOCK_SISTEMA!D319="","",STOCK_SISTEMA!D319)</f>
        <v>46542.732071759259</v>
      </c>
      <c r="E319" t="str">
        <f>STOCK_SISTEMA!E319</f>
        <v>SF-03/Cuarentena</v>
      </c>
      <c r="F319" t="str">
        <f>STOCK_SISTEMA!G319</f>
        <v>Unidades</v>
      </c>
      <c r="G319" s="12">
        <f>STOCK_SISTEMA!F319</f>
        <v>38</v>
      </c>
      <c r="H319" s="12">
        <f>SUMIFS(CONTEOS!$N$2:$N$4000,CONTEOS!$F$2:$F$4000,A319,CONTEOS!$H$2:$H$4000,C319)</f>
        <v>0</v>
      </c>
      <c r="I319" s="12">
        <f t="shared" si="4"/>
        <v>-38</v>
      </c>
      <c r="J319" t="str">
        <f>IF(COUNTIFS(CONTEOS!$F$2:$F$4000,A319,CONTEOS!$H$2:$H$4000,C319)=0,"PENDIENTE",IF(I319=0,"CUADRA",IF(I319&gt;0,"SOBRANTE","FALTANTE")))</f>
        <v>PENDIENTE</v>
      </c>
    </row>
    <row r="320" spans="1:10" ht="28.8" x14ac:dyDescent="0.3">
      <c r="A320" t="str">
        <f>STOCK_SISTEMA!A320</f>
        <v>TC0091PE</v>
      </c>
      <c r="B320" s="13" t="str">
        <f>STOCK_SISTEMA!B320</f>
        <v>[TC0091PE] TIYAPUY PAPAS NATIVAS MIXTAS CNV 142g x 20un</v>
      </c>
      <c r="C320" t="str">
        <f>IF(STOCK_SISTEMA!C320="","",STOCK_SISTEMA!C320)</f>
        <v>SN-16426-E2</v>
      </c>
      <c r="D320" s="11">
        <f>IF(STOCK_SISTEMA!D320="","",STOCK_SISTEMA!D320)</f>
        <v>46490.983275462961</v>
      </c>
      <c r="E320" t="str">
        <f>STOCK_SISTEMA!E320</f>
        <v>SF-03/PT/STOCK</v>
      </c>
      <c r="F320" t="str">
        <f>STOCK_SISTEMA!G320</f>
        <v>CajaX20</v>
      </c>
      <c r="G320" s="12">
        <f>STOCK_SISTEMA!F320</f>
        <v>51</v>
      </c>
      <c r="H320" s="12">
        <f>SUMIFS(CONTEOS!$N$2:$N$4000,CONTEOS!$F$2:$F$4000,A320,CONTEOS!$H$2:$H$4000,C320)</f>
        <v>0</v>
      </c>
      <c r="I320" s="12">
        <f t="shared" si="4"/>
        <v>-51</v>
      </c>
      <c r="J320" t="str">
        <f>IF(COUNTIFS(CONTEOS!$F$2:$F$4000,A320,CONTEOS!$H$2:$H$4000,C320)=0,"PENDIENTE",IF(I320=0,"CUADRA",IF(I320&gt;0,"SOBRANTE","FALTANTE")))</f>
        <v>PENDIENTE</v>
      </c>
    </row>
    <row r="321" spans="1:10" ht="28.8" x14ac:dyDescent="0.3">
      <c r="A321" t="str">
        <f>STOCK_SISTEMA!A321</f>
        <v>TC0091PE</v>
      </c>
      <c r="B321" s="13" t="str">
        <f>STOCK_SISTEMA!B321</f>
        <v>[TC0091PE] TIYAPUY PAPAS NATIVAS MIXTAS CNV 142g x 20un</v>
      </c>
      <c r="C321" t="str">
        <f>IF(STOCK_SISTEMA!C321="","",STOCK_SISTEMA!C321)</f>
        <v>SN-16426-E3</v>
      </c>
      <c r="D321" s="11">
        <f>IF(STOCK_SISTEMA!D321="","",STOCK_SISTEMA!D321)</f>
        <v>46490.985231481478</v>
      </c>
      <c r="E321" t="str">
        <f>STOCK_SISTEMA!E321</f>
        <v>SF-03/PT/STOCK</v>
      </c>
      <c r="F321" t="str">
        <f>STOCK_SISTEMA!G321</f>
        <v>CajaX20</v>
      </c>
      <c r="G321" s="12">
        <f>STOCK_SISTEMA!F321</f>
        <v>1</v>
      </c>
      <c r="H321" s="12">
        <f>SUMIFS(CONTEOS!$N$2:$N$4000,CONTEOS!$F$2:$F$4000,A321,CONTEOS!$H$2:$H$4000,C321)</f>
        <v>0</v>
      </c>
      <c r="I321" s="12">
        <f t="shared" si="4"/>
        <v>-1</v>
      </c>
      <c r="J321" t="str">
        <f>IF(COUNTIFS(CONTEOS!$F$2:$F$4000,A321,CONTEOS!$H$2:$H$4000,C321)=0,"PENDIENTE",IF(I321=0,"CUADRA",IF(I321&gt;0,"SOBRANTE","FALTANTE")))</f>
        <v>PENDIENTE</v>
      </c>
    </row>
    <row r="322" spans="1:10" ht="28.8" x14ac:dyDescent="0.3">
      <c r="A322" t="str">
        <f>STOCK_SISTEMA!A322</f>
        <v>TC0091PE</v>
      </c>
      <c r="B322" s="13" t="str">
        <f>STOCK_SISTEMA!B322</f>
        <v>[TC0091PE] TIYAPUY PAPAS NATIVAS MIXTAS CNV 142g x 20un</v>
      </c>
      <c r="C322" t="str">
        <f>IF(STOCK_SISTEMA!C322="","",STOCK_SISTEMA!C322)</f>
        <v>SN-16426-E5</v>
      </c>
      <c r="D322" s="11">
        <f>IF(STOCK_SISTEMA!D322="","",STOCK_SISTEMA!D322)</f>
        <v>46490.990300925929</v>
      </c>
      <c r="E322" t="str">
        <f>STOCK_SISTEMA!E322</f>
        <v>SF-03/PT/STOCK</v>
      </c>
      <c r="F322" t="str">
        <f>STOCK_SISTEMA!G322</f>
        <v>CajaX20</v>
      </c>
      <c r="G322" s="12">
        <f>STOCK_SISTEMA!F322</f>
        <v>59</v>
      </c>
      <c r="H322" s="12">
        <f>SUMIFS(CONTEOS!$N$2:$N$4000,CONTEOS!$F$2:$F$4000,A322,CONTEOS!$H$2:$H$4000,C322)</f>
        <v>0</v>
      </c>
      <c r="I322" s="12">
        <f t="shared" ref="I322:I337" si="5">H322-G322</f>
        <v>-59</v>
      </c>
      <c r="J322" t="str">
        <f>IF(COUNTIFS(CONTEOS!$F$2:$F$4000,A322,CONTEOS!$H$2:$H$4000,C322)=0,"PENDIENTE",IF(I322=0,"CUADRA",IF(I322&gt;0,"SOBRANTE","FALTANTE")))</f>
        <v>PENDIENTE</v>
      </c>
    </row>
    <row r="323" spans="1:10" ht="28.8" x14ac:dyDescent="0.3">
      <c r="A323" t="str">
        <f>STOCK_SISTEMA!A323</f>
        <v>EE10282</v>
      </c>
      <c r="B323" s="13" t="str">
        <f>STOCK_SISTEMA!B323</f>
        <v>[EE10282] STICKERS NUTRICIONAL BRASIL 142g LIMON PIMIENTA</v>
      </c>
      <c r="C323" t="str">
        <f>IF(STOCK_SISTEMA!C323="","",STOCK_SISTEMA!C323)</f>
        <v>INFORME 02/26</v>
      </c>
      <c r="D323" s="11">
        <f>IF(STOCK_SISTEMA!D323="","",STOCK_SISTEMA!D323)</f>
        <v>46539.5547337963</v>
      </c>
      <c r="E323" t="str">
        <f>STOCK_SISTEMA!E323</f>
        <v>SF-03/Materiales</v>
      </c>
      <c r="F323" t="str">
        <f>STOCK_SISTEMA!G323</f>
        <v>Unidades</v>
      </c>
      <c r="G323" s="12">
        <f>STOCK_SISTEMA!F323</f>
        <v>380</v>
      </c>
      <c r="H323" s="12">
        <f>SUMIFS(CONTEOS!$N$2:$N$4000,CONTEOS!$F$2:$F$4000,A323,CONTEOS!$H$2:$H$4000,C323)</f>
        <v>0</v>
      </c>
      <c r="I323" s="12">
        <f t="shared" si="5"/>
        <v>-380</v>
      </c>
      <c r="J323" t="str">
        <f>IF(COUNTIFS(CONTEOS!$F$2:$F$4000,A323,CONTEOS!$H$2:$H$4000,C323)=0,"PENDIENTE",IF(I323=0,"CUADRA",IF(I323&gt;0,"SOBRANTE","FALTANTE")))</f>
        <v>PENDIENTE</v>
      </c>
    </row>
    <row r="324" spans="1:10" ht="28.8" x14ac:dyDescent="0.3">
      <c r="A324" t="str">
        <f>STOCK_SISTEMA!A324</f>
        <v>EE10284</v>
      </c>
      <c r="B324" s="13" t="str">
        <f>STOCK_SISTEMA!B324</f>
        <v>[EE10284] STICKERS NUTRICIONAL BRASIL 142g CAMOTE</v>
      </c>
      <c r="C324" t="str">
        <f>IF(STOCK_SISTEMA!C324="","",STOCK_SISTEMA!C324)</f>
        <v>INFORME 02/26</v>
      </c>
      <c r="D324" s="11">
        <f>IF(STOCK_SISTEMA!D324="","",STOCK_SISTEMA!D324)</f>
        <v>46539.554467592592</v>
      </c>
      <c r="E324" t="str">
        <f>STOCK_SISTEMA!E324</f>
        <v>SF-03/Materiales</v>
      </c>
      <c r="F324" t="str">
        <f>STOCK_SISTEMA!G324</f>
        <v>Unidades</v>
      </c>
      <c r="G324" s="12">
        <f>STOCK_SISTEMA!F324</f>
        <v>200</v>
      </c>
      <c r="H324" s="12">
        <f>SUMIFS(CONTEOS!$N$2:$N$4000,CONTEOS!$F$2:$F$4000,A324,CONTEOS!$H$2:$H$4000,C324)</f>
        <v>0</v>
      </c>
      <c r="I324" s="12">
        <f t="shared" si="5"/>
        <v>-200</v>
      </c>
      <c r="J324" t="str">
        <f>IF(COUNTIFS(CONTEOS!$F$2:$F$4000,A324,CONTEOS!$H$2:$H$4000,C324)=0,"PENDIENTE",IF(I324=0,"CUADRA",IF(I324&gt;0,"SOBRANTE","FALTANTE")))</f>
        <v>PENDIENTE</v>
      </c>
    </row>
    <row r="325" spans="1:10" ht="28.8" x14ac:dyDescent="0.3">
      <c r="A325" t="str">
        <f>STOCK_SISTEMA!A325</f>
        <v>EE10280</v>
      </c>
      <c r="B325" s="13" t="str">
        <f>STOCK_SISTEMA!B325</f>
        <v>[EE10280] STICKERS NUTRICIONAL BRASIL 142g MIX NATIVA</v>
      </c>
      <c r="C325" t="str">
        <f>IF(STOCK_SISTEMA!C325="","",STOCK_SISTEMA!C325)</f>
        <v>INFORME 02/26</v>
      </c>
      <c r="D325" s="11">
        <f>IF(STOCK_SISTEMA!D325="","",STOCK_SISTEMA!D325)</f>
        <v>46539.554178240738</v>
      </c>
      <c r="E325" t="str">
        <f>STOCK_SISTEMA!E325</f>
        <v>SF-03/Materiales</v>
      </c>
      <c r="F325" t="str">
        <f>STOCK_SISTEMA!G325</f>
        <v>Unidades</v>
      </c>
      <c r="G325" s="12">
        <f>STOCK_SISTEMA!F325</f>
        <v>449</v>
      </c>
      <c r="H325" s="12">
        <f>SUMIFS(CONTEOS!$N$2:$N$4000,CONTEOS!$F$2:$F$4000,A325,CONTEOS!$H$2:$H$4000,C325)</f>
        <v>0</v>
      </c>
      <c r="I325" s="12">
        <f t="shared" si="5"/>
        <v>-449</v>
      </c>
      <c r="J325" t="str">
        <f>IF(COUNTIFS(CONTEOS!$F$2:$F$4000,A325,CONTEOS!$H$2:$H$4000,C325)=0,"PENDIENTE",IF(I325=0,"CUADRA",IF(I325&gt;0,"SOBRANTE","FALTANTE")))</f>
        <v>PENDIENTE</v>
      </c>
    </row>
    <row r="326" spans="1:10" ht="28.8" x14ac:dyDescent="0.3">
      <c r="A326" t="str">
        <f>STOCK_SISTEMA!A326</f>
        <v>EE10287</v>
      </c>
      <c r="B326" s="13" t="str">
        <f>STOCK_SISTEMA!B326</f>
        <v>[EE10287] STICKERS NUTRICIONAL BRASIL 40g MIX NATIVA</v>
      </c>
      <c r="C326" t="str">
        <f>IF(STOCK_SISTEMA!C326="","",STOCK_SISTEMA!C326)</f>
        <v>INFORME 01/26</v>
      </c>
      <c r="D326" s="11">
        <f>IF(STOCK_SISTEMA!D326="","",STOCK_SISTEMA!D326)</f>
        <v>46539.555289351847</v>
      </c>
      <c r="E326" t="str">
        <f>STOCK_SISTEMA!E326</f>
        <v>SF-03/Materiales</v>
      </c>
      <c r="F326" t="str">
        <f>STOCK_SISTEMA!G326</f>
        <v>Unidades</v>
      </c>
      <c r="G326" s="12">
        <f>STOCK_SISTEMA!F326</f>
        <v>557</v>
      </c>
      <c r="H326" s="12">
        <f>SUMIFS(CONTEOS!$N$2:$N$4000,CONTEOS!$F$2:$F$4000,A326,CONTEOS!$H$2:$H$4000,C326)</f>
        <v>0</v>
      </c>
      <c r="I326" s="12">
        <f t="shared" si="5"/>
        <v>-557</v>
      </c>
      <c r="J326" t="str">
        <f>IF(COUNTIFS(CONTEOS!$F$2:$F$4000,A326,CONTEOS!$H$2:$H$4000,C326)=0,"PENDIENTE",IF(I326=0,"CUADRA",IF(I326&gt;0,"SOBRANTE","FALTANTE")))</f>
        <v>PENDIENTE</v>
      </c>
    </row>
    <row r="327" spans="1:10" ht="28.8" x14ac:dyDescent="0.3">
      <c r="A327" t="str">
        <f>STOCK_SISTEMA!A327</f>
        <v>EE10281</v>
      </c>
      <c r="B327" s="13" t="str">
        <f>STOCK_SISTEMA!B327</f>
        <v>[EE10281] STICKERS NUTRICIONAL BRASIL 142g JALAPEÑO</v>
      </c>
      <c r="C327" t="str">
        <f>IF(STOCK_SISTEMA!C327="","",STOCK_SISTEMA!C327)</f>
        <v>INFORME 01/26</v>
      </c>
      <c r="D327" s="11">
        <f>IF(STOCK_SISTEMA!D327="","",STOCK_SISTEMA!D327)</f>
        <v>46539.553969907407</v>
      </c>
      <c r="E327" t="str">
        <f>STOCK_SISTEMA!E327</f>
        <v>SF-03/Materiales</v>
      </c>
      <c r="F327" t="str">
        <f>STOCK_SISTEMA!G327</f>
        <v>Unidades</v>
      </c>
      <c r="G327" s="12">
        <f>STOCK_SISTEMA!F327</f>
        <v>600</v>
      </c>
      <c r="H327" s="12">
        <f>SUMIFS(CONTEOS!$N$2:$N$4000,CONTEOS!$F$2:$F$4000,A327,CONTEOS!$H$2:$H$4000,C327)</f>
        <v>0</v>
      </c>
      <c r="I327" s="12">
        <f t="shared" si="5"/>
        <v>-600</v>
      </c>
      <c r="J327" t="str">
        <f>IF(COUNTIFS(CONTEOS!$F$2:$F$4000,A327,CONTEOS!$H$2:$H$4000,C327)=0,"PENDIENTE",IF(I327=0,"CUADRA",IF(I327&gt;0,"SOBRANTE","FALTANTE")))</f>
        <v>PENDIENTE</v>
      </c>
    </row>
    <row r="328" spans="1:10" ht="28.8" x14ac:dyDescent="0.3">
      <c r="A328" t="str">
        <f>STOCK_SISTEMA!A328</f>
        <v>EE10285</v>
      </c>
      <c r="B328" s="13" t="str">
        <f>STOCK_SISTEMA!B328</f>
        <v>[EE10285] STICKERS NUTRICIONAL BRASIL 142g PLATANO</v>
      </c>
      <c r="C328" t="str">
        <f>IF(STOCK_SISTEMA!C328="","",STOCK_SISTEMA!C328)</f>
        <v>INFORME 01/26</v>
      </c>
      <c r="D328" s="11">
        <f>IF(STOCK_SISTEMA!D328="","",STOCK_SISTEMA!D328)</f>
        <v>46539.55505787037</v>
      </c>
      <c r="E328" t="str">
        <f>STOCK_SISTEMA!E328</f>
        <v>SF-03/Materiales</v>
      </c>
      <c r="F328" t="str">
        <f>STOCK_SISTEMA!G328</f>
        <v>Unidades</v>
      </c>
      <c r="G328" s="12">
        <f>STOCK_SISTEMA!F328</f>
        <v>200</v>
      </c>
      <c r="H328" s="12">
        <f>SUMIFS(CONTEOS!$N$2:$N$4000,CONTEOS!$F$2:$F$4000,A328,CONTEOS!$H$2:$H$4000,C328)</f>
        <v>0</v>
      </c>
      <c r="I328" s="12">
        <f t="shared" si="5"/>
        <v>-200</v>
      </c>
      <c r="J328" t="str">
        <f>IF(COUNTIFS(CONTEOS!$F$2:$F$4000,A328,CONTEOS!$H$2:$H$4000,C328)=0,"PENDIENTE",IF(I328=0,"CUADRA",IF(I328&gt;0,"SOBRANTE","FALTANTE")))</f>
        <v>PENDIENTE</v>
      </c>
    </row>
    <row r="329" spans="1:10" ht="28.8" x14ac:dyDescent="0.3">
      <c r="A329" t="str">
        <f>STOCK_SISTEMA!A329</f>
        <v>EE10286</v>
      </c>
      <c r="B329" s="13" t="str">
        <f>STOCK_SISTEMA!B329</f>
        <v>[EE10286] STICKERS NUTRICIONAL BRASIL 100g QUINUA NATURAL</v>
      </c>
      <c r="C329" t="str">
        <f>IF(STOCK_SISTEMA!C329="","",STOCK_SISTEMA!C329)</f>
        <v>INFORME 01/26</v>
      </c>
      <c r="D329" s="11">
        <f>IF(STOCK_SISTEMA!D329="","",STOCK_SISTEMA!D329)</f>
        <v>46752.555474537039</v>
      </c>
      <c r="E329" t="str">
        <f>STOCK_SISTEMA!E329</f>
        <v>SF-03/Materiales</v>
      </c>
      <c r="F329" t="str">
        <f>STOCK_SISTEMA!G329</f>
        <v>Unidades</v>
      </c>
      <c r="G329" s="12">
        <f>STOCK_SISTEMA!F329</f>
        <v>120</v>
      </c>
      <c r="H329" s="12">
        <f>SUMIFS(CONTEOS!$N$2:$N$4000,CONTEOS!$F$2:$F$4000,A329,CONTEOS!$H$2:$H$4000,C329)</f>
        <v>0</v>
      </c>
      <c r="I329" s="12">
        <f t="shared" si="5"/>
        <v>-120</v>
      </c>
      <c r="J329" t="str">
        <f>IF(COUNTIFS(CONTEOS!$F$2:$F$4000,A329,CONTEOS!$H$2:$H$4000,C329)=0,"PENDIENTE",IF(I329=0,"CUADRA",IF(I329&gt;0,"SOBRANTE","FALTANTE")))</f>
        <v>PENDIENTE</v>
      </c>
    </row>
    <row r="330" spans="1:10" ht="28.8" x14ac:dyDescent="0.3">
      <c r="A330" t="str">
        <f>STOCK_SISTEMA!A330</f>
        <v>EE10303</v>
      </c>
      <c r="B330" s="13" t="str">
        <f>STOCK_SISTEMA!B330</f>
        <v>[EE10303] ETIQUETA TEXTOS LEGALES QUINUA PICANTE 100g USA</v>
      </c>
      <c r="C330" t="str">
        <f>IF(STOCK_SISTEMA!C330="","",STOCK_SISTEMA!C330)</f>
        <v>INFORME 01/26</v>
      </c>
      <c r="D330" s="11">
        <f>IF(STOCK_SISTEMA!D330="","",STOCK_SISTEMA!D330)</f>
        <v>46538.479687500003</v>
      </c>
      <c r="E330" t="str">
        <f>STOCK_SISTEMA!E330</f>
        <v>SF-03/Materiales</v>
      </c>
      <c r="F330" t="str">
        <f>STOCK_SISTEMA!G330</f>
        <v>Unidades</v>
      </c>
      <c r="G330" s="12">
        <f>STOCK_SISTEMA!F330</f>
        <v>173</v>
      </c>
      <c r="H330" s="12">
        <f>SUMIFS(CONTEOS!$N$2:$N$4000,CONTEOS!$F$2:$F$4000,A330,CONTEOS!$H$2:$H$4000,C330)</f>
        <v>0</v>
      </c>
      <c r="I330" s="12">
        <f t="shared" si="5"/>
        <v>-173</v>
      </c>
      <c r="J330" t="str">
        <f>IF(COUNTIFS(CONTEOS!$F$2:$F$4000,A330,CONTEOS!$H$2:$H$4000,C330)=0,"PENDIENTE",IF(I330=0,"CUADRA",IF(I330&gt;0,"SOBRANTE","FALTANTE")))</f>
        <v>PENDIENTE</v>
      </c>
    </row>
    <row r="331" spans="1:10" ht="28.8" x14ac:dyDescent="0.3">
      <c r="A331" t="str">
        <f>STOCK_SISTEMA!A331</f>
        <v>EE10290</v>
      </c>
      <c r="B331" s="13" t="str">
        <f>STOCK_SISTEMA!B331</f>
        <v>[EE10290] STICKERS NUTRICIONAL BRASIL 100g QUINUA BBQ</v>
      </c>
      <c r="C331" t="str">
        <f>IF(STOCK_SISTEMA!C331="","",STOCK_SISTEMA!C331)</f>
        <v>INFORME 01/26</v>
      </c>
      <c r="D331" s="11">
        <f>IF(STOCK_SISTEMA!D331="","",STOCK_SISTEMA!D331)</f>
        <v>46539.55572916667</v>
      </c>
      <c r="E331" t="str">
        <f>STOCK_SISTEMA!E331</f>
        <v>SF-03/Materiales</v>
      </c>
      <c r="F331" t="str">
        <f>STOCK_SISTEMA!G331</f>
        <v>Unidades</v>
      </c>
      <c r="G331" s="12">
        <f>STOCK_SISTEMA!F331</f>
        <v>142</v>
      </c>
      <c r="H331" s="12">
        <f>SUMIFS(CONTEOS!$N$2:$N$4000,CONTEOS!$F$2:$F$4000,A331,CONTEOS!$H$2:$H$4000,C331)</f>
        <v>0</v>
      </c>
      <c r="I331" s="12">
        <f t="shared" si="5"/>
        <v>-142</v>
      </c>
      <c r="J331" t="str">
        <f>IF(COUNTIFS(CONTEOS!$F$2:$F$4000,A331,CONTEOS!$H$2:$H$4000,C331)=0,"PENDIENTE",IF(I331=0,"CUADRA",IF(I331&gt;0,"SOBRANTE","FALTANTE")))</f>
        <v>PENDIENTE</v>
      </c>
    </row>
    <row r="332" spans="1:10" ht="28.8" x14ac:dyDescent="0.3">
      <c r="A332" t="str">
        <f>STOCK_SISTEMA!A332</f>
        <v>EE10036</v>
      </c>
      <c r="B332" s="13" t="str">
        <f>STOCK_SISTEMA!B332</f>
        <v>[EE10036] LAMINA TIYAPUY CAMOTE 40 GR X KG</v>
      </c>
      <c r="C332" t="str">
        <f>IF(STOCK_SISTEMA!C332="","",STOCK_SISTEMA!C332)</f>
        <v>INFORME 01/26</v>
      </c>
      <c r="D332" s="11">
        <f>IF(STOCK_SISTEMA!D332="","",STOCK_SISTEMA!D332)</f>
        <v>46550.416018518517</v>
      </c>
      <c r="E332" t="str">
        <f>STOCK_SISTEMA!E332</f>
        <v>SF-03/Materiales</v>
      </c>
      <c r="F332" t="str">
        <f>STOCK_SISTEMA!G332</f>
        <v>Kilogramo</v>
      </c>
      <c r="G332" s="12">
        <f>STOCK_SISTEMA!F332</f>
        <v>360.34629999999999</v>
      </c>
      <c r="H332" s="12">
        <f>SUMIFS(CONTEOS!$N$2:$N$4000,CONTEOS!$F$2:$F$4000,A332,CONTEOS!$H$2:$H$4000,C332)</f>
        <v>0</v>
      </c>
      <c r="I332" s="12">
        <f t="shared" si="5"/>
        <v>-360.34629999999999</v>
      </c>
      <c r="J332" t="str">
        <f>IF(COUNTIFS(CONTEOS!$F$2:$F$4000,A332,CONTEOS!$H$2:$H$4000,C332)=0,"PENDIENTE",IF(I332=0,"CUADRA",IF(I332&gt;0,"SOBRANTE","FALTANTE")))</f>
        <v>PENDIENTE</v>
      </c>
    </row>
    <row r="333" spans="1:10" ht="28.8" x14ac:dyDescent="0.3">
      <c r="A333" t="str">
        <f>STOCK_SISTEMA!A333</f>
        <v>MP10036</v>
      </c>
      <c r="B333" s="13" t="str">
        <f>STOCK_SISTEMA!B333</f>
        <v>[MP10036] SABOR TIYAPUY JALAPEÑO MX SP J06708-28 X KG</v>
      </c>
      <c r="C333" t="str">
        <f>IF(STOCK_SISTEMA!C333="","",STOCK_SISTEMA!C333)</f>
        <v>INFORME 08/26</v>
      </c>
      <c r="D333" s="11">
        <f>IF(STOCK_SISTEMA!D333="","",STOCK_SISTEMA!D333)</f>
        <v>46542.60833333333</v>
      </c>
      <c r="E333" t="str">
        <f>STOCK_SISTEMA!E333</f>
        <v>SF-03/Materiales</v>
      </c>
      <c r="F333" t="str">
        <f>STOCK_SISTEMA!G333</f>
        <v>Kilogramo</v>
      </c>
      <c r="G333" s="12">
        <f>STOCK_SISTEMA!F333</f>
        <v>220.18199999999999</v>
      </c>
      <c r="H333" s="12">
        <f>SUMIFS(CONTEOS!$N$2:$N$4000,CONTEOS!$F$2:$F$4000,A333,CONTEOS!$H$2:$H$4000,C333)</f>
        <v>0</v>
      </c>
      <c r="I333" s="12">
        <f t="shared" si="5"/>
        <v>-220.18199999999999</v>
      </c>
      <c r="J333" t="str">
        <f>IF(COUNTIFS(CONTEOS!$F$2:$F$4000,A333,CONTEOS!$H$2:$H$4000,C333)=0,"PENDIENTE",IF(I333=0,"CUADRA",IF(I333&gt;0,"SOBRANTE","FALTANTE")))</f>
        <v>PENDIENTE</v>
      </c>
    </row>
    <row r="334" spans="1:10" ht="28.8" x14ac:dyDescent="0.3">
      <c r="A334" t="str">
        <f>STOCK_SISTEMA!A334</f>
        <v>MP10002</v>
      </c>
      <c r="B334" s="13" t="str">
        <f>STOCK_SISTEMA!B334</f>
        <v>[MP10002] PAPA NATIVA MIX CONVENCIONAL X KG</v>
      </c>
      <c r="C334" t="str">
        <f>IF(STOCK_SISTEMA!C334="","",STOCK_SISTEMA!C334)</f>
        <v>INFORME 140/26</v>
      </c>
      <c r="D334" s="11">
        <f>IF(STOCK_SISTEMA!D334="","",STOCK_SISTEMA!D334)</f>
        <v>46249.481666666667</v>
      </c>
      <c r="E334" t="str">
        <f>STOCK_SISTEMA!E334</f>
        <v>SF-03/Materiales</v>
      </c>
      <c r="F334" t="str">
        <f>STOCK_SISTEMA!G334</f>
        <v>Kilogramo</v>
      </c>
      <c r="G334" s="12">
        <f>STOCK_SISTEMA!F334</f>
        <v>1441.3287</v>
      </c>
      <c r="H334" s="12">
        <f>SUMIFS(CONTEOS!$N$2:$N$4000,CONTEOS!$F$2:$F$4000,A334,CONTEOS!$H$2:$H$4000,C334)</f>
        <v>0</v>
      </c>
      <c r="I334" s="12">
        <f t="shared" si="5"/>
        <v>-1441.3287</v>
      </c>
      <c r="J334" t="str">
        <f>IF(COUNTIFS(CONTEOS!$F$2:$F$4000,A334,CONTEOS!$H$2:$H$4000,C334)=0,"PENDIENTE",IF(I334=0,"CUADRA",IF(I334&gt;0,"SOBRANTE","FALTANTE")))</f>
        <v>PENDIENTE</v>
      </c>
    </row>
    <row r="335" spans="1:10" ht="28.8" x14ac:dyDescent="0.3">
      <c r="A335" t="str">
        <f>STOCK_SISTEMA!A335</f>
        <v>MP10002</v>
      </c>
      <c r="B335" s="13" t="str">
        <f>STOCK_SISTEMA!B335</f>
        <v>[MP10002] PAPA NATIVA MIX CONVENCIONAL X KG</v>
      </c>
      <c r="C335" t="str">
        <f>IF(STOCK_SISTEMA!C335="","",STOCK_SISTEMA!C335)</f>
        <v>INFORME 141/26</v>
      </c>
      <c r="D335" s="11">
        <f>IF(STOCK_SISTEMA!D335="","",STOCK_SISTEMA!D335)</f>
        <v>46249.492106481477</v>
      </c>
      <c r="E335" t="str">
        <f>STOCK_SISTEMA!E335</f>
        <v>SF-03/Materiales</v>
      </c>
      <c r="F335" t="str">
        <f>STOCK_SISTEMA!G335</f>
        <v>Kilogramo</v>
      </c>
      <c r="G335" s="12">
        <f>STOCK_SISTEMA!F335</f>
        <v>4665.8999999999996</v>
      </c>
      <c r="H335" s="12">
        <f>SUMIFS(CONTEOS!$N$2:$N$4000,CONTEOS!$F$2:$F$4000,A335,CONTEOS!$H$2:$H$4000,C335)</f>
        <v>0</v>
      </c>
      <c r="I335" s="12">
        <f t="shared" si="5"/>
        <v>-4665.8999999999996</v>
      </c>
      <c r="J335" t="str">
        <f>IF(COUNTIFS(CONTEOS!$F$2:$F$4000,A335,CONTEOS!$H$2:$H$4000,C335)=0,"PENDIENTE",IF(I335=0,"CUADRA",IF(I335&gt;0,"SOBRANTE","FALTANTE")))</f>
        <v>PENDIENTE</v>
      </c>
    </row>
    <row r="336" spans="1:10" ht="28.8" x14ac:dyDescent="0.3">
      <c r="A336" t="str">
        <f>STOCK_SISTEMA!A336</f>
        <v>MP10002</v>
      </c>
      <c r="B336" s="13" t="str">
        <f>STOCK_SISTEMA!B336</f>
        <v>[MP10002] PAPA NATIVA MIX CONVENCIONAL X KG</v>
      </c>
      <c r="C336" t="str">
        <f>IF(STOCK_SISTEMA!C336="","",STOCK_SISTEMA!C336)</f>
        <v>INFORME 147/26</v>
      </c>
      <c r="D336" s="11">
        <f>IF(STOCK_SISTEMA!D336="","",STOCK_SISTEMA!D336)</f>
        <v>46253.676365740743</v>
      </c>
      <c r="E336" t="str">
        <f>STOCK_SISTEMA!E336</f>
        <v>SF-03/Materiales</v>
      </c>
      <c r="F336" t="str">
        <f>STOCK_SISTEMA!G336</f>
        <v>Kilogramo</v>
      </c>
      <c r="G336" s="12">
        <f>STOCK_SISTEMA!F336</f>
        <v>8277.7999999999993</v>
      </c>
      <c r="H336" s="12">
        <f>SUMIFS(CONTEOS!$N$2:$N$4000,CONTEOS!$F$2:$F$4000,A336,CONTEOS!$H$2:$H$4000,C336)</f>
        <v>0</v>
      </c>
      <c r="I336" s="12">
        <f t="shared" si="5"/>
        <v>-8277.7999999999993</v>
      </c>
      <c r="J336" t="str">
        <f>IF(COUNTIFS(CONTEOS!$F$2:$F$4000,A336,CONTEOS!$H$2:$H$4000,C336)=0,"PENDIENTE",IF(I336=0,"CUADRA",IF(I336&gt;0,"SOBRANTE","FALTANTE")))</f>
        <v>PENDIENTE</v>
      </c>
    </row>
    <row r="337" spans="1:10" x14ac:dyDescent="0.3">
      <c r="A337" t="str">
        <f>STOCK_SISTEMA!A337</f>
        <v>MP10030</v>
      </c>
      <c r="B337" s="13" t="str">
        <f>STOCK_SISTEMA!B337</f>
        <v>[MP10030] ALMIDÓN DE MAIZ X KG</v>
      </c>
      <c r="C337" t="str">
        <f>IF(STOCK_SISTEMA!C337="","",STOCK_SISTEMA!C337)</f>
        <v>INFORME 03/26</v>
      </c>
      <c r="D337" s="11">
        <f>IF(STOCK_SISTEMA!D337="","",STOCK_SISTEMA!D337)</f>
        <v>46844.368831018517</v>
      </c>
      <c r="E337" t="str">
        <f>STOCK_SISTEMA!E337</f>
        <v>SF-03/Materiales</v>
      </c>
      <c r="F337" t="str">
        <f>STOCK_SISTEMA!G337</f>
        <v>Kilogramo</v>
      </c>
      <c r="G337" s="12">
        <f>STOCK_SISTEMA!F337</f>
        <v>32.255000000000003</v>
      </c>
      <c r="H337" s="12">
        <f>SUMIFS(CONTEOS!$N$2:$N$4000,CONTEOS!$F$2:$F$4000,A337,CONTEOS!$H$2:$H$4000,C337)</f>
        <v>0</v>
      </c>
      <c r="I337" s="12">
        <f t="shared" si="5"/>
        <v>-32.255000000000003</v>
      </c>
      <c r="J337" t="str">
        <f>IF(COUNTIFS(CONTEOS!$F$2:$F$4000,A337,CONTEOS!$H$2:$H$4000,C337)=0,"PENDIENTE",IF(I337=0,"CUADRA",IF(I337&gt;0,"SOBRANTE","FALTANTE")))</f>
        <v>PENDIENTE</v>
      </c>
    </row>
  </sheetData>
  <conditionalFormatting sqref="J2:J337">
    <cfRule type="containsText" dxfId="3" priority="1" operator="containsText" text="CUADRA"/>
    <cfRule type="containsText" dxfId="2" priority="2" operator="containsText" text="SOBRANTE"/>
    <cfRule type="containsText" dxfId="1" priority="3" operator="containsText" text="FALTANTE"/>
    <cfRule type="containsText" dxfId="0" priority="4" operator="containsText" text="PENDIENTE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00"/>
  <sheetViews>
    <sheetView showGridLines="0" workbookViewId="0"/>
  </sheetViews>
  <sheetFormatPr baseColWidth="10" defaultColWidth="8.88671875" defaultRowHeight="14.4" x14ac:dyDescent="0.3"/>
  <cols>
    <col min="1" max="1" width="15.5546875" customWidth="1"/>
    <col min="2" max="2" width="21.109375" customWidth="1"/>
    <col min="3" max="3" width="13.88671875" customWidth="1"/>
    <col min="4" max="4" width="33.33203125" customWidth="1"/>
    <col min="5" max="5" width="13.88671875" customWidth="1"/>
    <col min="6" max="6" width="23.33203125" customWidth="1"/>
    <col min="7" max="7" width="38.88671875" customWidth="1"/>
    <col min="8" max="8" width="14.44140625" customWidth="1"/>
  </cols>
  <sheetData>
    <row r="1" spans="1:8" ht="28.8" x14ac:dyDescent="0.3">
      <c r="A1" s="14" t="s">
        <v>557</v>
      </c>
      <c r="B1" s="14" t="s">
        <v>558</v>
      </c>
      <c r="C1" s="14" t="s">
        <v>542</v>
      </c>
      <c r="D1" s="14" t="s">
        <v>1</v>
      </c>
      <c r="E1" s="14" t="s">
        <v>543</v>
      </c>
      <c r="F1" s="14" t="s">
        <v>559</v>
      </c>
      <c r="G1" s="14" t="s">
        <v>560</v>
      </c>
      <c r="H1" s="14" t="s">
        <v>561</v>
      </c>
    </row>
    <row r="2" spans="1:8" x14ac:dyDescent="0.3">
      <c r="A2" s="10"/>
    </row>
    <row r="3" spans="1:8" x14ac:dyDescent="0.3">
      <c r="A3" s="10"/>
    </row>
    <row r="4" spans="1:8" x14ac:dyDescent="0.3">
      <c r="A4" s="10"/>
    </row>
    <row r="5" spans="1:8" x14ac:dyDescent="0.3">
      <c r="A5" s="10"/>
    </row>
    <row r="6" spans="1:8" x14ac:dyDescent="0.3">
      <c r="A6" s="10"/>
    </row>
    <row r="7" spans="1:8" x14ac:dyDescent="0.3">
      <c r="A7" s="10"/>
    </row>
    <row r="8" spans="1:8" x14ac:dyDescent="0.3">
      <c r="A8" s="10"/>
    </row>
    <row r="9" spans="1:8" x14ac:dyDescent="0.3">
      <c r="A9" s="10"/>
    </row>
    <row r="10" spans="1:8" x14ac:dyDescent="0.3">
      <c r="A10" s="10"/>
    </row>
    <row r="11" spans="1:8" x14ac:dyDescent="0.3">
      <c r="A11" s="10"/>
    </row>
    <row r="12" spans="1:8" x14ac:dyDescent="0.3">
      <c r="A12" s="10"/>
    </row>
    <row r="13" spans="1:8" x14ac:dyDescent="0.3">
      <c r="A13" s="10"/>
    </row>
    <row r="14" spans="1:8" x14ac:dyDescent="0.3">
      <c r="A14" s="10"/>
    </row>
    <row r="15" spans="1:8" x14ac:dyDescent="0.3">
      <c r="A15" s="10"/>
    </row>
    <row r="16" spans="1:8" x14ac:dyDescent="0.3">
      <c r="A16" s="10"/>
    </row>
    <row r="17" spans="1:1" x14ac:dyDescent="0.3">
      <c r="A17" s="10"/>
    </row>
    <row r="18" spans="1:1" x14ac:dyDescent="0.3">
      <c r="A18" s="10"/>
    </row>
    <row r="19" spans="1:1" x14ac:dyDescent="0.3">
      <c r="A19" s="10"/>
    </row>
    <row r="20" spans="1:1" x14ac:dyDescent="0.3">
      <c r="A20" s="10"/>
    </row>
    <row r="21" spans="1:1" x14ac:dyDescent="0.3">
      <c r="A21" s="10"/>
    </row>
    <row r="22" spans="1:1" x14ac:dyDescent="0.3">
      <c r="A22" s="10"/>
    </row>
    <row r="23" spans="1:1" x14ac:dyDescent="0.3">
      <c r="A23" s="10"/>
    </row>
    <row r="24" spans="1:1" x14ac:dyDescent="0.3">
      <c r="A24" s="10"/>
    </row>
    <row r="25" spans="1:1" x14ac:dyDescent="0.3">
      <c r="A25" s="10"/>
    </row>
    <row r="26" spans="1:1" x14ac:dyDescent="0.3">
      <c r="A26" s="10"/>
    </row>
    <row r="27" spans="1:1" x14ac:dyDescent="0.3">
      <c r="A27" s="10"/>
    </row>
    <row r="28" spans="1:1" x14ac:dyDescent="0.3">
      <c r="A28" s="10"/>
    </row>
    <row r="29" spans="1:1" x14ac:dyDescent="0.3">
      <c r="A29" s="10"/>
    </row>
    <row r="30" spans="1:1" x14ac:dyDescent="0.3">
      <c r="A30" s="10"/>
    </row>
    <row r="31" spans="1:1" x14ac:dyDescent="0.3">
      <c r="A31" s="10"/>
    </row>
    <row r="32" spans="1:1" x14ac:dyDescent="0.3">
      <c r="A32" s="10"/>
    </row>
    <row r="33" spans="1:1" x14ac:dyDescent="0.3">
      <c r="A33" s="10"/>
    </row>
    <row r="34" spans="1:1" x14ac:dyDescent="0.3">
      <c r="A34" s="10"/>
    </row>
    <row r="35" spans="1:1" x14ac:dyDescent="0.3">
      <c r="A35" s="10"/>
    </row>
    <row r="36" spans="1:1" x14ac:dyDescent="0.3">
      <c r="A36" s="10"/>
    </row>
    <row r="37" spans="1:1" x14ac:dyDescent="0.3">
      <c r="A37" s="10"/>
    </row>
    <row r="38" spans="1:1" x14ac:dyDescent="0.3">
      <c r="A38" s="10"/>
    </row>
    <row r="39" spans="1:1" x14ac:dyDescent="0.3">
      <c r="A39" s="10"/>
    </row>
    <row r="40" spans="1:1" x14ac:dyDescent="0.3">
      <c r="A40" s="10"/>
    </row>
    <row r="41" spans="1:1" x14ac:dyDescent="0.3">
      <c r="A41" s="10"/>
    </row>
    <row r="42" spans="1:1" x14ac:dyDescent="0.3">
      <c r="A42" s="10"/>
    </row>
    <row r="43" spans="1:1" x14ac:dyDescent="0.3">
      <c r="A43" s="10"/>
    </row>
    <row r="44" spans="1:1" x14ac:dyDescent="0.3">
      <c r="A44" s="10"/>
    </row>
    <row r="45" spans="1:1" x14ac:dyDescent="0.3">
      <c r="A45" s="10"/>
    </row>
    <row r="46" spans="1:1" x14ac:dyDescent="0.3">
      <c r="A46" s="10"/>
    </row>
    <row r="47" spans="1:1" x14ac:dyDescent="0.3">
      <c r="A47" s="10"/>
    </row>
    <row r="48" spans="1:1" x14ac:dyDescent="0.3">
      <c r="A48" s="10"/>
    </row>
    <row r="49" spans="1:1" x14ac:dyDescent="0.3">
      <c r="A49" s="10"/>
    </row>
    <row r="50" spans="1:1" x14ac:dyDescent="0.3">
      <c r="A50" s="10"/>
    </row>
    <row r="51" spans="1:1" x14ac:dyDescent="0.3">
      <c r="A51" s="10"/>
    </row>
    <row r="52" spans="1:1" x14ac:dyDescent="0.3">
      <c r="A52" s="10"/>
    </row>
    <row r="53" spans="1:1" x14ac:dyDescent="0.3">
      <c r="A53" s="10"/>
    </row>
    <row r="54" spans="1:1" x14ac:dyDescent="0.3">
      <c r="A54" s="10"/>
    </row>
    <row r="55" spans="1:1" x14ac:dyDescent="0.3">
      <c r="A55" s="10"/>
    </row>
    <row r="56" spans="1:1" x14ac:dyDescent="0.3">
      <c r="A56" s="10"/>
    </row>
    <row r="57" spans="1:1" x14ac:dyDescent="0.3">
      <c r="A57" s="10"/>
    </row>
    <row r="58" spans="1:1" x14ac:dyDescent="0.3">
      <c r="A58" s="10"/>
    </row>
    <row r="59" spans="1:1" x14ac:dyDescent="0.3">
      <c r="A59" s="10"/>
    </row>
    <row r="60" spans="1:1" x14ac:dyDescent="0.3">
      <c r="A60" s="10"/>
    </row>
    <row r="61" spans="1:1" x14ac:dyDescent="0.3">
      <c r="A61" s="10"/>
    </row>
    <row r="62" spans="1:1" x14ac:dyDescent="0.3">
      <c r="A62" s="10"/>
    </row>
    <row r="63" spans="1:1" x14ac:dyDescent="0.3">
      <c r="A63" s="10"/>
    </row>
    <row r="64" spans="1:1" x14ac:dyDescent="0.3">
      <c r="A64" s="10"/>
    </row>
    <row r="65" spans="1:1" x14ac:dyDescent="0.3">
      <c r="A65" s="10"/>
    </row>
    <row r="66" spans="1:1" x14ac:dyDescent="0.3">
      <c r="A66" s="10"/>
    </row>
    <row r="67" spans="1:1" x14ac:dyDescent="0.3">
      <c r="A67" s="10"/>
    </row>
    <row r="68" spans="1:1" x14ac:dyDescent="0.3">
      <c r="A68" s="10"/>
    </row>
    <row r="69" spans="1:1" x14ac:dyDescent="0.3">
      <c r="A69" s="10"/>
    </row>
    <row r="70" spans="1:1" x14ac:dyDescent="0.3">
      <c r="A70" s="10"/>
    </row>
    <row r="71" spans="1:1" x14ac:dyDescent="0.3">
      <c r="A71" s="10"/>
    </row>
    <row r="72" spans="1:1" x14ac:dyDescent="0.3">
      <c r="A72" s="10"/>
    </row>
    <row r="73" spans="1:1" x14ac:dyDescent="0.3">
      <c r="A73" s="10"/>
    </row>
    <row r="74" spans="1:1" x14ac:dyDescent="0.3">
      <c r="A74" s="10"/>
    </row>
    <row r="75" spans="1:1" x14ac:dyDescent="0.3">
      <c r="A75" s="10"/>
    </row>
    <row r="76" spans="1:1" x14ac:dyDescent="0.3">
      <c r="A76" s="10"/>
    </row>
    <row r="77" spans="1:1" x14ac:dyDescent="0.3">
      <c r="A77" s="10"/>
    </row>
    <row r="78" spans="1:1" x14ac:dyDescent="0.3">
      <c r="A78" s="10"/>
    </row>
    <row r="79" spans="1:1" x14ac:dyDescent="0.3">
      <c r="A79" s="10"/>
    </row>
    <row r="80" spans="1:1" x14ac:dyDescent="0.3">
      <c r="A80" s="10"/>
    </row>
    <row r="81" spans="1:1" x14ac:dyDescent="0.3">
      <c r="A81" s="10"/>
    </row>
    <row r="82" spans="1:1" x14ac:dyDescent="0.3">
      <c r="A82" s="10"/>
    </row>
    <row r="83" spans="1:1" x14ac:dyDescent="0.3">
      <c r="A83" s="10"/>
    </row>
    <row r="84" spans="1:1" x14ac:dyDescent="0.3">
      <c r="A84" s="10"/>
    </row>
    <row r="85" spans="1:1" x14ac:dyDescent="0.3">
      <c r="A85" s="10"/>
    </row>
    <row r="86" spans="1:1" x14ac:dyDescent="0.3">
      <c r="A86" s="10"/>
    </row>
    <row r="87" spans="1:1" x14ac:dyDescent="0.3">
      <c r="A87" s="10"/>
    </row>
    <row r="88" spans="1:1" x14ac:dyDescent="0.3">
      <c r="A88" s="10"/>
    </row>
    <row r="89" spans="1:1" x14ac:dyDescent="0.3">
      <c r="A89" s="10"/>
    </row>
    <row r="90" spans="1:1" x14ac:dyDescent="0.3">
      <c r="A90" s="10"/>
    </row>
    <row r="91" spans="1:1" x14ac:dyDescent="0.3">
      <c r="A91" s="10"/>
    </row>
    <row r="92" spans="1:1" x14ac:dyDescent="0.3">
      <c r="A92" s="10"/>
    </row>
    <row r="93" spans="1:1" x14ac:dyDescent="0.3">
      <c r="A93" s="10"/>
    </row>
    <row r="94" spans="1:1" x14ac:dyDescent="0.3">
      <c r="A94" s="10"/>
    </row>
    <row r="95" spans="1:1" x14ac:dyDescent="0.3">
      <c r="A95" s="10"/>
    </row>
    <row r="96" spans="1:1" x14ac:dyDescent="0.3">
      <c r="A96" s="10"/>
    </row>
    <row r="97" spans="1:1" x14ac:dyDescent="0.3">
      <c r="A97" s="10"/>
    </row>
    <row r="98" spans="1:1" x14ac:dyDescent="0.3">
      <c r="A98" s="10"/>
    </row>
    <row r="99" spans="1:1" x14ac:dyDescent="0.3">
      <c r="A99" s="10"/>
    </row>
    <row r="100" spans="1:1" x14ac:dyDescent="0.3">
      <c r="A100" s="10"/>
    </row>
    <row r="101" spans="1:1" x14ac:dyDescent="0.3">
      <c r="A101" s="10"/>
    </row>
    <row r="102" spans="1:1" x14ac:dyDescent="0.3">
      <c r="A102" s="10"/>
    </row>
    <row r="103" spans="1:1" x14ac:dyDescent="0.3">
      <c r="A103" s="10"/>
    </row>
    <row r="104" spans="1:1" x14ac:dyDescent="0.3">
      <c r="A104" s="10"/>
    </row>
    <row r="105" spans="1:1" x14ac:dyDescent="0.3">
      <c r="A105" s="10"/>
    </row>
    <row r="106" spans="1:1" x14ac:dyDescent="0.3">
      <c r="A106" s="10"/>
    </row>
    <row r="107" spans="1:1" x14ac:dyDescent="0.3">
      <c r="A107" s="10"/>
    </row>
    <row r="108" spans="1:1" x14ac:dyDescent="0.3">
      <c r="A108" s="10"/>
    </row>
    <row r="109" spans="1:1" x14ac:dyDescent="0.3">
      <c r="A109" s="10"/>
    </row>
    <row r="110" spans="1:1" x14ac:dyDescent="0.3">
      <c r="A110" s="10"/>
    </row>
    <row r="111" spans="1:1" x14ac:dyDescent="0.3">
      <c r="A111" s="10"/>
    </row>
    <row r="112" spans="1:1" x14ac:dyDescent="0.3">
      <c r="A112" s="10"/>
    </row>
    <row r="113" spans="1:1" x14ac:dyDescent="0.3">
      <c r="A113" s="10"/>
    </row>
    <row r="114" spans="1:1" x14ac:dyDescent="0.3">
      <c r="A114" s="10"/>
    </row>
    <row r="115" spans="1:1" x14ac:dyDescent="0.3">
      <c r="A115" s="10"/>
    </row>
    <row r="116" spans="1:1" x14ac:dyDescent="0.3">
      <c r="A116" s="10"/>
    </row>
    <row r="117" spans="1:1" x14ac:dyDescent="0.3">
      <c r="A117" s="10"/>
    </row>
    <row r="118" spans="1:1" x14ac:dyDescent="0.3">
      <c r="A118" s="10"/>
    </row>
    <row r="119" spans="1:1" x14ac:dyDescent="0.3">
      <c r="A119" s="10"/>
    </row>
    <row r="120" spans="1:1" x14ac:dyDescent="0.3">
      <c r="A120" s="10"/>
    </row>
    <row r="121" spans="1:1" x14ac:dyDescent="0.3">
      <c r="A121" s="10"/>
    </row>
    <row r="122" spans="1:1" x14ac:dyDescent="0.3">
      <c r="A122" s="10"/>
    </row>
    <row r="123" spans="1:1" x14ac:dyDescent="0.3">
      <c r="A123" s="10"/>
    </row>
    <row r="124" spans="1:1" x14ac:dyDescent="0.3">
      <c r="A124" s="10"/>
    </row>
    <row r="125" spans="1:1" x14ac:dyDescent="0.3">
      <c r="A125" s="10"/>
    </row>
    <row r="126" spans="1:1" x14ac:dyDescent="0.3">
      <c r="A126" s="10"/>
    </row>
    <row r="127" spans="1:1" x14ac:dyDescent="0.3">
      <c r="A127" s="10"/>
    </row>
    <row r="128" spans="1:1" x14ac:dyDescent="0.3">
      <c r="A128" s="10"/>
    </row>
    <row r="129" spans="1:1" x14ac:dyDescent="0.3">
      <c r="A129" s="10"/>
    </row>
    <row r="130" spans="1:1" x14ac:dyDescent="0.3">
      <c r="A130" s="10"/>
    </row>
    <row r="131" spans="1:1" x14ac:dyDescent="0.3">
      <c r="A131" s="10"/>
    </row>
    <row r="132" spans="1:1" x14ac:dyDescent="0.3">
      <c r="A132" s="10"/>
    </row>
    <row r="133" spans="1:1" x14ac:dyDescent="0.3">
      <c r="A133" s="10"/>
    </row>
    <row r="134" spans="1:1" x14ac:dyDescent="0.3">
      <c r="A134" s="10"/>
    </row>
    <row r="135" spans="1:1" x14ac:dyDescent="0.3">
      <c r="A135" s="10"/>
    </row>
    <row r="136" spans="1:1" x14ac:dyDescent="0.3">
      <c r="A136" s="10"/>
    </row>
    <row r="137" spans="1:1" x14ac:dyDescent="0.3">
      <c r="A137" s="10"/>
    </row>
    <row r="138" spans="1:1" x14ac:dyDescent="0.3">
      <c r="A138" s="10"/>
    </row>
    <row r="139" spans="1:1" x14ac:dyDescent="0.3">
      <c r="A139" s="10"/>
    </row>
    <row r="140" spans="1:1" x14ac:dyDescent="0.3">
      <c r="A140" s="10"/>
    </row>
    <row r="141" spans="1:1" x14ac:dyDescent="0.3">
      <c r="A141" s="10"/>
    </row>
    <row r="142" spans="1:1" x14ac:dyDescent="0.3">
      <c r="A142" s="10"/>
    </row>
    <row r="143" spans="1:1" x14ac:dyDescent="0.3">
      <c r="A143" s="10"/>
    </row>
    <row r="144" spans="1:1" x14ac:dyDescent="0.3">
      <c r="A144" s="10"/>
    </row>
    <row r="145" spans="1:1" x14ac:dyDescent="0.3">
      <c r="A145" s="10"/>
    </row>
    <row r="146" spans="1:1" x14ac:dyDescent="0.3">
      <c r="A146" s="10"/>
    </row>
    <row r="147" spans="1:1" x14ac:dyDescent="0.3">
      <c r="A147" s="10"/>
    </row>
    <row r="148" spans="1:1" x14ac:dyDescent="0.3">
      <c r="A148" s="10"/>
    </row>
    <row r="149" spans="1:1" x14ac:dyDescent="0.3">
      <c r="A149" s="10"/>
    </row>
    <row r="150" spans="1:1" x14ac:dyDescent="0.3">
      <c r="A150" s="10"/>
    </row>
    <row r="151" spans="1:1" x14ac:dyDescent="0.3">
      <c r="A151" s="10"/>
    </row>
    <row r="152" spans="1:1" x14ac:dyDescent="0.3">
      <c r="A152" s="10"/>
    </row>
    <row r="153" spans="1:1" x14ac:dyDescent="0.3">
      <c r="A153" s="10"/>
    </row>
    <row r="154" spans="1:1" x14ac:dyDescent="0.3">
      <c r="A154" s="10"/>
    </row>
    <row r="155" spans="1:1" x14ac:dyDescent="0.3">
      <c r="A155" s="10"/>
    </row>
    <row r="156" spans="1:1" x14ac:dyDescent="0.3">
      <c r="A156" s="10"/>
    </row>
    <row r="157" spans="1:1" x14ac:dyDescent="0.3">
      <c r="A157" s="10"/>
    </row>
    <row r="158" spans="1:1" x14ac:dyDescent="0.3">
      <c r="A158" s="10"/>
    </row>
    <row r="159" spans="1:1" x14ac:dyDescent="0.3">
      <c r="A159" s="10"/>
    </row>
    <row r="160" spans="1:1" x14ac:dyDescent="0.3">
      <c r="A160" s="10"/>
    </row>
    <row r="161" spans="1:1" x14ac:dyDescent="0.3">
      <c r="A161" s="10"/>
    </row>
    <row r="162" spans="1:1" x14ac:dyDescent="0.3">
      <c r="A162" s="10"/>
    </row>
    <row r="163" spans="1:1" x14ac:dyDescent="0.3">
      <c r="A163" s="10"/>
    </row>
    <row r="164" spans="1:1" x14ac:dyDescent="0.3">
      <c r="A164" s="10"/>
    </row>
    <row r="165" spans="1:1" x14ac:dyDescent="0.3">
      <c r="A165" s="10"/>
    </row>
    <row r="166" spans="1:1" x14ac:dyDescent="0.3">
      <c r="A166" s="10"/>
    </row>
    <row r="167" spans="1:1" x14ac:dyDescent="0.3">
      <c r="A167" s="10"/>
    </row>
    <row r="168" spans="1:1" x14ac:dyDescent="0.3">
      <c r="A168" s="10"/>
    </row>
    <row r="169" spans="1:1" x14ac:dyDescent="0.3">
      <c r="A169" s="10"/>
    </row>
    <row r="170" spans="1:1" x14ac:dyDescent="0.3">
      <c r="A170" s="10"/>
    </row>
    <row r="171" spans="1:1" x14ac:dyDescent="0.3">
      <c r="A171" s="10"/>
    </row>
    <row r="172" spans="1:1" x14ac:dyDescent="0.3">
      <c r="A172" s="10"/>
    </row>
    <row r="173" spans="1:1" x14ac:dyDescent="0.3">
      <c r="A173" s="10"/>
    </row>
    <row r="174" spans="1:1" x14ac:dyDescent="0.3">
      <c r="A174" s="10"/>
    </row>
    <row r="175" spans="1:1" x14ac:dyDescent="0.3">
      <c r="A175" s="10"/>
    </row>
    <row r="176" spans="1:1" x14ac:dyDescent="0.3">
      <c r="A176" s="10"/>
    </row>
    <row r="177" spans="1:1" x14ac:dyDescent="0.3">
      <c r="A177" s="10"/>
    </row>
    <row r="178" spans="1:1" x14ac:dyDescent="0.3">
      <c r="A178" s="10"/>
    </row>
    <row r="179" spans="1:1" x14ac:dyDescent="0.3">
      <c r="A179" s="10"/>
    </row>
    <row r="180" spans="1:1" x14ac:dyDescent="0.3">
      <c r="A180" s="10"/>
    </row>
    <row r="181" spans="1:1" x14ac:dyDescent="0.3">
      <c r="A181" s="10"/>
    </row>
    <row r="182" spans="1:1" x14ac:dyDescent="0.3">
      <c r="A182" s="10"/>
    </row>
    <row r="183" spans="1:1" x14ac:dyDescent="0.3">
      <c r="A183" s="10"/>
    </row>
    <row r="184" spans="1:1" x14ac:dyDescent="0.3">
      <c r="A184" s="10"/>
    </row>
    <row r="185" spans="1:1" x14ac:dyDescent="0.3">
      <c r="A185" s="10"/>
    </row>
    <row r="186" spans="1:1" x14ac:dyDescent="0.3">
      <c r="A186" s="10"/>
    </row>
    <row r="187" spans="1:1" x14ac:dyDescent="0.3">
      <c r="A187" s="10"/>
    </row>
    <row r="188" spans="1:1" x14ac:dyDescent="0.3">
      <c r="A188" s="10"/>
    </row>
    <row r="189" spans="1:1" x14ac:dyDescent="0.3">
      <c r="A189" s="10"/>
    </row>
    <row r="190" spans="1:1" x14ac:dyDescent="0.3">
      <c r="A190" s="10"/>
    </row>
    <row r="191" spans="1:1" x14ac:dyDescent="0.3">
      <c r="A191" s="10"/>
    </row>
    <row r="192" spans="1:1" x14ac:dyDescent="0.3">
      <c r="A192" s="10"/>
    </row>
    <row r="193" spans="1:1" x14ac:dyDescent="0.3">
      <c r="A193" s="10"/>
    </row>
    <row r="194" spans="1:1" x14ac:dyDescent="0.3">
      <c r="A194" s="10"/>
    </row>
    <row r="195" spans="1:1" x14ac:dyDescent="0.3">
      <c r="A195" s="10"/>
    </row>
    <row r="196" spans="1:1" x14ac:dyDescent="0.3">
      <c r="A196" s="10"/>
    </row>
    <row r="197" spans="1:1" x14ac:dyDescent="0.3">
      <c r="A197" s="10"/>
    </row>
    <row r="198" spans="1:1" x14ac:dyDescent="0.3">
      <c r="A198" s="10"/>
    </row>
    <row r="199" spans="1:1" x14ac:dyDescent="0.3">
      <c r="A199" s="10"/>
    </row>
    <row r="200" spans="1:1" x14ac:dyDescent="0.3">
      <c r="A200" s="10"/>
    </row>
    <row r="201" spans="1:1" x14ac:dyDescent="0.3">
      <c r="A201" s="10"/>
    </row>
    <row r="202" spans="1:1" x14ac:dyDescent="0.3">
      <c r="A202" s="10"/>
    </row>
    <row r="203" spans="1:1" x14ac:dyDescent="0.3">
      <c r="A203" s="10"/>
    </row>
    <row r="204" spans="1:1" x14ac:dyDescent="0.3">
      <c r="A204" s="10"/>
    </row>
    <row r="205" spans="1:1" x14ac:dyDescent="0.3">
      <c r="A205" s="10"/>
    </row>
    <row r="206" spans="1:1" x14ac:dyDescent="0.3">
      <c r="A206" s="10"/>
    </row>
    <row r="207" spans="1:1" x14ac:dyDescent="0.3">
      <c r="A207" s="10"/>
    </row>
    <row r="208" spans="1:1" x14ac:dyDescent="0.3">
      <c r="A208" s="10"/>
    </row>
    <row r="209" spans="1:1" x14ac:dyDescent="0.3">
      <c r="A209" s="10"/>
    </row>
    <row r="210" spans="1:1" x14ac:dyDescent="0.3">
      <c r="A210" s="10"/>
    </row>
    <row r="211" spans="1:1" x14ac:dyDescent="0.3">
      <c r="A211" s="10"/>
    </row>
    <row r="212" spans="1:1" x14ac:dyDescent="0.3">
      <c r="A212" s="10"/>
    </row>
    <row r="213" spans="1:1" x14ac:dyDescent="0.3">
      <c r="A213" s="10"/>
    </row>
    <row r="214" spans="1:1" x14ac:dyDescent="0.3">
      <c r="A214" s="10"/>
    </row>
    <row r="215" spans="1:1" x14ac:dyDescent="0.3">
      <c r="A215" s="10"/>
    </row>
    <row r="216" spans="1:1" x14ac:dyDescent="0.3">
      <c r="A216" s="10"/>
    </row>
    <row r="217" spans="1:1" x14ac:dyDescent="0.3">
      <c r="A217" s="10"/>
    </row>
    <row r="218" spans="1:1" x14ac:dyDescent="0.3">
      <c r="A218" s="10"/>
    </row>
    <row r="219" spans="1:1" x14ac:dyDescent="0.3">
      <c r="A219" s="10"/>
    </row>
    <row r="220" spans="1:1" x14ac:dyDescent="0.3">
      <c r="A220" s="10"/>
    </row>
    <row r="221" spans="1:1" x14ac:dyDescent="0.3">
      <c r="A221" s="10"/>
    </row>
    <row r="222" spans="1:1" x14ac:dyDescent="0.3">
      <c r="A222" s="10"/>
    </row>
    <row r="223" spans="1:1" x14ac:dyDescent="0.3">
      <c r="A223" s="10"/>
    </row>
    <row r="224" spans="1:1" x14ac:dyDescent="0.3">
      <c r="A224" s="10"/>
    </row>
    <row r="225" spans="1:1" x14ac:dyDescent="0.3">
      <c r="A225" s="10"/>
    </row>
    <row r="226" spans="1:1" x14ac:dyDescent="0.3">
      <c r="A226" s="10"/>
    </row>
    <row r="227" spans="1:1" x14ac:dyDescent="0.3">
      <c r="A227" s="10"/>
    </row>
    <row r="228" spans="1:1" x14ac:dyDescent="0.3">
      <c r="A228" s="10"/>
    </row>
    <row r="229" spans="1:1" x14ac:dyDescent="0.3">
      <c r="A229" s="10"/>
    </row>
    <row r="230" spans="1:1" x14ac:dyDescent="0.3">
      <c r="A230" s="10"/>
    </row>
    <row r="231" spans="1:1" x14ac:dyDescent="0.3">
      <c r="A231" s="10"/>
    </row>
    <row r="232" spans="1:1" x14ac:dyDescent="0.3">
      <c r="A232" s="10"/>
    </row>
    <row r="233" spans="1:1" x14ac:dyDescent="0.3">
      <c r="A233" s="10"/>
    </row>
    <row r="234" spans="1:1" x14ac:dyDescent="0.3">
      <c r="A234" s="10"/>
    </row>
    <row r="235" spans="1:1" x14ac:dyDescent="0.3">
      <c r="A235" s="10"/>
    </row>
    <row r="236" spans="1:1" x14ac:dyDescent="0.3">
      <c r="A236" s="10"/>
    </row>
    <row r="237" spans="1:1" x14ac:dyDescent="0.3">
      <c r="A237" s="10"/>
    </row>
    <row r="238" spans="1:1" x14ac:dyDescent="0.3">
      <c r="A238" s="10"/>
    </row>
    <row r="239" spans="1:1" x14ac:dyDescent="0.3">
      <c r="A239" s="10"/>
    </row>
    <row r="240" spans="1:1" x14ac:dyDescent="0.3">
      <c r="A240" s="10"/>
    </row>
    <row r="241" spans="1:1" x14ac:dyDescent="0.3">
      <c r="A241" s="10"/>
    </row>
    <row r="242" spans="1:1" x14ac:dyDescent="0.3">
      <c r="A242" s="10"/>
    </row>
    <row r="243" spans="1:1" x14ac:dyDescent="0.3">
      <c r="A243" s="10"/>
    </row>
    <row r="244" spans="1:1" x14ac:dyDescent="0.3">
      <c r="A244" s="10"/>
    </row>
    <row r="245" spans="1:1" x14ac:dyDescent="0.3">
      <c r="A245" s="10"/>
    </row>
    <row r="246" spans="1:1" x14ac:dyDescent="0.3">
      <c r="A246" s="10"/>
    </row>
    <row r="247" spans="1:1" x14ac:dyDescent="0.3">
      <c r="A247" s="10"/>
    </row>
    <row r="248" spans="1:1" x14ac:dyDescent="0.3">
      <c r="A248" s="10"/>
    </row>
    <row r="249" spans="1:1" x14ac:dyDescent="0.3">
      <c r="A249" s="10"/>
    </row>
    <row r="250" spans="1:1" x14ac:dyDescent="0.3">
      <c r="A250" s="10"/>
    </row>
    <row r="251" spans="1:1" x14ac:dyDescent="0.3">
      <c r="A251" s="10"/>
    </row>
    <row r="252" spans="1:1" x14ac:dyDescent="0.3">
      <c r="A252" s="10"/>
    </row>
    <row r="253" spans="1:1" x14ac:dyDescent="0.3">
      <c r="A253" s="10"/>
    </row>
    <row r="254" spans="1:1" x14ac:dyDescent="0.3">
      <c r="A254" s="10"/>
    </row>
    <row r="255" spans="1:1" x14ac:dyDescent="0.3">
      <c r="A255" s="10"/>
    </row>
    <row r="256" spans="1:1" x14ac:dyDescent="0.3">
      <c r="A256" s="10"/>
    </row>
    <row r="257" spans="1:1" x14ac:dyDescent="0.3">
      <c r="A257" s="10"/>
    </row>
    <row r="258" spans="1:1" x14ac:dyDescent="0.3">
      <c r="A258" s="10"/>
    </row>
    <row r="259" spans="1:1" x14ac:dyDescent="0.3">
      <c r="A259" s="10"/>
    </row>
    <row r="260" spans="1:1" x14ac:dyDescent="0.3">
      <c r="A260" s="10"/>
    </row>
    <row r="261" spans="1:1" x14ac:dyDescent="0.3">
      <c r="A261" s="10"/>
    </row>
    <row r="262" spans="1:1" x14ac:dyDescent="0.3">
      <c r="A262" s="10"/>
    </row>
    <row r="263" spans="1:1" x14ac:dyDescent="0.3">
      <c r="A263" s="10"/>
    </row>
    <row r="264" spans="1:1" x14ac:dyDescent="0.3">
      <c r="A264" s="10"/>
    </row>
    <row r="265" spans="1:1" x14ac:dyDescent="0.3">
      <c r="A265" s="10"/>
    </row>
    <row r="266" spans="1:1" x14ac:dyDescent="0.3">
      <c r="A266" s="10"/>
    </row>
    <row r="267" spans="1:1" x14ac:dyDescent="0.3">
      <c r="A267" s="10"/>
    </row>
    <row r="268" spans="1:1" x14ac:dyDescent="0.3">
      <c r="A268" s="10"/>
    </row>
    <row r="269" spans="1:1" x14ac:dyDescent="0.3">
      <c r="A269" s="10"/>
    </row>
    <row r="270" spans="1:1" x14ac:dyDescent="0.3">
      <c r="A270" s="10"/>
    </row>
    <row r="271" spans="1:1" x14ac:dyDescent="0.3">
      <c r="A271" s="10"/>
    </row>
    <row r="272" spans="1:1" x14ac:dyDescent="0.3">
      <c r="A272" s="10"/>
    </row>
    <row r="273" spans="1:1" x14ac:dyDescent="0.3">
      <c r="A273" s="10"/>
    </row>
    <row r="274" spans="1:1" x14ac:dyDescent="0.3">
      <c r="A274" s="10"/>
    </row>
    <row r="275" spans="1:1" x14ac:dyDescent="0.3">
      <c r="A275" s="10"/>
    </row>
    <row r="276" spans="1:1" x14ac:dyDescent="0.3">
      <c r="A276" s="10"/>
    </row>
    <row r="277" spans="1:1" x14ac:dyDescent="0.3">
      <c r="A277" s="10"/>
    </row>
    <row r="278" spans="1:1" x14ac:dyDescent="0.3">
      <c r="A278" s="10"/>
    </row>
    <row r="279" spans="1:1" x14ac:dyDescent="0.3">
      <c r="A279" s="10"/>
    </row>
    <row r="280" spans="1:1" x14ac:dyDescent="0.3">
      <c r="A280" s="10"/>
    </row>
    <row r="281" spans="1:1" x14ac:dyDescent="0.3">
      <c r="A281" s="10"/>
    </row>
    <row r="282" spans="1:1" x14ac:dyDescent="0.3">
      <c r="A282" s="10"/>
    </row>
    <row r="283" spans="1:1" x14ac:dyDescent="0.3">
      <c r="A283" s="10"/>
    </row>
    <row r="284" spans="1:1" x14ac:dyDescent="0.3">
      <c r="A284" s="10"/>
    </row>
    <row r="285" spans="1:1" x14ac:dyDescent="0.3">
      <c r="A285" s="10"/>
    </row>
    <row r="286" spans="1:1" x14ac:dyDescent="0.3">
      <c r="A286" s="10"/>
    </row>
    <row r="287" spans="1:1" x14ac:dyDescent="0.3">
      <c r="A287" s="10"/>
    </row>
    <row r="288" spans="1:1" x14ac:dyDescent="0.3">
      <c r="A288" s="10"/>
    </row>
    <row r="289" spans="1:1" x14ac:dyDescent="0.3">
      <c r="A289" s="10"/>
    </row>
    <row r="290" spans="1:1" x14ac:dyDescent="0.3">
      <c r="A290" s="10"/>
    </row>
    <row r="291" spans="1:1" x14ac:dyDescent="0.3">
      <c r="A291" s="10"/>
    </row>
    <row r="292" spans="1:1" x14ac:dyDescent="0.3">
      <c r="A292" s="10"/>
    </row>
    <row r="293" spans="1:1" x14ac:dyDescent="0.3">
      <c r="A293" s="10"/>
    </row>
    <row r="294" spans="1:1" x14ac:dyDescent="0.3">
      <c r="A294" s="10"/>
    </row>
    <row r="295" spans="1:1" x14ac:dyDescent="0.3">
      <c r="A295" s="10"/>
    </row>
    <row r="296" spans="1:1" x14ac:dyDescent="0.3">
      <c r="A296" s="10"/>
    </row>
    <row r="297" spans="1:1" x14ac:dyDescent="0.3">
      <c r="A297" s="10"/>
    </row>
    <row r="298" spans="1:1" x14ac:dyDescent="0.3">
      <c r="A298" s="10"/>
    </row>
    <row r="299" spans="1:1" x14ac:dyDescent="0.3">
      <c r="A299" s="10"/>
    </row>
    <row r="300" spans="1:1" x14ac:dyDescent="0.3">
      <c r="A300" s="10"/>
    </row>
    <row r="301" spans="1:1" x14ac:dyDescent="0.3">
      <c r="A301" s="10"/>
    </row>
    <row r="302" spans="1:1" x14ac:dyDescent="0.3">
      <c r="A302" s="10"/>
    </row>
    <row r="303" spans="1:1" x14ac:dyDescent="0.3">
      <c r="A303" s="10"/>
    </row>
    <row r="304" spans="1:1" x14ac:dyDescent="0.3">
      <c r="A304" s="10"/>
    </row>
    <row r="305" spans="1:1" x14ac:dyDescent="0.3">
      <c r="A305" s="10"/>
    </row>
    <row r="306" spans="1:1" x14ac:dyDescent="0.3">
      <c r="A306" s="10"/>
    </row>
    <row r="307" spans="1:1" x14ac:dyDescent="0.3">
      <c r="A307" s="10"/>
    </row>
    <row r="308" spans="1:1" x14ac:dyDescent="0.3">
      <c r="A308" s="10"/>
    </row>
    <row r="309" spans="1:1" x14ac:dyDescent="0.3">
      <c r="A309" s="10"/>
    </row>
    <row r="310" spans="1:1" x14ac:dyDescent="0.3">
      <c r="A310" s="10"/>
    </row>
    <row r="311" spans="1:1" x14ac:dyDescent="0.3">
      <c r="A311" s="10"/>
    </row>
    <row r="312" spans="1:1" x14ac:dyDescent="0.3">
      <c r="A312" s="10"/>
    </row>
    <row r="313" spans="1:1" x14ac:dyDescent="0.3">
      <c r="A313" s="10"/>
    </row>
    <row r="314" spans="1:1" x14ac:dyDescent="0.3">
      <c r="A314" s="10"/>
    </row>
    <row r="315" spans="1:1" x14ac:dyDescent="0.3">
      <c r="A315" s="10"/>
    </row>
    <row r="316" spans="1:1" x14ac:dyDescent="0.3">
      <c r="A316" s="10"/>
    </row>
    <row r="317" spans="1:1" x14ac:dyDescent="0.3">
      <c r="A317" s="10"/>
    </row>
    <row r="318" spans="1:1" x14ac:dyDescent="0.3">
      <c r="A318" s="10"/>
    </row>
    <row r="319" spans="1:1" x14ac:dyDescent="0.3">
      <c r="A319" s="10"/>
    </row>
    <row r="320" spans="1:1" x14ac:dyDescent="0.3">
      <c r="A320" s="10"/>
    </row>
    <row r="321" spans="1:1" x14ac:dyDescent="0.3">
      <c r="A321" s="10"/>
    </row>
    <row r="322" spans="1:1" x14ac:dyDescent="0.3">
      <c r="A322" s="10"/>
    </row>
    <row r="323" spans="1:1" x14ac:dyDescent="0.3">
      <c r="A323" s="10"/>
    </row>
    <row r="324" spans="1:1" x14ac:dyDescent="0.3">
      <c r="A324" s="10"/>
    </row>
    <row r="325" spans="1:1" x14ac:dyDescent="0.3">
      <c r="A325" s="10"/>
    </row>
    <row r="326" spans="1:1" x14ac:dyDescent="0.3">
      <c r="A326" s="10"/>
    </row>
    <row r="327" spans="1:1" x14ac:dyDescent="0.3">
      <c r="A327" s="10"/>
    </row>
    <row r="328" spans="1:1" x14ac:dyDescent="0.3">
      <c r="A328" s="10"/>
    </row>
    <row r="329" spans="1:1" x14ac:dyDescent="0.3">
      <c r="A329" s="10"/>
    </row>
    <row r="330" spans="1:1" x14ac:dyDescent="0.3">
      <c r="A330" s="10"/>
    </row>
    <row r="331" spans="1:1" x14ac:dyDescent="0.3">
      <c r="A331" s="10"/>
    </row>
    <row r="332" spans="1:1" x14ac:dyDescent="0.3">
      <c r="A332" s="10"/>
    </row>
    <row r="333" spans="1:1" x14ac:dyDescent="0.3">
      <c r="A333" s="10"/>
    </row>
    <row r="334" spans="1:1" x14ac:dyDescent="0.3">
      <c r="A334" s="10"/>
    </row>
    <row r="335" spans="1:1" x14ac:dyDescent="0.3">
      <c r="A335" s="10"/>
    </row>
    <row r="336" spans="1:1" x14ac:dyDescent="0.3">
      <c r="A336" s="10"/>
    </row>
    <row r="337" spans="1:1" x14ac:dyDescent="0.3">
      <c r="A337" s="10"/>
    </row>
    <row r="338" spans="1:1" x14ac:dyDescent="0.3">
      <c r="A338" s="10"/>
    </row>
    <row r="339" spans="1:1" x14ac:dyDescent="0.3">
      <c r="A339" s="10"/>
    </row>
    <row r="340" spans="1:1" x14ac:dyDescent="0.3">
      <c r="A340" s="10"/>
    </row>
    <row r="341" spans="1:1" x14ac:dyDescent="0.3">
      <c r="A341" s="10"/>
    </row>
    <row r="342" spans="1:1" x14ac:dyDescent="0.3">
      <c r="A342" s="10"/>
    </row>
    <row r="343" spans="1:1" x14ac:dyDescent="0.3">
      <c r="A343" s="10"/>
    </row>
    <row r="344" spans="1:1" x14ac:dyDescent="0.3">
      <c r="A344" s="10"/>
    </row>
    <row r="345" spans="1:1" x14ac:dyDescent="0.3">
      <c r="A345" s="10"/>
    </row>
    <row r="346" spans="1:1" x14ac:dyDescent="0.3">
      <c r="A346" s="10"/>
    </row>
    <row r="347" spans="1:1" x14ac:dyDescent="0.3">
      <c r="A347" s="10"/>
    </row>
    <row r="348" spans="1:1" x14ac:dyDescent="0.3">
      <c r="A348" s="10"/>
    </row>
    <row r="349" spans="1:1" x14ac:dyDescent="0.3">
      <c r="A349" s="10"/>
    </row>
    <row r="350" spans="1:1" x14ac:dyDescent="0.3">
      <c r="A350" s="10"/>
    </row>
    <row r="351" spans="1:1" x14ac:dyDescent="0.3">
      <c r="A351" s="10"/>
    </row>
    <row r="352" spans="1:1" x14ac:dyDescent="0.3">
      <c r="A352" s="10"/>
    </row>
    <row r="353" spans="1:1" x14ac:dyDescent="0.3">
      <c r="A353" s="10"/>
    </row>
    <row r="354" spans="1:1" x14ac:dyDescent="0.3">
      <c r="A354" s="10"/>
    </row>
    <row r="355" spans="1:1" x14ac:dyDescent="0.3">
      <c r="A355" s="10"/>
    </row>
    <row r="356" spans="1:1" x14ac:dyDescent="0.3">
      <c r="A356" s="10"/>
    </row>
    <row r="357" spans="1:1" x14ac:dyDescent="0.3">
      <c r="A357" s="10"/>
    </row>
    <row r="358" spans="1:1" x14ac:dyDescent="0.3">
      <c r="A358" s="10"/>
    </row>
    <row r="359" spans="1:1" x14ac:dyDescent="0.3">
      <c r="A359" s="10"/>
    </row>
    <row r="360" spans="1:1" x14ac:dyDescent="0.3">
      <c r="A360" s="10"/>
    </row>
    <row r="361" spans="1:1" x14ac:dyDescent="0.3">
      <c r="A361" s="10"/>
    </row>
    <row r="362" spans="1:1" x14ac:dyDescent="0.3">
      <c r="A362" s="10"/>
    </row>
    <row r="363" spans="1:1" x14ac:dyDescent="0.3">
      <c r="A363" s="10"/>
    </row>
    <row r="364" spans="1:1" x14ac:dyDescent="0.3">
      <c r="A364" s="10"/>
    </row>
    <row r="365" spans="1:1" x14ac:dyDescent="0.3">
      <c r="A365" s="10"/>
    </row>
    <row r="366" spans="1:1" x14ac:dyDescent="0.3">
      <c r="A366" s="10"/>
    </row>
    <row r="367" spans="1:1" x14ac:dyDescent="0.3">
      <c r="A367" s="10"/>
    </row>
    <row r="368" spans="1:1" x14ac:dyDescent="0.3">
      <c r="A368" s="10"/>
    </row>
    <row r="369" spans="1:1" x14ac:dyDescent="0.3">
      <c r="A369" s="10"/>
    </row>
    <row r="370" spans="1:1" x14ac:dyDescent="0.3">
      <c r="A370" s="10"/>
    </row>
    <row r="371" spans="1:1" x14ac:dyDescent="0.3">
      <c r="A371" s="10"/>
    </row>
    <row r="372" spans="1:1" x14ac:dyDescent="0.3">
      <c r="A372" s="10"/>
    </row>
    <row r="373" spans="1:1" x14ac:dyDescent="0.3">
      <c r="A373" s="10"/>
    </row>
    <row r="374" spans="1:1" x14ac:dyDescent="0.3">
      <c r="A374" s="10"/>
    </row>
    <row r="375" spans="1:1" x14ac:dyDescent="0.3">
      <c r="A375" s="10"/>
    </row>
    <row r="376" spans="1:1" x14ac:dyDescent="0.3">
      <c r="A376" s="10"/>
    </row>
    <row r="377" spans="1:1" x14ac:dyDescent="0.3">
      <c r="A377" s="10"/>
    </row>
    <row r="378" spans="1:1" x14ac:dyDescent="0.3">
      <c r="A378" s="10"/>
    </row>
    <row r="379" spans="1:1" x14ac:dyDescent="0.3">
      <c r="A379" s="10"/>
    </row>
    <row r="380" spans="1:1" x14ac:dyDescent="0.3">
      <c r="A380" s="10"/>
    </row>
    <row r="381" spans="1:1" x14ac:dyDescent="0.3">
      <c r="A381" s="10"/>
    </row>
    <row r="382" spans="1:1" x14ac:dyDescent="0.3">
      <c r="A382" s="10"/>
    </row>
    <row r="383" spans="1:1" x14ac:dyDescent="0.3">
      <c r="A383" s="10"/>
    </row>
    <row r="384" spans="1:1" x14ac:dyDescent="0.3">
      <c r="A384" s="10"/>
    </row>
    <row r="385" spans="1:1" x14ac:dyDescent="0.3">
      <c r="A385" s="10"/>
    </row>
    <row r="386" spans="1:1" x14ac:dyDescent="0.3">
      <c r="A386" s="10"/>
    </row>
    <row r="387" spans="1:1" x14ac:dyDescent="0.3">
      <c r="A387" s="10"/>
    </row>
    <row r="388" spans="1:1" x14ac:dyDescent="0.3">
      <c r="A388" s="10"/>
    </row>
    <row r="389" spans="1:1" x14ac:dyDescent="0.3">
      <c r="A389" s="10"/>
    </row>
    <row r="390" spans="1:1" x14ac:dyDescent="0.3">
      <c r="A390" s="10"/>
    </row>
    <row r="391" spans="1:1" x14ac:dyDescent="0.3">
      <c r="A391" s="10"/>
    </row>
    <row r="392" spans="1:1" x14ac:dyDescent="0.3">
      <c r="A392" s="10"/>
    </row>
    <row r="393" spans="1:1" x14ac:dyDescent="0.3">
      <c r="A393" s="10"/>
    </row>
    <row r="394" spans="1:1" x14ac:dyDescent="0.3">
      <c r="A394" s="10"/>
    </row>
    <row r="395" spans="1:1" x14ac:dyDescent="0.3">
      <c r="A395" s="10"/>
    </row>
    <row r="396" spans="1:1" x14ac:dyDescent="0.3">
      <c r="A396" s="10"/>
    </row>
    <row r="397" spans="1:1" x14ac:dyDescent="0.3">
      <c r="A397" s="10"/>
    </row>
    <row r="398" spans="1:1" x14ac:dyDescent="0.3">
      <c r="A398" s="10"/>
    </row>
    <row r="399" spans="1:1" x14ac:dyDescent="0.3">
      <c r="A399" s="10"/>
    </row>
    <row r="400" spans="1:1" x14ac:dyDescent="0.3">
      <c r="A400" s="10"/>
    </row>
    <row r="401" spans="1:1" x14ac:dyDescent="0.3">
      <c r="A401" s="10"/>
    </row>
    <row r="402" spans="1:1" x14ac:dyDescent="0.3">
      <c r="A402" s="10"/>
    </row>
    <row r="403" spans="1:1" x14ac:dyDescent="0.3">
      <c r="A403" s="10"/>
    </row>
    <row r="404" spans="1:1" x14ac:dyDescent="0.3">
      <c r="A404" s="10"/>
    </row>
    <row r="405" spans="1:1" x14ac:dyDescent="0.3">
      <c r="A405" s="10"/>
    </row>
    <row r="406" spans="1:1" x14ac:dyDescent="0.3">
      <c r="A406" s="10"/>
    </row>
    <row r="407" spans="1:1" x14ac:dyDescent="0.3">
      <c r="A407" s="10"/>
    </row>
    <row r="408" spans="1:1" x14ac:dyDescent="0.3">
      <c r="A408" s="10"/>
    </row>
    <row r="409" spans="1:1" x14ac:dyDescent="0.3">
      <c r="A409" s="10"/>
    </row>
    <row r="410" spans="1:1" x14ac:dyDescent="0.3">
      <c r="A410" s="10"/>
    </row>
    <row r="411" spans="1:1" x14ac:dyDescent="0.3">
      <c r="A411" s="10"/>
    </row>
    <row r="412" spans="1:1" x14ac:dyDescent="0.3">
      <c r="A412" s="10"/>
    </row>
    <row r="413" spans="1:1" x14ac:dyDescent="0.3">
      <c r="A413" s="10"/>
    </row>
    <row r="414" spans="1:1" x14ac:dyDescent="0.3">
      <c r="A414" s="10"/>
    </row>
    <row r="415" spans="1:1" x14ac:dyDescent="0.3">
      <c r="A415" s="10"/>
    </row>
    <row r="416" spans="1:1" x14ac:dyDescent="0.3">
      <c r="A416" s="10"/>
    </row>
    <row r="417" spans="1:1" x14ac:dyDescent="0.3">
      <c r="A417" s="10"/>
    </row>
    <row r="418" spans="1:1" x14ac:dyDescent="0.3">
      <c r="A418" s="10"/>
    </row>
    <row r="419" spans="1:1" x14ac:dyDescent="0.3">
      <c r="A419" s="10"/>
    </row>
    <row r="420" spans="1:1" x14ac:dyDescent="0.3">
      <c r="A420" s="10"/>
    </row>
    <row r="421" spans="1:1" x14ac:dyDescent="0.3">
      <c r="A421" s="10"/>
    </row>
    <row r="422" spans="1:1" x14ac:dyDescent="0.3">
      <c r="A422" s="10"/>
    </row>
    <row r="423" spans="1:1" x14ac:dyDescent="0.3">
      <c r="A423" s="10"/>
    </row>
    <row r="424" spans="1:1" x14ac:dyDescent="0.3">
      <c r="A424" s="10"/>
    </row>
    <row r="425" spans="1:1" x14ac:dyDescent="0.3">
      <c r="A425" s="10"/>
    </row>
    <row r="426" spans="1:1" x14ac:dyDescent="0.3">
      <c r="A426" s="10"/>
    </row>
    <row r="427" spans="1:1" x14ac:dyDescent="0.3">
      <c r="A427" s="10"/>
    </row>
    <row r="428" spans="1:1" x14ac:dyDescent="0.3">
      <c r="A428" s="10"/>
    </row>
    <row r="429" spans="1:1" x14ac:dyDescent="0.3">
      <c r="A429" s="10"/>
    </row>
    <row r="430" spans="1:1" x14ac:dyDescent="0.3">
      <c r="A430" s="10"/>
    </row>
    <row r="431" spans="1:1" x14ac:dyDescent="0.3">
      <c r="A431" s="10"/>
    </row>
    <row r="432" spans="1:1" x14ac:dyDescent="0.3">
      <c r="A432" s="10"/>
    </row>
    <row r="433" spans="1:1" x14ac:dyDescent="0.3">
      <c r="A433" s="10"/>
    </row>
    <row r="434" spans="1:1" x14ac:dyDescent="0.3">
      <c r="A434" s="10"/>
    </row>
    <row r="435" spans="1:1" x14ac:dyDescent="0.3">
      <c r="A435" s="10"/>
    </row>
    <row r="436" spans="1:1" x14ac:dyDescent="0.3">
      <c r="A436" s="10"/>
    </row>
    <row r="437" spans="1:1" x14ac:dyDescent="0.3">
      <c r="A437" s="10"/>
    </row>
    <row r="438" spans="1:1" x14ac:dyDescent="0.3">
      <c r="A438" s="10"/>
    </row>
    <row r="439" spans="1:1" x14ac:dyDescent="0.3">
      <c r="A439" s="10"/>
    </row>
    <row r="440" spans="1:1" x14ac:dyDescent="0.3">
      <c r="A440" s="10"/>
    </row>
    <row r="441" spans="1:1" x14ac:dyDescent="0.3">
      <c r="A441" s="10"/>
    </row>
    <row r="442" spans="1:1" x14ac:dyDescent="0.3">
      <c r="A442" s="10"/>
    </row>
    <row r="443" spans="1:1" x14ac:dyDescent="0.3">
      <c r="A443" s="10"/>
    </row>
    <row r="444" spans="1:1" x14ac:dyDescent="0.3">
      <c r="A444" s="10"/>
    </row>
    <row r="445" spans="1:1" x14ac:dyDescent="0.3">
      <c r="A445" s="10"/>
    </row>
    <row r="446" spans="1:1" x14ac:dyDescent="0.3">
      <c r="A446" s="10"/>
    </row>
    <row r="447" spans="1:1" x14ac:dyDescent="0.3">
      <c r="A447" s="10"/>
    </row>
    <row r="448" spans="1:1" x14ac:dyDescent="0.3">
      <c r="A448" s="10"/>
    </row>
    <row r="449" spans="1:1" x14ac:dyDescent="0.3">
      <c r="A449" s="10"/>
    </row>
    <row r="450" spans="1:1" x14ac:dyDescent="0.3">
      <c r="A450" s="10"/>
    </row>
    <row r="451" spans="1:1" x14ac:dyDescent="0.3">
      <c r="A451" s="10"/>
    </row>
    <row r="452" spans="1:1" x14ac:dyDescent="0.3">
      <c r="A452" s="10"/>
    </row>
    <row r="453" spans="1:1" x14ac:dyDescent="0.3">
      <c r="A453" s="10"/>
    </row>
    <row r="454" spans="1:1" x14ac:dyDescent="0.3">
      <c r="A454" s="10"/>
    </row>
    <row r="455" spans="1:1" x14ac:dyDescent="0.3">
      <c r="A455" s="10"/>
    </row>
    <row r="456" spans="1:1" x14ac:dyDescent="0.3">
      <c r="A456" s="10"/>
    </row>
    <row r="457" spans="1:1" x14ac:dyDescent="0.3">
      <c r="A457" s="10"/>
    </row>
    <row r="458" spans="1:1" x14ac:dyDescent="0.3">
      <c r="A458" s="10"/>
    </row>
    <row r="459" spans="1:1" x14ac:dyDescent="0.3">
      <c r="A459" s="10"/>
    </row>
    <row r="460" spans="1:1" x14ac:dyDescent="0.3">
      <c r="A460" s="10"/>
    </row>
    <row r="461" spans="1:1" x14ac:dyDescent="0.3">
      <c r="A461" s="10"/>
    </row>
    <row r="462" spans="1:1" x14ac:dyDescent="0.3">
      <c r="A462" s="10"/>
    </row>
    <row r="463" spans="1:1" x14ac:dyDescent="0.3">
      <c r="A463" s="10"/>
    </row>
    <row r="464" spans="1:1" x14ac:dyDescent="0.3">
      <c r="A464" s="10"/>
    </row>
    <row r="465" spans="1:1" x14ac:dyDescent="0.3">
      <c r="A465" s="10"/>
    </row>
    <row r="466" spans="1:1" x14ac:dyDescent="0.3">
      <c r="A466" s="10"/>
    </row>
    <row r="467" spans="1:1" x14ac:dyDescent="0.3">
      <c r="A467" s="10"/>
    </row>
    <row r="468" spans="1:1" x14ac:dyDescent="0.3">
      <c r="A468" s="10"/>
    </row>
    <row r="469" spans="1:1" x14ac:dyDescent="0.3">
      <c r="A469" s="10"/>
    </row>
    <row r="470" spans="1:1" x14ac:dyDescent="0.3">
      <c r="A470" s="10"/>
    </row>
    <row r="471" spans="1:1" x14ac:dyDescent="0.3">
      <c r="A471" s="10"/>
    </row>
    <row r="472" spans="1:1" x14ac:dyDescent="0.3">
      <c r="A472" s="10"/>
    </row>
    <row r="473" spans="1:1" x14ac:dyDescent="0.3">
      <c r="A473" s="10"/>
    </row>
    <row r="474" spans="1:1" x14ac:dyDescent="0.3">
      <c r="A474" s="10"/>
    </row>
    <row r="475" spans="1:1" x14ac:dyDescent="0.3">
      <c r="A475" s="10"/>
    </row>
    <row r="476" spans="1:1" x14ac:dyDescent="0.3">
      <c r="A476" s="10"/>
    </row>
    <row r="477" spans="1:1" x14ac:dyDescent="0.3">
      <c r="A477" s="10"/>
    </row>
    <row r="478" spans="1:1" x14ac:dyDescent="0.3">
      <c r="A478" s="10"/>
    </row>
    <row r="479" spans="1:1" x14ac:dyDescent="0.3">
      <c r="A479" s="10"/>
    </row>
    <row r="480" spans="1:1" x14ac:dyDescent="0.3">
      <c r="A480" s="10"/>
    </row>
    <row r="481" spans="1:1" x14ac:dyDescent="0.3">
      <c r="A481" s="10"/>
    </row>
    <row r="482" spans="1:1" x14ac:dyDescent="0.3">
      <c r="A482" s="10"/>
    </row>
    <row r="483" spans="1:1" x14ac:dyDescent="0.3">
      <c r="A483" s="10"/>
    </row>
    <row r="484" spans="1:1" x14ac:dyDescent="0.3">
      <c r="A484" s="10"/>
    </row>
    <row r="485" spans="1:1" x14ac:dyDescent="0.3">
      <c r="A485" s="10"/>
    </row>
    <row r="486" spans="1:1" x14ac:dyDescent="0.3">
      <c r="A486" s="10"/>
    </row>
    <row r="487" spans="1:1" x14ac:dyDescent="0.3">
      <c r="A487" s="10"/>
    </row>
    <row r="488" spans="1:1" x14ac:dyDescent="0.3">
      <c r="A488" s="10"/>
    </row>
    <row r="489" spans="1:1" x14ac:dyDescent="0.3">
      <c r="A489" s="10"/>
    </row>
    <row r="490" spans="1:1" x14ac:dyDescent="0.3">
      <c r="A490" s="10"/>
    </row>
    <row r="491" spans="1:1" x14ac:dyDescent="0.3">
      <c r="A491" s="10"/>
    </row>
    <row r="492" spans="1:1" x14ac:dyDescent="0.3">
      <c r="A492" s="10"/>
    </row>
    <row r="493" spans="1:1" x14ac:dyDescent="0.3">
      <c r="A493" s="10"/>
    </row>
    <row r="494" spans="1:1" x14ac:dyDescent="0.3">
      <c r="A494" s="10"/>
    </row>
    <row r="495" spans="1:1" x14ac:dyDescent="0.3">
      <c r="A495" s="10"/>
    </row>
    <row r="496" spans="1:1" x14ac:dyDescent="0.3">
      <c r="A496" s="10"/>
    </row>
    <row r="497" spans="1:1" x14ac:dyDescent="0.3">
      <c r="A497" s="10"/>
    </row>
    <row r="498" spans="1:1" x14ac:dyDescent="0.3">
      <c r="A498" s="10"/>
    </row>
    <row r="499" spans="1:1" x14ac:dyDescent="0.3">
      <c r="A499" s="10"/>
    </row>
    <row r="500" spans="1:1" x14ac:dyDescent="0.3">
      <c r="A500" s="10"/>
    </row>
    <row r="501" spans="1:1" x14ac:dyDescent="0.3">
      <c r="A501" s="10"/>
    </row>
    <row r="502" spans="1:1" x14ac:dyDescent="0.3">
      <c r="A502" s="10"/>
    </row>
    <row r="503" spans="1:1" x14ac:dyDescent="0.3">
      <c r="A503" s="10"/>
    </row>
    <row r="504" spans="1:1" x14ac:dyDescent="0.3">
      <c r="A504" s="10"/>
    </row>
    <row r="505" spans="1:1" x14ac:dyDescent="0.3">
      <c r="A505" s="10"/>
    </row>
    <row r="506" spans="1:1" x14ac:dyDescent="0.3">
      <c r="A506" s="10"/>
    </row>
    <row r="507" spans="1:1" x14ac:dyDescent="0.3">
      <c r="A507" s="10"/>
    </row>
    <row r="508" spans="1:1" x14ac:dyDescent="0.3">
      <c r="A508" s="10"/>
    </row>
    <row r="509" spans="1:1" x14ac:dyDescent="0.3">
      <c r="A509" s="10"/>
    </row>
    <row r="510" spans="1:1" x14ac:dyDescent="0.3">
      <c r="A510" s="10"/>
    </row>
    <row r="511" spans="1:1" x14ac:dyDescent="0.3">
      <c r="A511" s="10"/>
    </row>
    <row r="512" spans="1:1" x14ac:dyDescent="0.3">
      <c r="A512" s="10"/>
    </row>
    <row r="513" spans="1:1" x14ac:dyDescent="0.3">
      <c r="A513" s="10"/>
    </row>
    <row r="514" spans="1:1" x14ac:dyDescent="0.3">
      <c r="A514" s="10"/>
    </row>
    <row r="515" spans="1:1" x14ac:dyDescent="0.3">
      <c r="A515" s="10"/>
    </row>
    <row r="516" spans="1:1" x14ac:dyDescent="0.3">
      <c r="A516" s="10"/>
    </row>
    <row r="517" spans="1:1" x14ac:dyDescent="0.3">
      <c r="A517" s="10"/>
    </row>
    <row r="518" spans="1:1" x14ac:dyDescent="0.3">
      <c r="A518" s="10"/>
    </row>
    <row r="519" spans="1:1" x14ac:dyDescent="0.3">
      <c r="A519" s="10"/>
    </row>
    <row r="520" spans="1:1" x14ac:dyDescent="0.3">
      <c r="A520" s="10"/>
    </row>
    <row r="521" spans="1:1" x14ac:dyDescent="0.3">
      <c r="A521" s="10"/>
    </row>
    <row r="522" spans="1:1" x14ac:dyDescent="0.3">
      <c r="A522" s="10"/>
    </row>
    <row r="523" spans="1:1" x14ac:dyDescent="0.3">
      <c r="A523" s="10"/>
    </row>
    <row r="524" spans="1:1" x14ac:dyDescent="0.3">
      <c r="A524" s="10"/>
    </row>
    <row r="525" spans="1:1" x14ac:dyDescent="0.3">
      <c r="A525" s="10"/>
    </row>
    <row r="526" spans="1:1" x14ac:dyDescent="0.3">
      <c r="A526" s="10"/>
    </row>
    <row r="527" spans="1:1" x14ac:dyDescent="0.3">
      <c r="A527" s="10"/>
    </row>
    <row r="528" spans="1:1" x14ac:dyDescent="0.3">
      <c r="A528" s="10"/>
    </row>
    <row r="529" spans="1:1" x14ac:dyDescent="0.3">
      <c r="A529" s="10"/>
    </row>
    <row r="530" spans="1:1" x14ac:dyDescent="0.3">
      <c r="A530" s="10"/>
    </row>
    <row r="531" spans="1:1" x14ac:dyDescent="0.3">
      <c r="A531" s="10"/>
    </row>
    <row r="532" spans="1:1" x14ac:dyDescent="0.3">
      <c r="A532" s="10"/>
    </row>
    <row r="533" spans="1:1" x14ac:dyDescent="0.3">
      <c r="A533" s="10"/>
    </row>
    <row r="534" spans="1:1" x14ac:dyDescent="0.3">
      <c r="A534" s="10"/>
    </row>
    <row r="535" spans="1:1" x14ac:dyDescent="0.3">
      <c r="A535" s="10"/>
    </row>
    <row r="536" spans="1:1" x14ac:dyDescent="0.3">
      <c r="A536" s="10"/>
    </row>
    <row r="537" spans="1:1" x14ac:dyDescent="0.3">
      <c r="A537" s="10"/>
    </row>
    <row r="538" spans="1:1" x14ac:dyDescent="0.3">
      <c r="A538" s="10"/>
    </row>
    <row r="539" spans="1:1" x14ac:dyDescent="0.3">
      <c r="A539" s="10"/>
    </row>
    <row r="540" spans="1:1" x14ac:dyDescent="0.3">
      <c r="A540" s="10"/>
    </row>
    <row r="541" spans="1:1" x14ac:dyDescent="0.3">
      <c r="A541" s="10"/>
    </row>
    <row r="542" spans="1:1" x14ac:dyDescent="0.3">
      <c r="A542" s="10"/>
    </row>
    <row r="543" spans="1:1" x14ac:dyDescent="0.3">
      <c r="A543" s="10"/>
    </row>
    <row r="544" spans="1:1" x14ac:dyDescent="0.3">
      <c r="A544" s="10"/>
    </row>
    <row r="545" spans="1:1" x14ac:dyDescent="0.3">
      <c r="A545" s="10"/>
    </row>
    <row r="546" spans="1:1" x14ac:dyDescent="0.3">
      <c r="A546" s="10"/>
    </row>
    <row r="547" spans="1:1" x14ac:dyDescent="0.3">
      <c r="A547" s="10"/>
    </row>
    <row r="548" spans="1:1" x14ac:dyDescent="0.3">
      <c r="A548" s="10"/>
    </row>
    <row r="549" spans="1:1" x14ac:dyDescent="0.3">
      <c r="A549" s="10"/>
    </row>
    <row r="550" spans="1:1" x14ac:dyDescent="0.3">
      <c r="A550" s="10"/>
    </row>
    <row r="551" spans="1:1" x14ac:dyDescent="0.3">
      <c r="A551" s="10"/>
    </row>
    <row r="552" spans="1:1" x14ac:dyDescent="0.3">
      <c r="A552" s="10"/>
    </row>
    <row r="553" spans="1:1" x14ac:dyDescent="0.3">
      <c r="A553" s="10"/>
    </row>
    <row r="554" spans="1:1" x14ac:dyDescent="0.3">
      <c r="A554" s="10"/>
    </row>
    <row r="555" spans="1:1" x14ac:dyDescent="0.3">
      <c r="A555" s="10"/>
    </row>
    <row r="556" spans="1:1" x14ac:dyDescent="0.3">
      <c r="A556" s="10"/>
    </row>
    <row r="557" spans="1:1" x14ac:dyDescent="0.3">
      <c r="A557" s="10"/>
    </row>
    <row r="558" spans="1:1" x14ac:dyDescent="0.3">
      <c r="A558" s="10"/>
    </row>
    <row r="559" spans="1:1" x14ac:dyDescent="0.3">
      <c r="A559" s="10"/>
    </row>
    <row r="560" spans="1:1" x14ac:dyDescent="0.3">
      <c r="A560" s="10"/>
    </row>
    <row r="561" spans="1:1" x14ac:dyDescent="0.3">
      <c r="A561" s="10"/>
    </row>
    <row r="562" spans="1:1" x14ac:dyDescent="0.3">
      <c r="A562" s="10"/>
    </row>
    <row r="563" spans="1:1" x14ac:dyDescent="0.3">
      <c r="A563" s="10"/>
    </row>
    <row r="564" spans="1:1" x14ac:dyDescent="0.3">
      <c r="A564" s="10"/>
    </row>
    <row r="565" spans="1:1" x14ac:dyDescent="0.3">
      <c r="A565" s="10"/>
    </row>
    <row r="566" spans="1:1" x14ac:dyDescent="0.3">
      <c r="A566" s="10"/>
    </row>
    <row r="567" spans="1:1" x14ac:dyDescent="0.3">
      <c r="A567" s="10"/>
    </row>
    <row r="568" spans="1:1" x14ac:dyDescent="0.3">
      <c r="A568" s="10"/>
    </row>
    <row r="569" spans="1:1" x14ac:dyDescent="0.3">
      <c r="A569" s="10"/>
    </row>
    <row r="570" spans="1:1" x14ac:dyDescent="0.3">
      <c r="A570" s="10"/>
    </row>
    <row r="571" spans="1:1" x14ac:dyDescent="0.3">
      <c r="A571" s="10"/>
    </row>
    <row r="572" spans="1:1" x14ac:dyDescent="0.3">
      <c r="A572" s="10"/>
    </row>
    <row r="573" spans="1:1" x14ac:dyDescent="0.3">
      <c r="A573" s="10"/>
    </row>
    <row r="574" spans="1:1" x14ac:dyDescent="0.3">
      <c r="A574" s="10"/>
    </row>
    <row r="575" spans="1:1" x14ac:dyDescent="0.3">
      <c r="A575" s="10"/>
    </row>
    <row r="576" spans="1:1" x14ac:dyDescent="0.3">
      <c r="A576" s="10"/>
    </row>
    <row r="577" spans="1:1" x14ac:dyDescent="0.3">
      <c r="A577" s="10"/>
    </row>
    <row r="578" spans="1:1" x14ac:dyDescent="0.3">
      <c r="A578" s="10"/>
    </row>
    <row r="579" spans="1:1" x14ac:dyDescent="0.3">
      <c r="A579" s="10"/>
    </row>
    <row r="580" spans="1:1" x14ac:dyDescent="0.3">
      <c r="A580" s="10"/>
    </row>
    <row r="581" spans="1:1" x14ac:dyDescent="0.3">
      <c r="A581" s="10"/>
    </row>
    <row r="582" spans="1:1" x14ac:dyDescent="0.3">
      <c r="A582" s="10"/>
    </row>
    <row r="583" spans="1:1" x14ac:dyDescent="0.3">
      <c r="A583" s="10"/>
    </row>
    <row r="584" spans="1:1" x14ac:dyDescent="0.3">
      <c r="A584" s="10"/>
    </row>
    <row r="585" spans="1:1" x14ac:dyDescent="0.3">
      <c r="A585" s="10"/>
    </row>
    <row r="586" spans="1:1" x14ac:dyDescent="0.3">
      <c r="A586" s="10"/>
    </row>
    <row r="587" spans="1:1" x14ac:dyDescent="0.3">
      <c r="A587" s="10"/>
    </row>
    <row r="588" spans="1:1" x14ac:dyDescent="0.3">
      <c r="A588" s="10"/>
    </row>
    <row r="589" spans="1:1" x14ac:dyDescent="0.3">
      <c r="A589" s="10"/>
    </row>
    <row r="590" spans="1:1" x14ac:dyDescent="0.3">
      <c r="A590" s="10"/>
    </row>
    <row r="591" spans="1:1" x14ac:dyDescent="0.3">
      <c r="A591" s="10"/>
    </row>
    <row r="592" spans="1:1" x14ac:dyDescent="0.3">
      <c r="A592" s="10"/>
    </row>
    <row r="593" spans="1:1" x14ac:dyDescent="0.3">
      <c r="A593" s="10"/>
    </row>
    <row r="594" spans="1:1" x14ac:dyDescent="0.3">
      <c r="A594" s="10"/>
    </row>
    <row r="595" spans="1:1" x14ac:dyDescent="0.3">
      <c r="A595" s="10"/>
    </row>
    <row r="596" spans="1:1" x14ac:dyDescent="0.3">
      <c r="A596" s="10"/>
    </row>
    <row r="597" spans="1:1" x14ac:dyDescent="0.3">
      <c r="A597" s="10"/>
    </row>
    <row r="598" spans="1:1" x14ac:dyDescent="0.3">
      <c r="A598" s="10"/>
    </row>
    <row r="599" spans="1:1" x14ac:dyDescent="0.3">
      <c r="A599" s="10"/>
    </row>
    <row r="600" spans="1:1" x14ac:dyDescent="0.3">
      <c r="A600" s="10"/>
    </row>
    <row r="601" spans="1:1" x14ac:dyDescent="0.3">
      <c r="A601" s="10"/>
    </row>
    <row r="602" spans="1:1" x14ac:dyDescent="0.3">
      <c r="A602" s="10"/>
    </row>
    <row r="603" spans="1:1" x14ac:dyDescent="0.3">
      <c r="A603" s="10"/>
    </row>
    <row r="604" spans="1:1" x14ac:dyDescent="0.3">
      <c r="A604" s="10"/>
    </row>
    <row r="605" spans="1:1" x14ac:dyDescent="0.3">
      <c r="A605" s="10"/>
    </row>
    <row r="606" spans="1:1" x14ac:dyDescent="0.3">
      <c r="A606" s="10"/>
    </row>
    <row r="607" spans="1:1" x14ac:dyDescent="0.3">
      <c r="A607" s="10"/>
    </row>
    <row r="608" spans="1:1" x14ac:dyDescent="0.3">
      <c r="A608" s="10"/>
    </row>
    <row r="609" spans="1:1" x14ac:dyDescent="0.3">
      <c r="A609" s="10"/>
    </row>
    <row r="610" spans="1:1" x14ac:dyDescent="0.3">
      <c r="A610" s="10"/>
    </row>
    <row r="611" spans="1:1" x14ac:dyDescent="0.3">
      <c r="A611" s="10"/>
    </row>
    <row r="612" spans="1:1" x14ac:dyDescent="0.3">
      <c r="A612" s="10"/>
    </row>
    <row r="613" spans="1:1" x14ac:dyDescent="0.3">
      <c r="A613" s="10"/>
    </row>
    <row r="614" spans="1:1" x14ac:dyDescent="0.3">
      <c r="A614" s="10"/>
    </row>
    <row r="615" spans="1:1" x14ac:dyDescent="0.3">
      <c r="A615" s="10"/>
    </row>
    <row r="616" spans="1:1" x14ac:dyDescent="0.3">
      <c r="A616" s="10"/>
    </row>
    <row r="617" spans="1:1" x14ac:dyDescent="0.3">
      <c r="A617" s="10"/>
    </row>
    <row r="618" spans="1:1" x14ac:dyDescent="0.3">
      <c r="A618" s="10"/>
    </row>
    <row r="619" spans="1:1" x14ac:dyDescent="0.3">
      <c r="A619" s="10"/>
    </row>
    <row r="620" spans="1:1" x14ac:dyDescent="0.3">
      <c r="A620" s="10"/>
    </row>
    <row r="621" spans="1:1" x14ac:dyDescent="0.3">
      <c r="A621" s="10"/>
    </row>
    <row r="622" spans="1:1" x14ac:dyDescent="0.3">
      <c r="A622" s="10"/>
    </row>
    <row r="623" spans="1:1" x14ac:dyDescent="0.3">
      <c r="A623" s="10"/>
    </row>
    <row r="624" spans="1:1" x14ac:dyDescent="0.3">
      <c r="A624" s="10"/>
    </row>
    <row r="625" spans="1:1" x14ac:dyDescent="0.3">
      <c r="A625" s="10"/>
    </row>
    <row r="626" spans="1:1" x14ac:dyDescent="0.3">
      <c r="A626" s="10"/>
    </row>
    <row r="627" spans="1:1" x14ac:dyDescent="0.3">
      <c r="A627" s="10"/>
    </row>
    <row r="628" spans="1:1" x14ac:dyDescent="0.3">
      <c r="A628" s="10"/>
    </row>
    <row r="629" spans="1:1" x14ac:dyDescent="0.3">
      <c r="A629" s="10"/>
    </row>
    <row r="630" spans="1:1" x14ac:dyDescent="0.3">
      <c r="A630" s="10"/>
    </row>
    <row r="631" spans="1:1" x14ac:dyDescent="0.3">
      <c r="A631" s="10"/>
    </row>
    <row r="632" spans="1:1" x14ac:dyDescent="0.3">
      <c r="A632" s="10"/>
    </row>
    <row r="633" spans="1:1" x14ac:dyDescent="0.3">
      <c r="A633" s="10"/>
    </row>
    <row r="634" spans="1:1" x14ac:dyDescent="0.3">
      <c r="A634" s="10"/>
    </row>
    <row r="635" spans="1:1" x14ac:dyDescent="0.3">
      <c r="A635" s="10"/>
    </row>
    <row r="636" spans="1:1" x14ac:dyDescent="0.3">
      <c r="A636" s="10"/>
    </row>
    <row r="637" spans="1:1" x14ac:dyDescent="0.3">
      <c r="A637" s="10"/>
    </row>
    <row r="638" spans="1:1" x14ac:dyDescent="0.3">
      <c r="A638" s="10"/>
    </row>
    <row r="639" spans="1:1" x14ac:dyDescent="0.3">
      <c r="A639" s="10"/>
    </row>
    <row r="640" spans="1:1" x14ac:dyDescent="0.3">
      <c r="A640" s="10"/>
    </row>
    <row r="641" spans="1:1" x14ac:dyDescent="0.3">
      <c r="A641" s="10"/>
    </row>
    <row r="642" spans="1:1" x14ac:dyDescent="0.3">
      <c r="A642" s="10"/>
    </row>
    <row r="643" spans="1:1" x14ac:dyDescent="0.3">
      <c r="A643" s="10"/>
    </row>
    <row r="644" spans="1:1" x14ac:dyDescent="0.3">
      <c r="A644" s="10"/>
    </row>
    <row r="645" spans="1:1" x14ac:dyDescent="0.3">
      <c r="A645" s="10"/>
    </row>
    <row r="646" spans="1:1" x14ac:dyDescent="0.3">
      <c r="A646" s="10"/>
    </row>
    <row r="647" spans="1:1" x14ac:dyDescent="0.3">
      <c r="A647" s="10"/>
    </row>
    <row r="648" spans="1:1" x14ac:dyDescent="0.3">
      <c r="A648" s="10"/>
    </row>
    <row r="649" spans="1:1" x14ac:dyDescent="0.3">
      <c r="A649" s="10"/>
    </row>
    <row r="650" spans="1:1" x14ac:dyDescent="0.3">
      <c r="A650" s="10"/>
    </row>
    <row r="651" spans="1:1" x14ac:dyDescent="0.3">
      <c r="A651" s="10"/>
    </row>
    <row r="652" spans="1:1" x14ac:dyDescent="0.3">
      <c r="A652" s="10"/>
    </row>
    <row r="653" spans="1:1" x14ac:dyDescent="0.3">
      <c r="A653" s="10"/>
    </row>
    <row r="654" spans="1:1" x14ac:dyDescent="0.3">
      <c r="A654" s="10"/>
    </row>
    <row r="655" spans="1:1" x14ac:dyDescent="0.3">
      <c r="A655" s="10"/>
    </row>
    <row r="656" spans="1:1" x14ac:dyDescent="0.3">
      <c r="A656" s="10"/>
    </row>
    <row r="657" spans="1:1" x14ac:dyDescent="0.3">
      <c r="A657" s="10"/>
    </row>
    <row r="658" spans="1:1" x14ac:dyDescent="0.3">
      <c r="A658" s="10"/>
    </row>
    <row r="659" spans="1:1" x14ac:dyDescent="0.3">
      <c r="A659" s="10"/>
    </row>
    <row r="660" spans="1:1" x14ac:dyDescent="0.3">
      <c r="A660" s="10"/>
    </row>
    <row r="661" spans="1:1" x14ac:dyDescent="0.3">
      <c r="A661" s="10"/>
    </row>
    <row r="662" spans="1:1" x14ac:dyDescent="0.3">
      <c r="A662" s="10"/>
    </row>
    <row r="663" spans="1:1" x14ac:dyDescent="0.3">
      <c r="A663" s="10"/>
    </row>
    <row r="664" spans="1:1" x14ac:dyDescent="0.3">
      <c r="A664" s="10"/>
    </row>
    <row r="665" spans="1:1" x14ac:dyDescent="0.3">
      <c r="A665" s="10"/>
    </row>
    <row r="666" spans="1:1" x14ac:dyDescent="0.3">
      <c r="A666" s="10"/>
    </row>
    <row r="667" spans="1:1" x14ac:dyDescent="0.3">
      <c r="A667" s="10"/>
    </row>
    <row r="668" spans="1:1" x14ac:dyDescent="0.3">
      <c r="A668" s="10"/>
    </row>
    <row r="669" spans="1:1" x14ac:dyDescent="0.3">
      <c r="A669" s="10"/>
    </row>
    <row r="670" spans="1:1" x14ac:dyDescent="0.3">
      <c r="A670" s="10"/>
    </row>
    <row r="671" spans="1:1" x14ac:dyDescent="0.3">
      <c r="A671" s="10"/>
    </row>
    <row r="672" spans="1:1" x14ac:dyDescent="0.3">
      <c r="A672" s="10"/>
    </row>
    <row r="673" spans="1:1" x14ac:dyDescent="0.3">
      <c r="A673" s="10"/>
    </row>
    <row r="674" spans="1:1" x14ac:dyDescent="0.3">
      <c r="A674" s="10"/>
    </row>
    <row r="675" spans="1:1" x14ac:dyDescent="0.3">
      <c r="A675" s="10"/>
    </row>
    <row r="676" spans="1:1" x14ac:dyDescent="0.3">
      <c r="A676" s="10"/>
    </row>
    <row r="677" spans="1:1" x14ac:dyDescent="0.3">
      <c r="A677" s="10"/>
    </row>
    <row r="678" spans="1:1" x14ac:dyDescent="0.3">
      <c r="A678" s="10"/>
    </row>
    <row r="679" spans="1:1" x14ac:dyDescent="0.3">
      <c r="A679" s="10"/>
    </row>
    <row r="680" spans="1:1" x14ac:dyDescent="0.3">
      <c r="A680" s="10"/>
    </row>
    <row r="681" spans="1:1" x14ac:dyDescent="0.3">
      <c r="A681" s="10"/>
    </row>
    <row r="682" spans="1:1" x14ac:dyDescent="0.3">
      <c r="A682" s="10"/>
    </row>
    <row r="683" spans="1:1" x14ac:dyDescent="0.3">
      <c r="A683" s="10"/>
    </row>
    <row r="684" spans="1:1" x14ac:dyDescent="0.3">
      <c r="A684" s="10"/>
    </row>
    <row r="685" spans="1:1" x14ac:dyDescent="0.3">
      <c r="A685" s="10"/>
    </row>
    <row r="686" spans="1:1" x14ac:dyDescent="0.3">
      <c r="A686" s="10"/>
    </row>
    <row r="687" spans="1:1" x14ac:dyDescent="0.3">
      <c r="A687" s="10"/>
    </row>
    <row r="688" spans="1:1" x14ac:dyDescent="0.3">
      <c r="A688" s="10"/>
    </row>
    <row r="689" spans="1:1" x14ac:dyDescent="0.3">
      <c r="A689" s="10"/>
    </row>
    <row r="690" spans="1:1" x14ac:dyDescent="0.3">
      <c r="A690" s="10"/>
    </row>
    <row r="691" spans="1:1" x14ac:dyDescent="0.3">
      <c r="A691" s="10"/>
    </row>
    <row r="692" spans="1:1" x14ac:dyDescent="0.3">
      <c r="A692" s="10"/>
    </row>
    <row r="693" spans="1:1" x14ac:dyDescent="0.3">
      <c r="A693" s="10"/>
    </row>
    <row r="694" spans="1:1" x14ac:dyDescent="0.3">
      <c r="A694" s="10"/>
    </row>
    <row r="695" spans="1:1" x14ac:dyDescent="0.3">
      <c r="A695" s="10"/>
    </row>
    <row r="696" spans="1:1" x14ac:dyDescent="0.3">
      <c r="A696" s="10"/>
    </row>
    <row r="697" spans="1:1" x14ac:dyDescent="0.3">
      <c r="A697" s="10"/>
    </row>
    <row r="698" spans="1:1" x14ac:dyDescent="0.3">
      <c r="A698" s="10"/>
    </row>
    <row r="699" spans="1:1" x14ac:dyDescent="0.3">
      <c r="A699" s="10"/>
    </row>
    <row r="700" spans="1:1" x14ac:dyDescent="0.3">
      <c r="A700" s="10"/>
    </row>
    <row r="701" spans="1:1" x14ac:dyDescent="0.3">
      <c r="A701" s="10"/>
    </row>
    <row r="702" spans="1:1" x14ac:dyDescent="0.3">
      <c r="A702" s="10"/>
    </row>
    <row r="703" spans="1:1" x14ac:dyDescent="0.3">
      <c r="A703" s="10"/>
    </row>
    <row r="704" spans="1:1" x14ac:dyDescent="0.3">
      <c r="A704" s="10"/>
    </row>
    <row r="705" spans="1:1" x14ac:dyDescent="0.3">
      <c r="A705" s="10"/>
    </row>
    <row r="706" spans="1:1" x14ac:dyDescent="0.3">
      <c r="A706" s="10"/>
    </row>
    <row r="707" spans="1:1" x14ac:dyDescent="0.3">
      <c r="A707" s="10"/>
    </row>
    <row r="708" spans="1:1" x14ac:dyDescent="0.3">
      <c r="A708" s="10"/>
    </row>
    <row r="709" spans="1:1" x14ac:dyDescent="0.3">
      <c r="A709" s="10"/>
    </row>
    <row r="710" spans="1:1" x14ac:dyDescent="0.3">
      <c r="A710" s="10"/>
    </row>
    <row r="711" spans="1:1" x14ac:dyDescent="0.3">
      <c r="A711" s="10"/>
    </row>
    <row r="712" spans="1:1" x14ac:dyDescent="0.3">
      <c r="A712" s="10"/>
    </row>
    <row r="713" spans="1:1" x14ac:dyDescent="0.3">
      <c r="A713" s="10"/>
    </row>
    <row r="714" spans="1:1" x14ac:dyDescent="0.3">
      <c r="A714" s="10"/>
    </row>
    <row r="715" spans="1:1" x14ac:dyDescent="0.3">
      <c r="A715" s="10"/>
    </row>
    <row r="716" spans="1:1" x14ac:dyDescent="0.3">
      <c r="A716" s="10"/>
    </row>
    <row r="717" spans="1:1" x14ac:dyDescent="0.3">
      <c r="A717" s="10"/>
    </row>
    <row r="718" spans="1:1" x14ac:dyDescent="0.3">
      <c r="A718" s="10"/>
    </row>
    <row r="719" spans="1:1" x14ac:dyDescent="0.3">
      <c r="A719" s="10"/>
    </row>
    <row r="720" spans="1:1" x14ac:dyDescent="0.3">
      <c r="A720" s="10"/>
    </row>
    <row r="721" spans="1:1" x14ac:dyDescent="0.3">
      <c r="A721" s="10"/>
    </row>
    <row r="722" spans="1:1" x14ac:dyDescent="0.3">
      <c r="A722" s="10"/>
    </row>
    <row r="723" spans="1:1" x14ac:dyDescent="0.3">
      <c r="A723" s="10"/>
    </row>
    <row r="724" spans="1:1" x14ac:dyDescent="0.3">
      <c r="A724" s="10"/>
    </row>
    <row r="725" spans="1:1" x14ac:dyDescent="0.3">
      <c r="A725" s="10"/>
    </row>
    <row r="726" spans="1:1" x14ac:dyDescent="0.3">
      <c r="A726" s="10"/>
    </row>
    <row r="727" spans="1:1" x14ac:dyDescent="0.3">
      <c r="A727" s="10"/>
    </row>
    <row r="728" spans="1:1" x14ac:dyDescent="0.3">
      <c r="A728" s="10"/>
    </row>
    <row r="729" spans="1:1" x14ac:dyDescent="0.3">
      <c r="A729" s="10"/>
    </row>
    <row r="730" spans="1:1" x14ac:dyDescent="0.3">
      <c r="A730" s="10"/>
    </row>
    <row r="731" spans="1:1" x14ac:dyDescent="0.3">
      <c r="A731" s="10"/>
    </row>
    <row r="732" spans="1:1" x14ac:dyDescent="0.3">
      <c r="A732" s="10"/>
    </row>
    <row r="733" spans="1:1" x14ac:dyDescent="0.3">
      <c r="A733" s="10"/>
    </row>
    <row r="734" spans="1:1" x14ac:dyDescent="0.3">
      <c r="A734" s="10"/>
    </row>
    <row r="735" spans="1:1" x14ac:dyDescent="0.3">
      <c r="A735" s="10"/>
    </row>
    <row r="736" spans="1:1" x14ac:dyDescent="0.3">
      <c r="A736" s="10"/>
    </row>
    <row r="737" spans="1:1" x14ac:dyDescent="0.3">
      <c r="A737" s="10"/>
    </row>
    <row r="738" spans="1:1" x14ac:dyDescent="0.3">
      <c r="A738" s="10"/>
    </row>
    <row r="739" spans="1:1" x14ac:dyDescent="0.3">
      <c r="A739" s="10"/>
    </row>
    <row r="740" spans="1:1" x14ac:dyDescent="0.3">
      <c r="A740" s="10"/>
    </row>
    <row r="741" spans="1:1" x14ac:dyDescent="0.3">
      <c r="A741" s="10"/>
    </row>
    <row r="742" spans="1:1" x14ac:dyDescent="0.3">
      <c r="A742" s="10"/>
    </row>
    <row r="743" spans="1:1" x14ac:dyDescent="0.3">
      <c r="A743" s="10"/>
    </row>
    <row r="744" spans="1:1" x14ac:dyDescent="0.3">
      <c r="A744" s="10"/>
    </row>
    <row r="745" spans="1:1" x14ac:dyDescent="0.3">
      <c r="A745" s="10"/>
    </row>
    <row r="746" spans="1:1" x14ac:dyDescent="0.3">
      <c r="A746" s="10"/>
    </row>
    <row r="747" spans="1:1" x14ac:dyDescent="0.3">
      <c r="A747" s="10"/>
    </row>
    <row r="748" spans="1:1" x14ac:dyDescent="0.3">
      <c r="A748" s="10"/>
    </row>
    <row r="749" spans="1:1" x14ac:dyDescent="0.3">
      <c r="A749" s="10"/>
    </row>
    <row r="750" spans="1:1" x14ac:dyDescent="0.3">
      <c r="A750" s="10"/>
    </row>
    <row r="751" spans="1:1" x14ac:dyDescent="0.3">
      <c r="A751" s="10"/>
    </row>
    <row r="752" spans="1:1" x14ac:dyDescent="0.3">
      <c r="A752" s="10"/>
    </row>
    <row r="753" spans="1:1" x14ac:dyDescent="0.3">
      <c r="A753" s="10"/>
    </row>
    <row r="754" spans="1:1" x14ac:dyDescent="0.3">
      <c r="A754" s="10"/>
    </row>
    <row r="755" spans="1:1" x14ac:dyDescent="0.3">
      <c r="A755" s="10"/>
    </row>
    <row r="756" spans="1:1" x14ac:dyDescent="0.3">
      <c r="A756" s="10"/>
    </row>
    <row r="757" spans="1:1" x14ac:dyDescent="0.3">
      <c r="A757" s="10"/>
    </row>
    <row r="758" spans="1:1" x14ac:dyDescent="0.3">
      <c r="A758" s="10"/>
    </row>
    <row r="759" spans="1:1" x14ac:dyDescent="0.3">
      <c r="A759" s="10"/>
    </row>
    <row r="760" spans="1:1" x14ac:dyDescent="0.3">
      <c r="A760" s="10"/>
    </row>
    <row r="761" spans="1:1" x14ac:dyDescent="0.3">
      <c r="A761" s="10"/>
    </row>
    <row r="762" spans="1:1" x14ac:dyDescent="0.3">
      <c r="A762" s="10"/>
    </row>
    <row r="763" spans="1:1" x14ac:dyDescent="0.3">
      <c r="A763" s="10"/>
    </row>
    <row r="764" spans="1:1" x14ac:dyDescent="0.3">
      <c r="A764" s="10"/>
    </row>
    <row r="765" spans="1:1" x14ac:dyDescent="0.3">
      <c r="A765" s="10"/>
    </row>
    <row r="766" spans="1:1" x14ac:dyDescent="0.3">
      <c r="A766" s="10"/>
    </row>
    <row r="767" spans="1:1" x14ac:dyDescent="0.3">
      <c r="A767" s="10"/>
    </row>
    <row r="768" spans="1:1" x14ac:dyDescent="0.3">
      <c r="A768" s="10"/>
    </row>
    <row r="769" spans="1:1" x14ac:dyDescent="0.3">
      <c r="A769" s="10"/>
    </row>
    <row r="770" spans="1:1" x14ac:dyDescent="0.3">
      <c r="A770" s="10"/>
    </row>
    <row r="771" spans="1:1" x14ac:dyDescent="0.3">
      <c r="A771" s="10"/>
    </row>
    <row r="772" spans="1:1" x14ac:dyDescent="0.3">
      <c r="A772" s="10"/>
    </row>
    <row r="773" spans="1:1" x14ac:dyDescent="0.3">
      <c r="A773" s="10"/>
    </row>
    <row r="774" spans="1:1" x14ac:dyDescent="0.3">
      <c r="A774" s="10"/>
    </row>
    <row r="775" spans="1:1" x14ac:dyDescent="0.3">
      <c r="A775" s="10"/>
    </row>
    <row r="776" spans="1:1" x14ac:dyDescent="0.3">
      <c r="A776" s="10"/>
    </row>
    <row r="777" spans="1:1" x14ac:dyDescent="0.3">
      <c r="A777" s="10"/>
    </row>
    <row r="778" spans="1:1" x14ac:dyDescent="0.3">
      <c r="A778" s="10"/>
    </row>
    <row r="779" spans="1:1" x14ac:dyDescent="0.3">
      <c r="A779" s="10"/>
    </row>
    <row r="780" spans="1:1" x14ac:dyDescent="0.3">
      <c r="A780" s="10"/>
    </row>
    <row r="781" spans="1:1" x14ac:dyDescent="0.3">
      <c r="A781" s="10"/>
    </row>
    <row r="782" spans="1:1" x14ac:dyDescent="0.3">
      <c r="A782" s="10"/>
    </row>
    <row r="783" spans="1:1" x14ac:dyDescent="0.3">
      <c r="A783" s="10"/>
    </row>
    <row r="784" spans="1:1" x14ac:dyDescent="0.3">
      <c r="A784" s="10"/>
    </row>
    <row r="785" spans="1:1" x14ac:dyDescent="0.3">
      <c r="A785" s="10"/>
    </row>
    <row r="786" spans="1:1" x14ac:dyDescent="0.3">
      <c r="A786" s="10"/>
    </row>
    <row r="787" spans="1:1" x14ac:dyDescent="0.3">
      <c r="A787" s="10"/>
    </row>
    <row r="788" spans="1:1" x14ac:dyDescent="0.3">
      <c r="A788" s="10"/>
    </row>
    <row r="789" spans="1:1" x14ac:dyDescent="0.3">
      <c r="A789" s="10"/>
    </row>
    <row r="790" spans="1:1" x14ac:dyDescent="0.3">
      <c r="A790" s="10"/>
    </row>
    <row r="791" spans="1:1" x14ac:dyDescent="0.3">
      <c r="A791" s="10"/>
    </row>
    <row r="792" spans="1:1" x14ac:dyDescent="0.3">
      <c r="A792" s="10"/>
    </row>
    <row r="793" spans="1:1" x14ac:dyDescent="0.3">
      <c r="A793" s="10"/>
    </row>
    <row r="794" spans="1:1" x14ac:dyDescent="0.3">
      <c r="A794" s="10"/>
    </row>
    <row r="795" spans="1:1" x14ac:dyDescent="0.3">
      <c r="A795" s="10"/>
    </row>
    <row r="796" spans="1:1" x14ac:dyDescent="0.3">
      <c r="A796" s="10"/>
    </row>
    <row r="797" spans="1:1" x14ac:dyDescent="0.3">
      <c r="A797" s="10"/>
    </row>
    <row r="798" spans="1:1" x14ac:dyDescent="0.3">
      <c r="A798" s="10"/>
    </row>
    <row r="799" spans="1:1" x14ac:dyDescent="0.3">
      <c r="A799" s="10"/>
    </row>
    <row r="800" spans="1:1" x14ac:dyDescent="0.3">
      <c r="A800" s="10"/>
    </row>
    <row r="801" spans="1:1" x14ac:dyDescent="0.3">
      <c r="A801" s="10"/>
    </row>
    <row r="802" spans="1:1" x14ac:dyDescent="0.3">
      <c r="A802" s="10"/>
    </row>
    <row r="803" spans="1:1" x14ac:dyDescent="0.3">
      <c r="A803" s="10"/>
    </row>
    <row r="804" spans="1:1" x14ac:dyDescent="0.3">
      <c r="A804" s="10"/>
    </row>
    <row r="805" spans="1:1" x14ac:dyDescent="0.3">
      <c r="A805" s="10"/>
    </row>
    <row r="806" spans="1:1" x14ac:dyDescent="0.3">
      <c r="A806" s="10"/>
    </row>
    <row r="807" spans="1:1" x14ac:dyDescent="0.3">
      <c r="A807" s="10"/>
    </row>
    <row r="808" spans="1:1" x14ac:dyDescent="0.3">
      <c r="A808" s="10"/>
    </row>
    <row r="809" spans="1:1" x14ac:dyDescent="0.3">
      <c r="A809" s="10"/>
    </row>
    <row r="810" spans="1:1" x14ac:dyDescent="0.3">
      <c r="A810" s="10"/>
    </row>
    <row r="811" spans="1:1" x14ac:dyDescent="0.3">
      <c r="A811" s="10"/>
    </row>
    <row r="812" spans="1:1" x14ac:dyDescent="0.3">
      <c r="A812" s="10"/>
    </row>
    <row r="813" spans="1:1" x14ac:dyDescent="0.3">
      <c r="A813" s="10"/>
    </row>
    <row r="814" spans="1:1" x14ac:dyDescent="0.3">
      <c r="A814" s="10"/>
    </row>
    <row r="815" spans="1:1" x14ac:dyDescent="0.3">
      <c r="A815" s="10"/>
    </row>
    <row r="816" spans="1:1" x14ac:dyDescent="0.3">
      <c r="A816" s="10"/>
    </row>
    <row r="817" spans="1:1" x14ac:dyDescent="0.3">
      <c r="A817" s="10"/>
    </row>
    <row r="818" spans="1:1" x14ac:dyDescent="0.3">
      <c r="A818" s="10"/>
    </row>
    <row r="819" spans="1:1" x14ac:dyDescent="0.3">
      <c r="A819" s="10"/>
    </row>
    <row r="820" spans="1:1" x14ac:dyDescent="0.3">
      <c r="A820" s="10"/>
    </row>
    <row r="821" spans="1:1" x14ac:dyDescent="0.3">
      <c r="A821" s="10"/>
    </row>
    <row r="822" spans="1:1" x14ac:dyDescent="0.3">
      <c r="A822" s="10"/>
    </row>
    <row r="823" spans="1:1" x14ac:dyDescent="0.3">
      <c r="A823" s="10"/>
    </row>
    <row r="824" spans="1:1" x14ac:dyDescent="0.3">
      <c r="A824" s="10"/>
    </row>
    <row r="825" spans="1:1" x14ac:dyDescent="0.3">
      <c r="A825" s="10"/>
    </row>
    <row r="826" spans="1:1" x14ac:dyDescent="0.3">
      <c r="A826" s="10"/>
    </row>
    <row r="827" spans="1:1" x14ac:dyDescent="0.3">
      <c r="A827" s="10"/>
    </row>
    <row r="828" spans="1:1" x14ac:dyDescent="0.3">
      <c r="A828" s="10"/>
    </row>
    <row r="829" spans="1:1" x14ac:dyDescent="0.3">
      <c r="A829" s="10"/>
    </row>
    <row r="830" spans="1:1" x14ac:dyDescent="0.3">
      <c r="A830" s="10"/>
    </row>
    <row r="831" spans="1:1" x14ac:dyDescent="0.3">
      <c r="A831" s="10"/>
    </row>
    <row r="832" spans="1:1" x14ac:dyDescent="0.3">
      <c r="A832" s="10"/>
    </row>
    <row r="833" spans="1:1" x14ac:dyDescent="0.3">
      <c r="A833" s="10"/>
    </row>
    <row r="834" spans="1:1" x14ac:dyDescent="0.3">
      <c r="A834" s="10"/>
    </row>
    <row r="835" spans="1:1" x14ac:dyDescent="0.3">
      <c r="A835" s="10"/>
    </row>
    <row r="836" spans="1:1" x14ac:dyDescent="0.3">
      <c r="A836" s="10"/>
    </row>
    <row r="837" spans="1:1" x14ac:dyDescent="0.3">
      <c r="A837" s="10"/>
    </row>
    <row r="838" spans="1:1" x14ac:dyDescent="0.3">
      <c r="A838" s="10"/>
    </row>
    <row r="839" spans="1:1" x14ac:dyDescent="0.3">
      <c r="A839" s="10"/>
    </row>
    <row r="840" spans="1:1" x14ac:dyDescent="0.3">
      <c r="A840" s="10"/>
    </row>
    <row r="841" spans="1:1" x14ac:dyDescent="0.3">
      <c r="A841" s="10"/>
    </row>
    <row r="842" spans="1:1" x14ac:dyDescent="0.3">
      <c r="A842" s="10"/>
    </row>
    <row r="843" spans="1:1" x14ac:dyDescent="0.3">
      <c r="A843" s="10"/>
    </row>
    <row r="844" spans="1:1" x14ac:dyDescent="0.3">
      <c r="A844" s="10"/>
    </row>
    <row r="845" spans="1:1" x14ac:dyDescent="0.3">
      <c r="A845" s="10"/>
    </row>
    <row r="846" spans="1:1" x14ac:dyDescent="0.3">
      <c r="A846" s="10"/>
    </row>
    <row r="847" spans="1:1" x14ac:dyDescent="0.3">
      <c r="A847" s="10"/>
    </row>
    <row r="848" spans="1:1" x14ac:dyDescent="0.3">
      <c r="A848" s="10"/>
    </row>
    <row r="849" spans="1:1" x14ac:dyDescent="0.3">
      <c r="A849" s="10"/>
    </row>
    <row r="850" spans="1:1" x14ac:dyDescent="0.3">
      <c r="A850" s="10"/>
    </row>
    <row r="851" spans="1:1" x14ac:dyDescent="0.3">
      <c r="A851" s="10"/>
    </row>
    <row r="852" spans="1:1" x14ac:dyDescent="0.3">
      <c r="A852" s="10"/>
    </row>
    <row r="853" spans="1:1" x14ac:dyDescent="0.3">
      <c r="A853" s="10"/>
    </row>
    <row r="854" spans="1:1" x14ac:dyDescent="0.3">
      <c r="A854" s="10"/>
    </row>
    <row r="855" spans="1:1" x14ac:dyDescent="0.3">
      <c r="A855" s="10"/>
    </row>
    <row r="856" spans="1:1" x14ac:dyDescent="0.3">
      <c r="A856" s="10"/>
    </row>
    <row r="857" spans="1:1" x14ac:dyDescent="0.3">
      <c r="A857" s="10"/>
    </row>
    <row r="858" spans="1:1" x14ac:dyDescent="0.3">
      <c r="A858" s="10"/>
    </row>
    <row r="859" spans="1:1" x14ac:dyDescent="0.3">
      <c r="A859" s="10"/>
    </row>
    <row r="860" spans="1:1" x14ac:dyDescent="0.3">
      <c r="A860" s="10"/>
    </row>
    <row r="861" spans="1:1" x14ac:dyDescent="0.3">
      <c r="A861" s="10"/>
    </row>
    <row r="862" spans="1:1" x14ac:dyDescent="0.3">
      <c r="A862" s="10"/>
    </row>
    <row r="863" spans="1:1" x14ac:dyDescent="0.3">
      <c r="A863" s="10"/>
    </row>
    <row r="864" spans="1:1" x14ac:dyDescent="0.3">
      <c r="A864" s="10"/>
    </row>
    <row r="865" spans="1:1" x14ac:dyDescent="0.3">
      <c r="A865" s="10"/>
    </row>
    <row r="866" spans="1:1" x14ac:dyDescent="0.3">
      <c r="A866" s="10"/>
    </row>
    <row r="867" spans="1:1" x14ac:dyDescent="0.3">
      <c r="A867" s="10"/>
    </row>
    <row r="868" spans="1:1" x14ac:dyDescent="0.3">
      <c r="A868" s="10"/>
    </row>
    <row r="869" spans="1:1" x14ac:dyDescent="0.3">
      <c r="A869" s="10"/>
    </row>
    <row r="870" spans="1:1" x14ac:dyDescent="0.3">
      <c r="A870" s="10"/>
    </row>
    <row r="871" spans="1:1" x14ac:dyDescent="0.3">
      <c r="A871" s="10"/>
    </row>
    <row r="872" spans="1:1" x14ac:dyDescent="0.3">
      <c r="A872" s="10"/>
    </row>
    <row r="873" spans="1:1" x14ac:dyDescent="0.3">
      <c r="A873" s="10"/>
    </row>
    <row r="874" spans="1:1" x14ac:dyDescent="0.3">
      <c r="A874" s="10"/>
    </row>
    <row r="875" spans="1:1" x14ac:dyDescent="0.3">
      <c r="A875" s="10"/>
    </row>
    <row r="876" spans="1:1" x14ac:dyDescent="0.3">
      <c r="A876" s="10"/>
    </row>
    <row r="877" spans="1:1" x14ac:dyDescent="0.3">
      <c r="A877" s="10"/>
    </row>
    <row r="878" spans="1:1" x14ac:dyDescent="0.3">
      <c r="A878" s="10"/>
    </row>
    <row r="879" spans="1:1" x14ac:dyDescent="0.3">
      <c r="A879" s="10"/>
    </row>
    <row r="880" spans="1:1" x14ac:dyDescent="0.3">
      <c r="A880" s="10"/>
    </row>
    <row r="881" spans="1:1" x14ac:dyDescent="0.3">
      <c r="A881" s="10"/>
    </row>
    <row r="882" spans="1:1" x14ac:dyDescent="0.3">
      <c r="A882" s="10"/>
    </row>
    <row r="883" spans="1:1" x14ac:dyDescent="0.3">
      <c r="A883" s="10"/>
    </row>
    <row r="884" spans="1:1" x14ac:dyDescent="0.3">
      <c r="A884" s="10"/>
    </row>
    <row r="885" spans="1:1" x14ac:dyDescent="0.3">
      <c r="A885" s="10"/>
    </row>
    <row r="886" spans="1:1" x14ac:dyDescent="0.3">
      <c r="A886" s="10"/>
    </row>
    <row r="887" spans="1:1" x14ac:dyDescent="0.3">
      <c r="A887" s="10"/>
    </row>
    <row r="888" spans="1:1" x14ac:dyDescent="0.3">
      <c r="A888" s="10"/>
    </row>
    <row r="889" spans="1:1" x14ac:dyDescent="0.3">
      <c r="A889" s="10"/>
    </row>
    <row r="890" spans="1:1" x14ac:dyDescent="0.3">
      <c r="A890" s="10"/>
    </row>
    <row r="891" spans="1:1" x14ac:dyDescent="0.3">
      <c r="A891" s="10"/>
    </row>
    <row r="892" spans="1:1" x14ac:dyDescent="0.3">
      <c r="A892" s="10"/>
    </row>
    <row r="893" spans="1:1" x14ac:dyDescent="0.3">
      <c r="A893" s="10"/>
    </row>
    <row r="894" spans="1:1" x14ac:dyDescent="0.3">
      <c r="A894" s="10"/>
    </row>
    <row r="895" spans="1:1" x14ac:dyDescent="0.3">
      <c r="A895" s="10"/>
    </row>
    <row r="896" spans="1:1" x14ac:dyDescent="0.3">
      <c r="A896" s="10"/>
    </row>
    <row r="897" spans="1:1" x14ac:dyDescent="0.3">
      <c r="A897" s="10"/>
    </row>
    <row r="898" spans="1:1" x14ac:dyDescent="0.3">
      <c r="A898" s="10"/>
    </row>
    <row r="899" spans="1:1" x14ac:dyDescent="0.3">
      <c r="A899" s="10"/>
    </row>
    <row r="900" spans="1:1" x14ac:dyDescent="0.3">
      <c r="A900" s="10"/>
    </row>
    <row r="901" spans="1:1" x14ac:dyDescent="0.3">
      <c r="A901" s="10"/>
    </row>
    <row r="902" spans="1:1" x14ac:dyDescent="0.3">
      <c r="A902" s="10"/>
    </row>
    <row r="903" spans="1:1" x14ac:dyDescent="0.3">
      <c r="A903" s="10"/>
    </row>
    <row r="904" spans="1:1" x14ac:dyDescent="0.3">
      <c r="A904" s="10"/>
    </row>
    <row r="905" spans="1:1" x14ac:dyDescent="0.3">
      <c r="A905" s="10"/>
    </row>
    <row r="906" spans="1:1" x14ac:dyDescent="0.3">
      <c r="A906" s="10"/>
    </row>
    <row r="907" spans="1:1" x14ac:dyDescent="0.3">
      <c r="A907" s="10"/>
    </row>
    <row r="908" spans="1:1" x14ac:dyDescent="0.3">
      <c r="A908" s="10"/>
    </row>
    <row r="909" spans="1:1" x14ac:dyDescent="0.3">
      <c r="A909" s="10"/>
    </row>
    <row r="910" spans="1:1" x14ac:dyDescent="0.3">
      <c r="A910" s="10"/>
    </row>
    <row r="911" spans="1:1" x14ac:dyDescent="0.3">
      <c r="A911" s="10"/>
    </row>
    <row r="912" spans="1:1" x14ac:dyDescent="0.3">
      <c r="A912" s="10"/>
    </row>
    <row r="913" spans="1:1" x14ac:dyDescent="0.3">
      <c r="A913" s="10"/>
    </row>
    <row r="914" spans="1:1" x14ac:dyDescent="0.3">
      <c r="A914" s="10"/>
    </row>
    <row r="915" spans="1:1" x14ac:dyDescent="0.3">
      <c r="A915" s="10"/>
    </row>
    <row r="916" spans="1:1" x14ac:dyDescent="0.3">
      <c r="A916" s="10"/>
    </row>
    <row r="917" spans="1:1" x14ac:dyDescent="0.3">
      <c r="A917" s="10"/>
    </row>
    <row r="918" spans="1:1" x14ac:dyDescent="0.3">
      <c r="A918" s="10"/>
    </row>
    <row r="919" spans="1:1" x14ac:dyDescent="0.3">
      <c r="A919" s="10"/>
    </row>
    <row r="920" spans="1:1" x14ac:dyDescent="0.3">
      <c r="A920" s="10"/>
    </row>
    <row r="921" spans="1:1" x14ac:dyDescent="0.3">
      <c r="A921" s="10"/>
    </row>
    <row r="922" spans="1:1" x14ac:dyDescent="0.3">
      <c r="A922" s="10"/>
    </row>
    <row r="923" spans="1:1" x14ac:dyDescent="0.3">
      <c r="A923" s="10"/>
    </row>
    <row r="924" spans="1:1" x14ac:dyDescent="0.3">
      <c r="A924" s="10"/>
    </row>
    <row r="925" spans="1:1" x14ac:dyDescent="0.3">
      <c r="A925" s="10"/>
    </row>
    <row r="926" spans="1:1" x14ac:dyDescent="0.3">
      <c r="A926" s="10"/>
    </row>
    <row r="927" spans="1:1" x14ac:dyDescent="0.3">
      <c r="A927" s="10"/>
    </row>
    <row r="928" spans="1:1" x14ac:dyDescent="0.3">
      <c r="A928" s="10"/>
    </row>
    <row r="929" spans="1:1" x14ac:dyDescent="0.3">
      <c r="A929" s="10"/>
    </row>
    <row r="930" spans="1:1" x14ac:dyDescent="0.3">
      <c r="A930" s="10"/>
    </row>
    <row r="931" spans="1:1" x14ac:dyDescent="0.3">
      <c r="A931" s="10"/>
    </row>
    <row r="932" spans="1:1" x14ac:dyDescent="0.3">
      <c r="A932" s="10"/>
    </row>
    <row r="933" spans="1:1" x14ac:dyDescent="0.3">
      <c r="A933" s="10"/>
    </row>
    <row r="934" spans="1:1" x14ac:dyDescent="0.3">
      <c r="A934" s="10"/>
    </row>
    <row r="935" spans="1:1" x14ac:dyDescent="0.3">
      <c r="A935" s="10"/>
    </row>
    <row r="936" spans="1:1" x14ac:dyDescent="0.3">
      <c r="A936" s="10"/>
    </row>
    <row r="937" spans="1:1" x14ac:dyDescent="0.3">
      <c r="A937" s="10"/>
    </row>
    <row r="938" spans="1:1" x14ac:dyDescent="0.3">
      <c r="A938" s="10"/>
    </row>
    <row r="939" spans="1:1" x14ac:dyDescent="0.3">
      <c r="A939" s="10"/>
    </row>
    <row r="940" spans="1:1" x14ac:dyDescent="0.3">
      <c r="A940" s="10"/>
    </row>
    <row r="941" spans="1:1" x14ac:dyDescent="0.3">
      <c r="A941" s="10"/>
    </row>
    <row r="942" spans="1:1" x14ac:dyDescent="0.3">
      <c r="A942" s="10"/>
    </row>
    <row r="943" spans="1:1" x14ac:dyDescent="0.3">
      <c r="A943" s="10"/>
    </row>
    <row r="944" spans="1:1" x14ac:dyDescent="0.3">
      <c r="A944" s="10"/>
    </row>
    <row r="945" spans="1:1" x14ac:dyDescent="0.3">
      <c r="A945" s="10"/>
    </row>
    <row r="946" spans="1:1" x14ac:dyDescent="0.3">
      <c r="A946" s="10"/>
    </row>
    <row r="947" spans="1:1" x14ac:dyDescent="0.3">
      <c r="A947" s="10"/>
    </row>
    <row r="948" spans="1:1" x14ac:dyDescent="0.3">
      <c r="A948" s="10"/>
    </row>
    <row r="949" spans="1:1" x14ac:dyDescent="0.3">
      <c r="A949" s="10"/>
    </row>
    <row r="950" spans="1:1" x14ac:dyDescent="0.3">
      <c r="A950" s="10"/>
    </row>
    <row r="951" spans="1:1" x14ac:dyDescent="0.3">
      <c r="A951" s="10"/>
    </row>
    <row r="952" spans="1:1" x14ac:dyDescent="0.3">
      <c r="A952" s="10"/>
    </row>
    <row r="953" spans="1:1" x14ac:dyDescent="0.3">
      <c r="A953" s="10"/>
    </row>
    <row r="954" spans="1:1" x14ac:dyDescent="0.3">
      <c r="A954" s="10"/>
    </row>
    <row r="955" spans="1:1" x14ac:dyDescent="0.3">
      <c r="A955" s="10"/>
    </row>
    <row r="956" spans="1:1" x14ac:dyDescent="0.3">
      <c r="A956" s="10"/>
    </row>
    <row r="957" spans="1:1" x14ac:dyDescent="0.3">
      <c r="A957" s="10"/>
    </row>
    <row r="958" spans="1:1" x14ac:dyDescent="0.3">
      <c r="A958" s="10"/>
    </row>
    <row r="959" spans="1:1" x14ac:dyDescent="0.3">
      <c r="A959" s="10"/>
    </row>
    <row r="960" spans="1:1" x14ac:dyDescent="0.3">
      <c r="A960" s="10"/>
    </row>
    <row r="961" spans="1:1" x14ac:dyDescent="0.3">
      <c r="A961" s="10"/>
    </row>
    <row r="962" spans="1:1" x14ac:dyDescent="0.3">
      <c r="A962" s="10"/>
    </row>
    <row r="963" spans="1:1" x14ac:dyDescent="0.3">
      <c r="A963" s="10"/>
    </row>
    <row r="964" spans="1:1" x14ac:dyDescent="0.3">
      <c r="A964" s="10"/>
    </row>
    <row r="965" spans="1:1" x14ac:dyDescent="0.3">
      <c r="A965" s="10"/>
    </row>
    <row r="966" spans="1:1" x14ac:dyDescent="0.3">
      <c r="A966" s="10"/>
    </row>
    <row r="967" spans="1:1" x14ac:dyDescent="0.3">
      <c r="A967" s="10"/>
    </row>
    <row r="968" spans="1:1" x14ac:dyDescent="0.3">
      <c r="A968" s="10"/>
    </row>
    <row r="969" spans="1:1" x14ac:dyDescent="0.3">
      <c r="A969" s="10"/>
    </row>
    <row r="970" spans="1:1" x14ac:dyDescent="0.3">
      <c r="A970" s="10"/>
    </row>
    <row r="971" spans="1:1" x14ac:dyDescent="0.3">
      <c r="A971" s="10"/>
    </row>
    <row r="972" spans="1:1" x14ac:dyDescent="0.3">
      <c r="A972" s="10"/>
    </row>
    <row r="973" spans="1:1" x14ac:dyDescent="0.3">
      <c r="A973" s="10"/>
    </row>
    <row r="974" spans="1:1" x14ac:dyDescent="0.3">
      <c r="A974" s="10"/>
    </row>
    <row r="975" spans="1:1" x14ac:dyDescent="0.3">
      <c r="A975" s="10"/>
    </row>
    <row r="976" spans="1:1" x14ac:dyDescent="0.3">
      <c r="A976" s="10"/>
    </row>
    <row r="977" spans="1:1" x14ac:dyDescent="0.3">
      <c r="A977" s="10"/>
    </row>
    <row r="978" spans="1:1" x14ac:dyDescent="0.3">
      <c r="A978" s="10"/>
    </row>
    <row r="979" spans="1:1" x14ac:dyDescent="0.3">
      <c r="A979" s="10"/>
    </row>
    <row r="980" spans="1:1" x14ac:dyDescent="0.3">
      <c r="A980" s="10"/>
    </row>
    <row r="981" spans="1:1" x14ac:dyDescent="0.3">
      <c r="A981" s="10"/>
    </row>
    <row r="982" spans="1:1" x14ac:dyDescent="0.3">
      <c r="A982" s="10"/>
    </row>
    <row r="983" spans="1:1" x14ac:dyDescent="0.3">
      <c r="A983" s="10"/>
    </row>
    <row r="984" spans="1:1" x14ac:dyDescent="0.3">
      <c r="A984" s="10"/>
    </row>
    <row r="985" spans="1:1" x14ac:dyDescent="0.3">
      <c r="A985" s="10"/>
    </row>
    <row r="986" spans="1:1" x14ac:dyDescent="0.3">
      <c r="A986" s="10"/>
    </row>
    <row r="987" spans="1:1" x14ac:dyDescent="0.3">
      <c r="A987" s="10"/>
    </row>
    <row r="988" spans="1:1" x14ac:dyDescent="0.3">
      <c r="A988" s="10"/>
    </row>
    <row r="989" spans="1:1" x14ac:dyDescent="0.3">
      <c r="A989" s="10"/>
    </row>
    <row r="990" spans="1:1" x14ac:dyDescent="0.3">
      <c r="A990" s="10"/>
    </row>
    <row r="991" spans="1:1" x14ac:dyDescent="0.3">
      <c r="A991" s="10"/>
    </row>
    <row r="992" spans="1:1" x14ac:dyDescent="0.3">
      <c r="A992" s="10"/>
    </row>
    <row r="993" spans="1:1" x14ac:dyDescent="0.3">
      <c r="A993" s="10"/>
    </row>
    <row r="994" spans="1:1" x14ac:dyDescent="0.3">
      <c r="A994" s="10"/>
    </row>
    <row r="995" spans="1:1" x14ac:dyDescent="0.3">
      <c r="A995" s="10"/>
    </row>
    <row r="996" spans="1:1" x14ac:dyDescent="0.3">
      <c r="A996" s="10"/>
    </row>
    <row r="997" spans="1:1" x14ac:dyDescent="0.3">
      <c r="A997" s="10"/>
    </row>
    <row r="998" spans="1:1" x14ac:dyDescent="0.3">
      <c r="A998" s="10"/>
    </row>
    <row r="999" spans="1:1" x14ac:dyDescent="0.3">
      <c r="A999" s="10"/>
    </row>
    <row r="1000" spans="1:1" x14ac:dyDescent="0.3">
      <c r="A1000" s="10"/>
    </row>
  </sheetData>
  <dataValidations count="2">
    <dataValidation type="list" sqref="B2:B1000" xr:uid="{00000000-0002-0000-0400-000000000000}">
      <formula1>"PRODUCTO NO ENCONTRADO,LOTE NO ENCONTRADO,FECHA DIFERENTE,UBICACIÓN NO REGISTRADA,CÓDIGO FALTANTE,OTRA"</formula1>
    </dataValidation>
    <dataValidation type="list" sqref="H2:H1000" xr:uid="{00000000-0002-0000-0400-000001000000}">
      <formula1>"PENDIENTE,REVISADO,CORREGIDO"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"/>
  <sheetViews>
    <sheetView showGridLines="0" workbookViewId="0"/>
  </sheetViews>
  <sheetFormatPr baseColWidth="10" defaultColWidth="8.88671875" defaultRowHeight="14.4" x14ac:dyDescent="0.3"/>
  <cols>
    <col min="1" max="1" width="7.77734375" customWidth="1"/>
    <col min="2" max="2" width="77.77734375" customWidth="1"/>
  </cols>
  <sheetData>
    <row r="1" spans="1:2" ht="36" customHeight="1" x14ac:dyDescent="0.3">
      <c r="A1" s="24" t="s">
        <v>562</v>
      </c>
      <c r="B1" s="24"/>
    </row>
    <row r="3" spans="1:2" x14ac:dyDescent="0.3">
      <c r="A3" s="15" t="s">
        <v>563</v>
      </c>
      <c r="B3" s="16" t="s">
        <v>564</v>
      </c>
    </row>
    <row r="4" spans="1:2" ht="34.049999999999997" customHeight="1" x14ac:dyDescent="0.3">
      <c r="A4" s="17">
        <v>1</v>
      </c>
      <c r="B4" s="19" t="s">
        <v>565</v>
      </c>
    </row>
    <row r="5" spans="1:2" ht="34.049999999999997" customHeight="1" x14ac:dyDescent="0.3">
      <c r="A5" s="17">
        <v>2</v>
      </c>
      <c r="B5" s="19" t="s">
        <v>566</v>
      </c>
    </row>
    <row r="6" spans="1:2" ht="34.049999999999997" customHeight="1" x14ac:dyDescent="0.3">
      <c r="A6" s="17">
        <v>3</v>
      </c>
      <c r="B6" s="19" t="s">
        <v>567</v>
      </c>
    </row>
    <row r="7" spans="1:2" ht="34.049999999999997" customHeight="1" x14ac:dyDescent="0.3">
      <c r="A7" s="17">
        <v>4</v>
      </c>
      <c r="B7" s="19" t="s">
        <v>568</v>
      </c>
    </row>
    <row r="8" spans="1:2" ht="34.049999999999997" customHeight="1" x14ac:dyDescent="0.3">
      <c r="A8" s="17">
        <v>5</v>
      </c>
      <c r="B8" s="19" t="s">
        <v>569</v>
      </c>
    </row>
    <row r="9" spans="1:2" ht="34.049999999999997" customHeight="1" x14ac:dyDescent="0.3">
      <c r="A9" s="17">
        <v>6</v>
      </c>
      <c r="B9" s="19" t="s">
        <v>570</v>
      </c>
    </row>
    <row r="10" spans="1:2" ht="34.049999999999997" customHeight="1" x14ac:dyDescent="0.3">
      <c r="A10" s="18">
        <v>7</v>
      </c>
      <c r="B10" s="20" t="s">
        <v>571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STOCK_SISTEMA</vt:lpstr>
      <vt:lpstr>UBICACIONES</vt:lpstr>
      <vt:lpstr>CONTEOS</vt:lpstr>
      <vt:lpstr>RESUMEN_AJUSTE</vt:lpstr>
      <vt:lpstr>INCIDENCIAS</vt:lpstr>
      <vt:lpstr>GUIA_USO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Medina</cp:lastModifiedBy>
  <dcterms:modified xsi:type="dcterms:W3CDTF">2026-09-04T04:33:16Z</dcterms:modified>
</cp:coreProperties>
</file>